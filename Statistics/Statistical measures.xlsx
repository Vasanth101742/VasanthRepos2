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Statistics/"/>
    </mc:Choice>
  </mc:AlternateContent>
  <xr:revisionPtr revIDLastSave="145" documentId="13_ncr:1_{F501E194-0FC4-4846-B551-85660BAF8A88}" xr6:coauthVersionLast="47" xr6:coauthVersionMax="47" xr10:uidLastSave="{1E0FB85D-706B-4C78-8F5F-50EA85BE1D6C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K37" i="1"/>
  <c r="K3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K31" i="1"/>
  <c r="C4" i="1"/>
  <c r="D4" i="1" s="1"/>
  <c r="E4" i="1" s="1"/>
  <c r="C5" i="1"/>
  <c r="D5" i="1" s="1"/>
  <c r="E5" i="1" s="1"/>
  <c r="C6" i="1"/>
  <c r="D6" i="1" s="1"/>
  <c r="E6" i="1" s="1"/>
  <c r="F6" i="1" s="1"/>
  <c r="C7" i="1"/>
  <c r="D7" i="1" s="1"/>
  <c r="E7" i="1" s="1"/>
  <c r="F7" i="1" s="1"/>
  <c r="C8" i="1"/>
  <c r="D8" i="1" s="1"/>
  <c r="E8" i="1" s="1"/>
  <c r="F8" i="1" s="1"/>
  <c r="C9" i="1"/>
  <c r="D9" i="1" s="1"/>
  <c r="E9" i="1" s="1"/>
  <c r="C10" i="1"/>
  <c r="D10" i="1" s="1"/>
  <c r="E10" i="1" s="1"/>
  <c r="G10" i="1" s="1"/>
  <c r="C11" i="1"/>
  <c r="D11" i="1" s="1"/>
  <c r="E11" i="1" s="1"/>
  <c r="G11" i="1" s="1"/>
  <c r="C12" i="1"/>
  <c r="D12" i="1" s="1"/>
  <c r="E12" i="1" s="1"/>
  <c r="G12" i="1" s="1"/>
  <c r="C13" i="1"/>
  <c r="D13" i="1" s="1"/>
  <c r="E13" i="1" s="1"/>
  <c r="F13" i="1" s="1"/>
  <c r="C14" i="1"/>
  <c r="D14" i="1" s="1"/>
  <c r="E14" i="1" s="1"/>
  <c r="F14" i="1" s="1"/>
  <c r="C15" i="1"/>
  <c r="D15" i="1" s="1"/>
  <c r="E15" i="1" s="1"/>
  <c r="F15" i="1" s="1"/>
  <c r="C16" i="1"/>
  <c r="D16" i="1" s="1"/>
  <c r="E16" i="1" s="1"/>
  <c r="F16" i="1" s="1"/>
  <c r="C17" i="1"/>
  <c r="D17" i="1" s="1"/>
  <c r="E17" i="1" s="1"/>
  <c r="F17" i="1" s="1"/>
  <c r="C18" i="1"/>
  <c r="D18" i="1" s="1"/>
  <c r="E18" i="1" s="1"/>
  <c r="F18" i="1" s="1"/>
  <c r="C19" i="1"/>
  <c r="D19" i="1" s="1"/>
  <c r="E19" i="1" s="1"/>
  <c r="G19" i="1" s="1"/>
  <c r="C20" i="1"/>
  <c r="D20" i="1" s="1"/>
  <c r="E20" i="1" s="1"/>
  <c r="G20" i="1" s="1"/>
  <c r="C21" i="1"/>
  <c r="D21" i="1" s="1"/>
  <c r="E21" i="1" s="1"/>
  <c r="F21" i="1" s="1"/>
  <c r="C22" i="1"/>
  <c r="D22" i="1" s="1"/>
  <c r="E22" i="1" s="1"/>
  <c r="C3" i="1"/>
  <c r="D3" i="1" s="1"/>
  <c r="E3" i="1" s="1"/>
  <c r="F3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F11" i="1" l="1"/>
  <c r="F12" i="1"/>
  <c r="F10" i="1"/>
  <c r="G14" i="1"/>
  <c r="G17" i="1"/>
  <c r="G16" i="1"/>
  <c r="G15" i="1"/>
  <c r="G13" i="1"/>
  <c r="G18" i="1"/>
  <c r="G22" i="1"/>
  <c r="F22" i="1"/>
  <c r="G5" i="1"/>
  <c r="F5" i="1"/>
  <c r="F4" i="1"/>
  <c r="G4" i="1"/>
  <c r="F9" i="1"/>
  <c r="G9" i="1"/>
  <c r="G7" i="1"/>
  <c r="F19" i="1"/>
  <c r="G8" i="1"/>
  <c r="G3" i="1"/>
  <c r="G6" i="1"/>
  <c r="G21" i="1"/>
  <c r="F20" i="1"/>
</calcChain>
</file>

<file path=xl/sharedStrings.xml><?xml version="1.0" encoding="utf-8"?>
<sst xmlns="http://schemas.openxmlformats.org/spreadsheetml/2006/main" count="71" uniqueCount="52">
  <si>
    <t>x</t>
  </si>
  <si>
    <t>xbar</t>
  </si>
  <si>
    <t>x-xbar</t>
  </si>
  <si>
    <t>(x-xbar)^2</t>
  </si>
  <si>
    <t>sqrt(((x-xbar)^2)/n)</t>
  </si>
  <si>
    <t>Data</t>
  </si>
  <si>
    <t>Mean</t>
  </si>
  <si>
    <t>N</t>
  </si>
  <si>
    <t>((x-xbar)^2)/N</t>
  </si>
  <si>
    <t>Variance</t>
  </si>
  <si>
    <t>SD</t>
  </si>
  <si>
    <t>mean+SD</t>
  </si>
  <si>
    <t>Binomial</t>
  </si>
  <si>
    <t>Bernoulli</t>
  </si>
  <si>
    <t>Normal</t>
  </si>
  <si>
    <t>Poisson</t>
  </si>
  <si>
    <t>OLS</t>
  </si>
  <si>
    <t>MLE</t>
  </si>
  <si>
    <t>MAP</t>
  </si>
  <si>
    <t>Estimator</t>
  </si>
  <si>
    <t>Value</t>
  </si>
  <si>
    <t>Output</t>
  </si>
  <si>
    <t>Estimator Type</t>
  </si>
  <si>
    <t>Point Estimator</t>
  </si>
  <si>
    <t>Regression Estimator</t>
  </si>
  <si>
    <t>Sample Mean</t>
  </si>
  <si>
    <t>Sample Variance</t>
  </si>
  <si>
    <t>Bayesian Estimation</t>
  </si>
  <si>
    <t>Discrete Probability Distribution</t>
  </si>
  <si>
    <t>Geometric</t>
  </si>
  <si>
    <t>Negative Binomial</t>
  </si>
  <si>
    <t>Hypergeometric</t>
  </si>
  <si>
    <t>Multinomial</t>
  </si>
  <si>
    <t>Continuous Probability Distribution</t>
  </si>
  <si>
    <t>Uniform</t>
  </si>
  <si>
    <t>Exponential</t>
  </si>
  <si>
    <t>Gamma</t>
  </si>
  <si>
    <t>Beta</t>
  </si>
  <si>
    <t>Weibull</t>
  </si>
  <si>
    <t>Log-normal</t>
  </si>
  <si>
    <t>chi-square</t>
  </si>
  <si>
    <t>Student's t</t>
  </si>
  <si>
    <t>Cauchy</t>
  </si>
  <si>
    <t>Multivariate Distribution</t>
  </si>
  <si>
    <t>Multivariate Normal</t>
  </si>
  <si>
    <t>Drichlet</t>
  </si>
  <si>
    <t>Likelihood</t>
  </si>
  <si>
    <t>Log Likelihood</t>
  </si>
  <si>
    <t>Maximum</t>
  </si>
  <si>
    <t>Prior</t>
  </si>
  <si>
    <t>Posterior</t>
  </si>
  <si>
    <t>MAP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</si>
</sst>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-5</c:v>
                </c:pt>
                <c:pt idx="3">
                  <c:v>8</c:v>
                </c:pt>
                <c:pt idx="4">
                  <c:v>3</c:v>
                </c:pt>
                <c:pt idx="5">
                  <c:v>5</c:v>
                </c:pt>
                <c:pt idx="6">
                  <c:v>9</c:v>
                </c:pt>
                <c:pt idx="7">
                  <c:v>-3</c:v>
                </c:pt>
                <c:pt idx="8">
                  <c:v>7</c:v>
                </c:pt>
                <c:pt idx="9">
                  <c:v>4</c:v>
                </c:pt>
                <c:pt idx="10">
                  <c:v>9</c:v>
                </c:pt>
                <c:pt idx="11">
                  <c:v>12</c:v>
                </c:pt>
                <c:pt idx="12">
                  <c:v>6</c:v>
                </c:pt>
                <c:pt idx="13">
                  <c:v>-8</c:v>
                </c:pt>
                <c:pt idx="14">
                  <c:v>3</c:v>
                </c:pt>
                <c:pt idx="15">
                  <c:v>5</c:v>
                </c:pt>
                <c:pt idx="16">
                  <c:v>-2</c:v>
                </c:pt>
                <c:pt idx="17">
                  <c:v>9</c:v>
                </c:pt>
                <c:pt idx="18">
                  <c:v>11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6-41F1-AEAF-7230721AD143}"/>
            </c:ext>
          </c:extLst>
        </c:ser>
        <c:ser>
          <c:idx val="5"/>
          <c:order val="1"/>
          <c:tx>
            <c:strRef>
              <c:f>Sheet1!$F$2</c:f>
              <c:strCache>
                <c:ptCount val="1"/>
                <c:pt idx="0">
                  <c:v>Variance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Sheet1!$F$3:$F$22</c:f>
              <c:numCache>
                <c:formatCode>General</c:formatCode>
                <c:ptCount val="20"/>
                <c:pt idx="0">
                  <c:v>0.4651249999999999</c:v>
                </c:pt>
                <c:pt idx="1">
                  <c:v>0.21012499999999998</c:v>
                </c:pt>
                <c:pt idx="2">
                  <c:v>4.0951250000000012</c:v>
                </c:pt>
                <c:pt idx="3">
                  <c:v>0.78012500000000007</c:v>
                </c:pt>
                <c:pt idx="4">
                  <c:v>5.512499999999998E-2</c:v>
                </c:pt>
                <c:pt idx="5">
                  <c:v>4.5125000000000012E-2</c:v>
                </c:pt>
                <c:pt idx="6">
                  <c:v>1.225125</c:v>
                </c:pt>
                <c:pt idx="7">
                  <c:v>2.485125</c:v>
                </c:pt>
                <c:pt idx="8">
                  <c:v>0.43512500000000004</c:v>
                </c:pt>
                <c:pt idx="9">
                  <c:v>1.2499999999999911E-4</c:v>
                </c:pt>
                <c:pt idx="10">
                  <c:v>1.225125</c:v>
                </c:pt>
                <c:pt idx="11">
                  <c:v>3.1601249999999999</c:v>
                </c:pt>
                <c:pt idx="12">
                  <c:v>0.19012500000000004</c:v>
                </c:pt>
                <c:pt idx="13">
                  <c:v>7.2601250000000004</c:v>
                </c:pt>
                <c:pt idx="14">
                  <c:v>5.512499999999998E-2</c:v>
                </c:pt>
                <c:pt idx="15">
                  <c:v>4.5125000000000012E-2</c:v>
                </c:pt>
                <c:pt idx="16">
                  <c:v>1.830125</c:v>
                </c:pt>
                <c:pt idx="17">
                  <c:v>1.225125</c:v>
                </c:pt>
                <c:pt idx="18">
                  <c:v>2.4151250000000002</c:v>
                </c:pt>
                <c:pt idx="19">
                  <c:v>4.5125000000000012E-2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16-41F1-AEAF-7230721AD143}"/>
            </c:ext>
          </c:extLst>
        </c:ser>
        <c:ser>
          <c:idx val="6"/>
          <c:order val="2"/>
          <c:tx>
            <c:strRef>
              <c:f>Sheet1!$G$2</c:f>
              <c:strCache>
                <c:ptCount val="1"/>
                <c:pt idx="0">
                  <c:v>SD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Sheet1!$G$3:$G$22</c:f>
              <c:numCache>
                <c:formatCode>General</c:formatCode>
                <c:ptCount val="20"/>
                <c:pt idx="0">
                  <c:v>0.68200073313743581</c:v>
                </c:pt>
                <c:pt idx="1">
                  <c:v>0.45839393538745687</c:v>
                </c:pt>
                <c:pt idx="2">
                  <c:v>2.0236415196373101</c:v>
                </c:pt>
                <c:pt idx="3">
                  <c:v>0.88324685111241696</c:v>
                </c:pt>
                <c:pt idx="4">
                  <c:v>0.23478713763747788</c:v>
                </c:pt>
                <c:pt idx="5">
                  <c:v>0.21242645786248004</c:v>
                </c:pt>
                <c:pt idx="6">
                  <c:v>1.1068536488623959</c:v>
                </c:pt>
                <c:pt idx="7">
                  <c:v>1.5764279241373518</c:v>
                </c:pt>
                <c:pt idx="8">
                  <c:v>0.65964005336243803</c:v>
                </c:pt>
                <c:pt idx="9">
                  <c:v>1.1180339887498909E-2</c:v>
                </c:pt>
                <c:pt idx="10">
                  <c:v>1.1068536488623959</c:v>
                </c:pt>
                <c:pt idx="11">
                  <c:v>1.7776740421123327</c:v>
                </c:pt>
                <c:pt idx="12">
                  <c:v>0.43603325561245904</c:v>
                </c:pt>
                <c:pt idx="13">
                  <c:v>2.6944619128872467</c:v>
                </c:pt>
                <c:pt idx="14">
                  <c:v>0.23478713763747788</c:v>
                </c:pt>
                <c:pt idx="15">
                  <c:v>0.21242645786248004</c:v>
                </c:pt>
                <c:pt idx="16">
                  <c:v>1.3528211263873728</c:v>
                </c:pt>
                <c:pt idx="17">
                  <c:v>1.1068536488623959</c:v>
                </c:pt>
                <c:pt idx="18">
                  <c:v>1.554067244362354</c:v>
                </c:pt>
                <c:pt idx="19">
                  <c:v>0.21242645786248004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16-41F1-AEAF-7230721AD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356224"/>
        <c:axId val="1091356704"/>
      </c:lineChart>
      <c:catAx>
        <c:axId val="1091356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56704"/>
        <c:crosses val="autoZero"/>
        <c:auto val="1"/>
        <c:lblAlgn val="ctr"/>
        <c:lblOffset val="100"/>
        <c:noMultiLvlLbl val="0"/>
      </c:catAx>
      <c:valAx>
        <c:axId val="10913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5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Sheet3!$A$2:$A$101</c:f>
              <c:numCache>
                <c:formatCode>General</c:formatCode>
                <c:ptCount val="100"/>
                <c:pt idx="0">
                  <c:v>4.76870343522351</c:v>
                </c:pt>
                <c:pt idx="1">
                  <c:v>4.8559797568393304</c:v>
                </c:pt>
                <c:pt idx="2">
                  <c:v>4.7234713976576304</c:v>
                </c:pt>
                <c:pt idx="3">
                  <c:v>4.9283479217800901</c:v>
                </c:pt>
                <c:pt idx="4">
                  <c:v>4.6286820466723597</c:v>
                </c:pt>
                <c:pt idx="5">
                  <c:v>4.97300555052413</c:v>
                </c:pt>
                <c:pt idx="6">
                  <c:v>5.01022691328492</c:v>
                </c:pt>
                <c:pt idx="7">
                  <c:v>4.56065622432497</c:v>
                </c:pt>
                <c:pt idx="8">
                  <c:v>4.5484473990269203</c:v>
                </c:pt>
                <c:pt idx="9">
                  <c:v>4.5317260861016297</c:v>
                </c:pt>
                <c:pt idx="10">
                  <c:v>4.5316932505533201</c:v>
                </c:pt>
                <c:pt idx="11">
                  <c:v>4.5308257332497002</c:v>
                </c:pt>
                <c:pt idx="12">
                  <c:v>5.1350564093758404</c:v>
                </c:pt>
                <c:pt idx="13">
                  <c:v>4.4166125004134402</c:v>
                </c:pt>
                <c:pt idx="14">
                  <c:v>5.1740941364763398</c:v>
                </c:pt>
                <c:pt idx="15">
                  <c:v>4.4019852990682597</c:v>
                </c:pt>
                <c:pt idx="16">
                  <c:v>5.1835215530710004</c:v>
                </c:pt>
                <c:pt idx="17">
                  <c:v>4.3977926088214199</c:v>
                </c:pt>
                <c:pt idx="18">
                  <c:v>5.1941550986960801</c:v>
                </c:pt>
                <c:pt idx="19">
                  <c:v>4.3815752482975698</c:v>
                </c:pt>
                <c:pt idx="20">
                  <c:v>5.2218451794197298</c:v>
                </c:pt>
                <c:pt idx="21">
                  <c:v>4.3446757068044599</c:v>
                </c:pt>
                <c:pt idx="22">
                  <c:v>5.3427365623799403</c:v>
                </c:pt>
                <c:pt idx="23">
                  <c:v>4.2298354391673598</c:v>
                </c:pt>
                <c:pt idx="24">
                  <c:v>4.2157836937356796</c:v>
                </c:pt>
                <c:pt idx="25">
                  <c:v>5.3937224717382399</c:v>
                </c:pt>
                <c:pt idx="26">
                  <c:v>5.4177271900095096</c:v>
                </c:pt>
                <c:pt idx="27">
                  <c:v>5.4839245431320602</c:v>
                </c:pt>
                <c:pt idx="28">
                  <c:v>4.0787224580804198</c:v>
                </c:pt>
                <c:pt idx="29">
                  <c:v>4.0731646143750702</c:v>
                </c:pt>
                <c:pt idx="30">
                  <c:v>4.0685404928594799</c:v>
                </c:pt>
                <c:pt idx="31">
                  <c:v>5.5221105443597702</c:v>
                </c:pt>
                <c:pt idx="32">
                  <c:v>4.0610512281300899</c:v>
                </c:pt>
                <c:pt idx="33">
                  <c:v>4.0416515243094198</c:v>
                </c:pt>
                <c:pt idx="34">
                  <c:v>3.99648591283092</c:v>
                </c:pt>
                <c:pt idx="35">
                  <c:v>5.59224055412915</c:v>
                </c:pt>
                <c:pt idx="36">
                  <c:v>3.9634595634526999</c:v>
                </c:pt>
                <c:pt idx="37">
                  <c:v>5.6284946651905399</c:v>
                </c:pt>
                <c:pt idx="38">
                  <c:v>3.9404795924659202</c:v>
                </c:pt>
                <c:pt idx="39">
                  <c:v>5.64816793878959</c:v>
                </c:pt>
                <c:pt idx="40">
                  <c:v>5.65750221931936</c:v>
                </c:pt>
                <c:pt idx="41">
                  <c:v>5.6625268628071197</c:v>
                </c:pt>
                <c:pt idx="42">
                  <c:v>3.9112345509496298</c:v>
                </c:pt>
                <c:pt idx="43">
                  <c:v>5.6872365791369202</c:v>
                </c:pt>
                <c:pt idx="44">
                  <c:v>3.8754249415180499</c:v>
                </c:pt>
                <c:pt idx="45">
                  <c:v>5.7142251430234898</c:v>
                </c:pt>
                <c:pt idx="46">
                  <c:v>5.72279121101682</c:v>
                </c:pt>
                <c:pt idx="47">
                  <c:v>5.7232720500952601</c:v>
                </c:pt>
                <c:pt idx="48">
                  <c:v>5.7513960366913404</c:v>
                </c:pt>
                <c:pt idx="49">
                  <c:v>3.79872262016239</c:v>
                </c:pt>
                <c:pt idx="50">
                  <c:v>3.7965867755412002</c:v>
                </c:pt>
                <c:pt idx="51">
                  <c:v>3.7097604907897499</c:v>
                </c:pt>
                <c:pt idx="52">
                  <c:v>3.6461559993880801</c:v>
                </c:pt>
                <c:pt idx="53">
                  <c:v>3.5958938122452899</c:v>
                </c:pt>
                <c:pt idx="54">
                  <c:v>5.9934283060224596</c:v>
                </c:pt>
                <c:pt idx="55">
                  <c:v>3.5603115832105798</c:v>
                </c:pt>
                <c:pt idx="56">
                  <c:v>6.0265348662267098</c:v>
                </c:pt>
                <c:pt idx="57">
                  <c:v>6.0851200871719202</c:v>
                </c:pt>
                <c:pt idx="58">
                  <c:v>3.3830127942136201</c:v>
                </c:pt>
                <c:pt idx="59">
                  <c:v>6.2233525776817302</c:v>
                </c:pt>
                <c:pt idx="60">
                  <c:v>3.32156495355472</c:v>
                </c:pt>
                <c:pt idx="61">
                  <c:v>6.2953770762013797</c:v>
                </c:pt>
                <c:pt idx="62">
                  <c:v>3.18395184895757</c:v>
                </c:pt>
                <c:pt idx="63">
                  <c:v>6.4769331599908204</c:v>
                </c:pt>
                <c:pt idx="64">
                  <c:v>6.5348694583058098</c:v>
                </c:pt>
                <c:pt idx="65">
                  <c:v>2.9743377593311502</c:v>
                </c:pt>
                <c:pt idx="66">
                  <c:v>6.6250516447883898</c:v>
                </c:pt>
                <c:pt idx="67">
                  <c:v>6.6438050087504399</c:v>
                </c:pt>
                <c:pt idx="68">
                  <c:v>6.6450898242063703</c:v>
                </c:pt>
                <c:pt idx="69">
                  <c:v>2.88457814208819</c:v>
                </c:pt>
                <c:pt idx="70">
                  <c:v>2.78733005198794</c:v>
                </c:pt>
                <c:pt idx="71">
                  <c:v>6.8308042354041403</c:v>
                </c:pt>
                <c:pt idx="72">
                  <c:v>6.8625602382323896</c:v>
                </c:pt>
                <c:pt idx="73">
                  <c:v>2.69801284515539</c:v>
                </c:pt>
                <c:pt idx="74">
                  <c:v>6.9372899810657698</c:v>
                </c:pt>
                <c:pt idx="75">
                  <c:v>6.9510902542447104</c:v>
                </c:pt>
                <c:pt idx="76">
                  <c:v>2.60758675183865</c:v>
                </c:pt>
                <c:pt idx="77">
                  <c:v>7.0070657957840403</c:v>
                </c:pt>
                <c:pt idx="78">
                  <c:v>2.5583127000579502</c:v>
                </c:pt>
                <c:pt idx="79">
                  <c:v>7.0619990449919001</c:v>
                </c:pt>
                <c:pt idx="80">
                  <c:v>7.1142444524378297</c:v>
                </c:pt>
                <c:pt idx="81">
                  <c:v>2.3436279022031301</c:v>
                </c:pt>
                <c:pt idx="82">
                  <c:v>2.1753925973294099</c:v>
                </c:pt>
                <c:pt idx="83">
                  <c:v>2.1505036275730798</c:v>
                </c:pt>
                <c:pt idx="84">
                  <c:v>2.0729701037357602</c:v>
                </c:pt>
                <c:pt idx="85">
                  <c:v>2.0429560192651399</c:v>
                </c:pt>
                <c:pt idx="86">
                  <c:v>7.7124800571416401</c:v>
                </c:pt>
                <c:pt idx="87">
                  <c:v>7.9312975378430997</c:v>
                </c:pt>
                <c:pt idx="88">
                  <c:v>7.95578808948303</c:v>
                </c:pt>
                <c:pt idx="89">
                  <c:v>1.55016433497393</c:v>
                </c:pt>
                <c:pt idx="90">
                  <c:v>8.0460597128160494</c:v>
                </c:pt>
                <c:pt idx="91">
                  <c:v>8.0760731329319295</c:v>
                </c:pt>
                <c:pt idx="92">
                  <c:v>1.4739196892745301</c:v>
                </c:pt>
                <c:pt idx="93">
                  <c:v>8.1292873116280102</c:v>
                </c:pt>
                <c:pt idx="94">
                  <c:v>8.1584256310147794</c:v>
                </c:pt>
                <c:pt idx="95">
                  <c:v>1.1734395106844</c:v>
                </c:pt>
                <c:pt idx="96">
                  <c:v>1.08065975224044</c:v>
                </c:pt>
                <c:pt idx="97">
                  <c:v>1.02486217079821</c:v>
                </c:pt>
                <c:pt idx="98">
                  <c:v>8.7045563690178707</c:v>
                </c:pt>
                <c:pt idx="99">
                  <c:v>-0.23949020817948799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0-4504-8951-DC77B9B10398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Output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Sheet3!$B$2:$B$101</c:f>
              <c:numCache>
                <c:formatCode>General</c:formatCode>
                <c:ptCount val="100"/>
                <c:pt idx="0">
                  <c:v>167.38428616600601</c:v>
                </c:pt>
                <c:pt idx="1">
                  <c:v>167.42799988807701</c:v>
                </c:pt>
                <c:pt idx="2">
                  <c:v>167.436551275163</c:v>
                </c:pt>
                <c:pt idx="3">
                  <c:v>167.60866135645699</c:v>
                </c:pt>
                <c:pt idx="4">
                  <c:v>167.711986007745</c:v>
                </c:pt>
                <c:pt idx="5">
                  <c:v>167.78547181733001</c:v>
                </c:pt>
                <c:pt idx="6">
                  <c:v>167.97093588025899</c:v>
                </c:pt>
                <c:pt idx="7">
                  <c:v>168.048097905075</c:v>
                </c:pt>
                <c:pt idx="8">
                  <c:v>168.12066568340501</c:v>
                </c:pt>
                <c:pt idx="9">
                  <c:v>168.22610201513001</c:v>
                </c:pt>
                <c:pt idx="10">
                  <c:v>168.226315936508</c:v>
                </c:pt>
                <c:pt idx="11">
                  <c:v>168.23197751651199</c:v>
                </c:pt>
                <c:pt idx="12">
                  <c:v>168.84578685159099</c:v>
                </c:pt>
                <c:pt idx="13">
                  <c:v>169.141651219159</c:v>
                </c:pt>
                <c:pt idx="14">
                  <c:v>169.199340134934</c:v>
                </c:pt>
                <c:pt idx="15">
                  <c:v>169.28170962141999</c:v>
                </c:pt>
                <c:pt idx="16">
                  <c:v>169.29043275507999</c:v>
                </c:pt>
                <c:pt idx="17">
                  <c:v>169.322841800634</c:v>
                </c:pt>
                <c:pt idx="18">
                  <c:v>169.39584611296701</c:v>
                </c:pt>
                <c:pt idx="19">
                  <c:v>169.48607887414801</c:v>
                </c:pt>
                <c:pt idx="20">
                  <c:v>169.683610551469</c:v>
                </c:pt>
                <c:pt idx="21">
                  <c:v>169.881993876949</c:v>
                </c:pt>
                <c:pt idx="22">
                  <c:v>171.16448135114001</c:v>
                </c:pt>
                <c:pt idx="23">
                  <c:v>171.33199980329201</c:v>
                </c:pt>
                <c:pt idx="24">
                  <c:v>171.53206061507601</c:v>
                </c:pt>
                <c:pt idx="25">
                  <c:v>171.898579726788</c:v>
                </c:pt>
                <c:pt idx="26">
                  <c:v>172.266702802982</c:v>
                </c:pt>
                <c:pt idx="27">
                  <c:v>173.35650800926001</c:v>
                </c:pt>
                <c:pt idx="28">
                  <c:v>173.742357693381</c:v>
                </c:pt>
                <c:pt idx="29">
                  <c:v>173.84189359274399</c:v>
                </c:pt>
                <c:pt idx="30">
                  <c:v>173.925295914424</c:v>
                </c:pt>
                <c:pt idx="31">
                  <c:v>174.03498788487201</c:v>
                </c:pt>
                <c:pt idx="32">
                  <c:v>174.06150899584401</c:v>
                </c:pt>
                <c:pt idx="33">
                  <c:v>174.420866970112</c:v>
                </c:pt>
                <c:pt idx="34">
                  <c:v>175.29396142581501</c:v>
                </c:pt>
                <c:pt idx="35">
                  <c:v>175.375993916634</c:v>
                </c:pt>
                <c:pt idx="36">
                  <c:v>175.96467227569201</c:v>
                </c:pt>
                <c:pt idx="37">
                  <c:v>176.11744545310401</c:v>
                </c:pt>
                <c:pt idx="38">
                  <c:v>176.44744549514701</c:v>
                </c:pt>
                <c:pt idx="39">
                  <c:v>176.53354715932599</c:v>
                </c:pt>
                <c:pt idx="40">
                  <c:v>176.73435742978501</c:v>
                </c:pt>
                <c:pt idx="41">
                  <c:v>176.843355460292</c:v>
                </c:pt>
                <c:pt idx="42">
                  <c:v>177.08092957282901</c:v>
                </c:pt>
                <c:pt idx="43">
                  <c:v>177.38855975665899</c:v>
                </c:pt>
                <c:pt idx="44">
                  <c:v>177.88573015031599</c:v>
                </c:pt>
                <c:pt idx="45">
                  <c:v>178.00148616540201</c:v>
                </c:pt>
                <c:pt idx="46">
                  <c:v>178.199833729299</c:v>
                </c:pt>
                <c:pt idx="47">
                  <c:v>178.21102194905799</c:v>
                </c:pt>
                <c:pt idx="48">
                  <c:v>178.87547017105001</c:v>
                </c:pt>
                <c:pt idx="49">
                  <c:v>179.71744521724801</c:v>
                </c:pt>
                <c:pt idx="50">
                  <c:v>179.77055578462799</c:v>
                </c:pt>
                <c:pt idx="51">
                  <c:v>182.026157949202</c:v>
                </c:pt>
                <c:pt idx="52">
                  <c:v>183.79809753889</c:v>
                </c:pt>
                <c:pt idx="53">
                  <c:v>185.269877490548</c:v>
                </c:pt>
                <c:pt idx="54">
                  <c:v>185.410978025042</c:v>
                </c:pt>
                <c:pt idx="55">
                  <c:v>186.34997984906099</c:v>
                </c:pt>
                <c:pt idx="56">
                  <c:v>186.41880347870301</c:v>
                </c:pt>
                <c:pt idx="57">
                  <c:v>188.26939418705999</c:v>
                </c:pt>
                <c:pt idx="58">
                  <c:v>192.20369783827499</c:v>
                </c:pt>
                <c:pt idx="59">
                  <c:v>192.97596639527501</c:v>
                </c:pt>
                <c:pt idx="60">
                  <c:v>194.415847893821</c:v>
                </c:pt>
                <c:pt idx="61">
                  <c:v>195.61756906503501</c:v>
                </c:pt>
                <c:pt idx="62">
                  <c:v>199.71239933292199</c:v>
                </c:pt>
                <c:pt idx="63">
                  <c:v>202.85188978485201</c:v>
                </c:pt>
                <c:pt idx="64">
                  <c:v>205.33387261238201</c:v>
                </c:pt>
                <c:pt idx="65">
                  <c:v>208.689972502286</c:v>
                </c:pt>
                <c:pt idx="66">
                  <c:v>209.36423533960999</c:v>
                </c:pt>
                <c:pt idx="67">
                  <c:v>210.22788464849901</c:v>
                </c:pt>
                <c:pt idx="68">
                  <c:v>210.28737611545799</c:v>
                </c:pt>
                <c:pt idx="69">
                  <c:v>212.87018786536501</c:v>
                </c:pt>
                <c:pt idx="70">
                  <c:v>217.62647736516601</c:v>
                </c:pt>
                <c:pt idx="71">
                  <c:v>219.32071109042701</c:v>
                </c:pt>
                <c:pt idx="72">
                  <c:v>220.95167976381299</c:v>
                </c:pt>
                <c:pt idx="73">
                  <c:v>222.20317034944301</c:v>
                </c:pt>
                <c:pt idx="74">
                  <c:v>224.889223811932</c:v>
                </c:pt>
                <c:pt idx="75">
                  <c:v>225.63163819575399</c:v>
                </c:pt>
                <c:pt idx="76">
                  <c:v>227.03985221717201</c:v>
                </c:pt>
                <c:pt idx="77">
                  <c:v>228.69178055312801</c:v>
                </c:pt>
                <c:pt idx="78">
                  <c:v>229.76145179241101</c:v>
                </c:pt>
                <c:pt idx="79">
                  <c:v>231.771098795863</c:v>
                </c:pt>
                <c:pt idx="80">
                  <c:v>234.769743265475</c:v>
                </c:pt>
                <c:pt idx="81">
                  <c:v>242.32768650336999</c:v>
                </c:pt>
                <c:pt idx="82">
                  <c:v>252.980332193523</c:v>
                </c:pt>
                <c:pt idx="83">
                  <c:v>254.616383017646</c:v>
                </c:pt>
                <c:pt idx="84">
                  <c:v>259.81223416043701</c:v>
                </c:pt>
                <c:pt idx="85">
                  <c:v>261.86395488288002</c:v>
                </c:pt>
                <c:pt idx="86">
                  <c:v>273.96995816854502</c:v>
                </c:pt>
                <c:pt idx="87">
                  <c:v>290.543094771509</c:v>
                </c:pt>
                <c:pt idx="88">
                  <c:v>292.47248237841097</c:v>
                </c:pt>
                <c:pt idx="89">
                  <c:v>298.77093251822902</c:v>
                </c:pt>
                <c:pt idx="90">
                  <c:v>299.71365886493402</c:v>
                </c:pt>
                <c:pt idx="91">
                  <c:v>302.16632513644902</c:v>
                </c:pt>
                <c:pt idx="92">
                  <c:v>305.02349849693798</c:v>
                </c:pt>
                <c:pt idx="93">
                  <c:v>306.57029498775699</c:v>
                </c:pt>
                <c:pt idx="94">
                  <c:v>309.011757986497</c:v>
                </c:pt>
                <c:pt idx="95">
                  <c:v>331.07984275112801</c:v>
                </c:pt>
                <c:pt idx="96">
                  <c:v>339.581385002633</c:v>
                </c:pt>
                <c:pt idx="97">
                  <c:v>344.79782557008298</c:v>
                </c:pt>
                <c:pt idx="98">
                  <c:v>358.69851455291803</c:v>
                </c:pt>
                <c:pt idx="99">
                  <c:v>483.86460701001602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0-4504-8951-DC77B9B10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039488"/>
        <c:axId val="1352039968"/>
      </c:lineChart>
      <c:catAx>
        <c:axId val="1352039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039968"/>
        <c:crosses val="autoZero"/>
        <c:auto val="1"/>
        <c:lblAlgn val="ctr"/>
        <c:lblOffset val="100"/>
        <c:noMultiLvlLbl val="0"/>
      </c:catAx>
      <c:valAx>
        <c:axId val="13520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0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95250</xdr:rowOff>
    </xdr:from>
    <xdr:to>
      <xdr:col>19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A3C9C-76D5-87FB-6B6F-B0820D122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90486</xdr:rowOff>
    </xdr:from>
    <xdr:to>
      <xdr:col>20</xdr:col>
      <xdr:colOff>123825</xdr:colOff>
      <xdr:row>31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0CB8B-A02B-CC46-4F85-DC5EAB440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opLeftCell="A22" workbookViewId="0">
      <selection activeCell="K39" sqref="K39"/>
    </sheetView>
  </sheetViews>
  <sheetFormatPr defaultRowHeight="15" x14ac:dyDescent="0.25"/>
  <cols>
    <col min="5" max="5" width="12" bestFit="1" customWidth="1"/>
    <col min="6" max="6" width="13.85546875" bestFit="1" customWidth="1"/>
    <col min="7" max="7" width="18.5703125" bestFit="1" customWidth="1"/>
    <col min="8" max="8" width="18.5703125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11</v>
      </c>
    </row>
    <row r="2" spans="1:8" s="1" customFormat="1" x14ac:dyDescent="0.25">
      <c r="A2" s="1" t="s">
        <v>5</v>
      </c>
      <c r="B2" s="1" t="s">
        <v>7</v>
      </c>
      <c r="C2" s="1" t="s">
        <v>6</v>
      </c>
      <c r="D2" t="s">
        <v>2</v>
      </c>
      <c r="E2" t="s">
        <v>3</v>
      </c>
      <c r="F2" s="1" t="s">
        <v>9</v>
      </c>
      <c r="G2" s="1" t="s">
        <v>10</v>
      </c>
      <c r="H2" t="s">
        <v>11</v>
      </c>
    </row>
    <row r="3" spans="1:8" x14ac:dyDescent="0.25">
      <c r="A3">
        <v>1</v>
      </c>
      <c r="B3">
        <f>COUNT(A$3:A$22)</f>
        <v>20</v>
      </c>
      <c r="C3">
        <f t="shared" ref="C3:C22" si="0">AVERAGE(A$3:A$22)</f>
        <v>4.05</v>
      </c>
      <c r="D3">
        <f t="shared" ref="D3:D22" si="1">A3-C3</f>
        <v>-3.05</v>
      </c>
      <c r="E3">
        <f>D3^2</f>
        <v>9.3024999999999984</v>
      </c>
      <c r="F3">
        <f t="shared" ref="F3:F22" si="2">E3/COUNT(A$3:A$22)</f>
        <v>0.4651249999999999</v>
      </c>
      <c r="G3">
        <f t="shared" ref="G3:G22" si="3">SQRT(E3/COUNT(A$3:A$22))</f>
        <v>0.68200073313743581</v>
      </c>
      <c r="H3">
        <f>C3+G3</f>
        <v>4.7320007331374354</v>
      </c>
    </row>
    <row r="4" spans="1:8" x14ac:dyDescent="0.25">
      <c r="A4">
        <v>2</v>
      </c>
      <c r="B4">
        <f t="shared" ref="B4:B22" si="4">COUNT(A$3:A$22)</f>
        <v>20</v>
      </c>
      <c r="C4">
        <f t="shared" si="0"/>
        <v>4.05</v>
      </c>
      <c r="D4">
        <f t="shared" si="1"/>
        <v>-2.0499999999999998</v>
      </c>
      <c r="E4">
        <f t="shared" ref="E4:E22" si="5">D4^2</f>
        <v>4.2024999999999997</v>
      </c>
      <c r="F4">
        <f t="shared" si="2"/>
        <v>0.21012499999999998</v>
      </c>
      <c r="G4">
        <f t="shared" si="3"/>
        <v>0.45839393538745687</v>
      </c>
      <c r="H4">
        <f t="shared" ref="H4:H22" si="6">C4+G4</f>
        <v>4.5083939353874563</v>
      </c>
    </row>
    <row r="5" spans="1:8" x14ac:dyDescent="0.25">
      <c r="A5">
        <v>-5</v>
      </c>
      <c r="B5">
        <f t="shared" si="4"/>
        <v>20</v>
      </c>
      <c r="C5">
        <f t="shared" si="0"/>
        <v>4.05</v>
      </c>
      <c r="D5">
        <f t="shared" si="1"/>
        <v>-9.0500000000000007</v>
      </c>
      <c r="E5">
        <f t="shared" si="5"/>
        <v>81.902500000000018</v>
      </c>
      <c r="F5">
        <f t="shared" si="2"/>
        <v>4.0951250000000012</v>
      </c>
      <c r="G5">
        <f t="shared" si="3"/>
        <v>2.0236415196373101</v>
      </c>
      <c r="H5">
        <f t="shared" si="6"/>
        <v>6.0736415196373095</v>
      </c>
    </row>
    <row r="6" spans="1:8" x14ac:dyDescent="0.25">
      <c r="A6">
        <v>8</v>
      </c>
      <c r="B6">
        <f t="shared" si="4"/>
        <v>20</v>
      </c>
      <c r="C6">
        <f t="shared" si="0"/>
        <v>4.05</v>
      </c>
      <c r="D6">
        <f t="shared" si="1"/>
        <v>3.95</v>
      </c>
      <c r="E6">
        <f t="shared" si="5"/>
        <v>15.602500000000001</v>
      </c>
      <c r="F6">
        <f t="shared" si="2"/>
        <v>0.78012500000000007</v>
      </c>
      <c r="G6">
        <f t="shared" si="3"/>
        <v>0.88324685111241696</v>
      </c>
      <c r="H6">
        <f t="shared" si="6"/>
        <v>4.9332468511124166</v>
      </c>
    </row>
    <row r="7" spans="1:8" x14ac:dyDescent="0.25">
      <c r="A7">
        <v>3</v>
      </c>
      <c r="B7">
        <f t="shared" si="4"/>
        <v>20</v>
      </c>
      <c r="C7">
        <f t="shared" si="0"/>
        <v>4.05</v>
      </c>
      <c r="D7">
        <f t="shared" si="1"/>
        <v>-1.0499999999999998</v>
      </c>
      <c r="E7">
        <f t="shared" si="5"/>
        <v>1.1024999999999996</v>
      </c>
      <c r="F7">
        <f t="shared" si="2"/>
        <v>5.512499999999998E-2</v>
      </c>
      <c r="G7">
        <f t="shared" si="3"/>
        <v>0.23478713763747788</v>
      </c>
      <c r="H7">
        <f t="shared" si="6"/>
        <v>4.284787137637478</v>
      </c>
    </row>
    <row r="8" spans="1:8" x14ac:dyDescent="0.25">
      <c r="A8">
        <v>5</v>
      </c>
      <c r="B8">
        <f t="shared" si="4"/>
        <v>20</v>
      </c>
      <c r="C8">
        <f t="shared" si="0"/>
        <v>4.05</v>
      </c>
      <c r="D8">
        <f t="shared" si="1"/>
        <v>0.95000000000000018</v>
      </c>
      <c r="E8">
        <f t="shared" si="5"/>
        <v>0.9025000000000003</v>
      </c>
      <c r="F8">
        <f t="shared" si="2"/>
        <v>4.5125000000000012E-2</v>
      </c>
      <c r="G8">
        <f t="shared" si="3"/>
        <v>0.21242645786248004</v>
      </c>
      <c r="H8">
        <f t="shared" si="6"/>
        <v>4.26242645786248</v>
      </c>
    </row>
    <row r="9" spans="1:8" x14ac:dyDescent="0.25">
      <c r="A9">
        <v>9</v>
      </c>
      <c r="B9">
        <f t="shared" si="4"/>
        <v>20</v>
      </c>
      <c r="C9">
        <f t="shared" si="0"/>
        <v>4.05</v>
      </c>
      <c r="D9">
        <f t="shared" si="1"/>
        <v>4.95</v>
      </c>
      <c r="E9">
        <f t="shared" si="5"/>
        <v>24.502500000000001</v>
      </c>
      <c r="F9">
        <f t="shared" si="2"/>
        <v>1.225125</v>
      </c>
      <c r="G9">
        <f t="shared" si="3"/>
        <v>1.1068536488623959</v>
      </c>
      <c r="H9">
        <f t="shared" si="6"/>
        <v>5.1568536488623957</v>
      </c>
    </row>
    <row r="10" spans="1:8" x14ac:dyDescent="0.25">
      <c r="A10">
        <v>-3</v>
      </c>
      <c r="B10">
        <f t="shared" si="4"/>
        <v>20</v>
      </c>
      <c r="C10">
        <f t="shared" si="0"/>
        <v>4.05</v>
      </c>
      <c r="D10">
        <f t="shared" si="1"/>
        <v>-7.05</v>
      </c>
      <c r="E10">
        <f t="shared" si="5"/>
        <v>49.702500000000001</v>
      </c>
      <c r="F10">
        <f t="shared" si="2"/>
        <v>2.485125</v>
      </c>
      <c r="G10">
        <f t="shared" si="3"/>
        <v>1.5764279241373518</v>
      </c>
      <c r="H10">
        <f t="shared" si="6"/>
        <v>5.6264279241373512</v>
      </c>
    </row>
    <row r="11" spans="1:8" x14ac:dyDescent="0.25">
      <c r="A11">
        <v>7</v>
      </c>
      <c r="B11">
        <f t="shared" si="4"/>
        <v>20</v>
      </c>
      <c r="C11">
        <f t="shared" si="0"/>
        <v>4.05</v>
      </c>
      <c r="D11">
        <f t="shared" si="1"/>
        <v>2.95</v>
      </c>
      <c r="E11">
        <f t="shared" si="5"/>
        <v>8.7025000000000006</v>
      </c>
      <c r="F11">
        <f t="shared" si="2"/>
        <v>0.43512500000000004</v>
      </c>
      <c r="G11">
        <f t="shared" si="3"/>
        <v>0.65964005336243803</v>
      </c>
      <c r="H11">
        <f t="shared" si="6"/>
        <v>4.7096400533624383</v>
      </c>
    </row>
    <row r="12" spans="1:8" x14ac:dyDescent="0.25">
      <c r="A12">
        <v>4</v>
      </c>
      <c r="B12">
        <f t="shared" si="4"/>
        <v>20</v>
      </c>
      <c r="C12">
        <f t="shared" si="0"/>
        <v>4.05</v>
      </c>
      <c r="D12">
        <f t="shared" si="1"/>
        <v>-4.9999999999999822E-2</v>
      </c>
      <c r="E12">
        <f t="shared" si="5"/>
        <v>2.4999999999999823E-3</v>
      </c>
      <c r="F12">
        <f t="shared" si="2"/>
        <v>1.2499999999999911E-4</v>
      </c>
      <c r="G12">
        <f t="shared" si="3"/>
        <v>1.1180339887498909E-2</v>
      </c>
      <c r="H12">
        <f t="shared" si="6"/>
        <v>4.0611803398874988</v>
      </c>
    </row>
    <row r="13" spans="1:8" x14ac:dyDescent="0.25">
      <c r="A13">
        <v>9</v>
      </c>
      <c r="B13">
        <f t="shared" si="4"/>
        <v>20</v>
      </c>
      <c r="C13">
        <f t="shared" si="0"/>
        <v>4.05</v>
      </c>
      <c r="D13">
        <f t="shared" si="1"/>
        <v>4.95</v>
      </c>
      <c r="E13">
        <f t="shared" si="5"/>
        <v>24.502500000000001</v>
      </c>
      <c r="F13">
        <f t="shared" si="2"/>
        <v>1.225125</v>
      </c>
      <c r="G13">
        <f t="shared" si="3"/>
        <v>1.1068536488623959</v>
      </c>
      <c r="H13">
        <f t="shared" si="6"/>
        <v>5.1568536488623957</v>
      </c>
    </row>
    <row r="14" spans="1:8" x14ac:dyDescent="0.25">
      <c r="A14">
        <v>12</v>
      </c>
      <c r="B14">
        <f t="shared" si="4"/>
        <v>20</v>
      </c>
      <c r="C14">
        <f t="shared" si="0"/>
        <v>4.05</v>
      </c>
      <c r="D14">
        <f t="shared" si="1"/>
        <v>7.95</v>
      </c>
      <c r="E14">
        <f t="shared" si="5"/>
        <v>63.202500000000001</v>
      </c>
      <c r="F14">
        <f t="shared" si="2"/>
        <v>3.1601249999999999</v>
      </c>
      <c r="G14">
        <f t="shared" si="3"/>
        <v>1.7776740421123327</v>
      </c>
      <c r="H14">
        <f t="shared" si="6"/>
        <v>5.8276740421123323</v>
      </c>
    </row>
    <row r="15" spans="1:8" x14ac:dyDescent="0.25">
      <c r="A15">
        <v>6</v>
      </c>
      <c r="B15">
        <f t="shared" si="4"/>
        <v>20</v>
      </c>
      <c r="C15">
        <f t="shared" si="0"/>
        <v>4.05</v>
      </c>
      <c r="D15">
        <f t="shared" si="1"/>
        <v>1.9500000000000002</v>
      </c>
      <c r="E15">
        <f t="shared" si="5"/>
        <v>3.8025000000000007</v>
      </c>
      <c r="F15">
        <f t="shared" si="2"/>
        <v>0.19012500000000004</v>
      </c>
      <c r="G15">
        <f t="shared" si="3"/>
        <v>0.43603325561245904</v>
      </c>
      <c r="H15">
        <f t="shared" si="6"/>
        <v>4.4860332556124591</v>
      </c>
    </row>
    <row r="16" spans="1:8" x14ac:dyDescent="0.25">
      <c r="A16">
        <v>-8</v>
      </c>
      <c r="B16">
        <f t="shared" si="4"/>
        <v>20</v>
      </c>
      <c r="C16">
        <f t="shared" si="0"/>
        <v>4.05</v>
      </c>
      <c r="D16">
        <f t="shared" si="1"/>
        <v>-12.05</v>
      </c>
      <c r="E16">
        <f t="shared" si="5"/>
        <v>145.20250000000001</v>
      </c>
      <c r="F16">
        <f t="shared" si="2"/>
        <v>7.2601250000000004</v>
      </c>
      <c r="G16">
        <f t="shared" si="3"/>
        <v>2.6944619128872467</v>
      </c>
      <c r="H16">
        <f t="shared" si="6"/>
        <v>6.7444619128872461</v>
      </c>
    </row>
    <row r="17" spans="1:14" x14ac:dyDescent="0.25">
      <c r="A17">
        <v>3</v>
      </c>
      <c r="B17">
        <f t="shared" si="4"/>
        <v>20</v>
      </c>
      <c r="C17">
        <f t="shared" si="0"/>
        <v>4.05</v>
      </c>
      <c r="D17">
        <f t="shared" si="1"/>
        <v>-1.0499999999999998</v>
      </c>
      <c r="E17">
        <f t="shared" si="5"/>
        <v>1.1024999999999996</v>
      </c>
      <c r="F17">
        <f t="shared" si="2"/>
        <v>5.512499999999998E-2</v>
      </c>
      <c r="G17">
        <f t="shared" si="3"/>
        <v>0.23478713763747788</v>
      </c>
      <c r="H17">
        <f t="shared" si="6"/>
        <v>4.284787137637478</v>
      </c>
    </row>
    <row r="18" spans="1:14" x14ac:dyDescent="0.25">
      <c r="A18">
        <v>5</v>
      </c>
      <c r="B18">
        <f t="shared" si="4"/>
        <v>20</v>
      </c>
      <c r="C18">
        <f t="shared" si="0"/>
        <v>4.05</v>
      </c>
      <c r="D18">
        <f t="shared" si="1"/>
        <v>0.95000000000000018</v>
      </c>
      <c r="E18">
        <f t="shared" si="5"/>
        <v>0.9025000000000003</v>
      </c>
      <c r="F18">
        <f t="shared" si="2"/>
        <v>4.5125000000000012E-2</v>
      </c>
      <c r="G18">
        <f t="shared" si="3"/>
        <v>0.21242645786248004</v>
      </c>
      <c r="H18">
        <f t="shared" si="6"/>
        <v>4.26242645786248</v>
      </c>
    </row>
    <row r="19" spans="1:14" x14ac:dyDescent="0.25">
      <c r="A19">
        <v>-2</v>
      </c>
      <c r="B19">
        <f t="shared" si="4"/>
        <v>20</v>
      </c>
      <c r="C19">
        <f t="shared" si="0"/>
        <v>4.05</v>
      </c>
      <c r="D19">
        <f t="shared" si="1"/>
        <v>-6.05</v>
      </c>
      <c r="E19">
        <f t="shared" si="5"/>
        <v>36.602499999999999</v>
      </c>
      <c r="F19">
        <f t="shared" si="2"/>
        <v>1.830125</v>
      </c>
      <c r="G19">
        <f t="shared" si="3"/>
        <v>1.3528211263873728</v>
      </c>
      <c r="H19">
        <f t="shared" si="6"/>
        <v>5.4028211263873729</v>
      </c>
    </row>
    <row r="20" spans="1:14" x14ac:dyDescent="0.25">
      <c r="A20">
        <v>9</v>
      </c>
      <c r="B20">
        <f t="shared" si="4"/>
        <v>20</v>
      </c>
      <c r="C20">
        <f t="shared" si="0"/>
        <v>4.05</v>
      </c>
      <c r="D20">
        <f t="shared" si="1"/>
        <v>4.95</v>
      </c>
      <c r="E20">
        <f t="shared" si="5"/>
        <v>24.502500000000001</v>
      </c>
      <c r="F20">
        <f t="shared" si="2"/>
        <v>1.225125</v>
      </c>
      <c r="G20">
        <f t="shared" si="3"/>
        <v>1.1068536488623959</v>
      </c>
      <c r="H20">
        <f t="shared" si="6"/>
        <v>5.1568536488623957</v>
      </c>
    </row>
    <row r="21" spans="1:14" x14ac:dyDescent="0.25">
      <c r="A21">
        <v>11</v>
      </c>
      <c r="B21">
        <f t="shared" si="4"/>
        <v>20</v>
      </c>
      <c r="C21">
        <f t="shared" si="0"/>
        <v>4.05</v>
      </c>
      <c r="D21">
        <f t="shared" si="1"/>
        <v>6.95</v>
      </c>
      <c r="E21">
        <f t="shared" si="5"/>
        <v>48.302500000000002</v>
      </c>
      <c r="F21">
        <f t="shared" si="2"/>
        <v>2.4151250000000002</v>
      </c>
      <c r="G21">
        <f t="shared" si="3"/>
        <v>1.554067244362354</v>
      </c>
      <c r="H21">
        <f t="shared" si="6"/>
        <v>5.604067244362354</v>
      </c>
    </row>
    <row r="22" spans="1:14" x14ac:dyDescent="0.25">
      <c r="A22">
        <v>5</v>
      </c>
      <c r="B22">
        <f t="shared" si="4"/>
        <v>20</v>
      </c>
      <c r="C22">
        <f t="shared" si="0"/>
        <v>4.05</v>
      </c>
      <c r="D22">
        <f t="shared" si="1"/>
        <v>0.95000000000000018</v>
      </c>
      <c r="E22">
        <f t="shared" si="5"/>
        <v>0.9025000000000003</v>
      </c>
      <c r="F22">
        <f t="shared" si="2"/>
        <v>4.5125000000000012E-2</v>
      </c>
      <c r="G22">
        <f t="shared" si="3"/>
        <v>0.21242645786248004</v>
      </c>
      <c r="H22">
        <f t="shared" si="6"/>
        <v>4.26242645786248</v>
      </c>
    </row>
    <row r="30" spans="1:14" x14ac:dyDescent="0.25">
      <c r="K30">
        <v>3</v>
      </c>
      <c r="L30">
        <v>4</v>
      </c>
      <c r="M30">
        <v>6</v>
      </c>
      <c r="N30">
        <v>7</v>
      </c>
    </row>
    <row r="31" spans="1:14" x14ac:dyDescent="0.25">
      <c r="K31">
        <f>SUM(K30:N30)/4</f>
        <v>5</v>
      </c>
    </row>
    <row r="33" spans="11:12" x14ac:dyDescent="0.25">
      <c r="K33">
        <f>SQRT(2/3)</f>
        <v>0.81649658092772603</v>
      </c>
    </row>
    <row r="34" spans="11:12" x14ac:dyDescent="0.25">
      <c r="K34">
        <v>144</v>
      </c>
    </row>
    <row r="35" spans="11:12" x14ac:dyDescent="0.25">
      <c r="K35">
        <v>36</v>
      </c>
    </row>
    <row r="36" spans="11:12" x14ac:dyDescent="0.25">
      <c r="K36">
        <v>9</v>
      </c>
    </row>
    <row r="37" spans="11:12" x14ac:dyDescent="0.25">
      <c r="K37">
        <f>SUM(K34:K36)</f>
        <v>189</v>
      </c>
    </row>
    <row r="38" spans="11:12" x14ac:dyDescent="0.25">
      <c r="K38">
        <v>37</v>
      </c>
      <c r="L38">
        <f>SQRT(K38)</f>
        <v>6.0827625302982193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590C-B88F-4BBC-8B61-11C850BDE2E7}">
  <dimension ref="A1:W19"/>
  <sheetViews>
    <sheetView tabSelected="1" workbookViewId="0">
      <selection activeCell="D8" sqref="D8"/>
    </sheetView>
  </sheetViews>
  <sheetFormatPr defaultRowHeight="15" x14ac:dyDescent="0.25"/>
  <cols>
    <col min="1" max="1" width="19.85546875" bestFit="1" customWidth="1"/>
    <col min="2" max="2" width="19" bestFit="1" customWidth="1"/>
    <col min="3" max="3" width="13.85546875" bestFit="1" customWidth="1"/>
    <col min="5" max="5" width="8.85546875" bestFit="1" customWidth="1"/>
    <col min="6" max="6" width="7.85546875" bestFit="1" customWidth="1"/>
    <col min="7" max="7" width="10.28515625" bestFit="1" customWidth="1"/>
    <col min="8" max="8" width="17.5703125" bestFit="1" customWidth="1"/>
    <col min="9" max="9" width="15.42578125" bestFit="1" customWidth="1"/>
    <col min="10" max="10" width="11.85546875" bestFit="1" customWidth="1"/>
    <col min="11" max="11" width="8.28515625" bestFit="1" customWidth="1"/>
    <col min="12" max="12" width="7.5703125" bestFit="1" customWidth="1"/>
    <col min="13" max="13" width="11.5703125" bestFit="1" customWidth="1"/>
    <col min="14" max="14" width="7.7109375" bestFit="1" customWidth="1"/>
    <col min="15" max="15" width="5" bestFit="1" customWidth="1"/>
    <col min="16" max="16" width="8" bestFit="1" customWidth="1"/>
    <col min="17" max="17" width="11" bestFit="1" customWidth="1"/>
    <col min="18" max="18" width="10.28515625" bestFit="1" customWidth="1"/>
    <col min="19" max="19" width="10.42578125" bestFit="1" customWidth="1"/>
    <col min="20" max="20" width="7.28515625" bestFit="1" customWidth="1"/>
    <col min="21" max="21" width="19.140625" bestFit="1" customWidth="1"/>
    <col min="22" max="22" width="8" bestFit="1" customWidth="1"/>
    <col min="23" max="23" width="11.85546875" bestFit="1" customWidth="1"/>
  </cols>
  <sheetData>
    <row r="1" spans="1:23" x14ac:dyDescent="0.25">
      <c r="A1" s="2"/>
      <c r="B1" s="2"/>
      <c r="C1" s="2"/>
      <c r="D1" s="3" t="s">
        <v>28</v>
      </c>
      <c r="E1" s="3"/>
      <c r="F1" s="3"/>
      <c r="G1" s="3"/>
      <c r="H1" s="3"/>
      <c r="I1" s="3"/>
      <c r="J1" s="3"/>
      <c r="K1" s="3" t="s">
        <v>33</v>
      </c>
      <c r="L1" s="3"/>
      <c r="M1" s="3"/>
      <c r="N1" s="3"/>
      <c r="O1" s="3"/>
      <c r="P1" s="3"/>
      <c r="Q1" s="3"/>
      <c r="R1" s="3"/>
      <c r="S1" s="3"/>
      <c r="T1" s="3"/>
      <c r="U1" s="3" t="s">
        <v>43</v>
      </c>
      <c r="V1" s="3"/>
      <c r="W1" s="3"/>
    </row>
    <row r="2" spans="1:23" x14ac:dyDescent="0.25">
      <c r="A2" s="4" t="s">
        <v>22</v>
      </c>
      <c r="B2" s="4" t="s">
        <v>19</v>
      </c>
      <c r="C2" s="2"/>
      <c r="D2" s="2" t="s">
        <v>13</v>
      </c>
      <c r="E2" s="2" t="s">
        <v>12</v>
      </c>
      <c r="F2" s="2" t="s">
        <v>15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34</v>
      </c>
      <c r="L2" s="2" t="s">
        <v>14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44</v>
      </c>
      <c r="V2" s="2" t="s">
        <v>45</v>
      </c>
      <c r="W2" s="2" t="s">
        <v>32</v>
      </c>
    </row>
    <row r="3" spans="1:23" x14ac:dyDescent="0.25">
      <c r="A3" s="2" t="s">
        <v>23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2" t="s">
        <v>23</v>
      </c>
      <c r="B4" s="2" t="s">
        <v>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5">
      <c r="A5" s="2" t="s">
        <v>23</v>
      </c>
      <c r="B5" s="2" t="s">
        <v>17</v>
      </c>
      <c r="C5" s="2" t="s">
        <v>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s="2" t="s">
        <v>23</v>
      </c>
      <c r="B6" s="2" t="s">
        <v>17</v>
      </c>
      <c r="C6" s="2" t="s">
        <v>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5">
      <c r="A7" s="2" t="s">
        <v>23</v>
      </c>
      <c r="B7" s="2" t="s">
        <v>17</v>
      </c>
      <c r="C7" s="2" t="s">
        <v>48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5">
      <c r="A8" s="2" t="s">
        <v>23</v>
      </c>
      <c r="B8" s="2" t="s">
        <v>18</v>
      </c>
      <c r="C8" s="2" t="s">
        <v>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5">
      <c r="A9" s="2" t="s">
        <v>23</v>
      </c>
      <c r="B9" s="2" t="s">
        <v>18</v>
      </c>
      <c r="C9" s="2" t="s">
        <v>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5">
      <c r="A10" s="2" t="s">
        <v>23</v>
      </c>
      <c r="B10" s="2" t="s">
        <v>18</v>
      </c>
      <c r="C10" s="2" t="s">
        <v>51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5">
      <c r="A11" s="2" t="s">
        <v>23</v>
      </c>
      <c r="B11" s="2" t="s">
        <v>27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63" customHeight="1" x14ac:dyDescent="0.25">
      <c r="A12" s="2" t="s">
        <v>24</v>
      </c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5">
      <c r="A13" s="2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5">
      <c r="A14" s="2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</sheetData>
  <mergeCells count="3">
    <mergeCell ref="D1:J1"/>
    <mergeCell ref="K1:T1"/>
    <mergeCell ref="U1:W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B66B-2C8A-4F96-9577-514592BC956F}">
  <dimension ref="A1:B10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20</v>
      </c>
      <c r="B1" t="s">
        <v>21</v>
      </c>
    </row>
    <row r="2" spans="1:2" x14ac:dyDescent="0.25">
      <c r="A2">
        <v>4.76870343522351</v>
      </c>
      <c r="B2">
        <v>167.38428616600601</v>
      </c>
    </row>
    <row r="3" spans="1:2" x14ac:dyDescent="0.25">
      <c r="A3">
        <v>4.8559797568393304</v>
      </c>
      <c r="B3">
        <v>167.42799988807701</v>
      </c>
    </row>
    <row r="4" spans="1:2" x14ac:dyDescent="0.25">
      <c r="A4">
        <v>4.7234713976576304</v>
      </c>
      <c r="B4">
        <v>167.436551275163</v>
      </c>
    </row>
    <row r="5" spans="1:2" x14ac:dyDescent="0.25">
      <c r="A5">
        <v>4.9283479217800901</v>
      </c>
      <c r="B5">
        <v>167.60866135645699</v>
      </c>
    </row>
    <row r="6" spans="1:2" x14ac:dyDescent="0.25">
      <c r="A6">
        <v>4.6286820466723597</v>
      </c>
      <c r="B6">
        <v>167.711986007745</v>
      </c>
    </row>
    <row r="7" spans="1:2" x14ac:dyDescent="0.25">
      <c r="A7">
        <v>4.97300555052413</v>
      </c>
      <c r="B7">
        <v>167.78547181733001</v>
      </c>
    </row>
    <row r="8" spans="1:2" x14ac:dyDescent="0.25">
      <c r="A8">
        <v>5.01022691328492</v>
      </c>
      <c r="B8">
        <v>167.97093588025899</v>
      </c>
    </row>
    <row r="9" spans="1:2" x14ac:dyDescent="0.25">
      <c r="A9">
        <v>4.56065622432497</v>
      </c>
      <c r="B9">
        <v>168.048097905075</v>
      </c>
    </row>
    <row r="10" spans="1:2" x14ac:dyDescent="0.25">
      <c r="A10">
        <v>4.5484473990269203</v>
      </c>
      <c r="B10">
        <v>168.12066568340501</v>
      </c>
    </row>
    <row r="11" spans="1:2" x14ac:dyDescent="0.25">
      <c r="A11">
        <v>4.5317260861016297</v>
      </c>
      <c r="B11">
        <v>168.22610201513001</v>
      </c>
    </row>
    <row r="12" spans="1:2" x14ac:dyDescent="0.25">
      <c r="A12">
        <v>4.5316932505533201</v>
      </c>
      <c r="B12">
        <v>168.226315936508</v>
      </c>
    </row>
    <row r="13" spans="1:2" x14ac:dyDescent="0.25">
      <c r="A13">
        <v>4.5308257332497002</v>
      </c>
      <c r="B13">
        <v>168.23197751651199</v>
      </c>
    </row>
    <row r="14" spans="1:2" x14ac:dyDescent="0.25">
      <c r="A14">
        <v>5.1350564093758404</v>
      </c>
      <c r="B14">
        <v>168.84578685159099</v>
      </c>
    </row>
    <row r="15" spans="1:2" x14ac:dyDescent="0.25">
      <c r="A15">
        <v>4.4166125004134402</v>
      </c>
      <c r="B15">
        <v>169.141651219159</v>
      </c>
    </row>
    <row r="16" spans="1:2" x14ac:dyDescent="0.25">
      <c r="A16">
        <v>5.1740941364763398</v>
      </c>
      <c r="B16">
        <v>169.199340134934</v>
      </c>
    </row>
    <row r="17" spans="1:2" x14ac:dyDescent="0.25">
      <c r="A17">
        <v>4.4019852990682597</v>
      </c>
      <c r="B17">
        <v>169.28170962141999</v>
      </c>
    </row>
    <row r="18" spans="1:2" x14ac:dyDescent="0.25">
      <c r="A18">
        <v>5.1835215530710004</v>
      </c>
      <c r="B18">
        <v>169.29043275507999</v>
      </c>
    </row>
    <row r="19" spans="1:2" x14ac:dyDescent="0.25">
      <c r="A19">
        <v>4.3977926088214199</v>
      </c>
      <c r="B19">
        <v>169.322841800634</v>
      </c>
    </row>
    <row r="20" spans="1:2" x14ac:dyDescent="0.25">
      <c r="A20">
        <v>5.1941550986960801</v>
      </c>
      <c r="B20">
        <v>169.39584611296701</v>
      </c>
    </row>
    <row r="21" spans="1:2" x14ac:dyDescent="0.25">
      <c r="A21">
        <v>4.3815752482975698</v>
      </c>
      <c r="B21">
        <v>169.48607887414801</v>
      </c>
    </row>
    <row r="22" spans="1:2" x14ac:dyDescent="0.25">
      <c r="A22">
        <v>5.2218451794197298</v>
      </c>
      <c r="B22">
        <v>169.683610551469</v>
      </c>
    </row>
    <row r="23" spans="1:2" x14ac:dyDescent="0.25">
      <c r="A23">
        <v>4.3446757068044599</v>
      </c>
      <c r="B23">
        <v>169.881993876949</v>
      </c>
    </row>
    <row r="24" spans="1:2" x14ac:dyDescent="0.25">
      <c r="A24">
        <v>5.3427365623799403</v>
      </c>
      <c r="B24">
        <v>171.16448135114001</v>
      </c>
    </row>
    <row r="25" spans="1:2" x14ac:dyDescent="0.25">
      <c r="A25">
        <v>4.2298354391673598</v>
      </c>
      <c r="B25">
        <v>171.33199980329201</v>
      </c>
    </row>
    <row r="26" spans="1:2" x14ac:dyDescent="0.25">
      <c r="A26">
        <v>4.2157836937356796</v>
      </c>
      <c r="B26">
        <v>171.53206061507601</v>
      </c>
    </row>
    <row r="27" spans="1:2" x14ac:dyDescent="0.25">
      <c r="A27">
        <v>5.3937224717382399</v>
      </c>
      <c r="B27">
        <v>171.898579726788</v>
      </c>
    </row>
    <row r="28" spans="1:2" x14ac:dyDescent="0.25">
      <c r="A28">
        <v>5.4177271900095096</v>
      </c>
      <c r="B28">
        <v>172.266702802982</v>
      </c>
    </row>
    <row r="29" spans="1:2" x14ac:dyDescent="0.25">
      <c r="A29">
        <v>5.4839245431320602</v>
      </c>
      <c r="B29">
        <v>173.35650800926001</v>
      </c>
    </row>
    <row r="30" spans="1:2" x14ac:dyDescent="0.25">
      <c r="A30">
        <v>4.0787224580804198</v>
      </c>
      <c r="B30">
        <v>173.742357693381</v>
      </c>
    </row>
    <row r="31" spans="1:2" x14ac:dyDescent="0.25">
      <c r="A31">
        <v>4.0731646143750702</v>
      </c>
      <c r="B31">
        <v>173.84189359274399</v>
      </c>
    </row>
    <row r="32" spans="1:2" x14ac:dyDescent="0.25">
      <c r="A32">
        <v>4.0685404928594799</v>
      </c>
      <c r="B32">
        <v>173.925295914424</v>
      </c>
    </row>
    <row r="33" spans="1:2" x14ac:dyDescent="0.25">
      <c r="A33">
        <v>5.5221105443597702</v>
      </c>
      <c r="B33">
        <v>174.03498788487201</v>
      </c>
    </row>
    <row r="34" spans="1:2" x14ac:dyDescent="0.25">
      <c r="A34">
        <v>4.0610512281300899</v>
      </c>
      <c r="B34">
        <v>174.06150899584401</v>
      </c>
    </row>
    <row r="35" spans="1:2" x14ac:dyDescent="0.25">
      <c r="A35">
        <v>4.0416515243094198</v>
      </c>
      <c r="B35">
        <v>174.420866970112</v>
      </c>
    </row>
    <row r="36" spans="1:2" x14ac:dyDescent="0.25">
      <c r="A36">
        <v>3.99648591283092</v>
      </c>
      <c r="B36">
        <v>175.29396142581501</v>
      </c>
    </row>
    <row r="37" spans="1:2" x14ac:dyDescent="0.25">
      <c r="A37">
        <v>5.59224055412915</v>
      </c>
      <c r="B37">
        <v>175.375993916634</v>
      </c>
    </row>
    <row r="38" spans="1:2" x14ac:dyDescent="0.25">
      <c r="A38">
        <v>3.9634595634526999</v>
      </c>
      <c r="B38">
        <v>175.96467227569201</v>
      </c>
    </row>
    <row r="39" spans="1:2" x14ac:dyDescent="0.25">
      <c r="A39">
        <v>5.6284946651905399</v>
      </c>
      <c r="B39">
        <v>176.11744545310401</v>
      </c>
    </row>
    <row r="40" spans="1:2" x14ac:dyDescent="0.25">
      <c r="A40">
        <v>3.9404795924659202</v>
      </c>
      <c r="B40">
        <v>176.44744549514701</v>
      </c>
    </row>
    <row r="41" spans="1:2" x14ac:dyDescent="0.25">
      <c r="A41">
        <v>5.64816793878959</v>
      </c>
      <c r="B41">
        <v>176.53354715932599</v>
      </c>
    </row>
    <row r="42" spans="1:2" x14ac:dyDescent="0.25">
      <c r="A42">
        <v>5.65750221931936</v>
      </c>
      <c r="B42">
        <v>176.73435742978501</v>
      </c>
    </row>
    <row r="43" spans="1:2" x14ac:dyDescent="0.25">
      <c r="A43">
        <v>5.6625268628071197</v>
      </c>
      <c r="B43">
        <v>176.843355460292</v>
      </c>
    </row>
    <row r="44" spans="1:2" x14ac:dyDescent="0.25">
      <c r="A44">
        <v>3.9112345509496298</v>
      </c>
      <c r="B44">
        <v>177.08092957282901</v>
      </c>
    </row>
    <row r="45" spans="1:2" x14ac:dyDescent="0.25">
      <c r="A45">
        <v>5.6872365791369202</v>
      </c>
      <c r="B45">
        <v>177.38855975665899</v>
      </c>
    </row>
    <row r="46" spans="1:2" x14ac:dyDescent="0.25">
      <c r="A46">
        <v>3.8754249415180499</v>
      </c>
      <c r="B46">
        <v>177.88573015031599</v>
      </c>
    </row>
    <row r="47" spans="1:2" x14ac:dyDescent="0.25">
      <c r="A47">
        <v>5.7142251430234898</v>
      </c>
      <c r="B47">
        <v>178.00148616540201</v>
      </c>
    </row>
    <row r="48" spans="1:2" x14ac:dyDescent="0.25">
      <c r="A48">
        <v>5.72279121101682</v>
      </c>
      <c r="B48">
        <v>178.199833729299</v>
      </c>
    </row>
    <row r="49" spans="1:2" x14ac:dyDescent="0.25">
      <c r="A49">
        <v>5.7232720500952601</v>
      </c>
      <c r="B49">
        <v>178.21102194905799</v>
      </c>
    </row>
    <row r="50" spans="1:2" x14ac:dyDescent="0.25">
      <c r="A50">
        <v>5.7513960366913404</v>
      </c>
      <c r="B50">
        <v>178.87547017105001</v>
      </c>
    </row>
    <row r="51" spans="1:2" x14ac:dyDescent="0.25">
      <c r="A51">
        <v>3.79872262016239</v>
      </c>
      <c r="B51">
        <v>179.71744521724801</v>
      </c>
    </row>
    <row r="52" spans="1:2" x14ac:dyDescent="0.25">
      <c r="A52">
        <v>3.7965867755412002</v>
      </c>
      <c r="B52">
        <v>179.77055578462799</v>
      </c>
    </row>
    <row r="53" spans="1:2" x14ac:dyDescent="0.25">
      <c r="A53">
        <v>3.7097604907897499</v>
      </c>
      <c r="B53">
        <v>182.026157949202</v>
      </c>
    </row>
    <row r="54" spans="1:2" x14ac:dyDescent="0.25">
      <c r="A54">
        <v>3.6461559993880801</v>
      </c>
      <c r="B54">
        <v>183.79809753889</v>
      </c>
    </row>
    <row r="55" spans="1:2" x14ac:dyDescent="0.25">
      <c r="A55">
        <v>3.5958938122452899</v>
      </c>
      <c r="B55">
        <v>185.269877490548</v>
      </c>
    </row>
    <row r="56" spans="1:2" x14ac:dyDescent="0.25">
      <c r="A56">
        <v>5.9934283060224596</v>
      </c>
      <c r="B56">
        <v>185.410978025042</v>
      </c>
    </row>
    <row r="57" spans="1:2" x14ac:dyDescent="0.25">
      <c r="A57">
        <v>3.5603115832105798</v>
      </c>
      <c r="B57">
        <v>186.34997984906099</v>
      </c>
    </row>
    <row r="58" spans="1:2" x14ac:dyDescent="0.25">
      <c r="A58">
        <v>6.0265348662267098</v>
      </c>
      <c r="B58">
        <v>186.41880347870301</v>
      </c>
    </row>
    <row r="59" spans="1:2" x14ac:dyDescent="0.25">
      <c r="A59">
        <v>6.0851200871719202</v>
      </c>
      <c r="B59">
        <v>188.26939418705999</v>
      </c>
    </row>
    <row r="60" spans="1:2" x14ac:dyDescent="0.25">
      <c r="A60">
        <v>3.3830127942136201</v>
      </c>
      <c r="B60">
        <v>192.20369783827499</v>
      </c>
    </row>
    <row r="61" spans="1:2" x14ac:dyDescent="0.25">
      <c r="A61">
        <v>6.2233525776817302</v>
      </c>
      <c r="B61">
        <v>192.97596639527501</v>
      </c>
    </row>
    <row r="62" spans="1:2" x14ac:dyDescent="0.25">
      <c r="A62">
        <v>3.32156495355472</v>
      </c>
      <c r="B62">
        <v>194.415847893821</v>
      </c>
    </row>
    <row r="63" spans="1:2" x14ac:dyDescent="0.25">
      <c r="A63">
        <v>6.2953770762013797</v>
      </c>
      <c r="B63">
        <v>195.61756906503501</v>
      </c>
    </row>
    <row r="64" spans="1:2" x14ac:dyDescent="0.25">
      <c r="A64">
        <v>3.18395184895757</v>
      </c>
      <c r="B64">
        <v>199.71239933292199</v>
      </c>
    </row>
    <row r="65" spans="1:2" x14ac:dyDescent="0.25">
      <c r="A65">
        <v>6.4769331599908204</v>
      </c>
      <c r="B65">
        <v>202.85188978485201</v>
      </c>
    </row>
    <row r="66" spans="1:2" x14ac:dyDescent="0.25">
      <c r="A66">
        <v>6.5348694583058098</v>
      </c>
      <c r="B66">
        <v>205.33387261238201</v>
      </c>
    </row>
    <row r="67" spans="1:2" x14ac:dyDescent="0.25">
      <c r="A67">
        <v>2.9743377593311502</v>
      </c>
      <c r="B67">
        <v>208.689972502286</v>
      </c>
    </row>
    <row r="68" spans="1:2" x14ac:dyDescent="0.25">
      <c r="A68">
        <v>6.6250516447883898</v>
      </c>
      <c r="B68">
        <v>209.36423533960999</v>
      </c>
    </row>
    <row r="69" spans="1:2" x14ac:dyDescent="0.25">
      <c r="A69">
        <v>6.6438050087504399</v>
      </c>
      <c r="B69">
        <v>210.22788464849901</v>
      </c>
    </row>
    <row r="70" spans="1:2" x14ac:dyDescent="0.25">
      <c r="A70">
        <v>6.6450898242063703</v>
      </c>
      <c r="B70">
        <v>210.28737611545799</v>
      </c>
    </row>
    <row r="71" spans="1:2" x14ac:dyDescent="0.25">
      <c r="A71">
        <v>2.88457814208819</v>
      </c>
      <c r="B71">
        <v>212.87018786536501</v>
      </c>
    </row>
    <row r="72" spans="1:2" x14ac:dyDescent="0.25">
      <c r="A72">
        <v>2.78733005198794</v>
      </c>
      <c r="B72">
        <v>217.62647736516601</v>
      </c>
    </row>
    <row r="73" spans="1:2" x14ac:dyDescent="0.25">
      <c r="A73">
        <v>6.8308042354041403</v>
      </c>
      <c r="B73">
        <v>219.32071109042701</v>
      </c>
    </row>
    <row r="74" spans="1:2" x14ac:dyDescent="0.25">
      <c r="A74">
        <v>6.8625602382323896</v>
      </c>
      <c r="B74">
        <v>220.95167976381299</v>
      </c>
    </row>
    <row r="75" spans="1:2" x14ac:dyDescent="0.25">
      <c r="A75">
        <v>2.69801284515539</v>
      </c>
      <c r="B75">
        <v>222.20317034944301</v>
      </c>
    </row>
    <row r="76" spans="1:2" x14ac:dyDescent="0.25">
      <c r="A76">
        <v>6.9372899810657698</v>
      </c>
      <c r="B76">
        <v>224.889223811932</v>
      </c>
    </row>
    <row r="77" spans="1:2" x14ac:dyDescent="0.25">
      <c r="A77">
        <v>6.9510902542447104</v>
      </c>
      <c r="B77">
        <v>225.63163819575399</v>
      </c>
    </row>
    <row r="78" spans="1:2" x14ac:dyDescent="0.25">
      <c r="A78">
        <v>2.60758675183865</v>
      </c>
      <c r="B78">
        <v>227.03985221717201</v>
      </c>
    </row>
    <row r="79" spans="1:2" x14ac:dyDescent="0.25">
      <c r="A79">
        <v>7.0070657957840403</v>
      </c>
      <c r="B79">
        <v>228.69178055312801</v>
      </c>
    </row>
    <row r="80" spans="1:2" x14ac:dyDescent="0.25">
      <c r="A80">
        <v>2.5583127000579502</v>
      </c>
      <c r="B80">
        <v>229.76145179241101</v>
      </c>
    </row>
    <row r="81" spans="1:2" x14ac:dyDescent="0.25">
      <c r="A81">
        <v>7.0619990449919001</v>
      </c>
      <c r="B81">
        <v>231.771098795863</v>
      </c>
    </row>
    <row r="82" spans="1:2" x14ac:dyDescent="0.25">
      <c r="A82">
        <v>7.1142444524378297</v>
      </c>
      <c r="B82">
        <v>234.769743265475</v>
      </c>
    </row>
    <row r="83" spans="1:2" x14ac:dyDescent="0.25">
      <c r="A83">
        <v>2.3436279022031301</v>
      </c>
      <c r="B83">
        <v>242.32768650336999</v>
      </c>
    </row>
    <row r="84" spans="1:2" x14ac:dyDescent="0.25">
      <c r="A84">
        <v>2.1753925973294099</v>
      </c>
      <c r="B84">
        <v>252.980332193523</v>
      </c>
    </row>
    <row r="85" spans="1:2" x14ac:dyDescent="0.25">
      <c r="A85">
        <v>2.1505036275730798</v>
      </c>
      <c r="B85">
        <v>254.616383017646</v>
      </c>
    </row>
    <row r="86" spans="1:2" x14ac:dyDescent="0.25">
      <c r="A86">
        <v>2.0729701037357602</v>
      </c>
      <c r="B86">
        <v>259.81223416043701</v>
      </c>
    </row>
    <row r="87" spans="1:2" x14ac:dyDescent="0.25">
      <c r="A87">
        <v>2.0429560192651399</v>
      </c>
      <c r="B87">
        <v>261.86395488288002</v>
      </c>
    </row>
    <row r="88" spans="1:2" x14ac:dyDescent="0.25">
      <c r="A88">
        <v>7.7124800571416401</v>
      </c>
      <c r="B88">
        <v>273.96995816854502</v>
      </c>
    </row>
    <row r="89" spans="1:2" x14ac:dyDescent="0.25">
      <c r="A89">
        <v>7.9312975378430997</v>
      </c>
      <c r="B89">
        <v>290.543094771509</v>
      </c>
    </row>
    <row r="90" spans="1:2" x14ac:dyDescent="0.25">
      <c r="A90">
        <v>7.95578808948303</v>
      </c>
      <c r="B90">
        <v>292.47248237841097</v>
      </c>
    </row>
    <row r="91" spans="1:2" x14ac:dyDescent="0.25">
      <c r="A91">
        <v>1.55016433497393</v>
      </c>
      <c r="B91">
        <v>298.77093251822902</v>
      </c>
    </row>
    <row r="92" spans="1:2" x14ac:dyDescent="0.25">
      <c r="A92">
        <v>8.0460597128160494</v>
      </c>
      <c r="B92">
        <v>299.71365886493402</v>
      </c>
    </row>
    <row r="93" spans="1:2" x14ac:dyDescent="0.25">
      <c r="A93">
        <v>8.0760731329319295</v>
      </c>
      <c r="B93">
        <v>302.16632513644902</v>
      </c>
    </row>
    <row r="94" spans="1:2" x14ac:dyDescent="0.25">
      <c r="A94">
        <v>1.4739196892745301</v>
      </c>
      <c r="B94">
        <v>305.02349849693798</v>
      </c>
    </row>
    <row r="95" spans="1:2" x14ac:dyDescent="0.25">
      <c r="A95">
        <v>8.1292873116280102</v>
      </c>
      <c r="B95">
        <v>306.57029498775699</v>
      </c>
    </row>
    <row r="96" spans="1:2" x14ac:dyDescent="0.25">
      <c r="A96">
        <v>8.1584256310147794</v>
      </c>
      <c r="B96">
        <v>309.011757986497</v>
      </c>
    </row>
    <row r="97" spans="1:2" x14ac:dyDescent="0.25">
      <c r="A97">
        <v>1.1734395106844</v>
      </c>
      <c r="B97">
        <v>331.07984275112801</v>
      </c>
    </row>
    <row r="98" spans="1:2" x14ac:dyDescent="0.25">
      <c r="A98">
        <v>1.08065975224044</v>
      </c>
      <c r="B98">
        <v>339.581385002633</v>
      </c>
    </row>
    <row r="99" spans="1:2" x14ac:dyDescent="0.25">
      <c r="A99">
        <v>1.02486217079821</v>
      </c>
      <c r="B99">
        <v>344.79782557008298</v>
      </c>
    </row>
    <row r="100" spans="1:2" x14ac:dyDescent="0.25">
      <c r="A100">
        <v>8.7045563690178707</v>
      </c>
      <c r="B100">
        <v>358.69851455291803</v>
      </c>
    </row>
    <row r="101" spans="1:2" x14ac:dyDescent="0.25">
      <c r="A101">
        <v>-0.23949020817948799</v>
      </c>
      <c r="B101">
        <v>483.86460701001602</v>
      </c>
    </row>
  </sheetData>
  <autoFilter ref="A1:B101" xr:uid="{F30FB66B-2C8A-4F96-9577-514592BC956F}">
    <sortState xmlns:xlrd2="http://schemas.microsoft.com/office/spreadsheetml/2017/richdata2" ref="A2:B101">
      <sortCondition ref="B1:B101"/>
    </sortState>
  </autoFilter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2025-11-27T07:00:35Z</dcterms:modified>
</cp:coreProperties>
</file>