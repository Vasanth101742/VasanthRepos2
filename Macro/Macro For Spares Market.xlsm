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Override PartName="/xl/pivotTables/pivotTable1.xml" ContentType="application/vnd.openxmlformats-officedocument.spreadsheetml.pivotTable+xml"/>
  <Override PartName="/xl/vbaProject.bin" ContentType="application/vnd.ms-office.vbaProject"/>
  <Default Extension="rels" ContentType="application/vnd.openxmlformats-package.relationships+xml"/>
  <Default Extension="wmf" ContentType="image/x-wmf"/>
  <Default Extension="xml" ContentType="application/xml"/>
  <Override PartName="/xl/workbook.xml" ContentType="application/vnd.ms-excel.sheet.macroEnabled.main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1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xl/pivotCache/pivotCacheRecords1.xml" ContentType="application/vnd.openxmlformats-officedocument.spreadsheetml.pivotCacheRecord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wmf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5" codeName="{37E998C4-C9E5-D4B9-71C8-EB1FF731991C}"/>
  <workbookPr codeName="ThisWorkbook"/>
  <bookViews>
    <workbookView xWindow="0" yWindow="0" windowWidth="20580" windowHeight="11640" tabRatio="701" activeTab="4"/>
  </bookViews>
  <sheets>
    <sheet name="RCD life cyl Parts" sheetId="1" r:id="rId1"/>
    <sheet name="Price(Op.Hrs)" sheetId="2" r:id="rId2"/>
    <sheet name="Console" sheetId="3" r:id="rId3"/>
    <sheet name=" Model Wise" sheetId="4" r:id="rId4"/>
    <sheet name="Part Wise" sheetId="5" r:id="rId5"/>
  </sheets>
  <functionGroups/>
  <definedNames>
    <definedName name="_xlnm._FilterDatabase" localSheetId="2" hidden="1">Console!$B$23:$M$36</definedName>
  </definedNames>
  <calcPr calcId="124519"/>
  <pivotCaches>
    <pivotCache cacheId="0" r:id="rId6"/>
  </pivotCaches>
  <extLst xmlns:x15="http://schemas.microsoft.com/office/spreadsheetml/2010/11/main">
    <ext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4" i="5"/>
  <c r="B5"/>
  <c r="B6"/>
  <c r="B7"/>
  <c r="B8"/>
  <c r="B9"/>
  <c r="B10"/>
  <c r="B11"/>
  <c r="B12"/>
  <c r="B13"/>
  <c r="B14"/>
  <c r="B15"/>
  <c r="B16"/>
  <c r="B17"/>
  <c r="B18"/>
  <c r="B19"/>
  <c r="B20"/>
  <c r="B21"/>
  <c r="B22"/>
  <c r="B23"/>
  <c r="B24"/>
  <c r="B25"/>
  <c r="B26"/>
  <c r="B27"/>
  <c r="B28"/>
  <c r="B29"/>
  <c r="B30"/>
  <c r="B31"/>
  <c r="B32"/>
  <c r="B33"/>
  <c r="B34"/>
  <c r="B35"/>
  <c r="B36"/>
  <c r="B37"/>
  <c r="B38"/>
  <c r="B39"/>
  <c r="B40"/>
  <c r="B41"/>
  <c r="B42"/>
  <c r="B43"/>
  <c r="B44"/>
  <c r="B45"/>
  <c r="B46"/>
  <c r="B47"/>
  <c r="B48"/>
  <c r="B49"/>
  <c r="B50"/>
  <c r="B51"/>
  <c r="B52"/>
  <c r="B53"/>
  <c r="B54"/>
  <c r="B55"/>
  <c r="B56"/>
  <c r="B57"/>
  <c r="B58"/>
  <c r="B59"/>
  <c r="B60"/>
  <c r="B61"/>
  <c r="B62"/>
  <c r="B63"/>
  <c r="B64"/>
  <c r="B65"/>
  <c r="B66"/>
  <c r="B67"/>
  <c r="B68"/>
  <c r="B69"/>
  <c r="B70"/>
  <c r="B71"/>
  <c r="B72"/>
  <c r="B73"/>
  <c r="B74"/>
  <c r="B75"/>
  <c r="B76"/>
  <c r="B77"/>
  <c r="B78"/>
  <c r="B79"/>
  <c r="B80"/>
  <c r="B81"/>
  <c r="B82"/>
  <c r="B83"/>
  <c r="B84"/>
  <c r="B85"/>
  <c r="B86"/>
  <c r="B87"/>
  <c r="B88"/>
  <c r="B89"/>
  <c r="B90"/>
  <c r="B91"/>
  <c r="B92"/>
  <c r="B93"/>
  <c r="B94"/>
  <c r="B95"/>
  <c r="B96"/>
  <c r="B97"/>
  <c r="B98"/>
  <c r="B99"/>
  <c r="B100"/>
  <c r="B101"/>
  <c r="B102"/>
  <c r="B103"/>
  <c r="B104"/>
  <c r="B105"/>
  <c r="B106"/>
  <c r="B107"/>
  <c r="B108"/>
  <c r="B109"/>
  <c r="B110"/>
  <c r="B111"/>
  <c r="B3"/>
  <c r="L36" i="3" l="1"/>
  <c r="K36"/>
  <c r="J36"/>
  <c r="I36"/>
  <c r="H36"/>
  <c r="G36"/>
  <c r="F36"/>
  <c r="E36"/>
  <c r="D36"/>
  <c r="C36"/>
  <c r="M35"/>
  <c r="M34"/>
  <c r="M33"/>
  <c r="M32"/>
  <c r="M31"/>
  <c r="M30"/>
  <c r="P29"/>
  <c r="M29"/>
  <c r="M28"/>
  <c r="M27"/>
  <c r="M26"/>
  <c r="M25"/>
  <c r="M24"/>
  <c r="K14" i="2"/>
  <c r="J14"/>
  <c r="I14"/>
  <c r="H14"/>
  <c r="G14"/>
  <c r="F14"/>
  <c r="E14"/>
  <c r="D14"/>
  <c r="C14"/>
  <c r="B14"/>
  <c r="L13"/>
  <c r="L12"/>
  <c r="L11"/>
  <c r="L10"/>
  <c r="L9"/>
  <c r="L8"/>
  <c r="L7"/>
  <c r="L6"/>
  <c r="L5"/>
  <c r="L4"/>
  <c r="L3"/>
  <c r="L2"/>
  <c r="CF259" i="1"/>
  <c r="BX259"/>
  <c r="BP259"/>
  <c r="BH259"/>
  <c r="AZ259"/>
  <c r="AR259"/>
  <c r="AJ259"/>
  <c r="AB259"/>
  <c r="T259"/>
  <c r="L259"/>
  <c r="CF258"/>
  <c r="BX258"/>
  <c r="BP258"/>
  <c r="BH258"/>
  <c r="AZ258"/>
  <c r="AR258"/>
  <c r="AJ258"/>
  <c r="AB258"/>
  <c r="T258"/>
  <c r="L258"/>
  <c r="CF257"/>
  <c r="BX257"/>
  <c r="BP257"/>
  <c r="BH257"/>
  <c r="AZ257"/>
  <c r="AR257"/>
  <c r="AJ257"/>
  <c r="AB257"/>
  <c r="T257"/>
  <c r="L257"/>
  <c r="CF256"/>
  <c r="BX256"/>
  <c r="BP256"/>
  <c r="BH256"/>
  <c r="AZ256"/>
  <c r="AR256"/>
  <c r="AJ256"/>
  <c r="AB256"/>
  <c r="T256"/>
  <c r="L256"/>
  <c r="CF255"/>
  <c r="BX255"/>
  <c r="BP255"/>
  <c r="BH255"/>
  <c r="AZ255"/>
  <c r="AR255"/>
  <c r="AJ255"/>
  <c r="AB255"/>
  <c r="T255"/>
  <c r="L255"/>
  <c r="CF254"/>
  <c r="BX254"/>
  <c r="BP254"/>
  <c r="BH254"/>
  <c r="AZ254"/>
  <c r="AR254"/>
  <c r="AJ254"/>
  <c r="AB254"/>
  <c r="T254"/>
  <c r="L254"/>
  <c r="CF253"/>
  <c r="BX253"/>
  <c r="BP253"/>
  <c r="BH253"/>
  <c r="AZ253"/>
  <c r="AR253"/>
  <c r="AJ253"/>
  <c r="AB253"/>
  <c r="T253"/>
  <c r="CF252"/>
  <c r="BX252"/>
  <c r="BP252"/>
  <c r="BH252"/>
  <c r="AZ252"/>
  <c r="AR252"/>
  <c r="AJ252"/>
  <c r="AB252"/>
  <c r="T252"/>
  <c r="CF251"/>
  <c r="BX251"/>
  <c r="BP251"/>
  <c r="BH251"/>
  <c r="AZ251"/>
  <c r="AR251"/>
  <c r="AJ251"/>
  <c r="AB251"/>
  <c r="T251"/>
  <c r="CF250"/>
  <c r="BX250"/>
  <c r="BP250"/>
  <c r="BH250"/>
  <c r="AZ250"/>
  <c r="AR250"/>
  <c r="AJ250"/>
  <c r="AB250"/>
  <c r="T250"/>
  <c r="L250"/>
  <c r="CF249"/>
  <c r="BX249"/>
  <c r="BP249"/>
  <c r="BH249"/>
  <c r="AZ249"/>
  <c r="AR249"/>
  <c r="AJ249"/>
  <c r="AB249"/>
  <c r="T249"/>
  <c r="L249"/>
  <c r="CF248"/>
  <c r="BX248"/>
  <c r="BP248"/>
  <c r="BH248"/>
  <c r="AZ248"/>
  <c r="AR248"/>
  <c r="AJ248"/>
  <c r="AB248"/>
  <c r="T248"/>
  <c r="L248"/>
  <c r="CF247"/>
  <c r="BX247"/>
  <c r="BP247"/>
  <c r="BH247"/>
  <c r="AZ247"/>
  <c r="AR247"/>
  <c r="AJ247"/>
  <c r="AB247"/>
  <c r="T247"/>
  <c r="L247"/>
  <c r="CF246"/>
  <c r="BX246"/>
  <c r="BP246"/>
  <c r="BH246"/>
  <c r="AZ246"/>
  <c r="AR246"/>
  <c r="AJ246"/>
  <c r="AB246"/>
  <c r="T246"/>
  <c r="L246"/>
  <c r="CF245"/>
  <c r="BX245"/>
  <c r="BP245"/>
  <c r="BH245"/>
  <c r="AZ245"/>
  <c r="AR245"/>
  <c r="AJ245"/>
  <c r="AB245"/>
  <c r="T245"/>
  <c r="L245"/>
  <c r="CF244"/>
  <c r="BX244"/>
  <c r="BP244"/>
  <c r="BH244"/>
  <c r="AZ244"/>
  <c r="AR244"/>
  <c r="AJ244"/>
  <c r="AB244"/>
  <c r="T244"/>
  <c r="L244"/>
  <c r="CF243"/>
  <c r="BX243"/>
  <c r="BP243"/>
  <c r="BH243"/>
  <c r="AZ243"/>
  <c r="AR243"/>
  <c r="AJ243"/>
  <c r="AB243"/>
  <c r="T243"/>
  <c r="L243"/>
  <c r="CF242"/>
  <c r="BX242"/>
  <c r="BP242"/>
  <c r="BH242"/>
  <c r="AZ242"/>
  <c r="AR242"/>
  <c r="AJ242"/>
  <c r="AB242"/>
  <c r="T242"/>
  <c r="L242"/>
  <c r="CF241"/>
  <c r="BX241"/>
  <c r="BP241"/>
  <c r="BH241"/>
  <c r="AZ241"/>
  <c r="AR241"/>
  <c r="AJ241"/>
  <c r="AB241"/>
  <c r="T241"/>
  <c r="L241"/>
  <c r="CF240"/>
  <c r="BX240"/>
  <c r="BP240"/>
  <c r="BH240"/>
  <c r="AZ240"/>
  <c r="AR240"/>
  <c r="AJ240"/>
  <c r="AB240"/>
  <c r="T240"/>
  <c r="L240"/>
  <c r="CF236"/>
  <c r="BX236"/>
  <c r="BP236"/>
  <c r="BH236"/>
  <c r="AZ236"/>
  <c r="AR236"/>
  <c r="AJ236"/>
  <c r="AB236"/>
  <c r="T236"/>
  <c r="L236"/>
  <c r="CF235"/>
  <c r="BX235"/>
  <c r="BP235"/>
  <c r="BH235"/>
  <c r="AZ235"/>
  <c r="AR235"/>
  <c r="AJ235"/>
  <c r="AB235"/>
  <c r="T235"/>
  <c r="L235"/>
  <c r="CF234"/>
  <c r="BX234"/>
  <c r="BP234"/>
  <c r="BH234"/>
  <c r="AZ234"/>
  <c r="AR234"/>
  <c r="AJ234"/>
  <c r="AB234"/>
  <c r="T234"/>
  <c r="L234"/>
  <c r="CF233"/>
  <c r="BX233"/>
  <c r="BP233"/>
  <c r="BH233"/>
  <c r="AZ233"/>
  <c r="AR233"/>
  <c r="AJ233"/>
  <c r="AB233"/>
  <c r="T233"/>
  <c r="L233"/>
  <c r="CF232"/>
  <c r="BX232"/>
  <c r="BP232"/>
  <c r="BH232"/>
  <c r="AZ232"/>
  <c r="AR232"/>
  <c r="AJ232"/>
  <c r="AB232"/>
  <c r="T232"/>
  <c r="L232"/>
  <c r="CF231"/>
  <c r="BX231"/>
  <c r="BP231"/>
  <c r="BH231"/>
  <c r="AZ231"/>
  <c r="AR231"/>
  <c r="AJ231"/>
  <c r="AB231"/>
  <c r="T231"/>
  <c r="L231"/>
  <c r="CF230"/>
  <c r="BX230"/>
  <c r="BP230"/>
  <c r="BH230"/>
  <c r="AZ230"/>
  <c r="AR230"/>
  <c r="AJ230"/>
  <c r="AB230"/>
  <c r="T230"/>
  <c r="L230"/>
  <c r="CF229"/>
  <c r="BX229"/>
  <c r="BN229"/>
  <c r="BP229" s="1"/>
  <c r="BH229"/>
  <c r="AZ229"/>
  <c r="AR229"/>
  <c r="AJ229"/>
  <c r="AB229"/>
  <c r="T229"/>
  <c r="L229"/>
  <c r="CF228"/>
  <c r="BX228"/>
  <c r="BP228"/>
  <c r="BN228"/>
  <c r="BH228"/>
  <c r="AZ228"/>
  <c r="AR228"/>
  <c r="AJ228"/>
  <c r="AB228"/>
  <c r="T228"/>
  <c r="L228"/>
  <c r="CF227"/>
  <c r="BX227"/>
  <c r="BN227"/>
  <c r="BP227" s="1"/>
  <c r="BH227"/>
  <c r="AZ227"/>
  <c r="AR227"/>
  <c r="AJ227"/>
  <c r="AB227"/>
  <c r="T227"/>
  <c r="L227"/>
  <c r="CF226"/>
  <c r="BX226"/>
  <c r="BN226"/>
  <c r="BP226" s="1"/>
  <c r="BH226"/>
  <c r="AZ226"/>
  <c r="AR226"/>
  <c r="AJ226"/>
  <c r="AB226"/>
  <c r="T226"/>
  <c r="L226"/>
  <c r="CF225"/>
  <c r="BX225"/>
  <c r="BP225"/>
  <c r="BH225"/>
  <c r="AZ225"/>
  <c r="AR225"/>
  <c r="AJ225"/>
  <c r="AB225"/>
  <c r="T225"/>
  <c r="L225"/>
  <c r="CF224"/>
  <c r="BX224"/>
  <c r="BP224"/>
  <c r="BH224"/>
  <c r="AZ224"/>
  <c r="AR224"/>
  <c r="AJ224"/>
  <c r="AB224"/>
  <c r="T224"/>
  <c r="L224"/>
  <c r="CF223"/>
  <c r="BX223"/>
  <c r="BP223"/>
  <c r="BH223"/>
  <c r="AZ223"/>
  <c r="AR223"/>
  <c r="AJ223"/>
  <c r="AB223"/>
  <c r="T223"/>
  <c r="L223"/>
  <c r="CF222"/>
  <c r="BX222"/>
  <c r="BP222"/>
  <c r="BH222"/>
  <c r="AZ222"/>
  <c r="AR222"/>
  <c r="AJ222"/>
  <c r="AB222"/>
  <c r="T222"/>
  <c r="L222"/>
  <c r="CF221"/>
  <c r="BX221"/>
  <c r="BP221"/>
  <c r="BH221"/>
  <c r="AZ221"/>
  <c r="AR221"/>
  <c r="AJ221"/>
  <c r="AB221"/>
  <c r="T221"/>
  <c r="L221"/>
  <c r="CF220"/>
  <c r="BX220"/>
  <c r="BP220"/>
  <c r="BH220"/>
  <c r="AZ220"/>
  <c r="AR220"/>
  <c r="AJ220"/>
  <c r="AB220"/>
  <c r="T220"/>
  <c r="L220"/>
  <c r="CF219"/>
  <c r="BX219"/>
  <c r="BP219"/>
  <c r="BH219"/>
  <c r="AZ219"/>
  <c r="AR219"/>
  <c r="AJ219"/>
  <c r="AB219"/>
  <c r="T219"/>
  <c r="L219"/>
  <c r="CF215"/>
  <c r="BX215"/>
  <c r="BP215"/>
  <c r="BH215"/>
  <c r="AZ215"/>
  <c r="AR215"/>
  <c r="AJ215"/>
  <c r="AB215"/>
  <c r="T215"/>
  <c r="L215"/>
  <c r="CF214"/>
  <c r="BX214"/>
  <c r="BP214"/>
  <c r="BH214"/>
  <c r="AZ214"/>
  <c r="AR214"/>
  <c r="AJ214"/>
  <c r="AB214"/>
  <c r="T214"/>
  <c r="L214"/>
  <c r="CF213"/>
  <c r="BX213"/>
  <c r="BP213"/>
  <c r="BH213"/>
  <c r="AZ213"/>
  <c r="AR213"/>
  <c r="AJ213"/>
  <c r="AB213"/>
  <c r="T213"/>
  <c r="L213"/>
  <c r="CF212"/>
  <c r="BX212"/>
  <c r="BP212"/>
  <c r="BH212"/>
  <c r="AZ212"/>
  <c r="AR212"/>
  <c r="AJ212"/>
  <c r="AB212"/>
  <c r="T212"/>
  <c r="L212"/>
  <c r="CF211"/>
  <c r="BX211"/>
  <c r="BP211"/>
  <c r="BH211"/>
  <c r="AZ211"/>
  <c r="AR211"/>
  <c r="AJ211"/>
  <c r="AB211"/>
  <c r="T211"/>
  <c r="L211"/>
  <c r="CF210"/>
  <c r="BX210"/>
  <c r="BP210"/>
  <c r="BH210"/>
  <c r="AZ210"/>
  <c r="AR210"/>
  <c r="AJ210"/>
  <c r="AB210"/>
  <c r="T210"/>
  <c r="L210"/>
  <c r="CF209"/>
  <c r="BX209"/>
  <c r="BP209"/>
  <c r="BH209"/>
  <c r="AZ209"/>
  <c r="AR209"/>
  <c r="AJ209"/>
  <c r="AB209"/>
  <c r="T209"/>
  <c r="L209"/>
  <c r="CF208"/>
  <c r="BX208"/>
  <c r="BP208"/>
  <c r="BH208"/>
  <c r="AZ208"/>
  <c r="AR208"/>
  <c r="AJ208"/>
  <c r="AB208"/>
  <c r="T208"/>
  <c r="L208"/>
  <c r="CF207"/>
  <c r="BX207"/>
  <c r="BP207"/>
  <c r="BH207"/>
  <c r="AZ207"/>
  <c r="AR207"/>
  <c r="AJ207"/>
  <c r="AB207"/>
  <c r="T207"/>
  <c r="L207"/>
  <c r="CF206"/>
  <c r="BX206"/>
  <c r="BP206"/>
  <c r="BH206"/>
  <c r="AZ206"/>
  <c r="AR206"/>
  <c r="AJ206"/>
  <c r="AB206"/>
  <c r="T206"/>
  <c r="L206"/>
  <c r="CF205"/>
  <c r="BX205"/>
  <c r="BP205"/>
  <c r="BH205"/>
  <c r="AZ205"/>
  <c r="AR205"/>
  <c r="AJ205"/>
  <c r="AB205"/>
  <c r="T205"/>
  <c r="L205"/>
  <c r="CF204"/>
  <c r="BX204"/>
  <c r="BP204"/>
  <c r="BH204"/>
  <c r="AZ204"/>
  <c r="AR204"/>
  <c r="AJ204"/>
  <c r="AB204"/>
  <c r="T204"/>
  <c r="L204"/>
  <c r="CF203"/>
  <c r="BX203"/>
  <c r="BP203"/>
  <c r="BH203"/>
  <c r="AZ203"/>
  <c r="AR203"/>
  <c r="AJ203"/>
  <c r="AB203"/>
  <c r="T203"/>
  <c r="L203"/>
  <c r="CF202"/>
  <c r="BX202"/>
  <c r="BP202"/>
  <c r="BH202"/>
  <c r="AZ202"/>
  <c r="AR202"/>
  <c r="AJ202"/>
  <c r="AB202"/>
  <c r="T202"/>
  <c r="L202"/>
  <c r="CF201"/>
  <c r="BX201"/>
  <c r="BP201"/>
  <c r="BH201"/>
  <c r="AZ201"/>
  <c r="AR201"/>
  <c r="AJ201"/>
  <c r="AB201"/>
  <c r="T201"/>
  <c r="L201"/>
  <c r="CF200"/>
  <c r="BX200"/>
  <c r="BP200"/>
  <c r="BH200"/>
  <c r="AZ200"/>
  <c r="AR200"/>
  <c r="AJ200"/>
  <c r="AB200"/>
  <c r="T200"/>
  <c r="L200"/>
  <c r="CF199"/>
  <c r="BX199"/>
  <c r="BP199"/>
  <c r="BH199"/>
  <c r="AZ199"/>
  <c r="AR199"/>
  <c r="AJ199"/>
  <c r="AB199"/>
  <c r="T199"/>
  <c r="L199"/>
  <c r="CF198"/>
  <c r="BX198"/>
  <c r="BP198"/>
  <c r="BH198"/>
  <c r="AZ198"/>
  <c r="AR198"/>
  <c r="AJ198"/>
  <c r="AB198"/>
  <c r="T198"/>
  <c r="L198"/>
  <c r="CF197"/>
  <c r="BX197"/>
  <c r="BP197"/>
  <c r="BH197"/>
  <c r="AZ197"/>
  <c r="AR197"/>
  <c r="AJ197"/>
  <c r="AB197"/>
  <c r="T197"/>
  <c r="L197"/>
  <c r="CF192"/>
  <c r="BX192"/>
  <c r="BP192"/>
  <c r="BH192"/>
  <c r="AZ192"/>
  <c r="AR192"/>
  <c r="AJ192"/>
  <c r="AB192"/>
  <c r="T192"/>
  <c r="L192"/>
  <c r="CF191"/>
  <c r="BX191"/>
  <c r="BP191"/>
  <c r="BH191"/>
  <c r="AZ191"/>
  <c r="AR191"/>
  <c r="AJ191"/>
  <c r="AB191"/>
  <c r="T191"/>
  <c r="L191"/>
  <c r="CF190"/>
  <c r="BX190"/>
  <c r="BP190"/>
  <c r="BH190"/>
  <c r="AZ190"/>
  <c r="AR190"/>
  <c r="AJ190"/>
  <c r="AB190"/>
  <c r="T190"/>
  <c r="L190"/>
  <c r="CF189"/>
  <c r="BX189"/>
  <c r="BP189"/>
  <c r="BH189"/>
  <c r="AZ189"/>
  <c r="AR189"/>
  <c r="AJ189"/>
  <c r="AB189"/>
  <c r="T189"/>
  <c r="L189"/>
  <c r="CF188"/>
  <c r="BX188"/>
  <c r="BP188"/>
  <c r="BH188"/>
  <c r="AZ188"/>
  <c r="AR188"/>
  <c r="AJ188"/>
  <c r="AB188"/>
  <c r="T188"/>
  <c r="L188"/>
  <c r="CF187"/>
  <c r="BX187"/>
  <c r="BP187"/>
  <c r="BH187"/>
  <c r="AZ187"/>
  <c r="AR187"/>
  <c r="AJ187"/>
  <c r="AB187"/>
  <c r="T187"/>
  <c r="L187"/>
  <c r="CF186"/>
  <c r="BX186"/>
  <c r="BP186"/>
  <c r="BH186"/>
  <c r="AZ186"/>
  <c r="AR186"/>
  <c r="AJ186"/>
  <c r="AB186"/>
  <c r="T186"/>
  <c r="L186"/>
  <c r="CF185"/>
  <c r="BX185"/>
  <c r="BP185"/>
  <c r="BH185"/>
  <c r="AZ185"/>
  <c r="AR185"/>
  <c r="AJ185"/>
  <c r="AB185"/>
  <c r="T185"/>
  <c r="L185"/>
  <c r="CF184"/>
  <c r="BX184"/>
  <c r="BP184"/>
  <c r="BH184"/>
  <c r="AZ184"/>
  <c r="AR184"/>
  <c r="AJ184"/>
  <c r="AB184"/>
  <c r="T184"/>
  <c r="L184"/>
  <c r="CF183"/>
  <c r="BX183"/>
  <c r="BP183"/>
  <c r="BH183"/>
  <c r="AZ183"/>
  <c r="AR183"/>
  <c r="AJ183"/>
  <c r="AB183"/>
  <c r="T183"/>
  <c r="L183"/>
  <c r="CF182"/>
  <c r="BX182"/>
  <c r="BP182"/>
  <c r="BH182"/>
  <c r="AZ182"/>
  <c r="AR182"/>
  <c r="AJ182"/>
  <c r="AB182"/>
  <c r="T182"/>
  <c r="L182"/>
  <c r="CF181"/>
  <c r="BX181"/>
  <c r="BP181"/>
  <c r="BH181"/>
  <c r="AZ181"/>
  <c r="AR181"/>
  <c r="AJ181"/>
  <c r="AB181"/>
  <c r="T181"/>
  <c r="L181"/>
  <c r="CF180"/>
  <c r="BX180"/>
  <c r="BP180"/>
  <c r="BH180"/>
  <c r="AZ180"/>
  <c r="AR180"/>
  <c r="AJ180"/>
  <c r="AB180"/>
  <c r="T180"/>
  <c r="L180"/>
  <c r="CF179"/>
  <c r="BX179"/>
  <c r="BP179"/>
  <c r="BH179"/>
  <c r="AZ179"/>
  <c r="AR179"/>
  <c r="AJ179"/>
  <c r="AB179"/>
  <c r="T179"/>
  <c r="L179"/>
  <c r="CF178"/>
  <c r="BX178"/>
  <c r="BP178"/>
  <c r="BH178"/>
  <c r="AZ178"/>
  <c r="AR178"/>
  <c r="AJ178"/>
  <c r="AB178"/>
  <c r="T178"/>
  <c r="L178"/>
  <c r="CF177"/>
  <c r="BX177"/>
  <c r="BP177"/>
  <c r="BH177"/>
  <c r="AZ177"/>
  <c r="AR177"/>
  <c r="AJ177"/>
  <c r="AB177"/>
  <c r="T177"/>
  <c r="L177"/>
  <c r="CF176"/>
  <c r="BX176"/>
  <c r="BP176"/>
  <c r="BH176"/>
  <c r="AZ176"/>
  <c r="AR176"/>
  <c r="AJ176"/>
  <c r="AB176"/>
  <c r="T176"/>
  <c r="L176"/>
  <c r="CF175"/>
  <c r="BX175"/>
  <c r="BP175"/>
  <c r="BH175"/>
  <c r="AZ175"/>
  <c r="AR175"/>
  <c r="AJ175"/>
  <c r="AB175"/>
  <c r="T175"/>
  <c r="L175"/>
  <c r="CF174"/>
  <c r="BX174"/>
  <c r="BP174"/>
  <c r="BH174"/>
  <c r="AZ174"/>
  <c r="AR174"/>
  <c r="AJ174"/>
  <c r="AB174"/>
  <c r="T174"/>
  <c r="L174"/>
  <c r="CF173"/>
  <c r="BX173"/>
  <c r="BP173"/>
  <c r="BH173"/>
  <c r="AZ173"/>
  <c r="AR173"/>
  <c r="AJ173"/>
  <c r="AB173"/>
  <c r="T173"/>
  <c r="L173"/>
  <c r="CF172"/>
  <c r="BX172"/>
  <c r="BP172"/>
  <c r="BH172"/>
  <c r="AZ172"/>
  <c r="AR172"/>
  <c r="AJ172"/>
  <c r="AB172"/>
  <c r="T172"/>
  <c r="L172"/>
  <c r="CF171"/>
  <c r="BX171"/>
  <c r="BP171"/>
  <c r="BH171"/>
  <c r="AZ171"/>
  <c r="AR171"/>
  <c r="AJ171"/>
  <c r="AB171"/>
  <c r="T171"/>
  <c r="L171"/>
  <c r="CF170"/>
  <c r="BX170"/>
  <c r="BP170"/>
  <c r="BH170"/>
  <c r="AZ170"/>
  <c r="AR170"/>
  <c r="AJ170"/>
  <c r="AB170"/>
  <c r="T170"/>
  <c r="L170"/>
  <c r="CF169"/>
  <c r="BX169"/>
  <c r="BP169"/>
  <c r="BH169"/>
  <c r="AZ169"/>
  <c r="AR169"/>
  <c r="AJ169"/>
  <c r="AB169"/>
  <c r="T169"/>
  <c r="L169"/>
  <c r="CF168"/>
  <c r="BX168"/>
  <c r="BP168"/>
  <c r="BH168"/>
  <c r="AZ168"/>
  <c r="AR168"/>
  <c r="AJ168"/>
  <c r="AB168"/>
  <c r="T168"/>
  <c r="L168"/>
  <c r="BH165"/>
  <c r="CF164"/>
  <c r="BX164"/>
  <c r="BP164"/>
  <c r="BH164"/>
  <c r="AZ164"/>
  <c r="AR164"/>
  <c r="AJ164"/>
  <c r="AB164"/>
  <c r="T164"/>
  <c r="L164"/>
  <c r="CF163"/>
  <c r="BX163"/>
  <c r="BP163"/>
  <c r="BH163"/>
  <c r="AZ163"/>
  <c r="AR163"/>
  <c r="AJ163"/>
  <c r="AB163"/>
  <c r="T163"/>
  <c r="L163"/>
  <c r="CF162"/>
  <c r="BX162"/>
  <c r="BP162"/>
  <c r="BH162"/>
  <c r="AZ162"/>
  <c r="AR162"/>
  <c r="AJ162"/>
  <c r="AB162"/>
  <c r="T162"/>
  <c r="L162"/>
  <c r="CF161"/>
  <c r="BX161"/>
  <c r="BP161"/>
  <c r="BH161"/>
  <c r="AZ161"/>
  <c r="AR161"/>
  <c r="AJ161"/>
  <c r="AB161"/>
  <c r="T161"/>
  <c r="L161"/>
  <c r="CF160"/>
  <c r="BX160"/>
  <c r="BP160"/>
  <c r="BH160"/>
  <c r="AZ160"/>
  <c r="AR160"/>
  <c r="AJ160"/>
  <c r="AB160"/>
  <c r="T160"/>
  <c r="L160"/>
  <c r="CF159"/>
  <c r="BX159"/>
  <c r="BP159"/>
  <c r="BH159"/>
  <c r="AZ159"/>
  <c r="AR159"/>
  <c r="AJ159"/>
  <c r="AB159"/>
  <c r="T159"/>
  <c r="L159"/>
  <c r="CF158"/>
  <c r="BX158"/>
  <c r="BP158"/>
  <c r="BH158"/>
  <c r="AZ158"/>
  <c r="AR158"/>
  <c r="AJ158"/>
  <c r="AB158"/>
  <c r="T158"/>
  <c r="L158"/>
  <c r="CF157"/>
  <c r="BX157"/>
  <c r="BP157"/>
  <c r="BH157"/>
  <c r="AZ157"/>
  <c r="AR157"/>
  <c r="AJ157"/>
  <c r="AB157"/>
  <c r="T157"/>
  <c r="L157"/>
  <c r="CF156"/>
  <c r="BX156"/>
  <c r="BP156"/>
  <c r="BH156"/>
  <c r="AZ156"/>
  <c r="AR156"/>
  <c r="AJ156"/>
  <c r="AB156"/>
  <c r="T156"/>
  <c r="L156"/>
  <c r="CF155"/>
  <c r="BX155"/>
  <c r="BP155"/>
  <c r="BH155"/>
  <c r="AZ155"/>
  <c r="AR155"/>
  <c r="AJ155"/>
  <c r="AB155"/>
  <c r="T155"/>
  <c r="L155"/>
  <c r="CF154"/>
  <c r="BX154"/>
  <c r="BP154"/>
  <c r="BH154"/>
  <c r="AZ154"/>
  <c r="AR154"/>
  <c r="AJ154"/>
  <c r="AB154"/>
  <c r="T154"/>
  <c r="L154"/>
  <c r="CF153"/>
  <c r="BX153"/>
  <c r="BP153"/>
  <c r="BH153"/>
  <c r="AZ153"/>
  <c r="AR153"/>
  <c r="AJ153"/>
  <c r="AB153"/>
  <c r="T153"/>
  <c r="L153"/>
  <c r="CF152"/>
  <c r="BX152"/>
  <c r="BP152"/>
  <c r="BH152"/>
  <c r="AZ152"/>
  <c r="AR152"/>
  <c r="AJ152"/>
  <c r="AB152"/>
  <c r="T152"/>
  <c r="L152"/>
  <c r="CF151"/>
  <c r="BX151"/>
  <c r="BP151"/>
  <c r="BH151"/>
  <c r="AZ151"/>
  <c r="AR151"/>
  <c r="AJ151"/>
  <c r="AB151"/>
  <c r="T151"/>
  <c r="L151"/>
  <c r="CF150"/>
  <c r="BX150"/>
  <c r="BP150"/>
  <c r="BH150"/>
  <c r="AZ150"/>
  <c r="AR150"/>
  <c r="AJ150"/>
  <c r="AB150"/>
  <c r="T150"/>
  <c r="L150"/>
  <c r="CF149"/>
  <c r="BX149"/>
  <c r="BP149"/>
  <c r="BH149"/>
  <c r="AZ149"/>
  <c r="AR149"/>
  <c r="AJ149"/>
  <c r="AB149"/>
  <c r="T149"/>
  <c r="L149"/>
  <c r="CF148"/>
  <c r="BX148"/>
  <c r="BP148"/>
  <c r="BH148"/>
  <c r="AZ148"/>
  <c r="AR148"/>
  <c r="AJ148"/>
  <c r="AB148"/>
  <c r="T148"/>
  <c r="L148"/>
  <c r="CF147"/>
  <c r="BX147"/>
  <c r="BP147"/>
  <c r="BH147"/>
  <c r="AZ147"/>
  <c r="AR147"/>
  <c r="AJ147"/>
  <c r="AB147"/>
  <c r="T147"/>
  <c r="L147"/>
  <c r="CF146"/>
  <c r="BX146"/>
  <c r="BP146"/>
  <c r="BH146"/>
  <c r="AZ146"/>
  <c r="AR146"/>
  <c r="AJ146"/>
  <c r="AB146"/>
  <c r="T146"/>
  <c r="L146"/>
  <c r="CF145"/>
  <c r="BX145"/>
  <c r="BP145"/>
  <c r="BH145"/>
  <c r="AZ145"/>
  <c r="AR145"/>
  <c r="AJ145"/>
  <c r="AB145"/>
  <c r="T145"/>
  <c r="L145"/>
  <c r="CF144"/>
  <c r="BX144"/>
  <c r="BP144"/>
  <c r="BH144"/>
  <c r="AZ144"/>
  <c r="AR144"/>
  <c r="AJ144"/>
  <c r="AB144"/>
  <c r="T144"/>
  <c r="L144"/>
  <c r="CF143"/>
  <c r="BX143"/>
  <c r="BP143"/>
  <c r="BH143"/>
  <c r="AZ143"/>
  <c r="AR143"/>
  <c r="AJ143"/>
  <c r="AB143"/>
  <c r="T143"/>
  <c r="L143"/>
  <c r="CF142"/>
  <c r="BX142"/>
  <c r="BP142"/>
  <c r="BH142"/>
  <c r="AZ142"/>
  <c r="AR142"/>
  <c r="AJ142"/>
  <c r="AB142"/>
  <c r="T142"/>
  <c r="L142"/>
  <c r="CF137"/>
  <c r="BX137"/>
  <c r="BP137"/>
  <c r="BH137"/>
  <c r="AZ137"/>
  <c r="AR137"/>
  <c r="AJ137"/>
  <c r="AB137"/>
  <c r="T137"/>
  <c r="L137"/>
  <c r="CF136"/>
  <c r="BX136"/>
  <c r="BP136"/>
  <c r="BH136"/>
  <c r="AZ136"/>
  <c r="AR136"/>
  <c r="AJ136"/>
  <c r="AB136"/>
  <c r="T136"/>
  <c r="L136"/>
  <c r="CF135"/>
  <c r="BX135"/>
  <c r="BP135"/>
  <c r="BH135"/>
  <c r="AZ135"/>
  <c r="AR135"/>
  <c r="AJ135"/>
  <c r="AB135"/>
  <c r="T135"/>
  <c r="L135"/>
  <c r="CF134"/>
  <c r="BX134"/>
  <c r="BP134"/>
  <c r="BH134"/>
  <c r="AZ134"/>
  <c r="AR134"/>
  <c r="AJ134"/>
  <c r="AB134"/>
  <c r="T134"/>
  <c r="L134"/>
  <c r="CF133"/>
  <c r="BX133"/>
  <c r="BP133"/>
  <c r="BH133"/>
  <c r="AZ133"/>
  <c r="AR133"/>
  <c r="AJ133"/>
  <c r="AB133"/>
  <c r="T133"/>
  <c r="L133"/>
  <c r="CF132"/>
  <c r="BX132"/>
  <c r="BP132"/>
  <c r="BH132"/>
  <c r="AZ132"/>
  <c r="AR132"/>
  <c r="AJ132"/>
  <c r="AB132"/>
  <c r="T132"/>
  <c r="L132"/>
  <c r="CF131"/>
  <c r="BX131"/>
  <c r="BP131"/>
  <c r="BH131"/>
  <c r="AZ131"/>
  <c r="AR131"/>
  <c r="AJ131"/>
  <c r="AB131"/>
  <c r="T131"/>
  <c r="L131"/>
  <c r="CF130"/>
  <c r="BX130"/>
  <c r="BP130"/>
  <c r="BH130"/>
  <c r="AZ130"/>
  <c r="AR130"/>
  <c r="AJ130"/>
  <c r="AB130"/>
  <c r="T130"/>
  <c r="L130"/>
  <c r="CF129"/>
  <c r="BX129"/>
  <c r="BP129"/>
  <c r="BH129"/>
  <c r="AZ129"/>
  <c r="AR129"/>
  <c r="AJ129"/>
  <c r="AB129"/>
  <c r="T129"/>
  <c r="L129"/>
  <c r="CF128"/>
  <c r="BX128"/>
  <c r="BP128"/>
  <c r="BH128"/>
  <c r="AZ128"/>
  <c r="AR128"/>
  <c r="AJ128"/>
  <c r="AB128"/>
  <c r="T128"/>
  <c r="L128"/>
  <c r="CF127"/>
  <c r="BX127"/>
  <c r="BP127"/>
  <c r="BH127"/>
  <c r="AZ127"/>
  <c r="AR127"/>
  <c r="AJ127"/>
  <c r="AB127"/>
  <c r="T127"/>
  <c r="L127"/>
  <c r="CF126"/>
  <c r="BX126"/>
  <c r="BP126"/>
  <c r="BH126"/>
  <c r="AZ126"/>
  <c r="AR126"/>
  <c r="AJ126"/>
  <c r="AB126"/>
  <c r="T126"/>
  <c r="L126"/>
  <c r="CF125"/>
  <c r="BX125"/>
  <c r="BP125"/>
  <c r="BH125"/>
  <c r="AZ125"/>
  <c r="AR125"/>
  <c r="AJ125"/>
  <c r="AB125"/>
  <c r="T125"/>
  <c r="L125"/>
  <c r="CF124"/>
  <c r="BX124"/>
  <c r="BP124"/>
  <c r="BH124"/>
  <c r="AZ124"/>
  <c r="AR124"/>
  <c r="AJ124"/>
  <c r="AB124"/>
  <c r="T124"/>
  <c r="L124"/>
  <c r="CF123"/>
  <c r="BX123"/>
  <c r="BP123"/>
  <c r="BH123"/>
  <c r="AZ123"/>
  <c r="AR123"/>
  <c r="AJ123"/>
  <c r="AB123"/>
  <c r="T123"/>
  <c r="L123"/>
  <c r="CF122"/>
  <c r="BX122"/>
  <c r="BP122"/>
  <c r="BH122"/>
  <c r="AZ122"/>
  <c r="AR122"/>
  <c r="AJ122"/>
  <c r="AB122"/>
  <c r="T122"/>
  <c r="L122"/>
  <c r="CF121"/>
  <c r="BX121"/>
  <c r="BP121"/>
  <c r="BH121"/>
  <c r="AZ121"/>
  <c r="AR121"/>
  <c r="AJ121"/>
  <c r="AB121"/>
  <c r="T121"/>
  <c r="L121"/>
  <c r="CF120"/>
  <c r="BX120"/>
  <c r="BP120"/>
  <c r="BH120"/>
  <c r="AZ120"/>
  <c r="AR120"/>
  <c r="AJ120"/>
  <c r="AB120"/>
  <c r="T120"/>
  <c r="L120"/>
  <c r="CF119"/>
  <c r="BX119"/>
  <c r="BP119"/>
  <c r="BH119"/>
  <c r="AZ119"/>
  <c r="AR119"/>
  <c r="AJ119"/>
  <c r="AB119"/>
  <c r="T119"/>
  <c r="L119"/>
  <c r="CF118"/>
  <c r="BX118"/>
  <c r="BP118"/>
  <c r="BH118"/>
  <c r="AZ118"/>
  <c r="AR118"/>
  <c r="AJ118"/>
  <c r="AB118"/>
  <c r="T118"/>
  <c r="L118"/>
  <c r="CF117"/>
  <c r="BX117"/>
  <c r="BP117"/>
  <c r="BH117"/>
  <c r="AZ117"/>
  <c r="AR117"/>
  <c r="AJ117"/>
  <c r="AB117"/>
  <c r="T117"/>
  <c r="L117"/>
  <c r="CF116"/>
  <c r="BX116"/>
  <c r="BP116"/>
  <c r="BH116"/>
  <c r="AZ116"/>
  <c r="AR116"/>
  <c r="AJ116"/>
  <c r="AB116"/>
  <c r="T116"/>
  <c r="L116"/>
  <c r="CF115"/>
  <c r="BX115"/>
  <c r="BP115"/>
  <c r="BH115"/>
  <c r="AZ115"/>
  <c r="AR115"/>
  <c r="AJ115"/>
  <c r="AB115"/>
  <c r="T115"/>
  <c r="L115"/>
  <c r="CF114"/>
  <c r="BX114"/>
  <c r="BP114"/>
  <c r="BH114"/>
  <c r="AZ114"/>
  <c r="AR114"/>
  <c r="AJ114"/>
  <c r="AB114"/>
  <c r="T114"/>
  <c r="L114"/>
  <c r="CF113"/>
  <c r="BX113"/>
  <c r="BP113"/>
  <c r="BH113"/>
  <c r="AZ113"/>
  <c r="AR113"/>
  <c r="AJ113"/>
  <c r="AB113"/>
  <c r="T113"/>
  <c r="L113"/>
  <c r="CF108"/>
  <c r="BV108"/>
  <c r="BX108" s="1"/>
  <c r="BN108"/>
  <c r="BP108" s="1"/>
  <c r="BF108"/>
  <c r="BH108" s="1"/>
  <c r="AX108"/>
  <c r="AZ108" s="1"/>
  <c r="AP108"/>
  <c r="AR108" s="1"/>
  <c r="AH108"/>
  <c r="AJ108" s="1"/>
  <c r="Z108"/>
  <c r="AB108" s="1"/>
  <c r="R108"/>
  <c r="T108" s="1"/>
  <c r="L108"/>
  <c r="CF107"/>
  <c r="BV107"/>
  <c r="BX107" s="1"/>
  <c r="BN107"/>
  <c r="BP107" s="1"/>
  <c r="BF107"/>
  <c r="BH107" s="1"/>
  <c r="AX107"/>
  <c r="AZ107" s="1"/>
  <c r="AP107"/>
  <c r="AR107" s="1"/>
  <c r="AH107"/>
  <c r="AJ107" s="1"/>
  <c r="Z107"/>
  <c r="AB107" s="1"/>
  <c r="R107"/>
  <c r="T107" s="1"/>
  <c r="L107"/>
  <c r="CF106"/>
  <c r="BV106"/>
  <c r="BX106" s="1"/>
  <c r="BN106"/>
  <c r="BP106" s="1"/>
  <c r="BF106"/>
  <c r="BH106" s="1"/>
  <c r="AX106"/>
  <c r="AZ106" s="1"/>
  <c r="AP106"/>
  <c r="AR106" s="1"/>
  <c r="AH106"/>
  <c r="AJ106" s="1"/>
  <c r="Z106"/>
  <c r="AB106" s="1"/>
  <c r="R106"/>
  <c r="T106" s="1"/>
  <c r="L106"/>
  <c r="CF105"/>
  <c r="BV105"/>
  <c r="BX105" s="1"/>
  <c r="BN105"/>
  <c r="BP105" s="1"/>
  <c r="BF105"/>
  <c r="BH105" s="1"/>
  <c r="AX105"/>
  <c r="AZ105" s="1"/>
  <c r="AR105"/>
  <c r="AP105"/>
  <c r="AH105"/>
  <c r="AJ105" s="1"/>
  <c r="Z105"/>
  <c r="AB105" s="1"/>
  <c r="R105"/>
  <c r="T105" s="1"/>
  <c r="L105"/>
  <c r="CF104"/>
  <c r="BV104"/>
  <c r="BX104" s="1"/>
  <c r="BP104"/>
  <c r="BN104"/>
  <c r="BF104"/>
  <c r="BH104" s="1"/>
  <c r="AX104"/>
  <c r="AZ104" s="1"/>
  <c r="AP104"/>
  <c r="AR104" s="1"/>
  <c r="AH104"/>
  <c r="AJ104" s="1"/>
  <c r="Z104"/>
  <c r="AB104" s="1"/>
  <c r="R104"/>
  <c r="T104" s="1"/>
  <c r="L104"/>
  <c r="CF103"/>
  <c r="BV103"/>
  <c r="BX103" s="1"/>
  <c r="BN103"/>
  <c r="BP103" s="1"/>
  <c r="BF103"/>
  <c r="BH103" s="1"/>
  <c r="AX103"/>
  <c r="AZ103" s="1"/>
  <c r="AP103"/>
  <c r="AR103" s="1"/>
  <c r="AH103"/>
  <c r="AJ103" s="1"/>
  <c r="Z103"/>
  <c r="AB103" s="1"/>
  <c r="R103"/>
  <c r="T103" s="1"/>
  <c r="L103"/>
  <c r="CD102"/>
  <c r="CF102" s="1"/>
  <c r="BV102"/>
  <c r="BX102" s="1"/>
  <c r="BP102"/>
  <c r="BN102"/>
  <c r="BF102"/>
  <c r="BH102" s="1"/>
  <c r="AX102"/>
  <c r="AZ102" s="1"/>
  <c r="AP102"/>
  <c r="AR102" s="1"/>
  <c r="AJ102"/>
  <c r="AH102"/>
  <c r="Z102"/>
  <c r="AB102" s="1"/>
  <c r="R102"/>
  <c r="T102" s="1"/>
  <c r="L102"/>
  <c r="CD101"/>
  <c r="CF101" s="1"/>
  <c r="BV101"/>
  <c r="BX101" s="1"/>
  <c r="BP101"/>
  <c r="BH101"/>
  <c r="BF101"/>
  <c r="AX101"/>
  <c r="AZ101" s="1"/>
  <c r="AP101"/>
  <c r="AR101" s="1"/>
  <c r="AH101"/>
  <c r="AJ101" s="1"/>
  <c r="AB101"/>
  <c r="Z101"/>
  <c r="R101"/>
  <c r="T101" s="1"/>
  <c r="L101"/>
  <c r="CD100"/>
  <c r="CF100" s="1"/>
  <c r="BV100"/>
  <c r="BX100" s="1"/>
  <c r="BN100"/>
  <c r="BP100" s="1"/>
  <c r="BF100"/>
  <c r="BH100" s="1"/>
  <c r="AX100"/>
  <c r="AZ100" s="1"/>
  <c r="AP100"/>
  <c r="AR100" s="1"/>
  <c r="AH100"/>
  <c r="AJ100" s="1"/>
  <c r="Z100"/>
  <c r="AB100" s="1"/>
  <c r="R100"/>
  <c r="T100" s="1"/>
  <c r="L100"/>
  <c r="CF99"/>
  <c r="BX99"/>
  <c r="BN99"/>
  <c r="BP99" s="1"/>
  <c r="BH99"/>
  <c r="BF99"/>
  <c r="AX99"/>
  <c r="AZ99" s="1"/>
  <c r="AP99"/>
  <c r="AR99" s="1"/>
  <c r="AH99"/>
  <c r="AJ99" s="1"/>
  <c r="AB99"/>
  <c r="Z99"/>
  <c r="R99"/>
  <c r="T99" s="1"/>
  <c r="L99"/>
  <c r="CF98"/>
  <c r="BX98"/>
  <c r="BN98"/>
  <c r="BP98" s="1"/>
  <c r="BF98"/>
  <c r="BH98" s="1"/>
  <c r="AX98"/>
  <c r="AZ98" s="1"/>
  <c r="AP98"/>
  <c r="AR98" s="1"/>
  <c r="AH98"/>
  <c r="AJ98" s="1"/>
  <c r="Z98"/>
  <c r="AB98" s="1"/>
  <c r="R98"/>
  <c r="T98" s="1"/>
  <c r="L98"/>
  <c r="CF97"/>
  <c r="BX97"/>
  <c r="BN97"/>
  <c r="BP97" s="1"/>
  <c r="BF97"/>
  <c r="BH97" s="1"/>
  <c r="AX97"/>
  <c r="AZ97" s="1"/>
  <c r="AR97"/>
  <c r="AP97"/>
  <c r="AJ97"/>
  <c r="AH97"/>
  <c r="AB97"/>
  <c r="Z97"/>
  <c r="R97"/>
  <c r="T97" s="1"/>
  <c r="L97"/>
  <c r="CF96"/>
  <c r="BX96"/>
  <c r="BV96"/>
  <c r="BP96"/>
  <c r="BN96"/>
  <c r="BF96"/>
  <c r="BH96" s="1"/>
  <c r="AZ96"/>
  <c r="AX96"/>
  <c r="AR96"/>
  <c r="AP96"/>
  <c r="AJ96"/>
  <c r="AH96"/>
  <c r="Z96"/>
  <c r="AB96" s="1"/>
  <c r="T96"/>
  <c r="R96"/>
  <c r="L96"/>
  <c r="CD95"/>
  <c r="CF95" s="1"/>
  <c r="BX95"/>
  <c r="BV95"/>
  <c r="BN95"/>
  <c r="BP95" s="1"/>
  <c r="BF95"/>
  <c r="BH95" s="1"/>
  <c r="AX95"/>
  <c r="AZ95" s="1"/>
  <c r="AP95"/>
  <c r="AR95" s="1"/>
  <c r="AH95"/>
  <c r="AJ95" s="1"/>
  <c r="AB95"/>
  <c r="Z95"/>
  <c r="R95"/>
  <c r="T95" s="1"/>
  <c r="L95"/>
  <c r="CF94"/>
  <c r="BV94"/>
  <c r="BX94" s="1"/>
  <c r="BN94"/>
  <c r="BP94" s="1"/>
  <c r="BF94"/>
  <c r="BH94" s="1"/>
  <c r="AZ94"/>
  <c r="AX94"/>
  <c r="AP94"/>
  <c r="AR94" s="1"/>
  <c r="AH94"/>
  <c r="AJ94" s="1"/>
  <c r="Z94"/>
  <c r="AB94" s="1"/>
  <c r="R94"/>
  <c r="T94" s="1"/>
  <c r="L94"/>
  <c r="CD93"/>
  <c r="CF93" s="1"/>
  <c r="BX93"/>
  <c r="BV93"/>
  <c r="BN93"/>
  <c r="BP93" s="1"/>
  <c r="BF93"/>
  <c r="BH93" s="1"/>
  <c r="AX93"/>
  <c r="AZ93" s="1"/>
  <c r="AP93"/>
  <c r="AR93" s="1"/>
  <c r="AH93"/>
  <c r="AJ93" s="1"/>
  <c r="Z93"/>
  <c r="AB93" s="1"/>
  <c r="R93"/>
  <c r="T93" s="1"/>
  <c r="L93"/>
  <c r="CD92"/>
  <c r="CF92" s="1"/>
  <c r="BV92"/>
  <c r="BX92" s="1"/>
  <c r="BN92"/>
  <c r="BP92" s="1"/>
  <c r="BH92"/>
  <c r="BF92"/>
  <c r="AX92"/>
  <c r="AZ92" s="1"/>
  <c r="AP92"/>
  <c r="AR92" s="1"/>
  <c r="AH92"/>
  <c r="AJ92" s="1"/>
  <c r="Z92"/>
  <c r="AB92" s="1"/>
  <c r="R92"/>
  <c r="T92" s="1"/>
  <c r="L92"/>
  <c r="CD91"/>
  <c r="CF91" s="1"/>
  <c r="BV91"/>
  <c r="BX91" s="1"/>
  <c r="BN91"/>
  <c r="BP91" s="1"/>
  <c r="BF91"/>
  <c r="BH91" s="1"/>
  <c r="AX91"/>
  <c r="AZ91" s="1"/>
  <c r="AP91"/>
  <c r="AR91" s="1"/>
  <c r="AH91"/>
  <c r="AJ91" s="1"/>
  <c r="Z91"/>
  <c r="AB91" s="1"/>
  <c r="R91"/>
  <c r="T91" s="1"/>
  <c r="L91"/>
  <c r="CD90"/>
  <c r="CF90" s="1"/>
  <c r="BV90"/>
  <c r="BX90" s="1"/>
  <c r="BN90"/>
  <c r="BP90" s="1"/>
  <c r="BF90"/>
  <c r="BH90" s="1"/>
  <c r="AX90"/>
  <c r="AZ90" s="1"/>
  <c r="AP90"/>
  <c r="AR90" s="1"/>
  <c r="AH90"/>
  <c r="AJ90" s="1"/>
  <c r="Z90"/>
  <c r="AB90" s="1"/>
  <c r="R90"/>
  <c r="T90" s="1"/>
  <c r="L90"/>
  <c r="CD89"/>
  <c r="CF89" s="1"/>
  <c r="BV89"/>
  <c r="BX89" s="1"/>
  <c r="BN89"/>
  <c r="BP89" s="1"/>
  <c r="BH89"/>
  <c r="BF89"/>
  <c r="AX89"/>
  <c r="AZ89" s="1"/>
  <c r="AP89"/>
  <c r="AR89" s="1"/>
  <c r="AH89"/>
  <c r="AJ89" s="1"/>
  <c r="Z89"/>
  <c r="AB89" s="1"/>
  <c r="R89"/>
  <c r="T89" s="1"/>
  <c r="L89"/>
  <c r="CD88"/>
  <c r="CF88" s="1"/>
  <c r="BV88"/>
  <c r="BX88" s="1"/>
  <c r="BN88"/>
  <c r="BP88" s="1"/>
  <c r="BF88"/>
  <c r="BH88" s="1"/>
  <c r="AX88"/>
  <c r="AZ88" s="1"/>
  <c r="AP88"/>
  <c r="AR88" s="1"/>
  <c r="AH88"/>
  <c r="AJ88" s="1"/>
  <c r="Z88"/>
  <c r="AB88" s="1"/>
  <c r="R88"/>
  <c r="T88" s="1"/>
  <c r="L88"/>
  <c r="CD87"/>
  <c r="CF87" s="1"/>
  <c r="BV87"/>
  <c r="BX87" s="1"/>
  <c r="BP87"/>
  <c r="BN87"/>
  <c r="BF87"/>
  <c r="BH87" s="1"/>
  <c r="AX87"/>
  <c r="AZ87" s="1"/>
  <c r="AP87"/>
  <c r="AR87" s="1"/>
  <c r="AJ87"/>
  <c r="AH87"/>
  <c r="Z87"/>
  <c r="AB87" s="1"/>
  <c r="R87"/>
  <c r="T87" s="1"/>
  <c r="L87"/>
  <c r="CF86"/>
  <c r="CD86"/>
  <c r="BV86"/>
  <c r="BX86" s="1"/>
  <c r="BN86"/>
  <c r="BP86" s="1"/>
  <c r="BF86"/>
  <c r="BH86" s="1"/>
  <c r="AX86"/>
  <c r="AZ86" s="1"/>
  <c r="AP86"/>
  <c r="AR86" s="1"/>
  <c r="AH86"/>
  <c r="AJ86" s="1"/>
  <c r="Z86"/>
  <c r="AB86" s="1"/>
  <c r="T86"/>
  <c r="R86"/>
  <c r="L86"/>
  <c r="CD81"/>
  <c r="CF81" s="1"/>
  <c r="BV81"/>
  <c r="BX81" s="1"/>
  <c r="BN81"/>
  <c r="BP81" s="1"/>
  <c r="BF81"/>
  <c r="BH81" s="1"/>
  <c r="AX81"/>
  <c r="AZ81" s="1"/>
  <c r="AP81"/>
  <c r="AR81" s="1"/>
  <c r="AH81"/>
  <c r="AJ81" s="1"/>
  <c r="Z81"/>
  <c r="AB81" s="1"/>
  <c r="R81"/>
  <c r="T81" s="1"/>
  <c r="L81"/>
  <c r="CD80"/>
  <c r="CF80" s="1"/>
  <c r="BV80"/>
  <c r="BX80" s="1"/>
  <c r="BN80"/>
  <c r="BP80" s="1"/>
  <c r="BF80"/>
  <c r="BH80" s="1"/>
  <c r="AX80"/>
  <c r="AZ80" s="1"/>
  <c r="AP80"/>
  <c r="AR80" s="1"/>
  <c r="AH80"/>
  <c r="AJ80" s="1"/>
  <c r="AB80"/>
  <c r="Z80"/>
  <c r="R80"/>
  <c r="T80" s="1"/>
  <c r="L80"/>
  <c r="CF79"/>
  <c r="CD79"/>
  <c r="BV79"/>
  <c r="BX79" s="1"/>
  <c r="BN79"/>
  <c r="BP79" s="1"/>
  <c r="BF79"/>
  <c r="BH79" s="1"/>
  <c r="AZ79"/>
  <c r="AX79"/>
  <c r="AP79"/>
  <c r="AR79" s="1"/>
  <c r="AH79"/>
  <c r="AJ79" s="1"/>
  <c r="Z79"/>
  <c r="AB79" s="1"/>
  <c r="T79"/>
  <c r="R79"/>
  <c r="L79"/>
  <c r="CD78"/>
  <c r="CF78" s="1"/>
  <c r="BV78"/>
  <c r="BX78" s="1"/>
  <c r="BN78"/>
  <c r="BP78" s="1"/>
  <c r="BF78"/>
  <c r="BH78" s="1"/>
  <c r="AX78"/>
  <c r="AZ78" s="1"/>
  <c r="AP78"/>
  <c r="AR78" s="1"/>
  <c r="AH78"/>
  <c r="AJ78" s="1"/>
  <c r="Z78"/>
  <c r="AB78" s="1"/>
  <c r="R78"/>
  <c r="T78" s="1"/>
  <c r="L78"/>
  <c r="CD77"/>
  <c r="CF77" s="1"/>
  <c r="BV77"/>
  <c r="BX77" s="1"/>
  <c r="BN77"/>
  <c r="BP77" s="1"/>
  <c r="BF77"/>
  <c r="BH77" s="1"/>
  <c r="AX77"/>
  <c r="AZ77" s="1"/>
  <c r="AP77"/>
  <c r="AR77" s="1"/>
  <c r="AH77"/>
  <c r="AJ77" s="1"/>
  <c r="AB77"/>
  <c r="Z77"/>
  <c r="R77"/>
  <c r="T77" s="1"/>
  <c r="L77"/>
  <c r="CD76"/>
  <c r="CF76" s="1"/>
  <c r="BV76"/>
  <c r="BX76" s="1"/>
  <c r="BN76"/>
  <c r="BP76" s="1"/>
  <c r="BF76"/>
  <c r="BH76" s="1"/>
  <c r="AX76"/>
  <c r="AZ76" s="1"/>
  <c r="AP76"/>
  <c r="AR76" s="1"/>
  <c r="AJ76"/>
  <c r="Z76"/>
  <c r="AB76" s="1"/>
  <c r="R76"/>
  <c r="T76" s="1"/>
  <c r="L76"/>
  <c r="CF75"/>
  <c r="BX75"/>
  <c r="BP75"/>
  <c r="BF75"/>
  <c r="BH75" s="1"/>
  <c r="AZ75"/>
  <c r="AX75"/>
  <c r="AP75"/>
  <c r="AR75" s="1"/>
  <c r="AJ75"/>
  <c r="Z75"/>
  <c r="AB75" s="1"/>
  <c r="R75"/>
  <c r="T75" s="1"/>
  <c r="L75"/>
  <c r="CD74"/>
  <c r="CF74" s="1"/>
  <c r="BX74"/>
  <c r="BN74"/>
  <c r="BP74" s="1"/>
  <c r="BF74"/>
  <c r="BH74" s="1"/>
  <c r="AX74"/>
  <c r="AZ74" s="1"/>
  <c r="AP74"/>
  <c r="AR74" s="1"/>
  <c r="AH74"/>
  <c r="AJ74" s="1"/>
  <c r="AB74"/>
  <c r="Z74"/>
  <c r="R74"/>
  <c r="T74" s="1"/>
  <c r="L74"/>
  <c r="CF73"/>
  <c r="BX73"/>
  <c r="BN73"/>
  <c r="BP73" s="1"/>
  <c r="BF73"/>
  <c r="BH73" s="1"/>
  <c r="AX73"/>
  <c r="AZ73" s="1"/>
  <c r="AR73"/>
  <c r="AP73"/>
  <c r="AH73"/>
  <c r="AJ73" s="1"/>
  <c r="Z73"/>
  <c r="AB73" s="1"/>
  <c r="R73"/>
  <c r="T73" s="1"/>
  <c r="L73"/>
  <c r="CF72"/>
  <c r="BX72"/>
  <c r="BN72"/>
  <c r="BP72" s="1"/>
  <c r="BF72"/>
  <c r="BH72" s="1"/>
  <c r="AX72"/>
  <c r="AZ72" s="1"/>
  <c r="AP72"/>
  <c r="AR72" s="1"/>
  <c r="AH72"/>
  <c r="AJ72" s="1"/>
  <c r="Z72"/>
  <c r="AB72" s="1"/>
  <c r="T72"/>
  <c r="R72"/>
  <c r="L72"/>
  <c r="CF71"/>
  <c r="BX71"/>
  <c r="BN71"/>
  <c r="BP71" s="1"/>
  <c r="BF71"/>
  <c r="BH71" s="1"/>
  <c r="AZ71"/>
  <c r="AX71"/>
  <c r="AP71"/>
  <c r="AR71" s="1"/>
  <c r="AH71"/>
  <c r="AJ71" s="1"/>
  <c r="Z71"/>
  <c r="AB71" s="1"/>
  <c r="T71"/>
  <c r="R71"/>
  <c r="L71"/>
  <c r="CD70"/>
  <c r="CF70" s="1"/>
  <c r="BX70"/>
  <c r="BN70"/>
  <c r="BP70" s="1"/>
  <c r="BF70"/>
  <c r="BH70" s="1"/>
  <c r="AX70"/>
  <c r="AZ70" s="1"/>
  <c r="AR70"/>
  <c r="AP70"/>
  <c r="AH70"/>
  <c r="AJ70" s="1"/>
  <c r="Z70"/>
  <c r="AB70" s="1"/>
  <c r="R70"/>
  <c r="T70" s="1"/>
  <c r="L70"/>
  <c r="CD69"/>
  <c r="CF69" s="1"/>
  <c r="BV69"/>
  <c r="BX69" s="1"/>
  <c r="BN69"/>
  <c r="BP69" s="1"/>
  <c r="BF69"/>
  <c r="BH69" s="1"/>
  <c r="AX69"/>
  <c r="AZ69" s="1"/>
  <c r="AP69"/>
  <c r="AR69" s="1"/>
  <c r="AH69"/>
  <c r="AJ69" s="1"/>
  <c r="AB69"/>
  <c r="Z69"/>
  <c r="R69"/>
  <c r="T69" s="1"/>
  <c r="L69"/>
  <c r="CD68"/>
  <c r="CF68" s="1"/>
  <c r="BV68"/>
  <c r="BX68" s="1"/>
  <c r="BN68"/>
  <c r="BP68" s="1"/>
  <c r="BF68"/>
  <c r="BH68" s="1"/>
  <c r="AX68"/>
  <c r="AZ68" s="1"/>
  <c r="AP68"/>
  <c r="AR68" s="1"/>
  <c r="AH68"/>
  <c r="AJ68" s="1"/>
  <c r="Z68"/>
  <c r="AB68" s="1"/>
  <c r="R68"/>
  <c r="T68" s="1"/>
  <c r="L68"/>
  <c r="CD67"/>
  <c r="CF67" s="1"/>
  <c r="BV67"/>
  <c r="BX67" s="1"/>
  <c r="BN67"/>
  <c r="BP67" s="1"/>
  <c r="BF67"/>
  <c r="BH67" s="1"/>
  <c r="AX67"/>
  <c r="AZ67" s="1"/>
  <c r="AP67"/>
  <c r="AR67" s="1"/>
  <c r="AH67"/>
  <c r="AJ67" s="1"/>
  <c r="Z67"/>
  <c r="AB67" s="1"/>
  <c r="R67"/>
  <c r="T67" s="1"/>
  <c r="L67"/>
  <c r="CD66"/>
  <c r="CF66" s="1"/>
  <c r="BV66"/>
  <c r="BX66" s="1"/>
  <c r="BP66"/>
  <c r="BN66"/>
  <c r="BF66"/>
  <c r="BH66" s="1"/>
  <c r="AX66"/>
  <c r="AZ66" s="1"/>
  <c r="AP66"/>
  <c r="AR66" s="1"/>
  <c r="AH66"/>
  <c r="AJ66" s="1"/>
  <c r="Z66"/>
  <c r="AB66" s="1"/>
  <c r="R66"/>
  <c r="T66" s="1"/>
  <c r="L66"/>
  <c r="CD65"/>
  <c r="CF65" s="1"/>
  <c r="BV65"/>
  <c r="BX65" s="1"/>
  <c r="BN65"/>
  <c r="BP65" s="1"/>
  <c r="BF65"/>
  <c r="BH65" s="1"/>
  <c r="AX65"/>
  <c r="AZ65" s="1"/>
  <c r="AP65"/>
  <c r="AR65" s="1"/>
  <c r="AH65"/>
  <c r="AJ65" s="1"/>
  <c r="Z65"/>
  <c r="AB65" s="1"/>
  <c r="R65"/>
  <c r="T65" s="1"/>
  <c r="L65"/>
  <c r="CD64"/>
  <c r="CF64" s="1"/>
  <c r="BV64"/>
  <c r="BX64" s="1"/>
  <c r="BN64"/>
  <c r="BP64" s="1"/>
  <c r="BF64"/>
  <c r="BH64" s="1"/>
  <c r="AX64"/>
  <c r="AZ64" s="1"/>
  <c r="AP64"/>
  <c r="AR64" s="1"/>
  <c r="AH64"/>
  <c r="AJ64" s="1"/>
  <c r="Z64"/>
  <c r="AB64" s="1"/>
  <c r="R64"/>
  <c r="T64" s="1"/>
  <c r="L64"/>
  <c r="CD63"/>
  <c r="CF63" s="1"/>
  <c r="BV63"/>
  <c r="BX63" s="1"/>
  <c r="BP63"/>
  <c r="BN63"/>
  <c r="BF63"/>
  <c r="BH63" s="1"/>
  <c r="AX63"/>
  <c r="AZ63" s="1"/>
  <c r="AP63"/>
  <c r="AR63" s="1"/>
  <c r="AJ63"/>
  <c r="AH63"/>
  <c r="Z63"/>
  <c r="AB63" s="1"/>
  <c r="R63"/>
  <c r="T63" s="1"/>
  <c r="L63"/>
  <c r="CF62"/>
  <c r="CD62"/>
  <c r="BV62"/>
  <c r="BX62" s="1"/>
  <c r="BN62"/>
  <c r="BP62" s="1"/>
  <c r="BF62"/>
  <c r="BH62" s="1"/>
  <c r="AX62"/>
  <c r="AZ62" s="1"/>
  <c r="AP62"/>
  <c r="AR62" s="1"/>
  <c r="AH62"/>
  <c r="AJ62" s="1"/>
  <c r="Z62"/>
  <c r="AB62" s="1"/>
  <c r="R62"/>
  <c r="T62" s="1"/>
  <c r="L62"/>
  <c r="CD61"/>
  <c r="CF61" s="1"/>
  <c r="BV61"/>
  <c r="BX61" s="1"/>
  <c r="BN61"/>
  <c r="BP61" s="1"/>
  <c r="BH61"/>
  <c r="BF61"/>
  <c r="AX61"/>
  <c r="AZ61" s="1"/>
  <c r="AP61"/>
  <c r="AR61" s="1"/>
  <c r="AH61"/>
  <c r="AJ61" s="1"/>
  <c r="AB61"/>
  <c r="Z61"/>
  <c r="R61"/>
  <c r="T61" s="1"/>
  <c r="L61"/>
  <c r="CD60"/>
  <c r="CF60" s="1"/>
  <c r="BV60"/>
  <c r="BX60" s="1"/>
  <c r="BN60"/>
  <c r="BP60" s="1"/>
  <c r="BF60"/>
  <c r="BH60" s="1"/>
  <c r="AX60"/>
  <c r="AZ60" s="1"/>
  <c r="AP60"/>
  <c r="AR60" s="1"/>
  <c r="AH60"/>
  <c r="AJ60" s="1"/>
  <c r="Z60"/>
  <c r="AB60" s="1"/>
  <c r="R60"/>
  <c r="T60" s="1"/>
  <c r="L60"/>
  <c r="CF54"/>
  <c r="BV54"/>
  <c r="BX54" s="1"/>
  <c r="BP54"/>
  <c r="BH54"/>
  <c r="AX54"/>
  <c r="AZ54" s="1"/>
  <c r="AR54"/>
  <c r="AJ54"/>
  <c r="Z54"/>
  <c r="AB54" s="1"/>
  <c r="R54"/>
  <c r="T54" s="1"/>
  <c r="L54"/>
  <c r="CF53"/>
  <c r="BV53"/>
  <c r="BX53" s="1"/>
  <c r="BP53"/>
  <c r="BH53"/>
  <c r="AX53"/>
  <c r="AZ53" s="1"/>
  <c r="AR53"/>
  <c r="AJ53"/>
  <c r="Z53"/>
  <c r="AB53" s="1"/>
  <c r="R53"/>
  <c r="T53" s="1"/>
  <c r="L53"/>
  <c r="CF52"/>
  <c r="BV52"/>
  <c r="BX52" s="1"/>
  <c r="BP52"/>
  <c r="BH52"/>
  <c r="AX52"/>
  <c r="AZ52" s="1"/>
  <c r="AR52"/>
  <c r="AJ52"/>
  <c r="Z52"/>
  <c r="AB52" s="1"/>
  <c r="R52"/>
  <c r="T52" s="1"/>
  <c r="L52"/>
  <c r="CF51"/>
  <c r="BV51"/>
  <c r="BX51" s="1"/>
  <c r="BP51"/>
  <c r="BH51"/>
  <c r="AX51"/>
  <c r="AZ51" s="1"/>
  <c r="AR51"/>
  <c r="AJ51"/>
  <c r="Z51"/>
  <c r="AB51" s="1"/>
  <c r="R51"/>
  <c r="T51" s="1"/>
  <c r="L51"/>
  <c r="CF50"/>
  <c r="BV50"/>
  <c r="BX50" s="1"/>
  <c r="BP50"/>
  <c r="BH50"/>
  <c r="AX50"/>
  <c r="AZ50" s="1"/>
  <c r="AR50"/>
  <c r="AJ50"/>
  <c r="Z50"/>
  <c r="AB50" s="1"/>
  <c r="R50"/>
  <c r="T50" s="1"/>
  <c r="L50"/>
  <c r="CF49"/>
  <c r="BV49"/>
  <c r="BX49" s="1"/>
  <c r="BP49"/>
  <c r="BH49"/>
  <c r="AX49"/>
  <c r="AZ49" s="1"/>
  <c r="AR49"/>
  <c r="AJ49"/>
  <c r="Z49"/>
  <c r="AB49" s="1"/>
  <c r="R49"/>
  <c r="T49" s="1"/>
  <c r="L49"/>
  <c r="CF48"/>
  <c r="BV48"/>
  <c r="BX48" s="1"/>
  <c r="BP48"/>
  <c r="BH48"/>
  <c r="AX48"/>
  <c r="AZ48" s="1"/>
  <c r="AR48"/>
  <c r="AJ48"/>
  <c r="Z48"/>
  <c r="AB48" s="1"/>
  <c r="R48"/>
  <c r="T48" s="1"/>
  <c r="L48"/>
  <c r="CF47"/>
  <c r="BV47"/>
  <c r="BX47" s="1"/>
  <c r="BP47"/>
  <c r="BH47"/>
  <c r="AX47"/>
  <c r="AZ47" s="1"/>
  <c r="AR47"/>
  <c r="AJ47"/>
  <c r="Z47"/>
  <c r="AB47" s="1"/>
  <c r="R47"/>
  <c r="T47" s="1"/>
  <c r="L47"/>
  <c r="CF46"/>
  <c r="BV46"/>
  <c r="BX46" s="1"/>
  <c r="BP46"/>
  <c r="BH46"/>
  <c r="AX46"/>
  <c r="AZ46" s="1"/>
  <c r="AR46"/>
  <c r="AJ46"/>
  <c r="Z46"/>
  <c r="AB46" s="1"/>
  <c r="R46"/>
  <c r="T46" s="1"/>
  <c r="L46"/>
  <c r="CF45"/>
  <c r="BX45"/>
  <c r="BP45"/>
  <c r="BH45"/>
  <c r="AX45"/>
  <c r="AZ45" s="1"/>
  <c r="AR45"/>
  <c r="AJ45"/>
  <c r="Z45"/>
  <c r="AB45" s="1"/>
  <c r="T45"/>
  <c r="R45"/>
  <c r="L45"/>
  <c r="CF44"/>
  <c r="BX44"/>
  <c r="BP44"/>
  <c r="BH44"/>
  <c r="AX44"/>
  <c r="AZ44" s="1"/>
  <c r="AR44"/>
  <c r="AJ44"/>
  <c r="Z44"/>
  <c r="AB44" s="1"/>
  <c r="R44"/>
  <c r="T44" s="1"/>
  <c r="L44"/>
  <c r="CF43"/>
  <c r="BX43"/>
  <c r="BP43"/>
  <c r="BH43"/>
  <c r="AX43"/>
  <c r="AZ43" s="1"/>
  <c r="AR43"/>
  <c r="AJ43"/>
  <c r="Z43"/>
  <c r="AB43" s="1"/>
  <c r="R43"/>
  <c r="T43" s="1"/>
  <c r="L43"/>
  <c r="CF42"/>
  <c r="BV42"/>
  <c r="BX42" s="1"/>
  <c r="BP42"/>
  <c r="BH42"/>
  <c r="AX42"/>
  <c r="AZ42" s="1"/>
  <c r="AR42"/>
  <c r="AJ42"/>
  <c r="Z42"/>
  <c r="AB42" s="1"/>
  <c r="R42"/>
  <c r="T42" s="1"/>
  <c r="L42"/>
  <c r="CF41"/>
  <c r="BV41"/>
  <c r="BX41" s="1"/>
  <c r="BP41"/>
  <c r="BH41"/>
  <c r="AX41"/>
  <c r="AZ41" s="1"/>
  <c r="AR41"/>
  <c r="AJ41"/>
  <c r="Z41"/>
  <c r="AB41" s="1"/>
  <c r="R41"/>
  <c r="T41" s="1"/>
  <c r="L41"/>
  <c r="CF40"/>
  <c r="BV40"/>
  <c r="BX40" s="1"/>
  <c r="BP40"/>
  <c r="BH40"/>
  <c r="AX40"/>
  <c r="AZ40" s="1"/>
  <c r="AR40"/>
  <c r="AJ40"/>
  <c r="Z40"/>
  <c r="AB40" s="1"/>
  <c r="R40"/>
  <c r="T40" s="1"/>
  <c r="L40"/>
  <c r="CF39"/>
  <c r="BV39"/>
  <c r="BX39" s="1"/>
  <c r="BP39"/>
  <c r="BH39"/>
  <c r="AX39"/>
  <c r="AZ39" s="1"/>
  <c r="AR39"/>
  <c r="AJ39"/>
  <c r="Z39"/>
  <c r="AB39" s="1"/>
  <c r="R39"/>
  <c r="T39" s="1"/>
  <c r="L39"/>
  <c r="CF38"/>
  <c r="BV38"/>
  <c r="BX38" s="1"/>
  <c r="BP38"/>
  <c r="BH38"/>
  <c r="AX38"/>
  <c r="AZ38" s="1"/>
  <c r="AR38"/>
  <c r="AJ38"/>
  <c r="Z38"/>
  <c r="AB38" s="1"/>
  <c r="R38"/>
  <c r="T38" s="1"/>
  <c r="L38"/>
  <c r="CF37"/>
  <c r="BV37"/>
  <c r="BX37" s="1"/>
  <c r="BP37"/>
  <c r="BH37"/>
  <c r="AX37"/>
  <c r="AZ37" s="1"/>
  <c r="AR37"/>
  <c r="AJ37"/>
  <c r="Z37"/>
  <c r="AB37" s="1"/>
  <c r="R37"/>
  <c r="T37" s="1"/>
  <c r="L37"/>
  <c r="CF36"/>
  <c r="BV36"/>
  <c r="BX36" s="1"/>
  <c r="BP36"/>
  <c r="BH36"/>
  <c r="AX36"/>
  <c r="AZ36" s="1"/>
  <c r="AR36"/>
  <c r="AJ36"/>
  <c r="Z36"/>
  <c r="AB36" s="1"/>
  <c r="R36"/>
  <c r="T36" s="1"/>
  <c r="L36"/>
  <c r="CF35"/>
  <c r="BV35"/>
  <c r="BX35" s="1"/>
  <c r="BP35"/>
  <c r="BH35"/>
  <c r="AX35"/>
  <c r="AZ35" s="1"/>
  <c r="AR35"/>
  <c r="AJ35"/>
  <c r="Z35"/>
  <c r="AB35" s="1"/>
  <c r="R35"/>
  <c r="T35" s="1"/>
  <c r="L35"/>
  <c r="CF34"/>
  <c r="BV34"/>
  <c r="BX34" s="1"/>
  <c r="BP34"/>
  <c r="BH34"/>
  <c r="AX34"/>
  <c r="AZ34" s="1"/>
  <c r="AR34"/>
  <c r="AJ34"/>
  <c r="Z34"/>
  <c r="AB34" s="1"/>
  <c r="R34"/>
  <c r="T34" s="1"/>
  <c r="L34"/>
  <c r="CF33"/>
  <c r="BV33"/>
  <c r="BX33" s="1"/>
  <c r="BP33"/>
  <c r="BH33"/>
  <c r="AX33"/>
  <c r="AZ33" s="1"/>
  <c r="AR33"/>
  <c r="AJ33"/>
  <c r="Z33"/>
  <c r="AB33" s="1"/>
  <c r="R33"/>
  <c r="T33" s="1"/>
  <c r="L33"/>
  <c r="CF32"/>
  <c r="BV32"/>
  <c r="BX32" s="1"/>
  <c r="BP32"/>
  <c r="BH32"/>
  <c r="AX32"/>
  <c r="AZ32" s="1"/>
  <c r="AR32"/>
  <c r="AJ32"/>
  <c r="Z32"/>
  <c r="AB32" s="1"/>
  <c r="R32"/>
  <c r="T32" s="1"/>
  <c r="L32"/>
  <c r="CD30"/>
  <c r="BV30"/>
  <c r="BN30"/>
  <c r="BF30"/>
  <c r="AX30"/>
  <c r="AP30"/>
  <c r="AH30"/>
  <c r="Z30"/>
  <c r="S30"/>
  <c r="AA30" s="1"/>
  <c r="AB30" s="1"/>
  <c r="R30"/>
  <c r="L30"/>
  <c r="CD27"/>
  <c r="CF27" s="1"/>
  <c r="BV27"/>
  <c r="BX27" s="1"/>
  <c r="BN27"/>
  <c r="BP27" s="1"/>
  <c r="BF27"/>
  <c r="BH27" s="1"/>
  <c r="AX27"/>
  <c r="AZ27" s="1"/>
  <c r="AP27"/>
  <c r="AR27" s="1"/>
  <c r="AH27"/>
  <c r="AJ27" s="1"/>
  <c r="Z27"/>
  <c r="AB27" s="1"/>
  <c r="R27"/>
  <c r="T27" s="1"/>
  <c r="L27"/>
  <c r="CD26"/>
  <c r="CF26" s="1"/>
  <c r="BV26"/>
  <c r="BX26" s="1"/>
  <c r="BN26"/>
  <c r="BP26" s="1"/>
  <c r="BF26"/>
  <c r="BH26" s="1"/>
  <c r="AX26"/>
  <c r="AZ26" s="1"/>
  <c r="AP26"/>
  <c r="AR26" s="1"/>
  <c r="AH26"/>
  <c r="AJ26" s="1"/>
  <c r="Z26"/>
  <c r="AB26" s="1"/>
  <c r="T26"/>
  <c r="R26"/>
  <c r="L26"/>
  <c r="CF24"/>
  <c r="BX24"/>
  <c r="BV24"/>
  <c r="BN24"/>
  <c r="BP24" s="1"/>
  <c r="BF24"/>
  <c r="BH24" s="1"/>
  <c r="AX24"/>
  <c r="AZ24" s="1"/>
  <c r="AR24"/>
  <c r="AH24"/>
  <c r="AJ24" s="1"/>
  <c r="AB24"/>
  <c r="Z24"/>
  <c r="R24"/>
  <c r="T24" s="1"/>
  <c r="L24"/>
  <c r="CF23"/>
  <c r="BV23"/>
  <c r="BX23" s="1"/>
  <c r="BN23"/>
  <c r="BP23" s="1"/>
  <c r="BF23"/>
  <c r="BH23" s="1"/>
  <c r="AX23"/>
  <c r="AZ23" s="1"/>
  <c r="AR23"/>
  <c r="AH23"/>
  <c r="AJ23" s="1"/>
  <c r="Z23"/>
  <c r="AB23" s="1"/>
  <c r="R23"/>
  <c r="T23" s="1"/>
  <c r="L23"/>
  <c r="CF22"/>
  <c r="BV22"/>
  <c r="BX22" s="1"/>
  <c r="BN22"/>
  <c r="BP22" s="1"/>
  <c r="BF22"/>
  <c r="BH22" s="1"/>
  <c r="AZ22"/>
  <c r="AX22"/>
  <c r="AR22"/>
  <c r="AH22"/>
  <c r="AJ22" s="1"/>
  <c r="Z22"/>
  <c r="AB22" s="1"/>
  <c r="R22"/>
  <c r="T22" s="1"/>
  <c r="L22"/>
  <c r="CF21"/>
  <c r="BV21"/>
  <c r="BX21" s="1"/>
  <c r="BN21"/>
  <c r="BP21" s="1"/>
  <c r="BF21"/>
  <c r="BH21" s="1"/>
  <c r="AX21"/>
  <c r="AZ21" s="1"/>
  <c r="AR21"/>
  <c r="AH21"/>
  <c r="AJ21" s="1"/>
  <c r="Z21"/>
  <c r="AB21" s="1"/>
  <c r="T21"/>
  <c r="R21"/>
  <c r="L21"/>
  <c r="CF20"/>
  <c r="BX20"/>
  <c r="BV20"/>
  <c r="BN20"/>
  <c r="BP20" s="1"/>
  <c r="BF20"/>
  <c r="BH20" s="1"/>
  <c r="AX20"/>
  <c r="AZ20" s="1"/>
  <c r="AR20"/>
  <c r="AH20"/>
  <c r="AJ20" s="1"/>
  <c r="Z20"/>
  <c r="AB20" s="1"/>
  <c r="R20"/>
  <c r="T20" s="1"/>
  <c r="L20"/>
  <c r="CF19"/>
  <c r="BV19"/>
  <c r="BX19" s="1"/>
  <c r="BN19"/>
  <c r="BP19" s="1"/>
  <c r="BF19"/>
  <c r="BH19" s="1"/>
  <c r="AX19"/>
  <c r="AZ19" s="1"/>
  <c r="AR19"/>
  <c r="AH19"/>
  <c r="AJ19" s="1"/>
  <c r="Z19"/>
  <c r="AB19" s="1"/>
  <c r="R19"/>
  <c r="T19" s="1"/>
  <c r="L19"/>
  <c r="CF18"/>
  <c r="BV18"/>
  <c r="BX18" s="1"/>
  <c r="BN18"/>
  <c r="BP18" s="1"/>
  <c r="BF18"/>
  <c r="BH18" s="1"/>
  <c r="AZ18"/>
  <c r="AX18"/>
  <c r="AR18"/>
  <c r="AH18"/>
  <c r="AJ18" s="1"/>
  <c r="Z18"/>
  <c r="AB18" s="1"/>
  <c r="R18"/>
  <c r="T18" s="1"/>
  <c r="L18"/>
  <c r="CF17"/>
  <c r="BV17"/>
  <c r="BX17" s="1"/>
  <c r="BP17"/>
  <c r="BF17"/>
  <c r="BH17" s="1"/>
  <c r="AX17"/>
  <c r="AZ17" s="1"/>
  <c r="AR17"/>
  <c r="AJ17"/>
  <c r="Z17"/>
  <c r="AB17" s="1"/>
  <c r="R17"/>
  <c r="T17" s="1"/>
  <c r="L17"/>
  <c r="CF16"/>
  <c r="BV16"/>
  <c r="BX16" s="1"/>
  <c r="BN16"/>
  <c r="BP16" s="1"/>
  <c r="BF16"/>
  <c r="BH16" s="1"/>
  <c r="AZ16"/>
  <c r="AR16"/>
  <c r="AH16"/>
  <c r="AJ16" s="1"/>
  <c r="Z16"/>
  <c r="AB16" s="1"/>
  <c r="R16"/>
  <c r="T16" s="1"/>
  <c r="L16"/>
  <c r="CF15"/>
  <c r="BX15"/>
  <c r="BN15"/>
  <c r="BP15" s="1"/>
  <c r="BF15"/>
  <c r="BH15" s="1"/>
  <c r="AX15"/>
  <c r="AZ15" s="1"/>
  <c r="AR15"/>
  <c r="AH15"/>
  <c r="AJ15" s="1"/>
  <c r="Z15"/>
  <c r="AB15" s="1"/>
  <c r="R15"/>
  <c r="T15" s="1"/>
  <c r="L15"/>
  <c r="CF14"/>
  <c r="BX14"/>
  <c r="BN14"/>
  <c r="BP14" s="1"/>
  <c r="BF14"/>
  <c r="BH14" s="1"/>
  <c r="AX14"/>
  <c r="AZ14" s="1"/>
  <c r="AR14"/>
  <c r="AH14"/>
  <c r="AJ14" s="1"/>
  <c r="Z14"/>
  <c r="AB14" s="1"/>
  <c r="R14"/>
  <c r="T14" s="1"/>
  <c r="L14"/>
  <c r="CF13"/>
  <c r="BX13"/>
  <c r="BN13"/>
  <c r="BP13" s="1"/>
  <c r="BF13"/>
  <c r="BH13" s="1"/>
  <c r="AX13"/>
  <c r="AZ13" s="1"/>
  <c r="AR13"/>
  <c r="AH13"/>
  <c r="AJ13" s="1"/>
  <c r="AB13"/>
  <c r="Z13"/>
  <c r="R13"/>
  <c r="T13" s="1"/>
  <c r="L13"/>
  <c r="CF12"/>
  <c r="BV12"/>
  <c r="BX12" s="1"/>
  <c r="BP12"/>
  <c r="BN12"/>
  <c r="BF12"/>
  <c r="BH12" s="1"/>
  <c r="AX12"/>
  <c r="AZ12" s="1"/>
  <c r="AR12"/>
  <c r="AH12"/>
  <c r="AJ12" s="1"/>
  <c r="Z12"/>
  <c r="AB12" s="1"/>
  <c r="T12"/>
  <c r="R12"/>
  <c r="L12"/>
  <c r="CF11"/>
  <c r="BX11"/>
  <c r="BV11"/>
  <c r="BN11"/>
  <c r="BP11" s="1"/>
  <c r="BF11"/>
  <c r="BH11" s="1"/>
  <c r="AX11"/>
  <c r="AZ11" s="1"/>
  <c r="AR11"/>
  <c r="AJ11"/>
  <c r="AH11"/>
  <c r="Z11"/>
  <c r="AB11" s="1"/>
  <c r="R11"/>
  <c r="T11" s="1"/>
  <c r="L11"/>
  <c r="CF10"/>
  <c r="BV10"/>
  <c r="BX10" s="1"/>
  <c r="BN10"/>
  <c r="BP10" s="1"/>
  <c r="BH10"/>
  <c r="BF10"/>
  <c r="AX10"/>
  <c r="AZ10" s="1"/>
  <c r="AR10"/>
  <c r="AH10"/>
  <c r="AJ10" s="1"/>
  <c r="Z10"/>
  <c r="AB10" s="1"/>
  <c r="R10"/>
  <c r="T10" s="1"/>
  <c r="L10"/>
  <c r="CF9"/>
  <c r="BV9"/>
  <c r="BX9" s="1"/>
  <c r="BP9"/>
  <c r="BN9"/>
  <c r="BF9"/>
  <c r="BH9" s="1"/>
  <c r="AX9"/>
  <c r="AZ9" s="1"/>
  <c r="AR9"/>
  <c r="AH9"/>
  <c r="AJ9" s="1"/>
  <c r="AB9"/>
  <c r="Z9"/>
  <c r="R9"/>
  <c r="T9" s="1"/>
  <c r="L9"/>
  <c r="CF8"/>
  <c r="BV8"/>
  <c r="BX8" s="1"/>
  <c r="BP8"/>
  <c r="BN8"/>
  <c r="BF8"/>
  <c r="BH8" s="1"/>
  <c r="AX8"/>
  <c r="AZ8" s="1"/>
  <c r="AR8"/>
  <c r="AH8"/>
  <c r="AJ8" s="1"/>
  <c r="Z8"/>
  <c r="AB8" s="1"/>
  <c r="R8"/>
  <c r="T8" s="1"/>
  <c r="L8"/>
  <c r="CF7"/>
  <c r="BV7"/>
  <c r="BX7" s="1"/>
  <c r="BN7"/>
  <c r="BP7" s="1"/>
  <c r="BF7"/>
  <c r="BH7" s="1"/>
  <c r="AX7"/>
  <c r="AZ7" s="1"/>
  <c r="AR7"/>
  <c r="AJ7"/>
  <c r="AH7"/>
  <c r="Z7"/>
  <c r="AB7" s="1"/>
  <c r="R7"/>
  <c r="T7" s="1"/>
  <c r="L7"/>
  <c r="CF6"/>
  <c r="BV6"/>
  <c r="BX6" s="1"/>
  <c r="BN6"/>
  <c r="BP6" s="1"/>
  <c r="BH6"/>
  <c r="BF6"/>
  <c r="AX6"/>
  <c r="AZ6" s="1"/>
  <c r="AR6"/>
  <c r="AH6"/>
  <c r="AJ6" s="1"/>
  <c r="Z6"/>
  <c r="AB6" s="1"/>
  <c r="R6"/>
  <c r="T6" s="1"/>
  <c r="L6"/>
  <c r="CF5"/>
  <c r="BV5"/>
  <c r="BX5" s="1"/>
  <c r="BN5"/>
  <c r="BP5" s="1"/>
  <c r="BF5"/>
  <c r="BH5" s="1"/>
  <c r="AX5"/>
  <c r="AZ5" s="1"/>
  <c r="AR5"/>
  <c r="AH5"/>
  <c r="AJ5" s="1"/>
  <c r="AB5"/>
  <c r="Z5"/>
  <c r="R5"/>
  <c r="T5" s="1"/>
  <c r="L5"/>
  <c r="CF4"/>
  <c r="BV4"/>
  <c r="BX4" s="1"/>
  <c r="BP4"/>
  <c r="BN4"/>
  <c r="BF4"/>
  <c r="BH4" s="1"/>
  <c r="AX4"/>
  <c r="AZ4" s="1"/>
  <c r="AR4"/>
  <c r="AH4"/>
  <c r="AJ4" s="1"/>
  <c r="Z4"/>
  <c r="AB4" s="1"/>
  <c r="T4"/>
  <c r="R4"/>
  <c r="L4"/>
  <c r="CF3"/>
  <c r="BX3"/>
  <c r="BV3"/>
  <c r="BN3"/>
  <c r="BP3" s="1"/>
  <c r="BF3"/>
  <c r="BH3" s="1"/>
  <c r="AX3"/>
  <c r="AZ3" s="1"/>
  <c r="AR3"/>
  <c r="AJ3"/>
  <c r="AH3"/>
  <c r="Z3"/>
  <c r="AB3" s="1"/>
  <c r="R3"/>
  <c r="T3" s="1"/>
  <c r="L3"/>
  <c r="CF2"/>
  <c r="BV2"/>
  <c r="BX2" s="1"/>
  <c r="BN2"/>
  <c r="BP2" s="1"/>
  <c r="BH2"/>
  <c r="BF2"/>
  <c r="AX2"/>
  <c r="AZ2" s="1"/>
  <c r="AR2"/>
  <c r="AH2"/>
  <c r="AJ2" s="1"/>
  <c r="Z2"/>
  <c r="AB2" s="1"/>
  <c r="R2"/>
  <c r="T2" s="1"/>
  <c r="L2"/>
  <c r="C20" i="5"/>
  <c r="C52"/>
  <c r="C84"/>
  <c r="C41"/>
  <c r="C5"/>
  <c r="C37"/>
  <c r="C69"/>
  <c r="C101"/>
  <c r="C81"/>
  <c r="C14"/>
  <c r="C46"/>
  <c r="C78"/>
  <c r="C110"/>
  <c r="C91"/>
  <c r="C31"/>
  <c r="C63"/>
  <c r="C95"/>
  <c r="C65"/>
  <c r="C16"/>
  <c r="C48"/>
  <c r="C80"/>
  <c r="C9"/>
  <c r="C10"/>
  <c r="C42"/>
  <c r="C74"/>
  <c r="C106"/>
  <c r="C59"/>
  <c r="E10"/>
  <c r="I38"/>
  <c r="D67"/>
  <c r="H95"/>
  <c r="E11"/>
  <c r="I39"/>
  <c r="D68"/>
  <c r="H96"/>
  <c r="E12"/>
  <c r="I40"/>
  <c r="D69"/>
  <c r="H97"/>
  <c r="F20"/>
  <c r="J48"/>
  <c r="E77"/>
  <c r="I105"/>
  <c r="F21"/>
  <c r="J49"/>
  <c r="E78"/>
  <c r="I106"/>
  <c r="E23"/>
  <c r="I51"/>
  <c r="D80"/>
  <c r="E111"/>
  <c r="I29"/>
  <c r="D58"/>
  <c r="H86"/>
  <c r="J11"/>
  <c r="E96"/>
  <c r="I20"/>
  <c r="L3"/>
  <c r="G32"/>
  <c r="K60"/>
  <c r="F89"/>
  <c r="L4"/>
  <c r="G33"/>
  <c r="K61"/>
  <c r="F90"/>
  <c r="L5"/>
  <c r="G34"/>
  <c r="K62"/>
  <c r="F91"/>
  <c r="D14"/>
  <c r="H42"/>
  <c r="L70"/>
  <c r="G99"/>
  <c r="D15"/>
  <c r="H43"/>
  <c r="L71"/>
  <c r="G100"/>
  <c r="L16"/>
  <c r="G45"/>
  <c r="K73"/>
  <c r="F102"/>
  <c r="G23"/>
  <c r="K51"/>
  <c r="F80"/>
  <c r="J108"/>
  <c r="G46"/>
  <c r="L97"/>
  <c r="K42"/>
  <c r="L11"/>
  <c r="G40"/>
  <c r="K68"/>
  <c r="F97"/>
  <c r="L12"/>
  <c r="G41"/>
  <c r="K69"/>
  <c r="F98"/>
  <c r="L13"/>
  <c r="G42"/>
  <c r="K70"/>
  <c r="F99"/>
  <c r="D22"/>
  <c r="H50"/>
  <c r="L78"/>
  <c r="G107"/>
  <c r="D23"/>
  <c r="H51"/>
  <c r="L79"/>
  <c r="G108"/>
  <c r="L24"/>
  <c r="G53"/>
  <c r="K81"/>
  <c r="I12"/>
  <c r="G31"/>
  <c r="K59"/>
  <c r="F88"/>
  <c r="F23"/>
  <c r="G110"/>
  <c r="K34"/>
  <c r="K106"/>
  <c r="L19"/>
  <c r="G48"/>
  <c r="K76"/>
  <c r="F105"/>
  <c r="L20"/>
  <c r="G49"/>
  <c r="K77"/>
  <c r="F106"/>
  <c r="L21"/>
  <c r="G50"/>
  <c r="K78"/>
  <c r="G6"/>
  <c r="D30"/>
  <c r="H58"/>
  <c r="L86"/>
  <c r="K10"/>
  <c r="D31"/>
  <c r="H59"/>
  <c r="L87"/>
  <c r="H4"/>
  <c r="L32"/>
  <c r="G61"/>
  <c r="K89"/>
  <c r="L10"/>
  <c r="G39"/>
  <c r="K67"/>
  <c r="F96"/>
  <c r="F87"/>
  <c r="L25"/>
  <c r="K98"/>
  <c r="F95"/>
  <c r="L27"/>
  <c r="G56"/>
  <c r="K84"/>
  <c r="K110"/>
  <c r="L28"/>
  <c r="G57"/>
  <c r="K85"/>
  <c r="H5"/>
  <c r="L29"/>
  <c r="G58"/>
  <c r="K86"/>
  <c r="I9"/>
  <c r="D38"/>
  <c r="H66"/>
  <c r="L94"/>
  <c r="I10"/>
  <c r="D39"/>
  <c r="H67"/>
  <c r="L95"/>
  <c r="H12"/>
  <c r="L40"/>
  <c r="G69"/>
  <c r="K97"/>
  <c r="L18"/>
  <c r="G47"/>
  <c r="K75"/>
  <c r="F104"/>
  <c r="L73"/>
  <c r="G62"/>
  <c r="G102"/>
  <c r="H7"/>
  <c r="L35"/>
  <c r="G64"/>
  <c r="K92"/>
  <c r="H8"/>
  <c r="L36"/>
  <c r="G65"/>
  <c r="K93"/>
  <c r="H9"/>
  <c r="L37"/>
  <c r="G66"/>
  <c r="K94"/>
  <c r="I17"/>
  <c r="D46"/>
  <c r="H74"/>
  <c r="L102"/>
  <c r="I18"/>
  <c r="D47"/>
  <c r="H75"/>
  <c r="L103"/>
  <c r="H20"/>
  <c r="L48"/>
  <c r="G77"/>
  <c r="K105"/>
  <c r="L26"/>
  <c r="G55"/>
  <c r="K83"/>
  <c r="G106"/>
  <c r="K74"/>
  <c r="H45"/>
  <c r="F71"/>
  <c r="I22"/>
  <c r="D51"/>
  <c r="H79"/>
  <c r="L107"/>
  <c r="I23"/>
  <c r="D52"/>
  <c r="H80"/>
  <c r="L108"/>
  <c r="I24"/>
  <c r="D53"/>
  <c r="H81"/>
  <c r="F4"/>
  <c r="J32"/>
  <c r="E61"/>
  <c r="I89"/>
  <c r="F5"/>
  <c r="J33"/>
  <c r="E62"/>
  <c r="I90"/>
  <c r="E7"/>
  <c r="I35"/>
  <c r="D64"/>
  <c r="H92"/>
  <c r="I13"/>
  <c r="D42"/>
  <c r="H70"/>
  <c r="L98"/>
  <c r="I108"/>
  <c r="F73"/>
  <c r="F75"/>
  <c r="G84"/>
  <c r="J92"/>
  <c r="K45"/>
  <c r="K108"/>
  <c r="H23"/>
  <c r="H25"/>
  <c r="I34"/>
  <c r="L42"/>
  <c r="I92"/>
  <c r="L57"/>
  <c r="I76"/>
  <c r="H88"/>
  <c r="I97"/>
  <c r="H100"/>
  <c r="G70"/>
  <c r="C12"/>
  <c r="C4"/>
  <c r="C36"/>
  <c r="C68"/>
  <c r="C100"/>
  <c r="C51"/>
  <c r="C21"/>
  <c r="C53"/>
  <c r="C85"/>
  <c r="C17"/>
  <c r="C83"/>
  <c r="C30"/>
  <c r="C62"/>
  <c r="C94"/>
  <c r="C73"/>
  <c r="C15"/>
  <c r="C47"/>
  <c r="C79"/>
  <c r="C111"/>
  <c r="C75"/>
  <c r="C32"/>
  <c r="C64"/>
  <c r="C96"/>
  <c r="C97"/>
  <c r="C26"/>
  <c r="C58"/>
  <c r="C90"/>
  <c r="C19"/>
  <c r="C3"/>
  <c r="G24"/>
  <c r="K52"/>
  <c r="F81"/>
  <c r="J109"/>
  <c r="G25"/>
  <c r="K53"/>
  <c r="F82"/>
  <c r="J110"/>
  <c r="G26"/>
  <c r="K54"/>
  <c r="F83"/>
  <c r="D6"/>
  <c r="H34"/>
  <c r="L62"/>
  <c r="G91"/>
  <c r="D7"/>
  <c r="H35"/>
  <c r="L63"/>
  <c r="G92"/>
  <c r="L8"/>
  <c r="G37"/>
  <c r="K65"/>
  <c r="F94"/>
  <c r="G15"/>
  <c r="K43"/>
  <c r="F72"/>
  <c r="J100"/>
  <c r="I52"/>
  <c r="L33"/>
  <c r="E72"/>
  <c r="E18"/>
  <c r="I46"/>
  <c r="D75"/>
  <c r="H103"/>
  <c r="E19"/>
  <c r="I47"/>
  <c r="D76"/>
  <c r="H104"/>
  <c r="E20"/>
  <c r="I48"/>
  <c r="D77"/>
  <c r="H105"/>
  <c r="F28"/>
  <c r="J56"/>
  <c r="E85"/>
  <c r="F110"/>
  <c r="F29"/>
  <c r="J57"/>
  <c r="E86"/>
  <c r="H13"/>
  <c r="E31"/>
  <c r="I59"/>
  <c r="D88"/>
  <c r="E9"/>
  <c r="I37"/>
  <c r="D66"/>
  <c r="H94"/>
  <c r="D73"/>
  <c r="J75"/>
  <c r="I84"/>
  <c r="G38"/>
  <c r="E26"/>
  <c r="I54"/>
  <c r="D83"/>
  <c r="H111"/>
  <c r="E27"/>
  <c r="I55"/>
  <c r="D84"/>
  <c r="E108"/>
  <c r="E28"/>
  <c r="I56"/>
  <c r="D85"/>
  <c r="K7"/>
  <c r="F36"/>
  <c r="J64"/>
  <c r="E93"/>
  <c r="K8"/>
  <c r="F37"/>
  <c r="J65"/>
  <c r="E94"/>
  <c r="J10"/>
  <c r="E39"/>
  <c r="I67"/>
  <c r="D96"/>
  <c r="E17"/>
  <c r="I45"/>
  <c r="D74"/>
  <c r="H102"/>
  <c r="H109"/>
  <c r="E48"/>
  <c r="F31"/>
  <c r="J5"/>
  <c r="E34"/>
  <c r="I62"/>
  <c r="D91"/>
  <c r="J6"/>
  <c r="E35"/>
  <c r="I63"/>
  <c r="D92"/>
  <c r="J7"/>
  <c r="E36"/>
  <c r="I64"/>
  <c r="D93"/>
  <c r="K15"/>
  <c r="F44"/>
  <c r="J72"/>
  <c r="E101"/>
  <c r="K16"/>
  <c r="F45"/>
  <c r="J73"/>
  <c r="E102"/>
  <c r="J18"/>
  <c r="E47"/>
  <c r="I75"/>
  <c r="D104"/>
  <c r="E25"/>
  <c r="I53"/>
  <c r="D82"/>
  <c r="H110"/>
  <c r="I60"/>
  <c r="G86"/>
  <c r="D57"/>
  <c r="J13"/>
  <c r="E42"/>
  <c r="I70"/>
  <c r="D99"/>
  <c r="J14"/>
  <c r="E43"/>
  <c r="I71"/>
  <c r="D100"/>
  <c r="J15"/>
  <c r="E44"/>
  <c r="I72"/>
  <c r="D101"/>
  <c r="K23"/>
  <c r="F52"/>
  <c r="J80"/>
  <c r="E109"/>
  <c r="K24"/>
  <c r="F53"/>
  <c r="J81"/>
  <c r="E110"/>
  <c r="J26"/>
  <c r="E55"/>
  <c r="I83"/>
  <c r="J4"/>
  <c r="E33"/>
  <c r="I61"/>
  <c r="D90"/>
  <c r="H37"/>
  <c r="D33"/>
  <c r="D49"/>
  <c r="I36"/>
  <c r="J21"/>
  <c r="E50"/>
  <c r="I78"/>
  <c r="D107"/>
  <c r="J22"/>
  <c r="E51"/>
  <c r="I79"/>
  <c r="D108"/>
  <c r="J23"/>
  <c r="E52"/>
  <c r="I80"/>
  <c r="G3"/>
  <c r="K31"/>
  <c r="F60"/>
  <c r="J88"/>
  <c r="G4"/>
  <c r="K32"/>
  <c r="F61"/>
  <c r="J89"/>
  <c r="F6"/>
  <c r="J34"/>
  <c r="E63"/>
  <c r="I91"/>
  <c r="J12"/>
  <c r="E41"/>
  <c r="I69"/>
  <c r="D98"/>
  <c r="H101"/>
  <c r="D97"/>
  <c r="H29"/>
  <c r="G8"/>
  <c r="K36"/>
  <c r="F65"/>
  <c r="J93"/>
  <c r="G9"/>
  <c r="K37"/>
  <c r="F66"/>
  <c r="J94"/>
  <c r="G10"/>
  <c r="K38"/>
  <c r="F67"/>
  <c r="J95"/>
  <c r="H18"/>
  <c r="L46"/>
  <c r="G75"/>
  <c r="K103"/>
  <c r="H19"/>
  <c r="L47"/>
  <c r="G76"/>
  <c r="K104"/>
  <c r="G21"/>
  <c r="K49"/>
  <c r="F78"/>
  <c r="J106"/>
  <c r="K27"/>
  <c r="F56"/>
  <c r="J84"/>
  <c r="L109"/>
  <c r="F9"/>
  <c r="F74"/>
  <c r="G83"/>
  <c r="F86"/>
  <c r="L89"/>
  <c r="F64"/>
  <c r="H14"/>
  <c r="H24"/>
  <c r="I33"/>
  <c r="H36"/>
  <c r="F47"/>
  <c r="K111"/>
  <c r="E6"/>
  <c r="H87"/>
  <c r="H89"/>
  <c r="I98"/>
  <c r="L106"/>
  <c r="C28"/>
  <c r="C60"/>
  <c r="C92"/>
  <c r="C89"/>
  <c r="C13"/>
  <c r="C45"/>
  <c r="C77"/>
  <c r="C109"/>
  <c r="C35"/>
  <c r="C22"/>
  <c r="C54"/>
  <c r="C86"/>
  <c r="C33"/>
  <c r="C7"/>
  <c r="C39"/>
  <c r="C71"/>
  <c r="C103"/>
  <c r="C105"/>
  <c r="C24"/>
  <c r="C56"/>
  <c r="C88"/>
  <c r="C57"/>
  <c r="C18"/>
  <c r="C50"/>
  <c r="C82"/>
  <c r="C11"/>
  <c r="C107"/>
  <c r="F17"/>
  <c r="J45"/>
  <c r="E74"/>
  <c r="I102"/>
  <c r="F18"/>
  <c r="J46"/>
  <c r="E75"/>
  <c r="I103"/>
  <c r="F19"/>
  <c r="J47"/>
  <c r="E76"/>
  <c r="I104"/>
  <c r="G27"/>
  <c r="K55"/>
  <c r="F84"/>
  <c r="I107"/>
  <c r="G28"/>
  <c r="K56"/>
  <c r="F85"/>
  <c r="J3"/>
  <c r="F30"/>
  <c r="J58"/>
  <c r="E87"/>
  <c r="F8"/>
  <c r="J36"/>
  <c r="E65"/>
  <c r="I93"/>
  <c r="L65"/>
  <c r="H61"/>
  <c r="H77"/>
  <c r="D11"/>
  <c r="H39"/>
  <c r="L67"/>
  <c r="G96"/>
  <c r="D12"/>
  <c r="H40"/>
  <c r="L68"/>
  <c r="G97"/>
  <c r="D13"/>
  <c r="H41"/>
  <c r="L69"/>
  <c r="G98"/>
  <c r="E21"/>
  <c r="I49"/>
  <c r="D78"/>
  <c r="H106"/>
  <c r="E22"/>
  <c r="I50"/>
  <c r="D79"/>
  <c r="H107"/>
  <c r="D24"/>
  <c r="H52"/>
  <c r="L80"/>
  <c r="D9"/>
  <c r="H30"/>
  <c r="L58"/>
  <c r="G87"/>
  <c r="E16"/>
  <c r="F103"/>
  <c r="J27"/>
  <c r="J99"/>
  <c r="D19"/>
  <c r="H47"/>
  <c r="L75"/>
  <c r="G104"/>
  <c r="D20"/>
  <c r="H48"/>
  <c r="L76"/>
  <c r="G105"/>
  <c r="D21"/>
  <c r="H49"/>
  <c r="L77"/>
  <c r="D109"/>
  <c r="E29"/>
  <c r="I57"/>
  <c r="D86"/>
  <c r="F7"/>
  <c r="E30"/>
  <c r="I58"/>
  <c r="D87"/>
  <c r="I3"/>
  <c r="D32"/>
  <c r="H60"/>
  <c r="L88"/>
  <c r="D10"/>
  <c r="H38"/>
  <c r="L66"/>
  <c r="G95"/>
  <c r="E80"/>
  <c r="K82"/>
  <c r="J91"/>
  <c r="J59"/>
  <c r="D27"/>
  <c r="H55"/>
  <c r="L83"/>
  <c r="F107"/>
  <c r="D28"/>
  <c r="H56"/>
  <c r="L84"/>
  <c r="J111"/>
  <c r="D29"/>
  <c r="H57"/>
  <c r="L85"/>
  <c r="J8"/>
  <c r="E37"/>
  <c r="I65"/>
  <c r="D94"/>
  <c r="J9"/>
  <c r="E38"/>
  <c r="I66"/>
  <c r="D95"/>
  <c r="I11"/>
  <c r="D40"/>
  <c r="H68"/>
  <c r="L96"/>
  <c r="D18"/>
  <c r="H46"/>
  <c r="L74"/>
  <c r="G103"/>
  <c r="D17"/>
  <c r="F55"/>
  <c r="K66"/>
  <c r="I6"/>
  <c r="D35"/>
  <c r="H63"/>
  <c r="L91"/>
  <c r="I7"/>
  <c r="D36"/>
  <c r="H64"/>
  <c r="L92"/>
  <c r="I8"/>
  <c r="D37"/>
  <c r="H65"/>
  <c r="L93"/>
  <c r="J16"/>
  <c r="E45"/>
  <c r="I73"/>
  <c r="D102"/>
  <c r="J17"/>
  <c r="E46"/>
  <c r="I74"/>
  <c r="D103"/>
  <c r="I19"/>
  <c r="D48"/>
  <c r="H76"/>
  <c r="L104"/>
  <c r="D26"/>
  <c r="H54"/>
  <c r="L82"/>
  <c r="G111"/>
  <c r="J67"/>
  <c r="J107"/>
  <c r="E64"/>
  <c r="I14"/>
  <c r="D43"/>
  <c r="H71"/>
  <c r="L99"/>
  <c r="I15"/>
  <c r="D44"/>
  <c r="H72"/>
  <c r="L100"/>
  <c r="I16"/>
  <c r="D45"/>
  <c r="H73"/>
  <c r="L101"/>
  <c r="J24"/>
  <c r="E53"/>
  <c r="I81"/>
  <c r="D110"/>
  <c r="J25"/>
  <c r="E54"/>
  <c r="I82"/>
  <c r="D111"/>
  <c r="I27"/>
  <c r="D56"/>
  <c r="H84"/>
  <c r="I5"/>
  <c r="D34"/>
  <c r="H62"/>
  <c r="L90"/>
  <c r="I44"/>
  <c r="E40"/>
  <c r="E56"/>
  <c r="K50"/>
  <c r="J29"/>
  <c r="E58"/>
  <c r="I86"/>
  <c r="L9"/>
  <c r="J30"/>
  <c r="E59"/>
  <c r="I87"/>
  <c r="F3"/>
  <c r="J31"/>
  <c r="E60"/>
  <c r="I88"/>
  <c r="G11"/>
  <c r="K39"/>
  <c r="F68"/>
  <c r="J96"/>
  <c r="G12"/>
  <c r="K40"/>
  <c r="F69"/>
  <c r="J97"/>
  <c r="F14"/>
  <c r="J42"/>
  <c r="E71"/>
  <c r="I99"/>
  <c r="J20"/>
  <c r="E49"/>
  <c r="I77"/>
  <c r="D106"/>
  <c r="D25"/>
  <c r="G17"/>
  <c r="H26"/>
  <c r="G29"/>
  <c r="D89"/>
  <c r="L55"/>
  <c r="D62"/>
  <c r="G80"/>
  <c r="G82"/>
  <c r="H91"/>
  <c r="K99"/>
  <c r="J101"/>
  <c r="K109"/>
  <c r="I30"/>
  <c r="I32"/>
  <c r="J41"/>
  <c r="D50"/>
  <c r="D65"/>
  <c r="C99"/>
  <c r="C49"/>
  <c r="C102"/>
  <c r="C87"/>
  <c r="C72"/>
  <c r="C66"/>
  <c r="H31"/>
  <c r="H32"/>
  <c r="H33"/>
  <c r="I41"/>
  <c r="I42"/>
  <c r="H44"/>
  <c r="L50"/>
  <c r="K90"/>
  <c r="E82"/>
  <c r="E83"/>
  <c r="E84"/>
  <c r="F92"/>
  <c r="F93"/>
  <c r="E95"/>
  <c r="I101"/>
  <c r="K4"/>
  <c r="K5"/>
  <c r="K6"/>
  <c r="L14"/>
  <c r="L15"/>
  <c r="K17"/>
  <c r="F24"/>
  <c r="H53"/>
  <c r="F41"/>
  <c r="F42"/>
  <c r="F43"/>
  <c r="G51"/>
  <c r="G52"/>
  <c r="F54"/>
  <c r="J60"/>
  <c r="L41"/>
  <c r="J77"/>
  <c r="J78"/>
  <c r="J79"/>
  <c r="K87"/>
  <c r="K88"/>
  <c r="J90"/>
  <c r="E97"/>
  <c r="E104"/>
  <c r="E8"/>
  <c r="G14"/>
  <c r="H10"/>
  <c r="H11"/>
  <c r="G13"/>
  <c r="K19"/>
  <c r="L17"/>
  <c r="L43"/>
  <c r="L44"/>
  <c r="L45"/>
  <c r="D54"/>
  <c r="D55"/>
  <c r="L56"/>
  <c r="G63"/>
  <c r="G18"/>
  <c r="I100"/>
  <c r="G93"/>
  <c r="I31"/>
  <c r="I4"/>
  <c r="K46"/>
  <c r="L52"/>
  <c r="J37"/>
  <c r="J39"/>
  <c r="K48"/>
  <c r="E57"/>
  <c r="K57"/>
  <c r="D8"/>
  <c r="D60"/>
  <c r="E69"/>
  <c r="D72"/>
  <c r="J83"/>
  <c r="E67"/>
  <c r="F76"/>
  <c r="E79"/>
  <c r="E88"/>
  <c r="C38"/>
  <c r="H98"/>
  <c r="G101"/>
  <c r="F25"/>
  <c r="F27"/>
  <c r="G36"/>
  <c r="J44"/>
  <c r="D41"/>
  <c r="J62"/>
  <c r="K71"/>
  <c r="J74"/>
  <c r="L49"/>
  <c r="E99"/>
  <c r="F108"/>
  <c r="G30"/>
  <c r="K21"/>
  <c r="L30"/>
  <c r="K33"/>
  <c r="I68"/>
  <c r="F59"/>
  <c r="F70"/>
  <c r="K100"/>
  <c r="L110"/>
  <c r="H6"/>
  <c r="G81"/>
  <c r="I43"/>
  <c r="D63"/>
  <c r="K47"/>
  <c r="L51"/>
  <c r="E70"/>
  <c r="E66"/>
  <c r="I85"/>
  <c r="C108"/>
  <c r="C93"/>
  <c r="C70"/>
  <c r="C55"/>
  <c r="C40"/>
  <c r="C34"/>
  <c r="D3"/>
  <c r="D4"/>
  <c r="D5"/>
  <c r="E13"/>
  <c r="E14"/>
  <c r="D16"/>
  <c r="H22"/>
  <c r="F39"/>
  <c r="J53"/>
  <c r="J54"/>
  <c r="J55"/>
  <c r="K63"/>
  <c r="K64"/>
  <c r="J66"/>
  <c r="E73"/>
  <c r="H93"/>
  <c r="E90"/>
  <c r="E91"/>
  <c r="E92"/>
  <c r="F100"/>
  <c r="F101"/>
  <c r="E103"/>
  <c r="I109"/>
  <c r="K12"/>
  <c r="K13"/>
  <c r="K14"/>
  <c r="L22"/>
  <c r="L23"/>
  <c r="K25"/>
  <c r="F32"/>
  <c r="K18"/>
  <c r="F49"/>
  <c r="F50"/>
  <c r="F51"/>
  <c r="G59"/>
  <c r="G60"/>
  <c r="F62"/>
  <c r="J68"/>
  <c r="L105"/>
  <c r="J85"/>
  <c r="J86"/>
  <c r="J87"/>
  <c r="K95"/>
  <c r="K96"/>
  <c r="J98"/>
  <c r="E105"/>
  <c r="H15"/>
  <c r="H16"/>
  <c r="H17"/>
  <c r="I25"/>
  <c r="I26"/>
  <c r="H28"/>
  <c r="L34"/>
  <c r="G16"/>
  <c r="H85"/>
  <c r="H90"/>
  <c r="L64"/>
  <c r="G54"/>
  <c r="K44"/>
  <c r="K58"/>
  <c r="G71"/>
  <c r="I95"/>
  <c r="J104"/>
  <c r="H108"/>
  <c r="L54"/>
  <c r="E5"/>
  <c r="E3"/>
  <c r="F12"/>
  <c r="E15"/>
  <c r="E32"/>
  <c r="F10"/>
  <c r="G19"/>
  <c r="F22"/>
  <c r="L81"/>
  <c r="C76"/>
  <c r="C61"/>
  <c r="C23"/>
  <c r="C8"/>
  <c r="C67"/>
  <c r="C27"/>
  <c r="G88"/>
  <c r="G89"/>
  <c r="G90"/>
  <c r="H99"/>
  <c r="K107"/>
  <c r="F26"/>
  <c r="G35"/>
  <c r="F38"/>
  <c r="J61"/>
  <c r="J63"/>
  <c r="K72"/>
  <c r="E81"/>
  <c r="E98"/>
  <c r="E100"/>
  <c r="F109"/>
  <c r="K20"/>
  <c r="K22"/>
  <c r="L31"/>
  <c r="F40"/>
  <c r="F58"/>
  <c r="G67"/>
  <c r="J76"/>
  <c r="F111"/>
  <c r="K102"/>
  <c r="L111"/>
  <c r="K35"/>
  <c r="G7"/>
  <c r="G109"/>
  <c r="J38"/>
  <c r="J102"/>
  <c r="D61"/>
  <c r="H78"/>
  <c r="F77"/>
  <c r="C44"/>
  <c r="C29"/>
  <c r="C6"/>
  <c r="C43"/>
  <c r="C25"/>
  <c r="C104"/>
  <c r="C98"/>
  <c r="L59"/>
  <c r="L60"/>
  <c r="L61"/>
  <c r="D70"/>
  <c r="D71"/>
  <c r="L72"/>
  <c r="G79"/>
  <c r="J35"/>
  <c r="I110"/>
  <c r="I111"/>
  <c r="L6"/>
  <c r="L7"/>
  <c r="K9"/>
  <c r="F16"/>
  <c r="D81"/>
  <c r="F33"/>
  <c r="F34"/>
  <c r="F35"/>
  <c r="G43"/>
  <c r="G44"/>
  <c r="F46"/>
  <c r="J52"/>
  <c r="D105"/>
  <c r="J69"/>
  <c r="J70"/>
  <c r="J71"/>
  <c r="K79"/>
  <c r="K80"/>
  <c r="J82"/>
  <c r="E89"/>
  <c r="G22"/>
  <c r="E106"/>
  <c r="E107"/>
  <c r="F15"/>
  <c r="H3"/>
  <c r="G5"/>
  <c r="K11"/>
  <c r="G94"/>
  <c r="K28"/>
  <c r="K29"/>
  <c r="K30"/>
  <c r="L38"/>
  <c r="L39"/>
  <c r="K41"/>
  <c r="F48"/>
  <c r="H69"/>
  <c r="G72"/>
  <c r="G73"/>
  <c r="G74"/>
  <c r="H82"/>
  <c r="H83"/>
  <c r="G85"/>
  <c r="K91"/>
  <c r="H27"/>
  <c r="H21"/>
  <c r="F63"/>
  <c r="J40"/>
  <c r="J43"/>
  <c r="J103"/>
  <c r="L53"/>
  <c r="I94"/>
  <c r="I96"/>
  <c r="J105"/>
  <c r="J19"/>
  <c r="K26"/>
  <c r="E24"/>
  <c r="E4"/>
  <c r="F13"/>
  <c r="I21"/>
  <c r="I28"/>
  <c r="F11"/>
  <c r="G20"/>
  <c r="J28"/>
  <c r="G78"/>
  <c r="K3"/>
  <c r="F57"/>
  <c r="G68"/>
  <c r="K101"/>
  <c r="J51"/>
  <c r="F79"/>
  <c r="J50"/>
  <c r="D59"/>
  <c r="E68"/>
  <c r="M36" i="3" l="1"/>
  <c r="L14" i="2"/>
  <c r="AR28" i="1"/>
  <c r="BH28"/>
  <c r="AZ28"/>
  <c r="T28"/>
  <c r="AB28"/>
  <c r="AI30"/>
  <c r="T30"/>
  <c r="L28"/>
  <c r="AJ28"/>
  <c r="AJ30" l="1"/>
  <c r="AQ30"/>
  <c r="AY30" l="1"/>
  <c r="AR30"/>
  <c r="BG30" l="1"/>
  <c r="AZ30"/>
  <c r="BO30" l="1"/>
  <c r="BH30"/>
  <c r="BP30" l="1"/>
  <c r="BW30"/>
  <c r="BX30" l="1"/>
  <c r="CE30"/>
  <c r="CF30" s="1"/>
</calcChain>
</file>

<file path=xl/sharedStrings.xml><?xml version="1.0" encoding="utf-8"?>
<sst xmlns="http://schemas.openxmlformats.org/spreadsheetml/2006/main" count="1202" uniqueCount="215">
  <si>
    <t>MODEL NO</t>
  </si>
  <si>
    <t>PART NO</t>
  </si>
  <si>
    <t>ITEM CODE</t>
  </si>
  <si>
    <t>DESCRIPTION</t>
  </si>
  <si>
    <t>QTY</t>
  </si>
  <si>
    <t>UNIT PRICE</t>
  </si>
  <si>
    <t>TOTAL</t>
  </si>
  <si>
    <t>TS 03 HN</t>
  </si>
  <si>
    <t>000998044</t>
  </si>
  <si>
    <t xml:space="preserve">ELGI AIRLUBE </t>
  </si>
  <si>
    <t>000443710</t>
  </si>
  <si>
    <t>AIRFILTER ELEMENT</t>
  </si>
  <si>
    <t>A020030</t>
  </si>
  <si>
    <t>BREATHER VALVE</t>
  </si>
  <si>
    <t>00052121A</t>
  </si>
  <si>
    <t>CON ROD  BUSH 70</t>
  </si>
  <si>
    <t>00052122A</t>
  </si>
  <si>
    <t>CON ROD BUSH 50</t>
  </si>
  <si>
    <t>000526550</t>
  </si>
  <si>
    <t>O RING OIL LEVEL INDICATOR</t>
  </si>
  <si>
    <t>000513440</t>
  </si>
  <si>
    <t>OIL LEVEL INDICATOR</t>
  </si>
  <si>
    <t>022403139</t>
  </si>
  <si>
    <t>NRV VALVE KIT</t>
  </si>
  <si>
    <t>000477750</t>
  </si>
  <si>
    <t>PISTON ASSY 70</t>
  </si>
  <si>
    <t>000477720</t>
  </si>
  <si>
    <t>PISTON ASSY 50</t>
  </si>
  <si>
    <t>000210020</t>
  </si>
  <si>
    <t>CYLINDER ASSY 70</t>
  </si>
  <si>
    <t>000210040</t>
  </si>
  <si>
    <t>CYLINDER ASSY 50</t>
  </si>
  <si>
    <t>00021003B</t>
  </si>
  <si>
    <t>CYLINDER HEAD 70</t>
  </si>
  <si>
    <t>000219930</t>
  </si>
  <si>
    <t>CYLINDER HEAD 50</t>
  </si>
  <si>
    <t>020360390</t>
  </si>
  <si>
    <t>C/SHAFT ASSY WITH BEARINGS</t>
  </si>
  <si>
    <t>000905174 (220L)</t>
  </si>
  <si>
    <t>V - BELT</t>
  </si>
  <si>
    <t>00031006A</t>
  </si>
  <si>
    <t xml:space="preserve">INTER COOLER </t>
  </si>
  <si>
    <t>022434409 (220L)</t>
  </si>
  <si>
    <t>AFTER COOLER PIPE</t>
  </si>
  <si>
    <t>B212343</t>
  </si>
  <si>
    <t>PRESSURE GAUGE</t>
  </si>
  <si>
    <t>K0206099</t>
  </si>
  <si>
    <t>TUNE UP KIT</t>
  </si>
  <si>
    <t>A020241</t>
  </si>
  <si>
    <t>SAFETY VALVE AFTER COOLER</t>
  </si>
  <si>
    <t>020370960</t>
  </si>
  <si>
    <t>SAFETY VALVE INTER COOLER</t>
  </si>
  <si>
    <t>A020196</t>
  </si>
  <si>
    <t>SAFETY VALVE AIR RECEIVER</t>
  </si>
  <si>
    <t>000905170 (160L)</t>
  </si>
  <si>
    <t xml:space="preserve"> 020434399(160L)</t>
  </si>
  <si>
    <t>TS 05 HN</t>
  </si>
  <si>
    <t>000317820</t>
  </si>
  <si>
    <t>A020201</t>
  </si>
  <si>
    <t>003408200</t>
  </si>
  <si>
    <t>PISTON ASSY 90</t>
  </si>
  <si>
    <t>020350120</t>
  </si>
  <si>
    <t>CYLINDER ASSY 90</t>
  </si>
  <si>
    <t>020360010</t>
  </si>
  <si>
    <t>CYLINDER HEAD 90</t>
  </si>
  <si>
    <t>000905275</t>
  </si>
  <si>
    <t>003305250</t>
  </si>
  <si>
    <t>022434419</t>
  </si>
  <si>
    <t>K0206100</t>
  </si>
  <si>
    <t>TS 05 M</t>
  </si>
  <si>
    <t>A060008</t>
  </si>
  <si>
    <t>Air filter assy</t>
  </si>
  <si>
    <t>022400829</t>
  </si>
  <si>
    <t>020481850</t>
  </si>
  <si>
    <t>PISTON ASSY 78</t>
  </si>
  <si>
    <t>020482780</t>
  </si>
  <si>
    <t>020354010</t>
  </si>
  <si>
    <t>CYLINDER ASSY 78</t>
  </si>
  <si>
    <t>020353990</t>
  </si>
  <si>
    <t>020354040</t>
  </si>
  <si>
    <t>CYLINDER HEAD 78</t>
  </si>
  <si>
    <t>020354030</t>
  </si>
  <si>
    <t>020375350</t>
  </si>
  <si>
    <t>000905263</t>
  </si>
  <si>
    <t>BELT V B62</t>
  </si>
  <si>
    <t>020368030</t>
  </si>
  <si>
    <t>022434429</t>
  </si>
  <si>
    <t>K0206106</t>
  </si>
  <si>
    <t>A020195</t>
  </si>
  <si>
    <t>TS 07 HN</t>
  </si>
  <si>
    <t>00052119A</t>
  </si>
  <si>
    <t>CON ROD  BUSH 100</t>
  </si>
  <si>
    <t>CON ROD BUSH 60</t>
  </si>
  <si>
    <t>020494560</t>
  </si>
  <si>
    <t>PISTON ASSY 100</t>
  </si>
  <si>
    <t>000477730</t>
  </si>
  <si>
    <t>PISTON ASSY 60</t>
  </si>
  <si>
    <t>00021010D</t>
  </si>
  <si>
    <t>CYLINDER ASSY 100</t>
  </si>
  <si>
    <t>000210110</t>
  </si>
  <si>
    <t>CYLINDER ASSY 60</t>
  </si>
  <si>
    <t>00021238C</t>
  </si>
  <si>
    <t>CYLINDER HEAD 100</t>
  </si>
  <si>
    <t>000210120</t>
  </si>
  <si>
    <t>CYLINDER HEAD 60</t>
  </si>
  <si>
    <t>020362530</t>
  </si>
  <si>
    <t>00031009A</t>
  </si>
  <si>
    <t>022434439</t>
  </si>
  <si>
    <t>K0206101</t>
  </si>
  <si>
    <t>TS 10 HN</t>
  </si>
  <si>
    <t>CON ROD BUSH 70</t>
  </si>
  <si>
    <t>000213930</t>
  </si>
  <si>
    <t>020362550</t>
  </si>
  <si>
    <t>000905277</t>
  </si>
  <si>
    <t>022457919</t>
  </si>
  <si>
    <t>INTER COOLER CON.PIPE (1)</t>
  </si>
  <si>
    <t>022457929</t>
  </si>
  <si>
    <t>INTER COOLER CON.PIPE (2)</t>
  </si>
  <si>
    <t>022434449</t>
  </si>
  <si>
    <t>AFTER COOLER PIPE 1</t>
  </si>
  <si>
    <t>022434459</t>
  </si>
  <si>
    <t>AFTER COOLER PIPE 2</t>
  </si>
  <si>
    <t>K0206108</t>
  </si>
  <si>
    <t>B012806280008</t>
  </si>
  <si>
    <t>A020002</t>
  </si>
  <si>
    <t>A020245</t>
  </si>
  <si>
    <t>TS 10 HT</t>
  </si>
  <si>
    <t>A020436</t>
  </si>
  <si>
    <t>000903712</t>
  </si>
  <si>
    <t>000903713</t>
  </si>
  <si>
    <t>CON ROD BUSH 127</t>
  </si>
  <si>
    <t>020494380</t>
  </si>
  <si>
    <t>020494360</t>
  </si>
  <si>
    <t>PISTON ASSY 127</t>
  </si>
  <si>
    <t>020360960</t>
  </si>
  <si>
    <t>020360940</t>
  </si>
  <si>
    <t>CYLINDER ASSY 127</t>
  </si>
  <si>
    <t>020360980</t>
  </si>
  <si>
    <t>020361000</t>
  </si>
  <si>
    <t>CYLINDER HEAD 127</t>
  </si>
  <si>
    <t>022434199</t>
  </si>
  <si>
    <t>000905304</t>
  </si>
  <si>
    <t>020367730</t>
  </si>
  <si>
    <t>INTER COOLER</t>
  </si>
  <si>
    <t>020361420</t>
  </si>
  <si>
    <t>020367720</t>
  </si>
  <si>
    <t>022402489</t>
  </si>
  <si>
    <t>A020244</t>
  </si>
  <si>
    <t>TS 15 HN</t>
  </si>
  <si>
    <t>00021010A</t>
  </si>
  <si>
    <t>CYLINDER ASSY 100 DV</t>
  </si>
  <si>
    <t>A020569</t>
  </si>
  <si>
    <t>DISC VALVE ASSY</t>
  </si>
  <si>
    <t>K0206109</t>
  </si>
  <si>
    <t>SS 03 / 05 HN</t>
  </si>
  <si>
    <t>00021002A</t>
  </si>
  <si>
    <t>CYLINDER ASSY 70 (1)</t>
  </si>
  <si>
    <t>00021028B</t>
  </si>
  <si>
    <t>CYLINDER ASSY 70 (2)</t>
  </si>
  <si>
    <t>020362510</t>
  </si>
  <si>
    <t>000905166</t>
  </si>
  <si>
    <t>000210270</t>
  </si>
  <si>
    <t>CENTER COOLER</t>
  </si>
  <si>
    <t>022434469</t>
  </si>
  <si>
    <t>K0206102</t>
  </si>
  <si>
    <t>SS 07 / 10 HN</t>
  </si>
  <si>
    <t>020362520</t>
  </si>
  <si>
    <t>000905271</t>
  </si>
  <si>
    <t>V - BELT  M 70</t>
  </si>
  <si>
    <t>000210260</t>
  </si>
  <si>
    <t xml:space="preserve">CENTER COOLER </t>
  </si>
  <si>
    <t>022434509</t>
  </si>
  <si>
    <t>K0206103</t>
  </si>
  <si>
    <t>SS 15 HN</t>
  </si>
  <si>
    <t>020362540</t>
  </si>
  <si>
    <t>000905431</t>
  </si>
  <si>
    <t>00041811A</t>
  </si>
  <si>
    <t>00041812A</t>
  </si>
  <si>
    <t>020368160</t>
  </si>
  <si>
    <t>020368170</t>
  </si>
  <si>
    <t>K0206107</t>
  </si>
  <si>
    <t>A020243</t>
  </si>
  <si>
    <t>1                 (500 - 2500)</t>
  </si>
  <si>
    <t>2              (3000 - 5000)</t>
  </si>
  <si>
    <t>3              (5500 - 7500)</t>
  </si>
  <si>
    <t>4                 (8000 - 10000)</t>
  </si>
  <si>
    <t>5              (10500 - 12500)</t>
  </si>
  <si>
    <t>6              (13000 - 15000)</t>
  </si>
  <si>
    <t>7              (15500 - 17500)</t>
  </si>
  <si>
    <t>8              (18000 - 20000)</t>
  </si>
  <si>
    <t>9              (20500 - 22500)</t>
  </si>
  <si>
    <t>10              (23000 - 25000)</t>
  </si>
  <si>
    <t>SS 03 HN</t>
  </si>
  <si>
    <t>SS 05 HN</t>
  </si>
  <si>
    <t>SS 07 HN</t>
  </si>
  <si>
    <t>SS 10 HN</t>
  </si>
  <si>
    <t>COUNT</t>
  </si>
  <si>
    <t>YEAR</t>
  </si>
  <si>
    <t>MODEL</t>
  </si>
  <si>
    <t>Part</t>
  </si>
  <si>
    <t>Description</t>
  </si>
  <si>
    <t>Year 1</t>
  </si>
  <si>
    <t>Year 3</t>
  </si>
  <si>
    <t>Year 4</t>
  </si>
  <si>
    <t>Year 5</t>
  </si>
  <si>
    <t>Year 6</t>
  </si>
  <si>
    <t>Year 7</t>
  </si>
  <si>
    <t>Year 8</t>
  </si>
  <si>
    <t>Year 9</t>
  </si>
  <si>
    <t>Year 10</t>
  </si>
  <si>
    <t>Revenue in INR</t>
  </si>
  <si>
    <t>Model</t>
  </si>
  <si>
    <t>Years</t>
  </si>
  <si>
    <t>Quantity</t>
  </si>
  <si>
    <t>Year 2</t>
  </si>
</sst>
</file>

<file path=xl/styles.xml><?xml version="1.0" encoding="utf-8"?>
<styleSheet xmlns="http://schemas.openxmlformats.org/spreadsheetml/2006/main">
  <numFmts count="4">
    <numFmt numFmtId="164" formatCode="0&quot; &quot;;[Red]&quot;(&quot;0&quot;)&quot;"/>
    <numFmt numFmtId="165" formatCode="0;[Red]&quot;(&quot;0&quot;)&quot;"/>
    <numFmt numFmtId="166" formatCode="&quot;₹&quot;\ #,##0"/>
    <numFmt numFmtId="167" formatCode="&quot;₹&quot;\ #,##0.00"/>
  </numFmts>
  <fonts count="21">
    <font>
      <sz val="11"/>
      <color theme="1"/>
      <name val="Calibri"/>
      <family val="2"/>
      <scheme val="minor"/>
    </font>
    <font>
      <sz val="10"/>
      <color theme="1"/>
      <name val="Arial"/>
      <family val="2"/>
    </font>
    <font>
      <b/>
      <sz val="11"/>
      <color theme="1"/>
      <name val="Calibri1"/>
    </font>
    <font>
      <sz val="11"/>
      <color theme="1"/>
      <name val="Liberation Sans"/>
      <family val="2"/>
    </font>
    <font>
      <sz val="11"/>
      <color theme="1"/>
      <name val="Calibri1"/>
    </font>
    <font>
      <sz val="10"/>
      <color rgb="FF0000FF"/>
      <name val="Arial"/>
      <family val="2"/>
    </font>
    <font>
      <sz val="11"/>
      <color rgb="FF0000FF"/>
      <name val="Calibri1"/>
    </font>
    <font>
      <sz val="11"/>
      <color rgb="FF0000FF"/>
      <name val="Calibri"/>
      <family val="2"/>
    </font>
    <font>
      <sz val="10"/>
      <name val="Arial"/>
      <family val="2"/>
    </font>
    <font>
      <sz val="10"/>
      <color rgb="FF0000FF"/>
      <name val="Verdana"/>
      <family val="2"/>
    </font>
    <font>
      <sz val="10"/>
      <name val="Verdana"/>
      <family val="2"/>
    </font>
    <font>
      <b/>
      <sz val="11"/>
      <color rgb="FF0000FF"/>
      <name val="Calibri1"/>
    </font>
    <font>
      <i/>
      <sz val="11"/>
      <color rgb="FF7F7F7F"/>
      <name val="Calibri"/>
      <family val="2"/>
    </font>
    <font>
      <sz val="11"/>
      <color rgb="FF7F7F7F"/>
      <name val="Calibri1"/>
    </font>
    <font>
      <b/>
      <sz val="12"/>
      <color theme="0"/>
      <name val="Verdana"/>
      <family val="2"/>
    </font>
    <font>
      <b/>
      <sz val="12"/>
      <color theme="1"/>
      <name val="Verdana"/>
      <family val="2"/>
    </font>
    <font>
      <sz val="12"/>
      <color theme="1"/>
      <name val="Verdana"/>
      <family val="2"/>
    </font>
    <font>
      <sz val="12"/>
      <name val="Verdana"/>
      <family val="2"/>
    </font>
    <font>
      <sz val="11"/>
      <color theme="1"/>
      <name val="Verdana"/>
      <family val="2"/>
    </font>
    <font>
      <b/>
      <sz val="11"/>
      <color theme="1"/>
      <name val="Verdana"/>
      <family val="2"/>
    </font>
    <font>
      <b/>
      <sz val="11"/>
      <color theme="1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rgb="FFFF000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4" tint="0.79998168889431442"/>
        <bgColor theme="4" tint="0.79998168889431442"/>
      </patternFill>
    </fill>
    <fill>
      <patternFill patternType="solid">
        <fgColor rgb="FFFFFF00"/>
        <bgColor theme="4" tint="0.79998168889431442"/>
      </patternFill>
    </fill>
  </fills>
  <borders count="28">
    <border>
      <left/>
      <right/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/>
      <top style="thin">
        <color rgb="FF000000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 style="thin">
        <color rgb="FF000000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indexed="64"/>
      </bottom>
      <diagonal/>
    </border>
    <border>
      <left style="thin">
        <color rgb="FF000000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/>
      <bottom style="medium">
        <color indexed="64"/>
      </bottom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/>
      <top/>
      <bottom style="thin">
        <color rgb="FF000000"/>
      </bottom>
      <diagonal/>
    </border>
    <border>
      <left/>
      <right style="thin">
        <color rgb="FF000000"/>
      </right>
      <top/>
      <bottom style="thin">
        <color rgb="FF000000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/>
      <top style="thin">
        <color indexed="64"/>
      </top>
      <bottom/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</borders>
  <cellStyleXfs count="8">
    <xf numFmtId="0" fontId="0" fillId="0" borderId="0"/>
    <xf numFmtId="0" fontId="1" fillId="0" borderId="0">
      <alignment vertical="center"/>
    </xf>
    <xf numFmtId="0" fontId="3" fillId="0" borderId="0"/>
    <xf numFmtId="0" fontId="5" fillId="0" borderId="0">
      <alignment vertical="center"/>
    </xf>
    <xf numFmtId="0" fontId="8" fillId="0" borderId="0"/>
    <xf numFmtId="0" fontId="8" fillId="0" borderId="0"/>
    <xf numFmtId="0" fontId="5" fillId="0" borderId="0"/>
    <xf numFmtId="0" fontId="12" fillId="0" borderId="0"/>
  </cellStyleXfs>
  <cellXfs count="165">
    <xf numFmtId="0" fontId="0" fillId="0" borderId="0" xfId="0"/>
    <xf numFmtId="0" fontId="2" fillId="0" borderId="1" xfId="1" applyFont="1" applyFill="1" applyBorder="1" applyAlignment="1">
      <alignment horizontal="center" vertical="center"/>
    </xf>
    <xf numFmtId="0" fontId="2" fillId="0" borderId="1" xfId="2" applyFont="1" applyFill="1" applyBorder="1" applyAlignment="1">
      <alignment horizontal="center" vertical="center"/>
    </xf>
    <xf numFmtId="164" fontId="2" fillId="0" borderId="1" xfId="1" applyNumberFormat="1" applyFont="1" applyFill="1" applyBorder="1" applyAlignment="1">
      <alignment horizontal="center" vertical="center" wrapText="1"/>
    </xf>
    <xf numFmtId="165" fontId="2" fillId="0" borderId="1" xfId="1" applyNumberFormat="1" applyFont="1" applyFill="1" applyBorder="1" applyAlignment="1">
      <alignment horizontal="center" vertical="center" wrapText="1"/>
    </xf>
    <xf numFmtId="0" fontId="2" fillId="0" borderId="0" xfId="2" applyFont="1" applyAlignment="1">
      <alignment horizontal="center" vertical="center"/>
    </xf>
    <xf numFmtId="165" fontId="2" fillId="0" borderId="1" xfId="2" applyNumberFormat="1" applyFont="1" applyFill="1" applyBorder="1" applyAlignment="1">
      <alignment horizontal="center" vertical="center"/>
    </xf>
    <xf numFmtId="0" fontId="2" fillId="0" borderId="0" xfId="1" applyFont="1" applyFill="1" applyBorder="1" applyAlignment="1">
      <alignment horizontal="center" vertical="center"/>
    </xf>
    <xf numFmtId="0" fontId="4" fillId="0" borderId="0" xfId="1" applyFont="1" applyFill="1" applyAlignment="1">
      <alignment horizontal="right" vertical="center"/>
    </xf>
    <xf numFmtId="49" fontId="4" fillId="0" borderId="1" xfId="1" applyNumberFormat="1" applyFont="1" applyFill="1" applyBorder="1" applyAlignment="1">
      <alignment horizontal="center" vertical="center"/>
    </xf>
    <xf numFmtId="49" fontId="6" fillId="0" borderId="1" xfId="3" applyNumberFormat="1" applyFont="1" applyFill="1" applyBorder="1" applyAlignment="1">
      <alignment horizontal="left" vertical="top"/>
    </xf>
    <xf numFmtId="0" fontId="6" fillId="0" borderId="1" xfId="3" applyFont="1" applyFill="1" applyBorder="1" applyAlignment="1">
      <alignment horizontal="left"/>
    </xf>
    <xf numFmtId="164" fontId="6" fillId="0" borderId="1" xfId="3" applyNumberFormat="1" applyFont="1" applyFill="1" applyBorder="1" applyAlignment="1">
      <alignment horizontal="left" vertical="top"/>
    </xf>
    <xf numFmtId="165" fontId="6" fillId="0" borderId="1" xfId="3" applyNumberFormat="1" applyFont="1" applyFill="1" applyBorder="1" applyAlignment="1">
      <alignment horizontal="right"/>
    </xf>
    <xf numFmtId="0" fontId="7" fillId="0" borderId="1" xfId="2" applyFont="1" applyBorder="1"/>
    <xf numFmtId="0" fontId="4" fillId="0" borderId="0" xfId="2" applyFont="1" applyFill="1" applyAlignment="1">
      <alignment horizontal="right"/>
    </xf>
    <xf numFmtId="49" fontId="6" fillId="0" borderId="1" xfId="3" applyNumberFormat="1" applyFont="1" applyFill="1" applyBorder="1" applyAlignment="1">
      <alignment horizontal="left" vertical="center"/>
    </xf>
    <xf numFmtId="164" fontId="6" fillId="0" borderId="1" xfId="3" applyNumberFormat="1" applyFont="1" applyFill="1" applyBorder="1" applyAlignment="1">
      <alignment horizontal="left" vertical="center"/>
    </xf>
    <xf numFmtId="165" fontId="6" fillId="0" borderId="1" xfId="3" applyNumberFormat="1" applyFont="1" applyFill="1" applyBorder="1" applyAlignment="1">
      <alignment horizontal="right" vertical="center"/>
    </xf>
    <xf numFmtId="1" fontId="9" fillId="0" borderId="1" xfId="4" applyNumberFormat="1" applyFont="1" applyFill="1" applyBorder="1" applyAlignment="1">
      <alignment horizontal="right"/>
    </xf>
    <xf numFmtId="49" fontId="6" fillId="0" borderId="1" xfId="3" applyNumberFormat="1" applyFont="1" applyFill="1" applyBorder="1" applyAlignment="1">
      <alignment horizontal="left"/>
    </xf>
    <xf numFmtId="0" fontId="6" fillId="0" borderId="1" xfId="2" applyFont="1" applyBorder="1" applyAlignment="1">
      <alignment horizontal="right"/>
    </xf>
    <xf numFmtId="0" fontId="9" fillId="0" borderId="1" xfId="5" applyFont="1" applyBorder="1" applyAlignment="1">
      <alignment horizontal="right"/>
    </xf>
    <xf numFmtId="1" fontId="6" fillId="0" borderId="1" xfId="2" applyNumberFormat="1" applyFont="1" applyFill="1" applyBorder="1" applyAlignment="1">
      <alignment horizontal="left"/>
    </xf>
    <xf numFmtId="0" fontId="4" fillId="0" borderId="1" xfId="2" applyFont="1" applyFill="1" applyBorder="1" applyAlignment="1">
      <alignment horizontal="left"/>
    </xf>
    <xf numFmtId="165" fontId="4" fillId="0" borderId="1" xfId="2" applyNumberFormat="1" applyFont="1" applyFill="1" applyBorder="1" applyAlignment="1">
      <alignment horizontal="right"/>
    </xf>
    <xf numFmtId="49" fontId="6" fillId="0" borderId="2" xfId="3" applyNumberFormat="1" applyFont="1" applyFill="1" applyBorder="1" applyAlignment="1">
      <alignment horizontal="left" vertical="top"/>
    </xf>
    <xf numFmtId="0" fontId="6" fillId="0" borderId="2" xfId="3" applyFont="1" applyFill="1" applyBorder="1" applyAlignment="1">
      <alignment horizontal="left"/>
    </xf>
    <xf numFmtId="165" fontId="6" fillId="0" borderId="2" xfId="3" applyNumberFormat="1" applyFont="1" applyFill="1" applyBorder="1" applyAlignment="1">
      <alignment horizontal="right"/>
    </xf>
    <xf numFmtId="0" fontId="9" fillId="0" borderId="2" xfId="5" applyFont="1" applyBorder="1" applyAlignment="1">
      <alignment horizontal="right"/>
    </xf>
    <xf numFmtId="49" fontId="4" fillId="0" borderId="3" xfId="1" applyNumberFormat="1" applyFont="1" applyFill="1" applyBorder="1" applyAlignment="1">
      <alignment horizontal="center" vertical="center"/>
    </xf>
    <xf numFmtId="49" fontId="6" fillId="0" borderId="4" xfId="1" applyNumberFormat="1" applyFont="1" applyFill="1" applyBorder="1" applyAlignment="1">
      <alignment horizontal="left" vertical="center"/>
    </xf>
    <xf numFmtId="0" fontId="4" fillId="0" borderId="4" xfId="1" applyFont="1" applyFill="1" applyBorder="1" applyAlignment="1">
      <alignment horizontal="left" vertical="center"/>
    </xf>
    <xf numFmtId="164" fontId="6" fillId="0" borderId="5" xfId="3" applyNumberFormat="1" applyFont="1" applyFill="1" applyBorder="1" applyAlignment="1">
      <alignment horizontal="left" vertical="top"/>
    </xf>
    <xf numFmtId="165" fontId="4" fillId="0" borderId="4" xfId="1" applyNumberFormat="1" applyFont="1" applyFill="1" applyBorder="1" applyAlignment="1">
      <alignment horizontal="right" vertical="center"/>
    </xf>
    <xf numFmtId="0" fontId="7" fillId="0" borderId="0" xfId="2" applyFont="1"/>
    <xf numFmtId="49" fontId="4" fillId="0" borderId="6" xfId="1" applyNumberFormat="1" applyFont="1" applyFill="1" applyBorder="1" applyAlignment="1">
      <alignment horizontal="center" vertical="center"/>
    </xf>
    <xf numFmtId="1" fontId="6" fillId="0" borderId="6" xfId="2" applyNumberFormat="1" applyFont="1" applyFill="1" applyBorder="1" applyAlignment="1">
      <alignment horizontal="left"/>
    </xf>
    <xf numFmtId="0" fontId="4" fillId="0" borderId="6" xfId="2" applyFont="1" applyFill="1" applyBorder="1" applyAlignment="1">
      <alignment horizontal="left"/>
    </xf>
    <xf numFmtId="164" fontId="6" fillId="0" borderId="6" xfId="3" applyNumberFormat="1" applyFont="1" applyFill="1" applyBorder="1" applyAlignment="1">
      <alignment horizontal="left" vertical="top"/>
    </xf>
    <xf numFmtId="165" fontId="4" fillId="0" borderId="6" xfId="2" applyNumberFormat="1" applyFont="1" applyFill="1" applyBorder="1" applyAlignment="1">
      <alignment horizontal="right"/>
    </xf>
    <xf numFmtId="165" fontId="6" fillId="0" borderId="6" xfId="3" applyNumberFormat="1" applyFont="1" applyFill="1" applyBorder="1" applyAlignment="1">
      <alignment horizontal="right"/>
    </xf>
    <xf numFmtId="1" fontId="9" fillId="0" borderId="6" xfId="4" applyNumberFormat="1" applyFont="1" applyFill="1" applyBorder="1" applyAlignment="1">
      <alignment horizontal="right"/>
    </xf>
    <xf numFmtId="0" fontId="4" fillId="0" borderId="0" xfId="2" applyFont="1" applyFill="1" applyBorder="1" applyAlignment="1">
      <alignment horizontal="right"/>
    </xf>
    <xf numFmtId="0" fontId="4" fillId="0" borderId="0" xfId="1" applyFont="1" applyFill="1" applyBorder="1" applyAlignment="1">
      <alignment horizontal="right" vertical="center"/>
    </xf>
    <xf numFmtId="0" fontId="4" fillId="0" borderId="7" xfId="1" applyFont="1" applyFill="1" applyBorder="1" applyAlignment="1">
      <alignment horizontal="right" vertical="center"/>
    </xf>
    <xf numFmtId="0" fontId="4" fillId="0" borderId="6" xfId="1" applyFont="1" applyFill="1" applyBorder="1" applyAlignment="1">
      <alignment horizontal="right" vertical="center"/>
    </xf>
    <xf numFmtId="49" fontId="4" fillId="0" borderId="0" xfId="1" applyNumberFormat="1" applyFont="1" applyFill="1" applyBorder="1" applyAlignment="1">
      <alignment horizontal="center" vertical="center"/>
    </xf>
    <xf numFmtId="1" fontId="6" fillId="0" borderId="0" xfId="2" applyNumberFormat="1" applyFont="1" applyFill="1" applyBorder="1" applyAlignment="1">
      <alignment horizontal="left"/>
    </xf>
    <xf numFmtId="0" fontId="4" fillId="0" borderId="0" xfId="2" applyFont="1" applyFill="1" applyBorder="1" applyAlignment="1">
      <alignment horizontal="left"/>
    </xf>
    <xf numFmtId="164" fontId="6" fillId="0" borderId="0" xfId="3" applyNumberFormat="1" applyFont="1" applyFill="1" applyBorder="1" applyAlignment="1">
      <alignment horizontal="left" vertical="top"/>
    </xf>
    <xf numFmtId="165" fontId="4" fillId="0" borderId="0" xfId="2" applyNumberFormat="1" applyFont="1" applyFill="1" applyBorder="1" applyAlignment="1">
      <alignment horizontal="right"/>
    </xf>
    <xf numFmtId="165" fontId="6" fillId="0" borderId="0" xfId="3" applyNumberFormat="1" applyFont="1" applyFill="1" applyBorder="1" applyAlignment="1">
      <alignment horizontal="right"/>
    </xf>
    <xf numFmtId="1" fontId="10" fillId="0" borderId="0" xfId="4" applyNumberFormat="1" applyFont="1" applyFill="1" applyBorder="1" applyAlignment="1">
      <alignment horizontal="right"/>
    </xf>
    <xf numFmtId="1" fontId="6" fillId="0" borderId="1" xfId="6" applyNumberFormat="1" applyFont="1" applyFill="1" applyBorder="1" applyAlignment="1">
      <alignment horizontal="right"/>
    </xf>
    <xf numFmtId="0" fontId="4" fillId="0" borderId="5" xfId="2" applyFont="1" applyFill="1" applyBorder="1" applyAlignment="1">
      <alignment horizontal="right"/>
    </xf>
    <xf numFmtId="0" fontId="4" fillId="0" borderId="5" xfId="1" applyFont="1" applyFill="1" applyBorder="1" applyAlignment="1">
      <alignment horizontal="right" vertical="center"/>
    </xf>
    <xf numFmtId="49" fontId="6" fillId="0" borderId="0" xfId="3" applyNumberFormat="1" applyFont="1" applyFill="1" applyBorder="1" applyAlignment="1">
      <alignment horizontal="left" vertical="top"/>
    </xf>
    <xf numFmtId="0" fontId="6" fillId="0" borderId="0" xfId="3" applyFont="1" applyFill="1" applyBorder="1" applyAlignment="1">
      <alignment horizontal="left"/>
    </xf>
    <xf numFmtId="165" fontId="11" fillId="0" borderId="0" xfId="3" applyNumberFormat="1" applyFont="1" applyFill="1" applyBorder="1" applyAlignment="1">
      <alignment horizontal="right"/>
    </xf>
    <xf numFmtId="1" fontId="4" fillId="0" borderId="0" xfId="2" applyNumberFormat="1" applyFont="1" applyFill="1" applyBorder="1" applyAlignment="1">
      <alignment horizontal="left"/>
    </xf>
    <xf numFmtId="0" fontId="4" fillId="0" borderId="1" xfId="1" applyFont="1" applyFill="1" applyBorder="1" applyAlignment="1">
      <alignment horizontal="center" vertical="center"/>
    </xf>
    <xf numFmtId="0" fontId="4" fillId="0" borderId="0" xfId="2" applyFont="1" applyFill="1" applyBorder="1" applyAlignment="1">
      <alignment horizontal="center"/>
    </xf>
    <xf numFmtId="0" fontId="4" fillId="0" borderId="2" xfId="1" applyFont="1" applyFill="1" applyBorder="1" applyAlignment="1">
      <alignment horizontal="center" vertical="center"/>
    </xf>
    <xf numFmtId="0" fontId="4" fillId="0" borderId="6" xfId="1" applyFont="1" applyFill="1" applyBorder="1" applyAlignment="1">
      <alignment horizontal="center" vertical="center"/>
    </xf>
    <xf numFmtId="0" fontId="6" fillId="0" borderId="6" xfId="3" applyFont="1" applyFill="1" applyBorder="1" applyAlignment="1">
      <alignment horizontal="left"/>
    </xf>
    <xf numFmtId="165" fontId="4" fillId="0" borderId="6" xfId="1" applyNumberFormat="1" applyFont="1" applyFill="1" applyBorder="1" applyAlignment="1">
      <alignment horizontal="right" vertical="center"/>
    </xf>
    <xf numFmtId="165" fontId="6" fillId="0" borderId="8" xfId="3" applyNumberFormat="1" applyFont="1" applyFill="1" applyBorder="1" applyAlignment="1">
      <alignment horizontal="right"/>
    </xf>
    <xf numFmtId="165" fontId="4" fillId="0" borderId="9" xfId="1" applyNumberFormat="1" applyFont="1" applyFill="1" applyBorder="1" applyAlignment="1">
      <alignment horizontal="right" vertical="center"/>
    </xf>
    <xf numFmtId="0" fontId="6" fillId="0" borderId="1" xfId="3" applyFont="1" applyFill="1" applyBorder="1" applyAlignment="1">
      <alignment horizontal="right"/>
    </xf>
    <xf numFmtId="0" fontId="6" fillId="0" borderId="2" xfId="2" applyFont="1" applyBorder="1" applyAlignment="1">
      <alignment horizontal="right"/>
    </xf>
    <xf numFmtId="164" fontId="6" fillId="0" borderId="2" xfId="3" applyNumberFormat="1" applyFont="1" applyFill="1" applyBorder="1" applyAlignment="1">
      <alignment horizontal="left" vertical="top"/>
    </xf>
    <xf numFmtId="0" fontId="9" fillId="0" borderId="6" xfId="5" applyFont="1" applyBorder="1" applyAlignment="1">
      <alignment horizontal="right"/>
    </xf>
    <xf numFmtId="0" fontId="7" fillId="0" borderId="6" xfId="2" applyFont="1" applyBorder="1"/>
    <xf numFmtId="0" fontId="4" fillId="0" borderId="6" xfId="2" applyFont="1" applyFill="1" applyBorder="1" applyAlignment="1">
      <alignment horizontal="right"/>
    </xf>
    <xf numFmtId="0" fontId="4" fillId="0" borderId="10" xfId="2" applyFont="1" applyFill="1" applyBorder="1" applyAlignment="1">
      <alignment horizontal="left"/>
    </xf>
    <xf numFmtId="164" fontId="6" fillId="0" borderId="11" xfId="3" applyNumberFormat="1" applyFont="1" applyFill="1" applyBorder="1" applyAlignment="1">
      <alignment horizontal="left" vertical="top"/>
    </xf>
    <xf numFmtId="0" fontId="4" fillId="0" borderId="10" xfId="2" applyFont="1" applyFill="1" applyBorder="1" applyAlignment="1">
      <alignment horizontal="right"/>
    </xf>
    <xf numFmtId="0" fontId="4" fillId="0" borderId="10" xfId="1" applyFont="1" applyFill="1" applyBorder="1" applyAlignment="1">
      <alignment horizontal="right" vertical="center"/>
    </xf>
    <xf numFmtId="164" fontId="13" fillId="0" borderId="0" xfId="7" applyNumberFormat="1" applyFont="1" applyFill="1" applyBorder="1" applyAlignment="1" applyProtection="1">
      <alignment horizontal="right" vertical="top" wrapText="1"/>
    </xf>
    <xf numFmtId="165" fontId="6" fillId="0" borderId="1" xfId="3" applyNumberFormat="1" applyFont="1" applyFill="1" applyBorder="1" applyAlignment="1" applyProtection="1">
      <alignment horizontal="right" wrapText="1"/>
    </xf>
    <xf numFmtId="0" fontId="4" fillId="0" borderId="0" xfId="1" applyFont="1" applyFill="1" applyBorder="1" applyAlignment="1">
      <alignment horizontal="center" vertical="center"/>
    </xf>
    <xf numFmtId="1" fontId="6" fillId="0" borderId="0" xfId="3" applyNumberFormat="1" applyFont="1" applyFill="1" applyBorder="1" applyAlignment="1" applyProtection="1">
      <alignment horizontal="left" vertical="top" wrapText="1"/>
    </xf>
    <xf numFmtId="164" fontId="6" fillId="0" borderId="0" xfId="3" applyNumberFormat="1" applyFont="1" applyFill="1" applyBorder="1" applyAlignment="1" applyProtection="1">
      <alignment horizontal="left" vertical="top" wrapText="1"/>
    </xf>
    <xf numFmtId="165" fontId="6" fillId="0" borderId="0" xfId="3" applyNumberFormat="1" applyFont="1" applyFill="1" applyBorder="1" applyAlignment="1" applyProtection="1">
      <alignment horizontal="right" wrapText="1"/>
    </xf>
    <xf numFmtId="165" fontId="6" fillId="0" borderId="0" xfId="3" applyNumberFormat="1" applyFont="1" applyFill="1" applyBorder="1" applyAlignment="1" applyProtection="1">
      <alignment horizontal="right"/>
    </xf>
    <xf numFmtId="165" fontId="13" fillId="0" borderId="0" xfId="7" applyNumberFormat="1" applyFont="1" applyFill="1" applyBorder="1" applyAlignment="1" applyProtection="1">
      <alignment horizontal="right"/>
    </xf>
    <xf numFmtId="165" fontId="6" fillId="0" borderId="1" xfId="6" applyNumberFormat="1" applyFont="1" applyFill="1" applyBorder="1" applyAlignment="1">
      <alignment horizontal="right"/>
    </xf>
    <xf numFmtId="165" fontId="4" fillId="0" borderId="0" xfId="1" applyNumberFormat="1" applyFont="1" applyFill="1" applyAlignment="1">
      <alignment horizontal="right" vertical="center"/>
    </xf>
    <xf numFmtId="0" fontId="4" fillId="0" borderId="12" xfId="2" applyFont="1" applyFill="1" applyBorder="1" applyAlignment="1">
      <alignment horizontal="center"/>
    </xf>
    <xf numFmtId="1" fontId="4" fillId="0" borderId="12" xfId="2" applyNumberFormat="1" applyFont="1" applyFill="1" applyBorder="1" applyAlignment="1">
      <alignment horizontal="left"/>
    </xf>
    <xf numFmtId="0" fontId="4" fillId="0" borderId="12" xfId="2" applyFont="1" applyFill="1" applyBorder="1" applyAlignment="1">
      <alignment horizontal="left"/>
    </xf>
    <xf numFmtId="165" fontId="4" fillId="0" borderId="12" xfId="2" applyNumberFormat="1" applyFont="1" applyFill="1" applyBorder="1" applyAlignment="1">
      <alignment horizontal="right"/>
    </xf>
    <xf numFmtId="165" fontId="6" fillId="0" borderId="12" xfId="3" applyNumberFormat="1" applyFont="1" applyFill="1" applyBorder="1" applyAlignment="1">
      <alignment horizontal="right"/>
    </xf>
    <xf numFmtId="0" fontId="4" fillId="0" borderId="12" xfId="1" applyFont="1" applyFill="1" applyBorder="1" applyAlignment="1">
      <alignment horizontal="right" vertical="center"/>
    </xf>
    <xf numFmtId="0" fontId="2" fillId="0" borderId="13" xfId="1" applyFont="1" applyFill="1" applyBorder="1" applyAlignment="1">
      <alignment horizontal="center" vertical="center"/>
    </xf>
    <xf numFmtId="0" fontId="2" fillId="0" borderId="13" xfId="2" applyFont="1" applyFill="1" applyBorder="1" applyAlignment="1">
      <alignment horizontal="center" vertical="center"/>
    </xf>
    <xf numFmtId="164" fontId="2" fillId="0" borderId="14" xfId="1" applyNumberFormat="1" applyFont="1" applyFill="1" applyBorder="1" applyAlignment="1">
      <alignment horizontal="center" vertical="center" wrapText="1"/>
    </xf>
    <xf numFmtId="164" fontId="2" fillId="0" borderId="6" xfId="1" applyNumberFormat="1" applyFont="1" applyFill="1" applyBorder="1" applyAlignment="1">
      <alignment horizontal="center" vertical="center" wrapText="1"/>
    </xf>
    <xf numFmtId="165" fontId="2" fillId="0" borderId="15" xfId="1" applyNumberFormat="1" applyFont="1" applyFill="1" applyBorder="1" applyAlignment="1">
      <alignment horizontal="center" vertical="center" wrapText="1"/>
    </xf>
    <xf numFmtId="165" fontId="2" fillId="0" borderId="13" xfId="1" applyNumberFormat="1" applyFont="1" applyFill="1" applyBorder="1" applyAlignment="1">
      <alignment horizontal="center" vertical="center" wrapText="1"/>
    </xf>
    <xf numFmtId="165" fontId="2" fillId="0" borderId="13" xfId="2" applyNumberFormat="1" applyFont="1" applyFill="1" applyBorder="1" applyAlignment="1">
      <alignment horizontal="center" vertical="center"/>
    </xf>
    <xf numFmtId="1" fontId="6" fillId="0" borderId="4" xfId="2" applyNumberFormat="1" applyFont="1" applyFill="1" applyBorder="1" applyAlignment="1">
      <alignment horizontal="left"/>
    </xf>
    <xf numFmtId="164" fontId="6" fillId="0" borderId="16" xfId="3" applyNumberFormat="1" applyFont="1" applyFill="1" applyBorder="1" applyAlignment="1">
      <alignment horizontal="left" vertical="top"/>
    </xf>
    <xf numFmtId="165" fontId="6" fillId="0" borderId="2" xfId="3" applyNumberFormat="1" applyFont="1" applyFill="1" applyBorder="1" applyAlignment="1" applyProtection="1">
      <alignment horizontal="right" wrapText="1"/>
    </xf>
    <xf numFmtId="165" fontId="4" fillId="0" borderId="4" xfId="2" applyNumberFormat="1" applyFont="1" applyFill="1" applyBorder="1" applyAlignment="1">
      <alignment horizontal="right"/>
    </xf>
    <xf numFmtId="1" fontId="9" fillId="0" borderId="4" xfId="4" applyNumberFormat="1" applyFont="1" applyFill="1" applyBorder="1" applyAlignment="1">
      <alignment horizontal="right"/>
    </xf>
    <xf numFmtId="0" fontId="4" fillId="0" borderId="17" xfId="2" applyFont="1" applyFill="1" applyBorder="1" applyAlignment="1">
      <alignment horizontal="center"/>
    </xf>
    <xf numFmtId="1" fontId="6" fillId="0" borderId="17" xfId="2" applyNumberFormat="1" applyFont="1" applyFill="1" applyBorder="1" applyAlignment="1">
      <alignment horizontal="left"/>
    </xf>
    <xf numFmtId="0" fontId="6" fillId="0" borderId="17" xfId="3" applyFont="1" applyFill="1" applyBorder="1" applyAlignment="1">
      <alignment horizontal="left"/>
    </xf>
    <xf numFmtId="164" fontId="6" fillId="0" borderId="17" xfId="3" applyNumberFormat="1" applyFont="1" applyFill="1" applyBorder="1" applyAlignment="1">
      <alignment horizontal="left" vertical="top"/>
    </xf>
    <xf numFmtId="165" fontId="6" fillId="0" borderId="17" xfId="3" applyNumberFormat="1" applyFont="1" applyFill="1" applyBorder="1" applyAlignment="1" applyProtection="1">
      <alignment horizontal="right" wrapText="1"/>
    </xf>
    <xf numFmtId="165" fontId="6" fillId="0" borderId="17" xfId="3" applyNumberFormat="1" applyFont="1" applyFill="1" applyBorder="1" applyAlignment="1">
      <alignment horizontal="right"/>
    </xf>
    <xf numFmtId="165" fontId="4" fillId="0" borderId="17" xfId="2" applyNumberFormat="1" applyFont="1" applyFill="1" applyBorder="1" applyAlignment="1">
      <alignment horizontal="right"/>
    </xf>
    <xf numFmtId="1" fontId="9" fillId="0" borderId="17" xfId="4" applyNumberFormat="1" applyFont="1" applyFill="1" applyBorder="1" applyAlignment="1">
      <alignment horizontal="right"/>
    </xf>
    <xf numFmtId="1" fontId="9" fillId="0" borderId="0" xfId="4" applyNumberFormat="1" applyFont="1" applyFill="1" applyBorder="1" applyAlignment="1">
      <alignment horizontal="right"/>
    </xf>
    <xf numFmtId="0" fontId="2" fillId="0" borderId="6" xfId="1" applyFont="1" applyFill="1" applyBorder="1" applyAlignment="1">
      <alignment horizontal="center" vertical="center"/>
    </xf>
    <xf numFmtId="0" fontId="2" fillId="0" borderId="6" xfId="2" applyFont="1" applyFill="1" applyBorder="1" applyAlignment="1">
      <alignment horizontal="center" vertical="center"/>
    </xf>
    <xf numFmtId="165" fontId="2" fillId="0" borderId="6" xfId="1" applyNumberFormat="1" applyFont="1" applyFill="1" applyBorder="1" applyAlignment="1">
      <alignment horizontal="center" vertical="center" wrapText="1"/>
    </xf>
    <xf numFmtId="0" fontId="2" fillId="0" borderId="6" xfId="2" applyFont="1" applyBorder="1" applyAlignment="1">
      <alignment horizontal="center" vertical="center"/>
    </xf>
    <xf numFmtId="165" fontId="2" fillId="0" borderId="6" xfId="2" applyNumberFormat="1" applyFont="1" applyFill="1" applyBorder="1" applyAlignment="1">
      <alignment horizontal="center" vertical="center"/>
    </xf>
    <xf numFmtId="0" fontId="4" fillId="0" borderId="13" xfId="1" applyFont="1" applyFill="1" applyBorder="1" applyAlignment="1">
      <alignment horizontal="center" vertical="center"/>
    </xf>
    <xf numFmtId="49" fontId="6" fillId="0" borderId="13" xfId="3" applyNumberFormat="1" applyFont="1" applyFill="1" applyBorder="1" applyAlignment="1">
      <alignment horizontal="left" vertical="top"/>
    </xf>
    <xf numFmtId="0" fontId="6" fillId="0" borderId="13" xfId="3" applyFont="1" applyFill="1" applyBorder="1" applyAlignment="1">
      <alignment horizontal="left"/>
    </xf>
    <xf numFmtId="164" fontId="6" fillId="0" borderId="13" xfId="3" applyNumberFormat="1" applyFont="1" applyFill="1" applyBorder="1" applyAlignment="1">
      <alignment horizontal="left" vertical="top"/>
    </xf>
    <xf numFmtId="165" fontId="4" fillId="0" borderId="1" xfId="2" applyNumberFormat="1" applyFont="1" applyFill="1" applyBorder="1" applyAlignment="1">
      <alignment horizontal="right" wrapText="1"/>
    </xf>
    <xf numFmtId="165" fontId="6" fillId="0" borderId="1" xfId="3" applyNumberFormat="1" applyFont="1" applyFill="1" applyBorder="1" applyAlignment="1" applyProtection="1">
      <alignment horizontal="right" vertical="center" wrapText="1"/>
    </xf>
    <xf numFmtId="165" fontId="4" fillId="0" borderId="1" xfId="2" applyNumberFormat="1" applyFont="1" applyFill="1" applyBorder="1" applyAlignment="1">
      <alignment horizontal="right" vertical="center" wrapText="1"/>
    </xf>
    <xf numFmtId="0" fontId="6" fillId="0" borderId="0" xfId="2" applyFont="1" applyBorder="1" applyAlignment="1">
      <alignment horizontal="right"/>
    </xf>
    <xf numFmtId="165" fontId="2" fillId="0" borderId="18" xfId="1" applyNumberFormat="1" applyFont="1" applyFill="1" applyBorder="1" applyAlignment="1">
      <alignment horizontal="center" vertical="center" wrapText="1"/>
    </xf>
    <xf numFmtId="165" fontId="2" fillId="0" borderId="19" xfId="2" applyNumberFormat="1" applyFont="1" applyFill="1" applyBorder="1" applyAlignment="1">
      <alignment horizontal="center" vertical="center"/>
    </xf>
    <xf numFmtId="0" fontId="4" fillId="0" borderId="0" xfId="1" applyFont="1" applyFill="1" applyAlignment="1">
      <alignment horizontal="center" vertical="center"/>
    </xf>
    <xf numFmtId="0" fontId="4" fillId="0" borderId="0" xfId="1" applyFont="1" applyFill="1" applyAlignment="1">
      <alignment horizontal="left" vertical="center"/>
    </xf>
    <xf numFmtId="0" fontId="14" fillId="2" borderId="20" xfId="1" applyFont="1" applyFill="1" applyBorder="1" applyAlignment="1">
      <alignment horizontal="center" vertical="center"/>
    </xf>
    <xf numFmtId="0" fontId="14" fillId="2" borderId="21" xfId="1" applyFont="1" applyFill="1" applyBorder="1" applyAlignment="1">
      <alignment horizontal="center" vertical="center" wrapText="1"/>
    </xf>
    <xf numFmtId="0" fontId="14" fillId="2" borderId="22" xfId="1" applyFont="1" applyFill="1" applyBorder="1" applyAlignment="1">
      <alignment horizontal="center" vertical="center" wrapText="1"/>
    </xf>
    <xf numFmtId="0" fontId="3" fillId="0" borderId="0" xfId="2"/>
    <xf numFmtId="0" fontId="15" fillId="3" borderId="23" xfId="1" applyFont="1" applyFill="1" applyBorder="1" applyAlignment="1">
      <alignment horizontal="center" vertical="center"/>
    </xf>
    <xf numFmtId="166" fontId="16" fillId="0" borderId="0" xfId="2" applyNumberFormat="1" applyFont="1" applyAlignment="1">
      <alignment horizontal="center" vertical="center"/>
    </xf>
    <xf numFmtId="166" fontId="17" fillId="0" borderId="6" xfId="2" applyNumberFormat="1" applyFont="1" applyFill="1" applyBorder="1" applyAlignment="1">
      <alignment horizontal="center" vertical="center"/>
    </xf>
    <xf numFmtId="166" fontId="17" fillId="0" borderId="24" xfId="2" applyNumberFormat="1" applyFont="1" applyFill="1" applyBorder="1" applyAlignment="1">
      <alignment horizontal="center" vertical="center"/>
    </xf>
    <xf numFmtId="0" fontId="14" fillId="2" borderId="25" xfId="1" applyFont="1" applyFill="1" applyBorder="1" applyAlignment="1">
      <alignment horizontal="center" vertical="center"/>
    </xf>
    <xf numFmtId="166" fontId="14" fillId="2" borderId="26" xfId="2" applyNumberFormat="1" applyFont="1" applyFill="1" applyBorder="1" applyAlignment="1">
      <alignment horizontal="center" vertical="center"/>
    </xf>
    <xf numFmtId="166" fontId="14" fillId="2" borderId="27" xfId="2" applyNumberFormat="1" applyFont="1" applyFill="1" applyBorder="1" applyAlignment="1">
      <alignment horizontal="center" vertical="center"/>
    </xf>
    <xf numFmtId="0" fontId="18" fillId="0" borderId="6" xfId="0" applyFont="1" applyBorder="1" applyAlignment="1">
      <alignment horizontal="center" vertical="center"/>
    </xf>
    <xf numFmtId="0" fontId="18" fillId="0" borderId="6" xfId="0" applyFont="1" applyFill="1" applyBorder="1" applyAlignment="1">
      <alignment horizontal="center" vertical="center"/>
    </xf>
    <xf numFmtId="0" fontId="18" fillId="0" borderId="6" xfId="0" applyNumberFormat="1" applyFont="1" applyFill="1" applyBorder="1" applyAlignment="1">
      <alignment horizontal="center" vertical="center"/>
    </xf>
    <xf numFmtId="0" fontId="18" fillId="0" borderId="6" xfId="0" applyNumberFormat="1" applyFont="1" applyBorder="1" applyAlignment="1">
      <alignment horizontal="center" vertical="center"/>
    </xf>
    <xf numFmtId="0" fontId="18" fillId="3" borderId="6" xfId="0" applyFont="1" applyFill="1" applyBorder="1" applyAlignment="1">
      <alignment horizontal="center" vertical="center"/>
    </xf>
    <xf numFmtId="0" fontId="18" fillId="3" borderId="6" xfId="0" applyNumberFormat="1" applyFont="1" applyFill="1" applyBorder="1" applyAlignment="1">
      <alignment horizontal="center" vertical="center"/>
    </xf>
    <xf numFmtId="167" fontId="0" fillId="0" borderId="0" xfId="0" applyNumberFormat="1"/>
    <xf numFmtId="0" fontId="19" fillId="4" borderId="6" xfId="0" applyFont="1" applyFill="1" applyBorder="1" applyAlignment="1">
      <alignment horizontal="center" vertical="center"/>
    </xf>
    <xf numFmtId="0" fontId="19" fillId="5" borderId="6" xfId="0" applyFont="1" applyFill="1" applyBorder="1" applyAlignment="1">
      <alignment horizontal="center" vertical="center"/>
    </xf>
    <xf numFmtId="166" fontId="17" fillId="0" borderId="0" xfId="2" applyNumberFormat="1" applyFont="1" applyFill="1" applyBorder="1" applyAlignment="1">
      <alignment horizontal="center" vertical="center"/>
    </xf>
    <xf numFmtId="166" fontId="16" fillId="0" borderId="6" xfId="2" applyNumberFormat="1" applyFont="1" applyBorder="1" applyAlignment="1">
      <alignment horizontal="center" vertical="center"/>
    </xf>
    <xf numFmtId="166" fontId="0" fillId="0" borderId="0" xfId="0" applyNumberFormat="1"/>
    <xf numFmtId="49" fontId="6" fillId="0" borderId="6" xfId="3" applyNumberFormat="1" applyFont="1" applyFill="1" applyBorder="1" applyAlignment="1">
      <alignment horizontal="left" vertical="center"/>
    </xf>
    <xf numFmtId="49" fontId="6" fillId="0" borderId="6" xfId="3" applyNumberFormat="1" applyFont="1" applyFill="1" applyBorder="1" applyAlignment="1">
      <alignment horizontal="left" vertical="top"/>
    </xf>
    <xf numFmtId="49" fontId="6" fillId="0" borderId="6" xfId="3" applyNumberFormat="1" applyFont="1" applyFill="1" applyBorder="1" applyAlignment="1">
      <alignment horizontal="left"/>
    </xf>
    <xf numFmtId="0" fontId="0" fillId="0" borderId="6" xfId="0" applyBorder="1"/>
    <xf numFmtId="49" fontId="6" fillId="0" borderId="6" xfId="1" applyNumberFormat="1" applyFont="1" applyFill="1" applyBorder="1" applyAlignment="1">
      <alignment horizontal="left" vertical="center"/>
    </xf>
    <xf numFmtId="0" fontId="20" fillId="0" borderId="6" xfId="0" applyFont="1" applyBorder="1"/>
    <xf numFmtId="0" fontId="20" fillId="0" borderId="0" xfId="0" applyFont="1"/>
    <xf numFmtId="0" fontId="0" fillId="0" borderId="0" xfId="0" applyNumberFormat="1"/>
    <xf numFmtId="0" fontId="20" fillId="0" borderId="10" xfId="0" applyFont="1" applyBorder="1" applyAlignment="1">
      <alignment horizontal="center"/>
    </xf>
  </cellXfs>
  <cellStyles count="8">
    <cellStyle name="Excel Built-in Explanatory Text" xfId="7"/>
    <cellStyle name="Normal" xfId="0" builtinId="0"/>
    <cellStyle name="Normal 2" xfId="1"/>
    <cellStyle name="Normal 3" xfId="2"/>
    <cellStyle name="Normal_price rev mar11" xfId="5"/>
    <cellStyle name="Normal_RCD - R1  280808" xfId="4"/>
    <cellStyle name="Normal_ROCD Spares Price wef 01-07-2009" xfId="6"/>
    <cellStyle name="TableStyleLight1" xfId="3"/>
  </cellStyles>
  <dxfs count="14"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>
          <bgColor theme="0" tint="-4.9989318521683403E-2"/>
        </patternFill>
      </fill>
    </dxf>
    <dxf>
      <fill>
        <patternFill patternType="solid">
          <bgColor theme="0" tint="-4.9989318521683403E-2"/>
        </patternFill>
      </fill>
    </dxf>
    <dxf>
      <fill>
        <patternFill patternType="solid">
          <bgColor rgb="FFFFFF00"/>
        </patternFill>
      </fill>
    </dxf>
    <dxf>
      <alignment horizontal="center" readingOrder="0"/>
    </dxf>
    <dxf>
      <alignment vertical="center" readingOrder="0"/>
    </dxf>
    <dxf>
      <font>
        <name val="Verdana"/>
        <scheme val="none"/>
      </font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pivotCacheDefinition" Target="pivotCache/pivotCacheDefinition1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pivotCache/_rels/pivotCacheDefinition1.xml.rels><?xml version="1.0" encoding="UTF-8" standalone="yes"?>
<Relationships xmlns="http://schemas.openxmlformats.org/package/2006/relationships"><Relationship Id="rId2" Type="http://schemas.openxmlformats.org/officeDocument/2006/relationships/externalLinkPath" Target="Reference%20for%20Mr.%20Gopi.xlsx" TargetMode="External"/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Meeting Hall" refreshedDate="42964.678919791666" createdVersion="5" refreshedVersion="5" minRefreshableVersion="3" recordCount="1797">
  <cacheSource type="worksheet">
    <worksheetSource ref="A1:R1048576" sheet="Consl City" r:id="rId2"/>
  </cacheSource>
  <cacheFields count="18">
    <cacheField name="Sl.No" numFmtId="0">
      <sharedItems containsString="0" containsBlank="1" containsNumber="1" containsInteger="1" minValue="1" maxValue="1795"/>
    </cacheField>
    <cacheField name="Tracking No." numFmtId="0">
      <sharedItems containsBlank="1"/>
    </cacheField>
    <cacheField name="Customer" numFmtId="0">
      <sharedItems containsBlank="1"/>
    </cacheField>
    <cacheField name="City" numFmtId="0">
      <sharedItems containsBlank="1"/>
    </cacheField>
    <cacheField name="Pr_model" numFmtId="0">
      <sharedItems containsBlank="1"/>
    </cacheField>
    <cacheField name="Model" numFmtId="0">
      <sharedItems containsBlank="1" count="13">
        <s v="SS 03 HN"/>
        <s v="SS 05 HN"/>
        <s v="SS 07 HN"/>
        <s v="SS 10 HN"/>
        <s v="SS 15 HN"/>
        <s v="TS 03 HN"/>
        <s v="TS 05 HN"/>
        <s v="TS 05 M"/>
        <s v="TS 07 HN"/>
        <s v="TS 10 HN"/>
        <s v="TS 10 HT"/>
        <s v="TS 15 HN"/>
        <m/>
      </sharedItems>
    </cacheField>
    <cacheField name="Fabno" numFmtId="0">
      <sharedItems containsBlank="1" containsMixedTypes="1" containsNumber="1" containsInteger="1" minValue="0" maxValue="2709791"/>
    </cacheField>
    <cacheField name="Logged By" numFmtId="0">
      <sharedItems containsBlank="1" containsMixedTypes="1" containsNumber="1" containsInteger="1" minValue="19254" maxValue="19254"/>
    </cacheField>
    <cacheField name="Logged Date" numFmtId="0">
      <sharedItems containsBlank="1"/>
    </cacheField>
    <cacheField name="Assigned Date" numFmtId="0">
      <sharedItems containsBlank="1"/>
    </cacheField>
    <cacheField name="Closed Date" numFmtId="0">
      <sharedItems containsBlank="1"/>
    </cacheField>
    <cacheField name="Year" numFmtId="0">
      <sharedItems containsString="0" containsBlank="1" containsNumber="1" containsInteger="1" minValue="1" maxValue="13" count="14">
        <n v="12"/>
        <n v="6"/>
        <n v="4"/>
        <n v="10"/>
        <n v="8"/>
        <n v="9"/>
        <n v="13"/>
        <n v="5"/>
        <n v="2"/>
        <n v="1"/>
        <n v="3"/>
        <n v="7"/>
        <n v="11"/>
        <m/>
      </sharedItems>
    </cacheField>
    <cacheField name="TTR" numFmtId="0">
      <sharedItems containsString="0" containsBlank="1" containsNumber="1" containsInteger="1" minValue="-1" maxValue="3046"/>
    </cacheField>
    <cacheField name="TOTAL TTR" numFmtId="0">
      <sharedItems containsString="0" containsBlank="1" containsNumber="1" containsInteger="1" minValue="-1" maxValue="3359"/>
    </cacheField>
    <cacheField name="FOC No" numFmtId="0">
      <sharedItems containsBlank="1"/>
    </cacheField>
    <cacheField name="FOC Despatch" numFmtId="0">
      <sharedItems containsBlank="1" containsMixedTypes="1" containsNumber="1" containsInteger="1" minValue="351198103" maxValue="3.5119000000000001E+33"/>
    </cacheField>
    <cacheField name="Call Type" numFmtId="0">
      <sharedItems containsBlank="1"/>
    </cacheField>
    <cacheField name="Phone Number" numFmtId="0">
      <sharedItems containsBlank="1" containsMixedTypes="1" containsNumber="1" containsInteger="1" minValue="4243800" maxValue="9994932235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1797">
  <r>
    <n v="844"/>
    <s v="'3004003856 "/>
    <s v="SJA FUELS--CITY"/>
    <s v="Palakad"/>
    <s v="SS 03"/>
    <x v="0"/>
    <n v="1269"/>
    <s v="E00001 "/>
    <s v="14.03.2005 11:50 "/>
    <s v="14.03.2005 12:00"/>
    <s v="14.03.2005 18:00"/>
    <x v="0"/>
    <n v="0"/>
    <n v="6"/>
    <m/>
    <m/>
    <m/>
    <m/>
  </r>
  <r>
    <n v="1149"/>
    <s v="'300B0792 "/>
    <s v="OM SARANAM TYRES"/>
    <s v="TRICHY"/>
    <s v="SS03E SP"/>
    <x v="0"/>
    <s v="D300B0792"/>
    <s v="ccs005 "/>
    <s v="08.12.2011 12:20 "/>
    <s v="08.12.2011 15:00"/>
    <s v="10.12.2011 11:00"/>
    <x v="1"/>
    <n v="44"/>
    <n v="47"/>
    <m/>
    <m/>
    <s v="Out of Warranty"/>
    <m/>
  </r>
  <r>
    <n v="1409"/>
    <s v="'400C0123 "/>
    <s v="SUGUNA FOODS LTD"/>
    <s v="UDUMALAPET"/>
    <s v="SS03E 160L EP 3HP 415V"/>
    <x v="0"/>
    <s v="DLAL150188"/>
    <s v="ccs005 "/>
    <s v="19.03.2013 11:46 "/>
    <s v="19.03.2013 15:00"/>
    <s v="21.03.2013 14:00"/>
    <x v="2"/>
    <n v="47"/>
    <n v="50"/>
    <m/>
    <m/>
    <s v="Out of Warranty"/>
    <m/>
  </r>
  <r>
    <n v="1411"/>
    <s v="'40070650 "/>
    <s v="GEE GEE ENTERPRISES"/>
    <s v="Pollachi"/>
    <s v="SS03 M"/>
    <x v="0"/>
    <n v="22400"/>
    <s v="ccs004 "/>
    <s v="08.10.2007 18:47 "/>
    <s v="09.10.2007 10:00"/>
    <s v="12.10.2007 12:00"/>
    <x v="3"/>
    <n v="75"/>
    <n v="89"/>
    <m/>
    <m/>
    <m/>
    <m/>
  </r>
  <r>
    <n v="144"/>
    <s v="'300D0546 "/>
    <s v="ARULPURAM EFFLUENT TREATMENT PLANT COMPANY LTD"/>
    <s v="TIRUPPUR"/>
    <s v="SS05"/>
    <x v="1"/>
    <n v="12805"/>
    <s v="ccs003 "/>
    <s v="20.09.2013 15:25 "/>
    <s v="21.09.2013 09:00"/>
    <s v="21.09.2013 15:00"/>
    <x v="2"/>
    <n v="6"/>
    <n v="24"/>
    <m/>
    <m/>
    <s v="Out of Warranty"/>
    <m/>
  </r>
  <r>
    <n v="145"/>
    <s v="'300D0545 "/>
    <s v="ARULPURAM EFFLUENT TREATMENT PLANT COMPANY LTD"/>
    <s v="TIRUPPUR"/>
    <s v="SS05"/>
    <x v="1"/>
    <n v="12810"/>
    <s v="ccs003 "/>
    <s v="20.09.2013 15:25 "/>
    <s v="21.09.2013 09:00"/>
    <s v="21.09.2013 11:00"/>
    <x v="2"/>
    <n v="2"/>
    <n v="20"/>
    <m/>
    <m/>
    <s v="Out of Warranty"/>
    <m/>
  </r>
  <r>
    <n v="450"/>
    <s v="'30090991 "/>
    <s v="AKSHAYA TEXTILES PVT LTD"/>
    <s v="Coimbatore"/>
    <s v="SS 05"/>
    <x v="1"/>
    <s v="D30090991"/>
    <s v="ccs007 "/>
    <s v="22.01.2010 12:33 "/>
    <s v="23.01.2010 13:00"/>
    <s v="30.01.2010 13:00"/>
    <x v="4"/>
    <n v="171"/>
    <n v="192"/>
    <m/>
    <m/>
    <s v="Out of Warranty"/>
    <m/>
  </r>
  <r>
    <n v="451"/>
    <s v="'30090990 "/>
    <s v="AKSHAYA TEXTILES PVT LTD"/>
    <s v="Coimbatore"/>
    <s v="SS 05"/>
    <x v="1"/>
    <s v="D30090990"/>
    <s v="ccs007 "/>
    <s v="22.01.2010 12:33 "/>
    <s v="23.01.2010 13:00"/>
    <s v="30.01.2010 12:00"/>
    <x v="4"/>
    <n v="170"/>
    <n v="191"/>
    <m/>
    <m/>
    <s v="Out of Warranty"/>
    <m/>
  </r>
  <r>
    <n v="452"/>
    <s v="'30090989 "/>
    <s v="AKSHAYA TEXTILES PVT LTD"/>
    <s v="Coimbatore"/>
    <s v="SS 05"/>
    <x v="1"/>
    <s v="D30090989"/>
    <s v="ccs007 "/>
    <s v="22.01.2010 12:33 "/>
    <s v="23.01.2010 13:00"/>
    <s v="30.01.2010 13:00"/>
    <x v="4"/>
    <n v="171"/>
    <n v="192"/>
    <m/>
    <m/>
    <s v="Out of Warranty"/>
    <m/>
  </r>
  <r>
    <n v="453"/>
    <s v="'30090988 "/>
    <s v="AKSHAYA TEXTILES PVT LTD"/>
    <s v="Coimbatore"/>
    <s v="SS 05"/>
    <x v="1"/>
    <s v="D30090988"/>
    <s v="ccs007 "/>
    <s v="22.01.2010 12:33 "/>
    <s v="23.01.2010 13:00"/>
    <s v="30.01.2010 12:00"/>
    <x v="4"/>
    <n v="170"/>
    <n v="191"/>
    <m/>
    <m/>
    <s v="Out of Warranty"/>
    <m/>
  </r>
  <r>
    <n v="454"/>
    <s v="'30090987 "/>
    <s v="AKSHAYA TEXTILES PVT LTD"/>
    <s v="Coimbatore"/>
    <s v="SS 05"/>
    <x v="1"/>
    <s v="D30090987"/>
    <s v="ccs007 "/>
    <s v="22.01.2010 12:33 "/>
    <s v="23.01.2010 13:00"/>
    <s v="26.01.2010 13:00"/>
    <x v="4"/>
    <n v="75"/>
    <n v="96"/>
    <m/>
    <m/>
    <s v="Out of Warranty"/>
    <m/>
  </r>
  <r>
    <n v="521"/>
    <s v="'30090575 "/>
    <s v="DOSHION LTD"/>
    <s v="TIRUPPUR"/>
    <s v="SS 05 090 HN"/>
    <x v="1"/>
    <s v="CILE590026"/>
    <s v="ccs007 "/>
    <s v="16.09.2009 15:46 "/>
    <s v="16.09.2009 16:00"/>
    <s v="16.09.2009 18:00"/>
    <x v="4"/>
    <n v="2"/>
    <n v="2"/>
    <m/>
    <m/>
    <s v="Warranty Commissioning"/>
    <m/>
  </r>
  <r>
    <n v="522"/>
    <s v="'30090574 "/>
    <s v="DOSHION LTD"/>
    <s v="TIRUPPUR"/>
    <s v="SS 05 090 HN"/>
    <x v="1"/>
    <s v="CIKE590020"/>
    <s v="ccs007 "/>
    <s v="16.09.2009 15:46 "/>
    <s v="16.09.2009 16:00"/>
    <s v="16.09.2009 18:00"/>
    <x v="4"/>
    <n v="2"/>
    <n v="2"/>
    <m/>
    <m/>
    <s v="Warranty Commissioning"/>
    <m/>
  </r>
  <r>
    <n v="523"/>
    <s v="'30090573 "/>
    <s v="DOSHION LTD"/>
    <s v="TIRUPPUR"/>
    <s v="SS05"/>
    <x v="1"/>
    <s v="CILE590028"/>
    <s v="ccs007 "/>
    <s v="16.09.2009 15:46 "/>
    <s v="16.09.2009 16:00"/>
    <s v="16.09.2009 18:00"/>
    <x v="4"/>
    <n v="2"/>
    <n v="2"/>
    <m/>
    <m/>
    <s v="Warranty Commissioning"/>
    <m/>
  </r>
  <r>
    <n v="524"/>
    <s v="'30090572 "/>
    <s v="DOSHION LTD"/>
    <s v="TIRUPPUR"/>
    <s v="SS 05 090 HN"/>
    <x v="1"/>
    <s v="CILE590027"/>
    <s v="ccs007 "/>
    <s v="16.09.2009 15:46 "/>
    <s v="16.09.2009 16:00"/>
    <s v="16.09.2009 18:00"/>
    <x v="4"/>
    <n v="2"/>
    <n v="2"/>
    <m/>
    <m/>
    <s v="Warranty Commissioning"/>
    <m/>
  </r>
  <r>
    <n v="532"/>
    <s v="'30090305 "/>
    <s v="SIREX DESIGNER TILES INDIA PVT LTD"/>
    <s v="Coimbatore"/>
    <s v="SS05"/>
    <x v="1"/>
    <n v="12548"/>
    <s v="ccs004 "/>
    <s v="03.07.2009 11:46 "/>
    <s v="07.07.2009 10:00"/>
    <s v="08.07.2009 18:00"/>
    <x v="4"/>
    <n v="126"/>
    <n v="126"/>
    <m/>
    <m/>
    <s v="Out of Warranty"/>
    <m/>
  </r>
  <r>
    <n v="593"/>
    <s v="'30080690 "/>
    <s v="TATA PROJECTS"/>
    <s v="Tirupur"/>
    <s v="SS 05 090 HN"/>
    <x v="1"/>
    <n v="12896"/>
    <s v="ccs001 "/>
    <s v="13.10.2008 16:37 "/>
    <s v="13.10.2008 16:40"/>
    <s v="18.10.2008 13:00"/>
    <x v="5"/>
    <n v="116"/>
    <n v="116"/>
    <s v="351198104-14.10.2008"/>
    <n v="351198104"/>
    <s v="Warranty Failure"/>
    <m/>
  </r>
  <r>
    <n v="594"/>
    <s v="'30080689 "/>
    <s v="TATA PROJECTS"/>
    <s v="Tirupur"/>
    <s v="SS 05 090 HN"/>
    <x v="1"/>
    <n v="12899"/>
    <s v="ccs001 "/>
    <s v="13.10.2008 16:33 "/>
    <s v="13.10.2008 16:45"/>
    <s v="18.10.2008 13:00"/>
    <x v="5"/>
    <n v="116"/>
    <n v="116"/>
    <s v="351198103-14.10.2008"/>
    <n v="351198103"/>
    <s v="Warranty Failure"/>
    <m/>
  </r>
  <r>
    <n v="622"/>
    <s v="'30080489 "/>
    <s v="TATA PROJECTS"/>
    <s v="Tirupur"/>
    <s v="SS 05 090 HN"/>
    <x v="1"/>
    <n v="12841"/>
    <s v="ccs001 "/>
    <s v="21.08.2008 15:12 "/>
    <s v="21.08.2008 15:15"/>
    <s v="04.09.2008 13:30"/>
    <x v="5"/>
    <n v="335"/>
    <n v="334"/>
    <m/>
    <m/>
    <s v="Warranty Failure"/>
    <m/>
  </r>
  <r>
    <n v="638"/>
    <s v="'30080004 "/>
    <s v="TATA PROJECT"/>
    <s v="Tirupur"/>
    <s v="SS 05 090 HN"/>
    <x v="1"/>
    <n v="12778"/>
    <s v="ccs001 "/>
    <s v="24.04.2008 11:14 "/>
    <s v="24.04.2008 11:15"/>
    <s v="15.05.2008 13:00"/>
    <x v="5"/>
    <n v="506"/>
    <n v="506"/>
    <m/>
    <m/>
    <s v="Warranty Commissioning"/>
    <m/>
  </r>
  <r>
    <n v="653"/>
    <s v="'30075101 "/>
    <s v="TATA PROJECT"/>
    <s v="Tirupur"/>
    <s v="SS 05 090 HN"/>
    <x v="1"/>
    <n v="12905"/>
    <s v="ccs001 "/>
    <s v="10.12.2007 13:47 "/>
    <s v="10.12.2007 14:00"/>
    <s v="06.01.2008 14:00"/>
    <x v="3"/>
    <n v="317"/>
    <n v="648"/>
    <m/>
    <m/>
    <s v="Warranty Commissioning"/>
    <m/>
  </r>
  <r>
    <n v="670"/>
    <s v="'30074828 "/>
    <s v="SAKTHI SUGAR LTD--C"/>
    <s v="Pollachi"/>
    <s v="SS05"/>
    <x v="1"/>
    <m/>
    <s v="ccs003 "/>
    <s v="11.10.2007 16:17 "/>
    <s v="12.10.2007 10:00"/>
    <s v="26.10.2007 12:30"/>
    <x v="3"/>
    <n v="339"/>
    <n v="356"/>
    <m/>
    <m/>
    <m/>
    <m/>
  </r>
  <r>
    <n v="830"/>
    <s v="'3004003912 "/>
    <s v="ACC LTD--CITY"/>
    <s v="Coimbatore"/>
    <s v="SS 05"/>
    <x v="1"/>
    <n v="54523"/>
    <s v="E00001 "/>
    <s v="22.03.2005 10:26 "/>
    <s v="22.03.2005 10:45"/>
    <s v="22.03.2005 16:00"/>
    <x v="0"/>
    <n v="0"/>
    <n v="6"/>
    <m/>
    <m/>
    <m/>
    <m/>
  </r>
  <r>
    <n v="891"/>
    <s v="'3004003659 "/>
    <s v="KARPAGAM KNITS-CITY"/>
    <s v="Tirupur"/>
    <s v="SS 05"/>
    <x v="1"/>
    <n v="0"/>
    <s v="E00001 "/>
    <s v="14.02.2005 11:38 "/>
    <s v="14.02.2005 11:45"/>
    <s v="14.02.2005 18:30"/>
    <x v="6"/>
    <n v="0"/>
    <n v="7"/>
    <m/>
    <m/>
    <m/>
    <m/>
  </r>
  <r>
    <n v="1076"/>
    <s v="'300D0287 "/>
    <s v="VASTHARAA WIVERS"/>
    <s v="Pollachi"/>
    <s v="SS05"/>
    <x v="1"/>
    <n v="12062"/>
    <s v="ccs003 "/>
    <s v="02.07.2013 15:45 "/>
    <s v="03.07.2013 09:00"/>
    <s v="05.07.2013 13:00"/>
    <x v="2"/>
    <n v="52"/>
    <n v="69"/>
    <m/>
    <m/>
    <s v="Out of Warranty"/>
    <m/>
  </r>
  <r>
    <n v="1135"/>
    <s v="'300B1138 "/>
    <s v="SIREX ROOFING TILES"/>
    <s v="ANDIPATTI"/>
    <s v="SS 05 090 HN"/>
    <x v="1"/>
    <s v="CKJE590001"/>
    <s v="ccs002 "/>
    <s v="17.03.2012 10:33 "/>
    <s v="19.03.2012 09:00"/>
    <s v="22.03.2012 14:00"/>
    <x v="7"/>
    <n v="30"/>
    <n v="123"/>
    <m/>
    <m/>
    <s v="Out of Warranty"/>
    <m/>
  </r>
  <r>
    <n v="1285"/>
    <s v="'30080557 "/>
    <s v="SUBASH AGENCIES"/>
    <s v="Karaikudi"/>
    <s v="SS05"/>
    <x v="1"/>
    <n v="14516"/>
    <s v="ccs004 "/>
    <s v="08.09.2008 16:08 "/>
    <s v="08.09.2008 16:15"/>
    <s v="17.09.2008 16:00"/>
    <x v="5"/>
    <n v="216"/>
    <n v="216"/>
    <m/>
    <m/>
    <s v="Out of Warranty"/>
    <m/>
  </r>
  <r>
    <n v="40"/>
    <s v="'300F00669 "/>
    <s v="AQUA DESIGNS INDIA PVT LTD"/>
    <s v="Tirupur"/>
    <s v="SS 07 090 HN"/>
    <x v="2"/>
    <s v="COKE600008"/>
    <s v="ccs019 "/>
    <s v="09.10.2015 10:46 "/>
    <s v="12.10.2015 00:00"/>
    <s v="12.10.2015 13:00"/>
    <x v="8"/>
    <n v="71"/>
    <n v="74"/>
    <m/>
    <m/>
    <s v="Warranty Commissioning"/>
    <m/>
  </r>
  <r>
    <n v="41"/>
    <s v="'300F00668 "/>
    <s v="AQUA DESIGNS INDIA PVT LTD"/>
    <s v="Tirupur"/>
    <s v="SS 07 090 HN"/>
    <x v="2"/>
    <s v="COKE600007"/>
    <s v="ccs019 "/>
    <s v="09.10.2015 10:46 "/>
    <s v="12.10.2015 00:00"/>
    <s v="12.10.2015 13:00"/>
    <x v="8"/>
    <n v="71"/>
    <n v="74"/>
    <m/>
    <m/>
    <s v="Warranty Commissioning"/>
    <m/>
  </r>
  <r>
    <n v="212"/>
    <s v="'300C0159 "/>
    <s v="NUCLEAR PLAST"/>
    <s v="Coimbatore"/>
    <s v="RAC UNIT SS07 W/O PULLEY"/>
    <x v="2"/>
    <n v="21663"/>
    <s v="ccs005 "/>
    <s v="18.05.2012 09:50 "/>
    <s v="18.05.2012 10:00"/>
    <s v="18.05.2012 12:00"/>
    <x v="7"/>
    <n v="2"/>
    <n v="2"/>
    <s v="35119C008-18.05.2012"/>
    <s v="35119C008"/>
    <m/>
    <m/>
  </r>
  <r>
    <n v="269"/>
    <s v="'300B0383 "/>
    <s v="SEPR REFRACTORINESS INDIA LTD"/>
    <s v="PALAKKAD"/>
    <s v="SS07"/>
    <x v="2"/>
    <s v="D300B0383"/>
    <s v="ccs005 "/>
    <s v="28.07.2011 17:55 "/>
    <s v="01.08.2011 10:00"/>
    <s v="29.07.2011 11:00"/>
    <x v="1"/>
    <n v="1"/>
    <n v="17"/>
    <m/>
    <m/>
    <s v="Out of Warranty"/>
    <m/>
  </r>
  <r>
    <n v="439"/>
    <s v="'30091035 "/>
    <s v="SRINIVASAN ASSOCIATES"/>
    <s v="Coimbatore"/>
    <s v="SS07"/>
    <x v="2"/>
    <n v="21855"/>
    <s v="ccs005 "/>
    <s v="01.02.2010 17:34 "/>
    <s v="02.02.2010 10:00"/>
    <s v="04.02.2010 16:00"/>
    <x v="4"/>
    <n v="54"/>
    <n v="70"/>
    <m/>
    <m/>
    <s v="Out of Warranty"/>
    <m/>
  </r>
  <r>
    <n v="749"/>
    <s v="'30051624 "/>
    <s v="EID PARRY INDIA LTD"/>
    <s v="Erode"/>
    <s v="SS 07"/>
    <x v="2"/>
    <n v="14383"/>
    <s v="ccs001 "/>
    <s v="04.01.2006 10:43 "/>
    <s v="04.01.2006 12:00"/>
    <s v="06.01.2006 12:00"/>
    <x v="0"/>
    <n v="0"/>
    <n v="49"/>
    <m/>
    <m/>
    <m/>
    <m/>
  </r>
  <r>
    <n v="997"/>
    <s v="'300G00032 "/>
    <s v="LGB LTD PMD 3"/>
    <s v="GANAPATHI"/>
    <s v="RAC UNIT SS07"/>
    <x v="2"/>
    <s v="UKET210008"/>
    <s v="ccs018 "/>
    <s v="09.04.2016 16:00 "/>
    <s v="09.04.2016 16:00"/>
    <s v="28.04.2016 10:00"/>
    <x v="9"/>
    <n v="450"/>
    <n v="450"/>
    <m/>
    <m/>
    <s v="Out of Warranty"/>
    <m/>
  </r>
  <r>
    <n v="1003"/>
    <s v="'300F00991 "/>
    <s v="LGB LTD PMD 3"/>
    <s v="GANAPATHI"/>
    <s v="RAC UNIT SS07"/>
    <x v="2"/>
    <s v="UKET210008"/>
    <s v="ccs028 "/>
    <s v="09.01.2016 09:44 "/>
    <s v="09.01.2016 12:00"/>
    <s v="19.01.2016 01:00"/>
    <x v="8"/>
    <n v="8"/>
    <n v="231"/>
    <m/>
    <m/>
    <s v="Out of Warranty"/>
    <m/>
  </r>
  <r>
    <n v="1011"/>
    <s v="'300F00584 "/>
    <s v="LGB LTD PMD 3"/>
    <s v="GANAPATHI"/>
    <s v="RAC UNIT SS07"/>
    <x v="2"/>
    <s v="UKET210008"/>
    <s v="ccs018 "/>
    <s v="19.09.2015 17:05 "/>
    <s v="21.09.2015 10:00"/>
    <s v="13.10.2015 12:00"/>
    <x v="8"/>
    <n v="449"/>
    <n v="571"/>
    <m/>
    <m/>
    <s v="Out of Warranty"/>
    <m/>
  </r>
  <r>
    <n v="1028"/>
    <s v="'300F00123 "/>
    <s v="LG BALAKRISHNAN AND BROS LTD"/>
    <s v="Coimbatore"/>
    <s v="SS07090"/>
    <x v="2"/>
    <s v="UKET21008"/>
    <s v="ccs025 "/>
    <s v="18.05.2015 14:48 "/>
    <s v="18.05.2015 15:00"/>
    <s v="18.05.2015 18:00"/>
    <x v="8"/>
    <n v="3"/>
    <n v="3"/>
    <m/>
    <m/>
    <s v="Annual Maintenance contract"/>
    <m/>
  </r>
  <r>
    <n v="1052"/>
    <s v="'300E00537 "/>
    <s v="LG BALAKRISHNAN AND BROS LTD"/>
    <s v="Coimbatore"/>
    <s v="SS07090"/>
    <x v="2"/>
    <s v="UKET21008"/>
    <s v="ccs003 "/>
    <s v="17.10.2014 17:46 "/>
    <s v="18.10.2014 09:00"/>
    <s v="22.10.2014 12:00"/>
    <x v="10"/>
    <n v="99"/>
    <n v="114"/>
    <m/>
    <m/>
    <s v="Out of Warranty"/>
    <m/>
  </r>
  <r>
    <n v="1224"/>
    <s v="'300A0279 "/>
    <s v="KMCH"/>
    <s v="Coimbatore"/>
    <s v="RAC UNIT SS07 W/O PULLEY"/>
    <x v="2"/>
    <n v="22350"/>
    <s v="ccs005 "/>
    <s v="13.07.2010 13:16 "/>
    <s v="14.07.2010 10:00"/>
    <s v="14.07.2010 13:00"/>
    <x v="11"/>
    <n v="3"/>
    <n v="24"/>
    <m/>
    <m/>
    <s v="Warranty Maintenance"/>
    <m/>
  </r>
  <r>
    <n v="1225"/>
    <s v="'300A0258 "/>
    <s v="KMCH"/>
    <s v="Coimbatore"/>
    <s v="RAC UNIT SS07 W/O PULLEY"/>
    <x v="2"/>
    <n v="22350"/>
    <s v="ccs003 "/>
    <s v="05.07.2010 18:55 "/>
    <s v="06.07.2010 10:00"/>
    <s v="06.07.2010 11:00"/>
    <x v="11"/>
    <n v="2"/>
    <n v="16"/>
    <m/>
    <m/>
    <s v="Out of Warranty"/>
    <m/>
  </r>
  <r>
    <n v="1270"/>
    <s v="'30080835 "/>
    <s v="URG CONSTRUCTIONS PVT LTD"/>
    <s v="Coimbatore"/>
    <s v="SS 07"/>
    <x v="2"/>
    <n v="23190"/>
    <s v="ccs007 "/>
    <s v="21.11.2008 10:46 "/>
    <s v="21.11.2008 10:00"/>
    <s v="25.11.2008 16:00"/>
    <x v="5"/>
    <n v="99"/>
    <n v="101"/>
    <m/>
    <m/>
    <s v="Out of Warranty"/>
    <m/>
  </r>
  <r>
    <n v="1273"/>
    <s v="'30080748 "/>
    <s v="ULTRA READY MIX CONCRETE"/>
    <s v="Coimbatore"/>
    <s v="SS07"/>
    <x v="2"/>
    <s v="D30080748"/>
    <s v="ccs001 "/>
    <s v="01.11.2008 12:09 "/>
    <s v="01.11.2008 12:15"/>
    <s v="01.11.2008 12:00"/>
    <x v="5"/>
    <n v="-1"/>
    <n v="0"/>
    <m/>
    <m/>
    <s v="Out of Warranty"/>
    <m/>
  </r>
  <r>
    <n v="1274"/>
    <s v="'30080747 "/>
    <s v="ULTRA READY MIX CONCRETE"/>
    <s v="Coimbatore"/>
    <s v="SS07"/>
    <x v="2"/>
    <n v="21860"/>
    <s v="ccs001 "/>
    <s v="01.11.2008 12:09 "/>
    <s v="01.11.2008 12:15"/>
    <s v="01.11.2008 15:00"/>
    <x v="5"/>
    <n v="3"/>
    <n v="3"/>
    <m/>
    <m/>
    <s v="Out of Warranty"/>
    <m/>
  </r>
  <r>
    <n v="1292"/>
    <s v="'30080476 "/>
    <s v="NITHYA ASSOCIATES PVT LTD"/>
    <s v="Coimbatore"/>
    <s v="RAC UNIT SS07 W/O PULLEY"/>
    <x v="2"/>
    <n v="22613"/>
    <s v="ccs001 "/>
    <s v="16.08.2008 15:01 "/>
    <s v="16.08.2008 14:55"/>
    <s v="16.08.2008 16:00"/>
    <x v="5"/>
    <n v="1"/>
    <n v="1"/>
    <m/>
    <m/>
    <s v="Out of Warranty"/>
    <m/>
  </r>
  <r>
    <n v="1406"/>
    <s v="'400G00032 "/>
    <s v="ACCLAIM TECHNOLOGY SERVICES PVT LTD"/>
    <s v="Pollachi"/>
    <s v="SS 07 090 HN"/>
    <x v="2"/>
    <s v="CPAE600054"/>
    <s v="ccs019 "/>
    <s v="13.05.2016 17:33 "/>
    <s v="14.05.2016 10:00"/>
    <s v="15.05.2016 13:00"/>
    <x v="9"/>
    <n v="27"/>
    <n v="43"/>
    <m/>
    <m/>
    <s v="Warranty Commissioning"/>
    <m/>
  </r>
  <r>
    <n v="1408"/>
    <s v="'400E00047 "/>
    <s v="L G BALAKRISHNAN BROS LTD"/>
    <s v="Coimbatore"/>
    <s v="SS07090"/>
    <x v="2"/>
    <s v="D400E00047"/>
    <s v="ccs018 "/>
    <s v="03.07.2014 13:40 "/>
    <s v="03.07.2014 15:00"/>
    <s v="18.07.2014 15:00"/>
    <x v="10"/>
    <n v="287"/>
    <n v="361"/>
    <m/>
    <m/>
    <s v="Out of Warranty"/>
    <m/>
  </r>
  <r>
    <n v="539"/>
    <s v="'30090042 "/>
    <s v="SV TECHNOCAST"/>
    <s v="Coimbatore"/>
    <s v="SS 10 090 HN"/>
    <x v="3"/>
    <s v="CHIE610082"/>
    <s v="ccs002 "/>
    <s v="15.04.2009 19:29 "/>
    <s v="15.04.2009 10:00"/>
    <s v="21.04.2009 12:00"/>
    <x v="4"/>
    <n v="123"/>
    <n v="137"/>
    <m/>
    <m/>
    <s v="Warranty Failure"/>
    <m/>
  </r>
  <r>
    <n v="555"/>
    <s v="'30081091 "/>
    <s v="SPL TEXTILES"/>
    <s v="Tirupur"/>
    <s v="SS 10 090 HN"/>
    <x v="3"/>
    <s v="CHIE610086"/>
    <s v="ccs001 "/>
    <s v="06.02.2009 12:00 "/>
    <s v="06.02.2009 12:15"/>
    <s v="06.02.2009 13:30"/>
    <x v="5"/>
    <n v="2"/>
    <n v="1"/>
    <m/>
    <m/>
    <s v="Warranty Commissioning"/>
    <m/>
  </r>
  <r>
    <n v="648"/>
    <s v="'30075137 "/>
    <s v="SRI SAKTHI WEAVING MILLS--CITY"/>
    <s v="Coimbatore"/>
    <s v="SS 10 090 HN"/>
    <x v="3"/>
    <n v="15068"/>
    <s v="ccs004 "/>
    <s v="17.12.2007 15:10 "/>
    <s v="17.12.2007 15:15"/>
    <s v="24.12.2007 12:00"/>
    <x v="3"/>
    <n v="165"/>
    <n v="165"/>
    <m/>
    <m/>
    <s v="Warranty Failure"/>
    <m/>
  </r>
  <r>
    <n v="806"/>
    <s v="'30050024 "/>
    <s v="PREMIER GARMENTS--CITY"/>
    <s v="Tirupur"/>
    <s v="SS 10"/>
    <x v="3"/>
    <n v="3507"/>
    <s v="E00001 "/>
    <s v="04.04.2005 12:17 "/>
    <s v="04.04.2005 12:30"/>
    <s v="04.04.2005 15:00"/>
    <x v="0"/>
    <n v="0"/>
    <n v="3"/>
    <m/>
    <m/>
    <m/>
    <m/>
  </r>
  <r>
    <n v="816"/>
    <s v="'3004003947 "/>
    <s v="PREMIER KNIT APPRELLS--CITY"/>
    <s v="Tirupur"/>
    <s v="SS 10"/>
    <x v="3"/>
    <n v="3507"/>
    <s v="E00001 "/>
    <s v="28.03.2005 12:24 "/>
    <s v="28.03.2005 12:30"/>
    <s v="28.03.2005 13:30"/>
    <x v="0"/>
    <n v="0"/>
    <n v="1"/>
    <m/>
    <m/>
    <m/>
    <m/>
  </r>
  <r>
    <n v="860"/>
    <s v="'3004003789 "/>
    <s v="GD KNITS--CITY"/>
    <s v="Tirupur"/>
    <s v="SS 10"/>
    <x v="3"/>
    <n v="13339"/>
    <s v="E00001 "/>
    <s v="02.03.2005 11:42 "/>
    <s v="02.03.2005 12:00"/>
    <s v="02.03.2005 17:30"/>
    <x v="0"/>
    <n v="0"/>
    <n v="6"/>
    <m/>
    <m/>
    <m/>
    <m/>
  </r>
  <r>
    <n v="884"/>
    <s v="'3004003693 "/>
    <s v="KALAIMAGAL TEXTILES--CITY"/>
    <s v="Tirupur"/>
    <s v="SS 10"/>
    <x v="3"/>
    <n v="76629"/>
    <s v="E00001 "/>
    <s v="17.02.2005 11:49 "/>
    <s v="17.02.2005 12:00"/>
    <s v="17.02.2005 16:00"/>
    <x v="6"/>
    <n v="0"/>
    <n v="4"/>
    <m/>
    <m/>
    <m/>
    <m/>
  </r>
  <r>
    <n v="906"/>
    <s v="'3004003607 "/>
    <s v="KANNIMARA EXPORTS--CITY"/>
    <s v="Tirupur"/>
    <s v="SS 10"/>
    <x v="3"/>
    <n v="0"/>
    <s v="E00001 "/>
    <s v="05.02.2005 16:14 "/>
    <s v="05.02.2005 16:25"/>
    <s v="05.02.2005 17:15"/>
    <x v="6"/>
    <n v="0"/>
    <n v="1"/>
    <m/>
    <m/>
    <m/>
    <m/>
  </r>
  <r>
    <n v="944"/>
    <s v="'304003398 "/>
    <s v="KALAIMAGAL TEXTILES"/>
    <s v="Coimbatore"/>
    <s v="SS 10"/>
    <x v="3"/>
    <n v="76669"/>
    <s v="E00001 "/>
    <s v="29.12.2004 16:39 "/>
    <s v="29.12.2004 16:45"/>
    <s v="29.12.2004 20:00"/>
    <x v="6"/>
    <n v="0"/>
    <n v="3"/>
    <m/>
    <m/>
    <m/>
    <m/>
  </r>
  <r>
    <n v="992"/>
    <s v="'304003079 "/>
    <s v="KANIMARA EXPORTS--CITY"/>
    <s v="Tirupur"/>
    <s v="SS10"/>
    <x v="3"/>
    <n v="13372"/>
    <s v="E00001 "/>
    <s v="06.11.2004 11:40 "/>
    <s v="06.11.2004 11:45"/>
    <s v="06.11.2004 13:00"/>
    <x v="6"/>
    <n v="0"/>
    <n v="1"/>
    <m/>
    <m/>
    <m/>
    <m/>
  </r>
  <r>
    <n v="1163"/>
    <s v="'300B0490 "/>
    <s v="HARI AGENCIES"/>
    <s v="Erode"/>
    <s v="SS10070"/>
    <x v="3"/>
    <n v="13649"/>
    <s v="ccs014 "/>
    <s v="30.08.2011 14:20 "/>
    <s v="31.08.2011 10:00"/>
    <s v="31.08.2011 15:00"/>
    <x v="1"/>
    <n v="5"/>
    <n v="25"/>
    <m/>
    <m/>
    <s v="Out of Warranty"/>
    <m/>
  </r>
  <r>
    <n v="1282"/>
    <s v="'30080601 "/>
    <s v="CETHAR VESSELS LTD"/>
    <s v="TRICHY"/>
    <s v="SS 10 090 HN"/>
    <x v="3"/>
    <s v="CHBE610036"/>
    <s v="ccs007 "/>
    <s v="20.09.2008 17:10 "/>
    <s v="23.09.2008 10:00"/>
    <s v="25.09.2008 13:00"/>
    <x v="5"/>
    <n v="75"/>
    <n v="116"/>
    <m/>
    <m/>
    <s v="Warranty Commissioning"/>
    <m/>
  </r>
  <r>
    <n v="1345"/>
    <s v="'30074243 "/>
    <s v="INDIA CEMENTS LTD"/>
    <s v="Virudhachalam"/>
    <s v="SS10070"/>
    <x v="3"/>
    <n v="22535"/>
    <s v="ccs004 "/>
    <s v="02.06.2007 19:30 "/>
    <s v="02.06.2007 19:30"/>
    <s v="06.06.2007 14:00"/>
    <x v="3"/>
    <n v="91"/>
    <n v="90"/>
    <m/>
    <m/>
    <m/>
    <m/>
  </r>
  <r>
    <n v="213"/>
    <s v="'300C0158 "/>
    <s v="DIESEL MACHINERY WORKS"/>
    <s v="Coimbatore"/>
    <s v="SS 15 090 HN"/>
    <x v="4"/>
    <s v="CJHE620028"/>
    <s v="ccs015 "/>
    <s v="17.05.2012 16:51 "/>
    <s v="17.05.2012 17:00"/>
    <s v="18.05.2012 11:00"/>
    <x v="7"/>
    <n v="18"/>
    <n v="18"/>
    <s v="35119C007-18.05.2012"/>
    <s v="35119C007"/>
    <m/>
    <m/>
  </r>
  <r>
    <n v="334"/>
    <s v="'300A0776 "/>
    <s v="DMW"/>
    <s v="Coimbatore"/>
    <s v="SS 15 090 HN"/>
    <x v="4"/>
    <s v="CJHE620028"/>
    <s v="ccs001 "/>
    <s v="27.12.2010 16:27 "/>
    <s v="27.12.2010 16:35"/>
    <s v="30.12.2010 18:45"/>
    <x v="11"/>
    <n v="74"/>
    <n v="74"/>
    <m/>
    <m/>
    <s v="Warranty Failure"/>
    <m/>
  </r>
  <r>
    <n v="338"/>
    <s v="'300A0739 "/>
    <s v="DIESEL MACHINERY WORKS"/>
    <s v="Coimbatore"/>
    <s v="SS 15 090 HN"/>
    <x v="4"/>
    <s v="CJHE620028"/>
    <s v="ccs007 "/>
    <s v="14.12.2010 16:57 "/>
    <s v="15.12.2010 10:00"/>
    <s v="15.12.2010 12:00"/>
    <x v="11"/>
    <n v="2"/>
    <n v="19"/>
    <m/>
    <m/>
    <s v="Warranty Failure"/>
    <m/>
  </r>
  <r>
    <n v="741"/>
    <s v="'30062530 "/>
    <s v="BK GARMENTS"/>
    <s v="Tirupur"/>
    <s v="SS 15"/>
    <x v="4"/>
    <n v="46631"/>
    <s v="ccs001 "/>
    <s v="10.06.2006 14:34 "/>
    <s v="11.06.2006 10:00"/>
    <s v="23.06.2006 12:00"/>
    <x v="12"/>
    <n v="0"/>
    <n v="309"/>
    <m/>
    <m/>
    <m/>
    <m/>
  </r>
  <r>
    <n v="858"/>
    <s v="'3004003802 "/>
    <s v="KSE LTD--CITY"/>
    <s v="Trichur"/>
    <s v="SS 15"/>
    <x v="4"/>
    <n v="15183"/>
    <s v="E00001 "/>
    <s v="05.03.2005 10:57 "/>
    <s v="05.03.2005 11:15"/>
    <s v="05.03.2005 12:30"/>
    <x v="0"/>
    <n v="0"/>
    <n v="2"/>
    <m/>
    <m/>
    <m/>
    <m/>
  </r>
  <r>
    <n v="881"/>
    <s v="'3004003697 "/>
    <s v="KSC LTD-CITY"/>
    <s v="Trichur"/>
    <s v="SS 15"/>
    <x v="4"/>
    <n v="15183"/>
    <s v="E00001 "/>
    <s v="17.02.2005 12:02 "/>
    <s v="17.02.2005 12:15"/>
    <s v="22.02.2005 18:00"/>
    <x v="6"/>
    <n v="0"/>
    <n v="126"/>
    <m/>
    <m/>
    <m/>
    <m/>
  </r>
  <r>
    <n v="1304"/>
    <s v="'30080264 "/>
    <s v="MADRAS CEMENT LTD"/>
    <s v="Madurai"/>
    <s v="RAC UNIT SS15 HN"/>
    <x v="4"/>
    <n v="15319"/>
    <s v="ccs001 "/>
    <s v="25.06.2008 16:50 "/>
    <s v="25.06.2008 17:00"/>
    <s v="15.07.2008 17:00"/>
    <x v="5"/>
    <n v="480"/>
    <n v="480"/>
    <m/>
    <m/>
    <s v="Out of Warranty"/>
    <m/>
  </r>
  <r>
    <n v="1326"/>
    <s v="'30075160 "/>
    <s v="MADRAS CEMENTS"/>
    <s v="Virudhunagar"/>
    <s v="SS15090HN/500 LTRS"/>
    <x v="4"/>
    <n v="15323"/>
    <s v="ccs004 "/>
    <s v="24.12.2007 10:57 "/>
    <s v="24.12.2007 11:00"/>
    <s v="24.12.2007 18:00"/>
    <x v="3"/>
    <n v="7"/>
    <n v="7"/>
    <m/>
    <m/>
    <s v="Warranty Commissioning"/>
    <m/>
  </r>
  <r>
    <n v="1354"/>
    <s v="'30063916 "/>
    <s v="LAKSHMI AUTOMATIC LOOMS--SREE"/>
    <s v="Hosur"/>
    <s v="SS15070H-500L"/>
    <x v="4"/>
    <n v="15255"/>
    <s v="ccs001 "/>
    <s v="12.03.2007 16:21 "/>
    <s v="12.03.2007 16:20"/>
    <s v="22.03.2007 10:05"/>
    <x v="3"/>
    <n v="234"/>
    <n v="234"/>
    <m/>
    <m/>
    <m/>
    <m/>
  </r>
  <r>
    <n v="11"/>
    <s v="'300F01282 "/>
    <s v="GL TRADERS"/>
    <s v="KUNIAMUTHUR"/>
    <s v="RAC PACKAGE TS03 HN 220L"/>
    <x v="5"/>
    <s v="CGIE550066"/>
    <s v="ccs015 "/>
    <s v="28.03.2016 15:51 "/>
    <s v="05.04.2016 00:00"/>
    <s v="05.04.2016 10:00"/>
    <x v="9"/>
    <n v="52"/>
    <n v="186"/>
    <m/>
    <m/>
    <s v="Out of Warranty"/>
    <m/>
  </r>
  <r>
    <n v="26"/>
    <s v="'300F00886 "/>
    <s v="BLOSSAM KNIT WEAR"/>
    <s v="Tirupur"/>
    <s v="TS 03 120 HN"/>
    <x v="5"/>
    <s v="GOLE550062"/>
    <s v="ccs018 "/>
    <s v="10.12.2015 12:11 "/>
    <s v="10.12.2015 15:00"/>
    <s v="10.12.2015 17:00"/>
    <x v="8"/>
    <n v="2"/>
    <n v="5"/>
    <m/>
    <m/>
    <m/>
    <m/>
  </r>
  <r>
    <n v="39"/>
    <s v="'300F00676 "/>
    <s v="SAI CORP INDUSTRIAL TRAILERS"/>
    <s v="Coimbatore"/>
    <s v="TS 03 120 HN"/>
    <x v="5"/>
    <s v="GOGE550209"/>
    <s v="E00001 "/>
    <s v="10.10.2015 17:22 "/>
    <s v="10.10.2015 17:30"/>
    <s v="10.10.2015 18:30"/>
    <x v="8"/>
    <n v="1"/>
    <n v="1"/>
    <m/>
    <m/>
    <s v="Warranty Commissioning"/>
    <m/>
  </r>
  <r>
    <n v="45"/>
    <s v="'300F00639 "/>
    <s v="BS TEX"/>
    <s v="THIRUPPUR"/>
    <s v="TS 03 120 HN"/>
    <x v="5"/>
    <s v="CNAE550129"/>
    <s v="ccs021 "/>
    <s v="30.09.2015 10:38 "/>
    <s v="30.09.2015 14:00"/>
    <s v="30.09.2015 16:00"/>
    <x v="8"/>
    <n v="2"/>
    <n v="5"/>
    <m/>
    <m/>
    <s v="Out of Warranty"/>
    <m/>
  </r>
  <r>
    <n v="50"/>
    <s v="'300F00450 "/>
    <s v="SIVSHREE MEDITTEX INDIA PVT LTD"/>
    <s v="PATTANAM"/>
    <s v="TS 03 120 HN"/>
    <x v="5"/>
    <s v="GNFE550037"/>
    <s v="ccs021 "/>
    <s v="28.08.2015 10:58 "/>
    <s v="28.08.2015 14:00"/>
    <s v="30.08.2015 13:00"/>
    <x v="8"/>
    <n v="47"/>
    <n v="50"/>
    <m/>
    <m/>
    <s v="Out of Warranty"/>
    <m/>
  </r>
  <r>
    <n v="54"/>
    <s v="'300F00371 "/>
    <s v="SUBASRI TEXTILES"/>
    <s v="Tirupur"/>
    <s v="RAC PACKAGE TS03 HN 160L"/>
    <x v="5"/>
    <n v="55226"/>
    <s v="ccs019 "/>
    <s v="04.08.2015 12:11 "/>
    <s v="05.08.2015 09:00"/>
    <s v="05.08.2015 13:00"/>
    <x v="8"/>
    <n v="4"/>
    <n v="25"/>
    <m/>
    <m/>
    <s v="Out of Warranty"/>
    <m/>
  </r>
  <r>
    <n v="61"/>
    <s v="'300F00291 "/>
    <s v="TUV RHEINLAND INDIA PVT LTD"/>
    <s v="Tirupur"/>
    <s v="RAC PACKAGE TS03 HN 160L"/>
    <x v="5"/>
    <s v="CLEE540115"/>
    <s v="ccs025 "/>
    <s v="07.07.2015 13:21 "/>
    <s v="08.07.2015 10:00"/>
    <s v="08.07.2015 15:00"/>
    <x v="8"/>
    <n v="5"/>
    <n v="26"/>
    <m/>
    <m/>
    <s v="Out of Warranty"/>
    <m/>
  </r>
  <r>
    <n v="62"/>
    <s v="'300F00268 "/>
    <s v="VKV CHABER BRICKS"/>
    <s v="Coimbatore"/>
    <s v="TS 03 120 HN"/>
    <x v="5"/>
    <s v="CNJE550034"/>
    <s v="ccs025 "/>
    <s v="01.07.2015 11:34 "/>
    <s v="02.07.2015 10:00"/>
    <s v="03.07.2015 11:00"/>
    <x v="8"/>
    <n v="25"/>
    <n v="47"/>
    <m/>
    <m/>
    <s v="Out of Warranty"/>
    <m/>
  </r>
  <r>
    <n v="87"/>
    <s v="'300E00796 "/>
    <s v="MASS KNIT GARMENTS"/>
    <s v="THIRUPUR"/>
    <s v="RAC PACKAGE TS03 HN 220L"/>
    <x v="5"/>
    <n v="54621"/>
    <s v="ccs014 "/>
    <s v="28.01.2015 10:14 "/>
    <s v="28.01.2015 14:00"/>
    <s v="28.01.2015 15:00"/>
    <x v="10"/>
    <n v="1"/>
    <n v="5"/>
    <m/>
    <m/>
    <s v="Out of Warranty"/>
    <m/>
  </r>
  <r>
    <n v="88"/>
    <s v="'300E00790 "/>
    <s v="MASS KNIT GARMENTS"/>
    <s v="THIRUPPUR"/>
    <s v="TS03"/>
    <x v="5"/>
    <n v="54621"/>
    <s v="ccs021 "/>
    <s v="23.01.2015 17:04 "/>
    <s v="24.01.2015 10:00"/>
    <s v="24.01.2015 14:00"/>
    <x v="10"/>
    <n v="4"/>
    <n v="21"/>
    <m/>
    <m/>
    <s v="Out of Warranty"/>
    <m/>
  </r>
  <r>
    <n v="93"/>
    <s v="'300E00640 "/>
    <s v="VKV CHABER BRICKS"/>
    <s v="COIMABTORE"/>
    <s v="TS 03 120 HN"/>
    <x v="5"/>
    <s v="CNJE550034"/>
    <s v="ccs021 "/>
    <s v="02.12.2014 17:30 "/>
    <s v="03.12.2014 10:00"/>
    <s v="03.12.2014 16:00"/>
    <x v="10"/>
    <n v="6"/>
    <n v="22"/>
    <m/>
    <m/>
    <s v="Out of Warranty"/>
    <m/>
  </r>
  <r>
    <n v="94"/>
    <s v="'300E00633 "/>
    <s v="ARROW EXPORTS"/>
    <s v="TIRUPPUR"/>
    <s v="RAC PACKAGE TS03 HN 160L"/>
    <x v="5"/>
    <s v="CIJE550046"/>
    <s v="ccs014 "/>
    <s v="28.11.2014 12:14 "/>
    <s v="03.12.2014 00:00"/>
    <s v="03.12.2014 14:00"/>
    <x v="10"/>
    <n v="4"/>
    <n v="122"/>
    <m/>
    <m/>
    <s v="Out of Warranty"/>
    <m/>
  </r>
  <r>
    <n v="95"/>
    <s v="'300E00627 "/>
    <s v="MOTOR HUB"/>
    <s v="THIRRUR"/>
    <s v="TS 03 120 HN"/>
    <x v="5"/>
    <s v="GNFE550027"/>
    <s v="C00002 "/>
    <s v="26.11.2014 11:23 "/>
    <s v="26.11.2014 11:30"/>
    <s v="26.11.2014 13:00"/>
    <x v="10"/>
    <n v="2"/>
    <n v="2"/>
    <m/>
    <m/>
    <s v="Warranty Commissioning"/>
    <m/>
  </r>
  <r>
    <n v="119"/>
    <s v="'300E00129 "/>
    <s v="MASSKNIT GARMENTS"/>
    <s v="Tirupur"/>
    <s v="TS03HN"/>
    <x v="5"/>
    <n v="54621"/>
    <s v="ccs019 "/>
    <s v="21.05.2014 11:33 "/>
    <s v="22.05.2014 10:00"/>
    <s v="22.05.2014 11:30"/>
    <x v="10"/>
    <n v="2"/>
    <n v="24"/>
    <m/>
    <m/>
    <s v="Out of Warranty"/>
    <m/>
  </r>
  <r>
    <n v="135"/>
    <s v="'300D0819 "/>
    <s v="SIVAM GARMENTS"/>
    <s v="TIRUPPUR"/>
    <s v="RAC PACKAGE TS03 HN 220L"/>
    <x v="5"/>
    <s v="CHKE550122"/>
    <s v="ccs005 "/>
    <s v="03.01.2014 11:59 "/>
    <s v="03.01.2014 15:00"/>
    <s v="04.01.2014 13:30"/>
    <x v="2"/>
    <n v="23"/>
    <n v="26"/>
    <m/>
    <m/>
    <s v="Out of Warranty"/>
    <m/>
  </r>
  <r>
    <n v="174"/>
    <s v="'300C0724 "/>
    <s v="JAI CHANDRAN PLASTICS"/>
    <s v="KUNNATHUR"/>
    <s v="RAC PACKAGE TS03 HN 220L"/>
    <x v="5"/>
    <s v="CLBE550559"/>
    <s v="ccs005 "/>
    <s v="28.11.2012 15:38 "/>
    <s v="29.11.2012 10:00"/>
    <s v="29.11.2012 12:00"/>
    <x v="7"/>
    <n v="2"/>
    <n v="20"/>
    <m/>
    <m/>
    <s v="Warranty Failure"/>
    <m/>
  </r>
  <r>
    <n v="176"/>
    <s v="'300C0675 "/>
    <s v="DYNAMIC ENGINEERING AND SERVICES"/>
    <s v="Coimbatore"/>
    <s v="RAC PACKAGE TS03 HN 220L"/>
    <x v="5"/>
    <s v="CLKE550134"/>
    <s v="ccs007 "/>
    <s v="07.11.2012 16:08 "/>
    <s v="08.11.2012 09:00"/>
    <s v="08.11.2012 11:00"/>
    <x v="7"/>
    <n v="2"/>
    <n v="19"/>
    <m/>
    <m/>
    <s v="Out of Warranty"/>
    <m/>
  </r>
  <r>
    <n v="181"/>
    <s v="'300C0611 "/>
    <s v="DYNAMIC ENGINEERNG AND SERVICE"/>
    <s v="Coimbatore"/>
    <s v="RAC PACKAGE TS03 HN 220L"/>
    <x v="5"/>
    <s v="CLKE550134"/>
    <s v="ccs015 "/>
    <s v="11.10.2012 14:17 "/>
    <s v="12.10.2012 10:00"/>
    <s v="12.10.2012 13:00"/>
    <x v="7"/>
    <n v="3"/>
    <n v="23"/>
    <m/>
    <m/>
    <s v="Out of Warranty"/>
    <m/>
  </r>
  <r>
    <n v="199"/>
    <s v="'300C0380 "/>
    <s v="JVP PLASTER AND GYPSUM INDUSTRIES"/>
    <s v="TUTUCORIN"/>
    <s v="TS 03 120 HN"/>
    <x v="5"/>
    <s v="CLJE550108"/>
    <s v="ccs005 "/>
    <s v="30.07.2012 10:41 "/>
    <s v="31.07.2012 10:00"/>
    <s v="31.07.2012 12:00"/>
    <x v="7"/>
    <n v="2"/>
    <n v="25"/>
    <m/>
    <m/>
    <s v="Warranty Commissioning"/>
    <m/>
  </r>
  <r>
    <n v="208"/>
    <s v="'300C0194 "/>
    <s v="VM NAIR"/>
    <s v="KANJIKODE"/>
    <s v="TS03120"/>
    <x v="5"/>
    <n v="1240"/>
    <s v="ccs002 "/>
    <s v="02.06.2012 10:42 "/>
    <s v="04.06.2012 14:00"/>
    <s v="04.06.2012 12:00"/>
    <x v="7"/>
    <n v="47"/>
    <n v="49"/>
    <m/>
    <m/>
    <s v="Out of Warranty"/>
    <m/>
  </r>
  <r>
    <n v="239"/>
    <s v="'300B1001 "/>
    <s v="CANTY GARMENTS"/>
    <s v="TIRUPPUR"/>
    <s v="TS03120"/>
    <x v="5"/>
    <s v="CHKE550177"/>
    <s v="ccs015 "/>
    <s v="09.02.2012 14:21 "/>
    <s v="10.02.2012 10:00"/>
    <s v="10.02.2012 13:00"/>
    <x v="1"/>
    <n v="3"/>
    <n v="23"/>
    <m/>
    <m/>
    <s v="Out of Warranty"/>
    <m/>
  </r>
  <r>
    <n v="250"/>
    <s v="'300B0801 "/>
    <s v="TUNIC TEXTILES"/>
    <s v="TIRUPPUR"/>
    <s v="TS03120"/>
    <x v="5"/>
    <n v="1103"/>
    <s v="ccs014 "/>
    <s v="10.12.2011 12:18 "/>
    <s v="12.12.2011 10:00"/>
    <s v="12.12.2011 18:00"/>
    <x v="1"/>
    <n v="8"/>
    <n v="54"/>
    <m/>
    <m/>
    <s v="Out of Warranty"/>
    <m/>
  </r>
  <r>
    <n v="271"/>
    <s v="'300B0355 "/>
    <s v="ESWAR DESIGNS"/>
    <s v="TIRUPPUR"/>
    <s v="TS 03 120 HN"/>
    <x v="5"/>
    <s v="CKDE550731"/>
    <s v="ccs014 "/>
    <s v="20.07.2011 12:21 "/>
    <s v="20.07.2011 12:30"/>
    <s v="20.07.2011 14:00"/>
    <x v="1"/>
    <n v="2"/>
    <n v="2"/>
    <m/>
    <m/>
    <s v="Warranty Commissioning"/>
    <m/>
  </r>
  <r>
    <n v="279"/>
    <s v="'300B0279 "/>
    <s v="PNG EXPORTS"/>
    <s v="THIRUPPUR"/>
    <s v="TS 03 120 HN"/>
    <x v="5"/>
    <s v="CKCE550627"/>
    <s v="ccs005 "/>
    <s v="01.07.2011 11:36 "/>
    <s v="01.07.2011 11:45"/>
    <s v="01.07.2011 14:00"/>
    <x v="1"/>
    <n v="2"/>
    <n v="2"/>
    <m/>
    <m/>
    <s v="Warranty Commissioning"/>
    <m/>
  </r>
  <r>
    <n v="285"/>
    <s v="'300B0220 "/>
    <s v="SRI LAKSHMI SARASWATHI SPINTEX"/>
    <s v="TIRUPPUR"/>
    <s v="TS 03 120 HN"/>
    <x v="5"/>
    <s v="CKCE550567"/>
    <s v="ccs007 "/>
    <s v="15.06.2011 12:19 "/>
    <s v="15.06.2011 12:30"/>
    <s v="15.06.2011 15:00"/>
    <x v="1"/>
    <n v="3"/>
    <n v="3"/>
    <m/>
    <m/>
    <s v="Warranty Commissioning"/>
    <m/>
  </r>
  <r>
    <n v="288"/>
    <s v="'300B0184 "/>
    <s v="ADITYA AGENCIES"/>
    <s v="TIRUPPUR"/>
    <s v="TS 03 120 HN"/>
    <x v="5"/>
    <s v="CKBE550521"/>
    <s v="ccs007 "/>
    <s v="03.06.2011 10:41 "/>
    <s v="03.06.2011 11:00"/>
    <s v="03.06.2011 13:00"/>
    <x v="1"/>
    <n v="2"/>
    <n v="2"/>
    <m/>
    <m/>
    <s v="Warranty Commissioning"/>
    <m/>
  </r>
  <r>
    <n v="296"/>
    <s v="'300B0126 "/>
    <s v="JFK INTERNATIONAL"/>
    <s v="Coimbatore"/>
    <s v="TS 03 120 HN"/>
    <x v="5"/>
    <s v="AKAE550021"/>
    <s v="ccs003 "/>
    <s v="17.05.2011 17:20 "/>
    <s v="17.05.2011 17:30"/>
    <s v="18.05.2011 10:30"/>
    <x v="1"/>
    <n v="17"/>
    <n v="17"/>
    <m/>
    <m/>
    <s v="Warranty Commissioning"/>
    <m/>
  </r>
  <r>
    <n v="299"/>
    <s v="'300B0103 "/>
    <s v="SARAVANA BLUE METALS INDUSTRY"/>
    <s v="METUPALAYAM"/>
    <s v="TS 03 120 HN"/>
    <x v="5"/>
    <s v="CJIE551158"/>
    <s v="ccs001 "/>
    <s v="10.05.2011 12:33 "/>
    <s v="10.05.2011 00:12"/>
    <s v="10.05.2011 15:00"/>
    <x v="1"/>
    <n v="2"/>
    <n v="2"/>
    <m/>
    <m/>
    <s v="Warranty Commissioning"/>
    <m/>
  </r>
  <r>
    <n v="303"/>
    <s v="'300B0044 "/>
    <s v="AK MOTORS"/>
    <s v="Coimbatore"/>
    <s v="TS 03 120 HN"/>
    <x v="5"/>
    <s v="CKLE550295"/>
    <s v="ccs003 "/>
    <s v="19.04.2011 12:28 "/>
    <s v="19.04.2011 13:00"/>
    <s v="23.04.2011 11:45"/>
    <x v="1"/>
    <n v="28"/>
    <n v="95"/>
    <m/>
    <m/>
    <s v="Warranty Commissioning"/>
    <m/>
  </r>
  <r>
    <n v="308"/>
    <s v="'300A1133 "/>
    <s v="SRI RAJ KONDAL EXPORT ENTERPRISES"/>
    <s v="TIRUPPUR"/>
    <s v="TS 03 120 HN"/>
    <x v="5"/>
    <s v="CKLE550217"/>
    <s v="ccs005 "/>
    <s v="19.03.2011 10:07 "/>
    <s v="19.03.2011 10:15"/>
    <s v="19.03.2011 15:00"/>
    <x v="1"/>
    <n v="5"/>
    <n v="5"/>
    <m/>
    <m/>
    <s v="Warranty Failure"/>
    <m/>
  </r>
  <r>
    <n v="317"/>
    <s v="'300A1025 "/>
    <s v="JA APPARELS"/>
    <s v="Tirupur"/>
    <s v="TS03"/>
    <x v="5"/>
    <n v="53191"/>
    <s v="ccs003 "/>
    <s v="21.02.2011 10:47 "/>
    <s v="21.02.2011 15:00"/>
    <s v="21.02.2011 14:00"/>
    <x v="1"/>
    <n v="-1"/>
    <n v="3"/>
    <m/>
    <m/>
    <s v="Out of Warranty"/>
    <m/>
  </r>
  <r>
    <n v="361"/>
    <s v="'300A0189 "/>
    <s v="STAR TEX"/>
    <s v="Tirupur"/>
    <s v="TS 03 120 HN"/>
    <x v="5"/>
    <s v="CJBE550465"/>
    <s v="ccs001 "/>
    <s v="05.06.2010 14:48 "/>
    <s v="05.06.2010 15:00"/>
    <s v="05.06.2010 19:00"/>
    <x v="11"/>
    <n v="4"/>
    <n v="4"/>
    <m/>
    <m/>
    <s v="Warranty Commissioning"/>
    <m/>
  </r>
  <r>
    <n v="362"/>
    <s v="'300A0185 "/>
    <s v="CENTURY WELLS ROOFING INDIA P. LTD"/>
    <s v="Coimbatore"/>
    <s v="TS 03 120 HN"/>
    <x v="5"/>
    <s v="CJAE550276"/>
    <s v="ccs001 "/>
    <s v="05.06.2010 12:35 "/>
    <s v="05.06.2010 12:45"/>
    <s v="09.06.2010 15:00"/>
    <x v="11"/>
    <n v="98"/>
    <n v="98"/>
    <m/>
    <m/>
    <s v="Warranty Maintenance"/>
    <m/>
  </r>
  <r>
    <n v="370"/>
    <s v="'300A0147 "/>
    <s v="ADITYI CREATION"/>
    <s v="TIRUPPUR"/>
    <s v="TS 03 120 HN"/>
    <x v="5"/>
    <s v="CJAE550297"/>
    <s v="ccs007 "/>
    <s v="21.05.2010 16:19 "/>
    <s v="22.05.2010 10:00"/>
    <s v="28.05.2010 15:00"/>
    <x v="11"/>
    <n v="149"/>
    <n v="167"/>
    <m/>
    <m/>
    <s v="Warranty Maintenance"/>
    <m/>
  </r>
  <r>
    <n v="371"/>
    <s v="'300A0146 "/>
    <s v="THIRUMURUGAN TEXPRINT"/>
    <s v="TIRUPPUR"/>
    <s v="TS 03 120 HN"/>
    <x v="5"/>
    <s v="CJLE550208"/>
    <s v="ccs007 "/>
    <s v="21.05.2010 16:18 "/>
    <s v="22.05.2010 10:00"/>
    <s v="28.05.2010 11:30"/>
    <x v="11"/>
    <n v="146"/>
    <n v="163"/>
    <m/>
    <m/>
    <s v="Warranty Maintenance"/>
    <m/>
  </r>
  <r>
    <n v="372"/>
    <s v="'300A0145 "/>
    <s v="SRI VELKNIT CRUSHERS"/>
    <s v="TIRUPPUR"/>
    <s v="TS 03 120 HN"/>
    <x v="5"/>
    <s v="CJAE550363"/>
    <s v="ccs007 "/>
    <s v="21.05.2010 16:17 "/>
    <s v="21.05.2010 16:30"/>
    <s v="01.06.2010 13:00"/>
    <x v="11"/>
    <n v="261"/>
    <n v="261"/>
    <m/>
    <m/>
    <s v="Warranty Failure"/>
    <m/>
  </r>
  <r>
    <n v="373"/>
    <s v="'300A0133 "/>
    <s v="THANGAMANI AGRO&amp;CO"/>
    <s v="TIRUPPUR"/>
    <s v="TS 03 120 HN"/>
    <x v="5"/>
    <s v="CJAE550376"/>
    <s v="ccs004 "/>
    <s v="17.05.2010 14:41 "/>
    <s v="17.05.2010 15:00"/>
    <s v="17.05.2010 16:00"/>
    <x v="11"/>
    <n v="1"/>
    <n v="1"/>
    <m/>
    <m/>
    <s v="Warranty Commissioning"/>
    <m/>
  </r>
  <r>
    <n v="376"/>
    <s v="'300A0122 "/>
    <s v="SENSITVE APPREALS"/>
    <s v="THIRUPPUR"/>
    <s v="TS 03 120 HN"/>
    <x v="5"/>
    <s v="CJAE550363"/>
    <s v="ccs007 "/>
    <s v="12.05.2010 15:12 "/>
    <s v="12.05.2010 15:30"/>
    <s v="12.05.2010 16:30"/>
    <x v="11"/>
    <n v="1"/>
    <n v="1"/>
    <m/>
    <m/>
    <s v="Warranty Commissioning"/>
    <m/>
  </r>
  <r>
    <n v="385"/>
    <s v="'300A0055 "/>
    <s v="CHERAN MACHINERY INDIA PVT LTD"/>
    <s v="Coimbatore"/>
    <s v="TS 03 120 HN"/>
    <x v="5"/>
    <s v="CGIE550080"/>
    <s v="ccs007 "/>
    <s v="16.04.2010 14:04 "/>
    <s v="16.04.2010 14:15"/>
    <s v="09.06.2010 15:00"/>
    <x v="11"/>
    <n v="1137"/>
    <n v="1297"/>
    <m/>
    <m/>
    <s v="Out of Warranty"/>
    <m/>
  </r>
  <r>
    <n v="387"/>
    <s v="'300A0051 "/>
    <s v="ADITI CRATIONS"/>
    <s v="Tirupur"/>
    <s v="TS 03 120 HN"/>
    <x v="5"/>
    <s v="CJAE550297"/>
    <s v="ccs001 "/>
    <s v="15.04.2010 12:39 "/>
    <s v="15.04.2010 12:45"/>
    <s v="15.04.2010 16:00"/>
    <x v="11"/>
    <n v="3"/>
    <n v="3"/>
    <m/>
    <m/>
    <s v="Warranty Commissioning"/>
    <m/>
  </r>
  <r>
    <n v="389"/>
    <s v="'300A0038 "/>
    <s v="THIRU MURAGAN TEXT PRINT"/>
    <s v="TIRUPPUR"/>
    <s v="TS 03 120 HN"/>
    <x v="5"/>
    <s v="CJLE550208"/>
    <s v="ccs003 "/>
    <s v="12.04.2010 13:04 "/>
    <s v="12.04.2010 13:15"/>
    <s v="12.04.2010 16:00"/>
    <x v="11"/>
    <n v="3"/>
    <n v="3"/>
    <m/>
    <m/>
    <s v="Warranty Commissioning"/>
    <m/>
  </r>
  <r>
    <n v="408"/>
    <s v="'30091177 "/>
    <s v="HAPPY TEXTILES"/>
    <s v="TIRUPPUR"/>
    <s v="TS 03 120 HN"/>
    <x v="5"/>
    <s v="CJLE550220"/>
    <s v="ccs002 "/>
    <s v="13.03.2010 15:43 "/>
    <s v="13.03.2010 16:00"/>
    <s v="13.03.2010 18:00"/>
    <x v="11"/>
    <n v="2"/>
    <n v="2"/>
    <m/>
    <m/>
    <s v="Warranty Commissioning"/>
    <m/>
  </r>
  <r>
    <n v="425"/>
    <s v="'30091103 "/>
    <s v="RIXO KNITTING COMPANY"/>
    <s v="TIRUPPUR"/>
    <s v="TS 03 120 HN"/>
    <x v="5"/>
    <s v="CJKE550124"/>
    <s v="ccs004 "/>
    <s v="23.02.2010 11:30 "/>
    <s v="23.02.2010 11:30"/>
    <s v="23.02.2010 14:30"/>
    <x v="11"/>
    <n v="3"/>
    <n v="3"/>
    <m/>
    <m/>
    <s v="Warranty Commissioning"/>
    <m/>
  </r>
  <r>
    <n v="431"/>
    <s v="'30091072 "/>
    <s v="MOUNTY GARMENTS"/>
    <s v="TIRUPPUR"/>
    <s v="TS 03 120 HN"/>
    <x v="5"/>
    <s v="CJJE550070"/>
    <s v="ccs007 "/>
    <s v="13.02.2010 12:02 "/>
    <s v="13.02.2010 12:15"/>
    <s v="13.02.2010 14:00"/>
    <x v="4"/>
    <n v="2"/>
    <n v="2"/>
    <m/>
    <m/>
    <s v="Warranty Commissioning"/>
    <m/>
  </r>
  <r>
    <n v="448"/>
    <s v="'30090999 "/>
    <s v="AALI INDUSTRIES"/>
    <s v="Madurai"/>
    <s v="TS 03 120 HN"/>
    <x v="5"/>
    <s v="CICE550391"/>
    <s v="ccs001 "/>
    <s v="25.01.2010 14:37 "/>
    <s v="25.01.2010 14:50"/>
    <s v="25.01.2010 17:00"/>
    <x v="4"/>
    <n v="2"/>
    <n v="2"/>
    <m/>
    <m/>
    <s v="Warranty Commissioning"/>
    <m/>
  </r>
  <r>
    <n v="466"/>
    <s v="'30090876 "/>
    <s v="FRONTIER KNITTERS"/>
    <s v="TIRUPPUR"/>
    <s v="TS 03 120 HN"/>
    <x v="5"/>
    <s v="CIHE550826"/>
    <s v="ccs007 "/>
    <s v="21.12.2009 16:04 "/>
    <s v="21.12.2009 16:00"/>
    <s v="21.12.2009 18:00"/>
    <x v="4"/>
    <n v="2"/>
    <n v="2"/>
    <m/>
    <m/>
    <s v="Warranty Commissioning"/>
    <m/>
  </r>
  <r>
    <n v="486"/>
    <s v="'30090743 "/>
    <s v="GMB ENGINEERING WORKS"/>
    <s v="Coimbatore"/>
    <s v="TS 03 120 HN"/>
    <x v="5"/>
    <s v="CHFE550536"/>
    <s v="ccs002 "/>
    <s v="11.11.2009 10:04 "/>
    <s v="11.11.2009 10:15"/>
    <s v="11.11.2009 13:00"/>
    <x v="4"/>
    <n v="3"/>
    <n v="3"/>
    <m/>
    <m/>
    <s v="Out of Warranty"/>
    <m/>
  </r>
  <r>
    <n v="520"/>
    <s v="'30090576 "/>
    <s v="KLIFTON EXPORTS"/>
    <s v="TIRUPPUR"/>
    <s v="TS 03 120 HN"/>
    <x v="5"/>
    <s v="CIDE550490"/>
    <s v="ccs007 "/>
    <s v="16.09.2009 15:48 "/>
    <s v="16.09.2009 16:00"/>
    <s v="16.09.2009 18:00"/>
    <x v="4"/>
    <n v="2"/>
    <n v="2"/>
    <m/>
    <m/>
    <s v="Warranty Commissioning"/>
    <m/>
  </r>
  <r>
    <n v="528"/>
    <s v="'30090472 "/>
    <s v="GL TRADERS"/>
    <s v="KUNIAMUTHUR"/>
    <s v="TS 03 120 HN"/>
    <x v="5"/>
    <s v="CGIE550066"/>
    <s v="ccs001 "/>
    <s v="18.08.2009 15:16 "/>
    <s v="18.08.2009 15:30"/>
    <s v="22.08.2009 16:00"/>
    <x v="4"/>
    <n v="97"/>
    <n v="97"/>
    <m/>
    <m/>
    <s v="Warranty Maintenance"/>
    <m/>
  </r>
  <r>
    <n v="579"/>
    <s v="'30080834 "/>
    <s v="EAGAR LABELS"/>
    <s v="TIRUPPUR"/>
    <s v="TS 03 120 HN"/>
    <x v="5"/>
    <s v="CHGE550632"/>
    <s v="ccs002 "/>
    <s v="20.11.2008 15:30 "/>
    <s v="20.11.2008 15:30"/>
    <s v="24.11.2008 17:30"/>
    <x v="5"/>
    <n v="98"/>
    <n v="98"/>
    <m/>
    <m/>
    <s v="Warranty Commissioning"/>
    <m/>
  </r>
  <r>
    <n v="582"/>
    <s v="'30080816 "/>
    <s v="GREEN WAY TEXTILES"/>
    <s v="TIRUPPUR"/>
    <s v="TS 03 120 HN"/>
    <x v="5"/>
    <s v="CHCE550185"/>
    <s v="ccs007 "/>
    <s v="18.11.2008 10:00 "/>
    <s v="18.11.2008 10:00"/>
    <s v="18.11.2008 15:30"/>
    <x v="5"/>
    <n v="6"/>
    <n v="5"/>
    <s v="3511C8145-04.12.2008"/>
    <s v="3511C8145"/>
    <s v="Warranty Failure"/>
    <m/>
  </r>
  <r>
    <n v="588"/>
    <s v="'30080716 "/>
    <s v="GREAT GARMENTS"/>
    <s v="Tirupur"/>
    <s v="TS 03 120 HN"/>
    <x v="5"/>
    <s v="CHFE550560"/>
    <s v="ccs001 "/>
    <s v="20.10.2008 15:44 "/>
    <s v="20.10.2008 15:50"/>
    <s v="20.10.2008 18:00"/>
    <x v="5"/>
    <n v="2"/>
    <n v="2"/>
    <m/>
    <m/>
    <s v="Warranty Commissioning"/>
    <m/>
  </r>
  <r>
    <n v="590"/>
    <s v="'30080704 "/>
    <s v="HAPPY TEXTILES"/>
    <s v="TIRUPPUR"/>
    <s v="TS 03 120 HN"/>
    <x v="5"/>
    <s v="CHFE550509"/>
    <s v="ccs007 "/>
    <s v="16.10.2008 17:17 "/>
    <s v="16.10.2008 17:30"/>
    <s v="16.10.2008 18:30"/>
    <x v="5"/>
    <n v="1"/>
    <n v="1"/>
    <m/>
    <m/>
    <s v="Warranty Commissioning"/>
    <m/>
  </r>
  <r>
    <n v="591"/>
    <s v="'30080699 "/>
    <s v="CHEETAH APPREALS"/>
    <s v="TIRUPPUR"/>
    <s v="TS 03 120 HN"/>
    <x v="5"/>
    <s v="CHFE550512"/>
    <s v="ccs007 "/>
    <s v="15.10.2008 12:01 "/>
    <s v="15.10.2008 12:00"/>
    <s v="15.10.2008 13:00"/>
    <x v="5"/>
    <n v="1"/>
    <n v="1"/>
    <m/>
    <m/>
    <s v="Warranty Commissioning"/>
    <m/>
  </r>
  <r>
    <n v="604"/>
    <s v="'30080612 "/>
    <s v="REVATHI EQUIPMENTS LTD"/>
    <s v="Coimbatore"/>
    <s v="TS 03 120 HN"/>
    <x v="5"/>
    <n v="55905"/>
    <s v="ccs005 "/>
    <s v="24.09.2008 12:33 "/>
    <s v="24.09.2008 10:00"/>
    <s v="26.09.2008 13:00"/>
    <x v="5"/>
    <n v="-1"/>
    <n v="48"/>
    <m/>
    <m/>
    <s v="Out of Warranty"/>
    <m/>
  </r>
  <r>
    <n v="605"/>
    <s v="'30080611 "/>
    <s v="REVATHI EQUIPMENTS LTD"/>
    <s v="Coimbatore"/>
    <s v="TS 03 120 HN"/>
    <x v="5"/>
    <n v="55900"/>
    <s v="ccs005 "/>
    <s v="24.09.2008 12:33 "/>
    <s v="24.09.2008 10:00"/>
    <s v="26.09.2008 13:00"/>
    <x v="5"/>
    <n v="-1"/>
    <n v="48"/>
    <m/>
    <m/>
    <s v="Out of Warranty"/>
    <m/>
  </r>
  <r>
    <n v="617"/>
    <s v="'30080533 "/>
    <s v="SP KNIT TEX"/>
    <s v="Tirupur"/>
    <s v="TS 03 120 HN"/>
    <x v="5"/>
    <s v="CHDE550297"/>
    <s v="ccs001 "/>
    <s v="02.09.2008 15:42 "/>
    <s v="02.09.2008 15:30"/>
    <s v="02.09.2008 18:00"/>
    <x v="5"/>
    <n v="3"/>
    <n v="2"/>
    <m/>
    <m/>
    <s v="Warranty Commissioning"/>
    <m/>
  </r>
  <r>
    <n v="624"/>
    <s v="'30080477 "/>
    <s v="FANCY EMBROIDERIES"/>
    <s v="Tirupur"/>
    <s v="TS 03 120 HN"/>
    <x v="5"/>
    <s v="CHEE550389"/>
    <s v="ccs001 "/>
    <s v="16.08.2008 15:35 "/>
    <s v="16.08.2008 15:30"/>
    <s v="16.08.2008 18:00"/>
    <x v="5"/>
    <n v="3"/>
    <n v="2"/>
    <m/>
    <m/>
    <s v="Warranty Commissioning"/>
    <m/>
  </r>
  <r>
    <n v="636"/>
    <s v="'30080028 "/>
    <s v="MADHANGOPAL HOSIERY"/>
    <s v="TIRUPPUR"/>
    <s v="TS 03 120 HN"/>
    <x v="5"/>
    <s v="CHLE550206"/>
    <s v="ccs003 "/>
    <s v="29.04.2008 15:29 "/>
    <s v="29.04.2008 15:45"/>
    <s v="29.04.2008 17:00"/>
    <x v="5"/>
    <n v="2"/>
    <n v="2"/>
    <m/>
    <m/>
    <s v="Warranty Commissioning"/>
    <m/>
  </r>
  <r>
    <n v="642"/>
    <s v="'30075609 "/>
    <s v="NS POLY INDUSTRIES"/>
    <s v="TIRUPPUR"/>
    <s v="TS03120"/>
    <x v="5"/>
    <s v="CHLT280131"/>
    <s v="ccs003 "/>
    <s v="18.03.2008 12:24 "/>
    <s v="18.03.2008 12:45"/>
    <s v="07.04.2008 12:00"/>
    <x v="5"/>
    <n v="480"/>
    <n v="480"/>
    <m/>
    <m/>
    <s v="Out of Warranty"/>
    <m/>
  </r>
  <r>
    <n v="649"/>
    <s v="'30075135 "/>
    <s v="MADHAN AGRO INDUSTRIES INDIA PVT LTD"/>
    <s v="Kankeyam"/>
    <s v="TS03120H-220L"/>
    <x v="5"/>
    <n v="51316"/>
    <s v="ccs003 "/>
    <s v="15.12.2007 16:57 "/>
    <s v="18.12.2007 10:00"/>
    <s v="21.12.2007 12:00"/>
    <x v="3"/>
    <n v="98"/>
    <n v="139"/>
    <m/>
    <m/>
    <s v="Out of Warranty"/>
    <m/>
  </r>
  <r>
    <n v="652"/>
    <s v="'30075110 "/>
    <s v="GOPICA TEX--CITY"/>
    <s v="Tirupur"/>
    <s v="TS 03 120 HN"/>
    <x v="5"/>
    <n v="56018"/>
    <s v="ccs001 "/>
    <s v="12.12.2007 11:17 "/>
    <s v="12.12.2007 11:30"/>
    <s v="12.12.2007 13:00"/>
    <x v="3"/>
    <n v="2"/>
    <n v="2"/>
    <m/>
    <m/>
    <s v="Warranty Commissioning"/>
    <m/>
  </r>
  <r>
    <n v="657"/>
    <s v="'30075074 "/>
    <s v="SHELL PETROL BUNK--C"/>
    <s v="TIRUPPUR"/>
    <s v="ts03120hn - 160lts"/>
    <x v="5"/>
    <n v="54763"/>
    <s v="ccs003 "/>
    <s v="05.12.2007 17:31 "/>
    <s v="06.12.2007 10:00"/>
    <s v="19.12.2007 12:00"/>
    <x v="3"/>
    <n v="315"/>
    <n v="330"/>
    <m/>
    <m/>
    <s v="Warranty Failure"/>
    <m/>
  </r>
  <r>
    <n v="672"/>
    <s v="'30074826 "/>
    <s v="SAKTHI SUGAR LTD--C"/>
    <s v="Pollachi"/>
    <s v="TS03"/>
    <x v="5"/>
    <s v="D30074826"/>
    <s v="ccs003 "/>
    <s v="11.10.2007 16:17 "/>
    <s v="12.10.2007 10:00"/>
    <s v="26.10.2007 12:30"/>
    <x v="3"/>
    <n v="339"/>
    <n v="356"/>
    <m/>
    <m/>
    <m/>
    <m/>
  </r>
  <r>
    <n v="716"/>
    <s v="'30063837 "/>
    <s v="FATHIMA DENTEL CLINIC--CITY"/>
    <s v="Palakad"/>
    <s v="ts03120hn 220lts"/>
    <x v="5"/>
    <n v="54452"/>
    <s v="ccs001 "/>
    <s v="21.02.2007 12:26 "/>
    <s v="21.02.2007 12:30"/>
    <s v="21.02.2007 12:10"/>
    <x v="3"/>
    <n v="-1"/>
    <n v="0"/>
    <m/>
    <m/>
    <m/>
    <m/>
  </r>
  <r>
    <n v="717"/>
    <s v="'30063836 "/>
    <s v="FRIENDS AUTOMOBILES"/>
    <s v="Palakad"/>
    <s v="ts03120hn 220lts"/>
    <x v="5"/>
    <n v="55022"/>
    <s v="ccs001 "/>
    <s v="21.02.2007 10:55 "/>
    <s v="21.02.2007 11:00"/>
    <s v="21.02.2007 11:40"/>
    <x v="3"/>
    <n v="1"/>
    <n v="1"/>
    <m/>
    <m/>
    <m/>
    <m/>
  </r>
  <r>
    <n v="724"/>
    <s v="'30063492 "/>
    <s v="EXIM KNITTERS--C"/>
    <s v="Tirupur"/>
    <s v="TS03120H-160L"/>
    <x v="5"/>
    <s v="D30063492"/>
    <s v="ccs001 "/>
    <s v="02.12.2006 17:41 "/>
    <s v="02.12.2006 18:00"/>
    <s v="13.12.2006 10:30"/>
    <x v="12"/>
    <n v="0"/>
    <n v="257"/>
    <m/>
    <m/>
    <m/>
    <m/>
  </r>
  <r>
    <n v="728"/>
    <s v="'30063243 "/>
    <s v="SHELL -- CITY"/>
    <s v="TIRUPPUR"/>
    <s v="TS03"/>
    <x v="5"/>
    <s v="D30063243"/>
    <s v="ccs001 "/>
    <s v="12.10.2006 16:45 "/>
    <s v="13.10.2006 09:00"/>
    <s v="14.10.2006 10:15"/>
    <x v="12"/>
    <n v="0"/>
    <n v="41"/>
    <m/>
    <m/>
    <m/>
    <m/>
  </r>
  <r>
    <n v="752"/>
    <s v="'30051498 "/>
    <s v="SRI KRISHNA PETROLEUM -- CITY"/>
    <s v="Palaghat"/>
    <s v="TS 03"/>
    <x v="5"/>
    <n v="91509"/>
    <s v="ccs001 "/>
    <s v="13.12.2005 17:27 "/>
    <s v="14.12.2005 09:00"/>
    <s v="15.12.2005 13:00"/>
    <x v="0"/>
    <n v="0"/>
    <n v="44"/>
    <m/>
    <m/>
    <m/>
    <m/>
  </r>
  <r>
    <n v="766"/>
    <s v="'30051249 "/>
    <s v="GOLDEN MOTORS--CITY"/>
    <s v="Edapal"/>
    <s v="TS 03"/>
    <x v="5"/>
    <n v="53751"/>
    <s v="E00001 "/>
    <s v="26.10.2005 11:48 "/>
    <s v="26.10.2005 12:00"/>
    <s v="28.10.2005 17:30"/>
    <x v="0"/>
    <n v="0"/>
    <n v="54"/>
    <m/>
    <m/>
    <m/>
    <m/>
  </r>
  <r>
    <n v="790"/>
    <s v="'30050130 "/>
    <s v="DSP FASHIONS--CITY"/>
    <s v="Tirupur"/>
    <s v="TS 03"/>
    <x v="5"/>
    <s v="879E"/>
    <s v="E00001 "/>
    <s v="25.04.2005 10:44 "/>
    <s v="25.04.2005 11:00"/>
    <s v="25.04.2005 19:00"/>
    <x v="0"/>
    <n v="0"/>
    <n v="8"/>
    <m/>
    <m/>
    <m/>
    <m/>
  </r>
  <r>
    <n v="797"/>
    <s v="'30050076 "/>
    <s v="CIVIC GARMENTS-CITY"/>
    <s v="Tirupur"/>
    <s v="TS 03"/>
    <x v="5"/>
    <n v="50492"/>
    <s v="E00001 "/>
    <s v="12.04.2005 11:38 "/>
    <s v="12.04.2005 12:00"/>
    <s v="12.04.2005 14:30"/>
    <x v="0"/>
    <n v="0"/>
    <n v="3"/>
    <m/>
    <m/>
    <m/>
    <m/>
  </r>
  <r>
    <n v="807"/>
    <s v="'30050023 "/>
    <s v="AIR KNIT FASHIONS--CITY"/>
    <s v="Tirupur"/>
    <s v="TS 03"/>
    <x v="5"/>
    <n v="53306"/>
    <s v="E00001 "/>
    <s v="04.04.2005 12:15 "/>
    <s v="04.04.2005 12:30"/>
    <s v="04.04.2005 13:30"/>
    <x v="0"/>
    <n v="0"/>
    <n v="1"/>
    <m/>
    <m/>
    <m/>
    <m/>
  </r>
  <r>
    <n v="809"/>
    <s v="'30050015 "/>
    <s v="EVERICH VEGAS--CITY"/>
    <s v="Coimbatore"/>
    <s v="TS 03"/>
    <x v="5"/>
    <n v="81288"/>
    <s v="E00001 "/>
    <s v="04.04.2005 10:40 "/>
    <s v="04.04.2005 11:00"/>
    <s v="04.04.2005 13:00"/>
    <x v="0"/>
    <n v="0"/>
    <n v="2"/>
    <m/>
    <m/>
    <m/>
    <m/>
  </r>
  <r>
    <n v="831"/>
    <s v="'3004003907 "/>
    <s v="ALAGU KNITS--CITY"/>
    <s v="Tirupur"/>
    <s v="TS 03"/>
    <x v="5"/>
    <n v="48673"/>
    <s v="E00001 "/>
    <s v="21.03.2005 11:48 "/>
    <s v="21.03.2005 11:55"/>
    <s v="21.03.2005 16:00"/>
    <x v="0"/>
    <n v="0"/>
    <n v="4"/>
    <m/>
    <m/>
    <m/>
    <m/>
  </r>
  <r>
    <n v="834"/>
    <s v="'3004003895 "/>
    <s v="SARA TEXTILES--CITY"/>
    <s v="Tirupur"/>
    <s v="TS 03"/>
    <x v="5"/>
    <n v="51771"/>
    <s v="E00001 "/>
    <s v="18.03.2005 11:42 "/>
    <s v="18.03.2005 12:00"/>
    <s v="18.03.2005 15:00"/>
    <x v="0"/>
    <n v="0"/>
    <n v="3"/>
    <m/>
    <m/>
    <m/>
    <m/>
  </r>
  <r>
    <n v="837"/>
    <s v="'3004003881 "/>
    <s v="VISITOR GARMENTS--CITY"/>
    <s v="Tirupur"/>
    <s v="TS 03"/>
    <x v="5"/>
    <n v="90034"/>
    <s v="E00001 "/>
    <s v="17.03.2005 11:48 "/>
    <s v="17.03.2005 12:00"/>
    <s v="17.03.2005 13:00"/>
    <x v="0"/>
    <n v="0"/>
    <n v="1"/>
    <m/>
    <m/>
    <m/>
    <m/>
  </r>
  <r>
    <n v="846"/>
    <s v="'3004003843 "/>
    <s v="CYLWIN KNIT FASHION--CITY"/>
    <s v="Tirupur"/>
    <s v="TS 03"/>
    <x v="5"/>
    <n v="13818"/>
    <s v="E00001 "/>
    <s v="11.03.2005 11:58 "/>
    <s v="11.03.2005 12:00"/>
    <s v="11.03.2005 17:00"/>
    <x v="0"/>
    <n v="0"/>
    <n v="5"/>
    <m/>
    <m/>
    <m/>
    <m/>
  </r>
  <r>
    <n v="851"/>
    <s v="'3004003822 "/>
    <s v="SARAVANABAVA HOTEL--CITY"/>
    <s v="Tirupur"/>
    <s v="TS 03"/>
    <x v="5"/>
    <n v="1475"/>
    <s v="E00001 "/>
    <s v="08.03.2005 11:36 "/>
    <s v="08.03.2005 11:45"/>
    <s v="08.03.2005 17:30"/>
    <x v="0"/>
    <n v="0"/>
    <n v="6"/>
    <m/>
    <m/>
    <m/>
    <m/>
  </r>
  <r>
    <n v="878"/>
    <s v="'3004003711 "/>
    <s v="PKT PROCESS--CITY"/>
    <s v="Tirupur"/>
    <s v="TS 03"/>
    <x v="5"/>
    <n v="51575"/>
    <s v="E00001 "/>
    <s v="21.02.2005 11:13 "/>
    <s v="21.02.2005 11:30"/>
    <s v="21.02.2005 13:45"/>
    <x v="0"/>
    <n v="0"/>
    <n v="3"/>
    <m/>
    <m/>
    <m/>
    <m/>
  </r>
  <r>
    <n v="883"/>
    <s v="'3004003694 "/>
    <s v="SRI MAIL PRINTING--CITY"/>
    <s v="Tirupur"/>
    <s v="TS 03"/>
    <x v="5"/>
    <n v="8"/>
    <s v="E00001 "/>
    <s v="17.02.2005 11:50 "/>
    <s v="17.02.2005 12:00"/>
    <s v="17.02.2005 19:00"/>
    <x v="6"/>
    <n v="0"/>
    <n v="7"/>
    <m/>
    <m/>
    <m/>
    <m/>
  </r>
  <r>
    <n v="887"/>
    <s v="'3004003676 "/>
    <s v="TOP LIGHT PROCESS--CITY"/>
    <s v="Tirupur"/>
    <s v="TS 03"/>
    <x v="5"/>
    <n v="15068"/>
    <s v="E00001 "/>
    <s v="16.02.2005 11:46 "/>
    <s v="16.02.2005 12:00"/>
    <s v="16.02.2005 14:00"/>
    <x v="6"/>
    <n v="0"/>
    <n v="2"/>
    <m/>
    <m/>
    <m/>
    <m/>
  </r>
  <r>
    <n v="892"/>
    <s v="'3004003657 "/>
    <s v="VIGNESHWARA KNITTINGS--CITY"/>
    <s v="Tirupur"/>
    <s v="TS 03"/>
    <x v="5"/>
    <n v="1017"/>
    <s v="E00001 "/>
    <s v="14.02.2005 11:24 "/>
    <s v="14.02.2005 11:45"/>
    <s v="14.02.2005 13:00"/>
    <x v="6"/>
    <n v="0"/>
    <n v="2"/>
    <m/>
    <m/>
    <m/>
    <m/>
  </r>
  <r>
    <n v="893"/>
    <s v="'3004003656 "/>
    <s v="DSN GARMENTS--CITY"/>
    <s v="Tirupur"/>
    <s v="TS 03"/>
    <x v="5"/>
    <n v="53140"/>
    <s v="E00001 "/>
    <s v="14.02.2005 11:21 "/>
    <s v="14.02.2005 11:30"/>
    <s v="14.02.2005 20:00"/>
    <x v="6"/>
    <n v="0"/>
    <n v="9"/>
    <m/>
    <m/>
    <m/>
    <m/>
  </r>
  <r>
    <n v="907"/>
    <s v="'3004003606 "/>
    <s v="ANURAG FABRICS--CITY"/>
    <s v="Tirupur"/>
    <s v="TS 03"/>
    <x v="5"/>
    <n v="2"/>
    <s v="E00001 "/>
    <s v="05.02.2005 12:00 "/>
    <s v="05.02.2005 12:15"/>
    <s v="05.02.2005 13:30"/>
    <x v="6"/>
    <n v="0"/>
    <n v="1"/>
    <m/>
    <m/>
    <m/>
    <m/>
  </r>
  <r>
    <n v="909"/>
    <s v="'3004003597 "/>
    <s v="STERLING MOTORS--CITY"/>
    <s v="Palakad"/>
    <s v="TS 03"/>
    <x v="5"/>
    <n v="53156"/>
    <s v="E00001 "/>
    <s v="04.02.2005 10:47 "/>
    <s v="04.02.2005 11:00"/>
    <s v="04.02.2005 12:00"/>
    <x v="6"/>
    <n v="0"/>
    <n v="1"/>
    <m/>
    <m/>
    <m/>
    <m/>
  </r>
  <r>
    <n v="910"/>
    <s v="'3004003588 "/>
    <s v="RAJAMANI KNITTING MILLS--CITY"/>
    <s v="Tirupur"/>
    <s v="TS 03"/>
    <x v="5"/>
    <n v="48673"/>
    <s v="E00001 "/>
    <s v="02.02.2005 12:14 "/>
    <s v="02.02.2005 12:30"/>
    <s v="02.02.2005 16:30"/>
    <x v="6"/>
    <n v="0"/>
    <n v="4"/>
    <m/>
    <m/>
    <m/>
    <m/>
  </r>
  <r>
    <n v="911"/>
    <s v="'3004003587 "/>
    <s v="RAJAMANI KNITTING MILLS--CITY"/>
    <s v="Tirupur"/>
    <s v="TS 03"/>
    <x v="5"/>
    <n v="2099"/>
    <s v="E00001 "/>
    <s v="02.02.2005 12:12 "/>
    <s v="02.02.2005 12:30"/>
    <s v="02.02.2005 16:30"/>
    <x v="6"/>
    <n v="0"/>
    <n v="4"/>
    <m/>
    <m/>
    <m/>
    <m/>
  </r>
  <r>
    <n v="924"/>
    <s v="'304003484 "/>
    <s v="ASWATHI EXPORTS--CITY"/>
    <s v="Tirupur"/>
    <s v="TS 03"/>
    <x v="5"/>
    <n v="39142"/>
    <s v="E00001 "/>
    <s v="13.01.2005 15:05 "/>
    <s v="13.01.2005 15:15"/>
    <s v="13.01.2005 17:00"/>
    <x v="6"/>
    <n v="0"/>
    <n v="2"/>
    <m/>
    <m/>
    <m/>
    <m/>
  </r>
  <r>
    <n v="927"/>
    <s v="'304003474 "/>
    <s v="APECH ROLLER FLOUR MILLS--CITY"/>
    <s v="Coimbatore"/>
    <s v="TS 03"/>
    <x v="5"/>
    <s v="1764E"/>
    <s v="E00001 "/>
    <s v="11.01.2005 12:42 "/>
    <s v="11.01.2005 12:50"/>
    <s v="11.01.2005 20:00"/>
    <x v="6"/>
    <n v="0"/>
    <n v="7"/>
    <m/>
    <m/>
    <m/>
    <m/>
  </r>
  <r>
    <n v="928"/>
    <s v="'304003471 "/>
    <s v="SRI PALANI MURUGAN SEIZING MILLS-CITY"/>
    <s v="Coimbatore"/>
    <s v="TS 03"/>
    <x v="5"/>
    <n v="0"/>
    <s v="E00001 "/>
    <s v="11.01.2005 12:36 "/>
    <s v="11.01.2005 12:45"/>
    <s v="11.01.2005 13:45"/>
    <x v="6"/>
    <n v="0"/>
    <n v="1"/>
    <m/>
    <m/>
    <m/>
    <m/>
  </r>
  <r>
    <n v="947"/>
    <s v="'304003387 "/>
    <s v="MKM KNIT WEAR--CITY"/>
    <s v="Tirupur"/>
    <s v="TS 03"/>
    <x v="5"/>
    <n v="771"/>
    <s v="E00001 "/>
    <s v="28.12.2004 11:29 "/>
    <s v="28.12.2004 11:35"/>
    <s v="28.12.2004 14:00"/>
    <x v="6"/>
    <n v="0"/>
    <n v="3"/>
    <m/>
    <m/>
    <m/>
    <m/>
  </r>
  <r>
    <n v="962"/>
    <s v="'304003301 "/>
    <s v="KOCAI COLORS--CITY"/>
    <s v="Coimbatore"/>
    <s v="TS 03"/>
    <x v="5"/>
    <n v="0"/>
    <s v="E00001 "/>
    <s v="14.12.2004 17:12 "/>
    <s v="14.12.2004 17:15"/>
    <s v="16.12.2004 12:00"/>
    <x v="6"/>
    <n v="0"/>
    <n v="43"/>
    <m/>
    <m/>
    <m/>
    <m/>
  </r>
  <r>
    <n v="965"/>
    <s v="'304003247 "/>
    <s v="S.V DYING MILLS--CITY"/>
    <s v="Tirupur"/>
    <s v="TS 03"/>
    <x v="5"/>
    <n v="0"/>
    <s v="E00001 "/>
    <s v="06.12.2004 16:23 "/>
    <s v="06.12.2004 16:30"/>
    <s v="06.12.2004 22:00"/>
    <x v="6"/>
    <n v="0"/>
    <n v="6"/>
    <m/>
    <m/>
    <m/>
    <m/>
  </r>
  <r>
    <n v="966"/>
    <s v="'304003245 "/>
    <s v="ACIA PACIFIC INTERNATIONAL--CITY"/>
    <s v="Tirupur"/>
    <s v="TS 03"/>
    <x v="5"/>
    <n v="52916"/>
    <s v="E00001 "/>
    <s v="06.12.2004 12:09 "/>
    <s v="06.12.2004 12:15"/>
    <s v="06.12.2004 13:15"/>
    <x v="6"/>
    <n v="0"/>
    <n v="1"/>
    <m/>
    <m/>
    <m/>
    <m/>
  </r>
  <r>
    <n v="1006"/>
    <s v="'300F00846 "/>
    <s v="ISWARYA LAKSHMI POLY FILM"/>
    <s v="Coimbatore"/>
    <s v="TS 03 120 HN"/>
    <x v="5"/>
    <s v="CNKE550067"/>
    <s v="ccs015 "/>
    <s v="27.11.2015 12:57 "/>
    <s v="28.11.2015 09:00"/>
    <s v="01.12.2015 13:00"/>
    <x v="8"/>
    <n v="73"/>
    <n v="96"/>
    <m/>
    <m/>
    <s v="Out of Warranty"/>
    <m/>
  </r>
  <r>
    <n v="1015"/>
    <s v="'300F00382 "/>
    <s v="Q RMC"/>
    <s v="ARASUR"/>
    <s v="TS 03 120 H"/>
    <x v="5"/>
    <s v="GNHE180028"/>
    <s v="ccs028 "/>
    <s v="07.08.2015 11:04 "/>
    <s v="07.08.2015 16:00"/>
    <s v="21.08.2015 01:00"/>
    <x v="8"/>
    <n v="216"/>
    <n v="326"/>
    <s v="35119F009-14.08.2015"/>
    <s v="35119F009"/>
    <s v="Warranty Failure"/>
    <m/>
  </r>
  <r>
    <n v="1086"/>
    <s v="'300C0962 "/>
    <s v="JKK BAJAJ"/>
    <s v="COIMBATORE"/>
    <s v="RAC PACKAGE TS03 HN 220L"/>
    <x v="5"/>
    <s v="CLJE550028"/>
    <s v="ccs005 "/>
    <s v="04.03.2013 15:04 "/>
    <s v="05.03.2013 10:00"/>
    <s v="05.03.2013 11:00"/>
    <x v="2"/>
    <n v="1"/>
    <n v="20"/>
    <m/>
    <m/>
    <s v="Out of Warranty"/>
    <m/>
  </r>
  <r>
    <n v="1090"/>
    <s v="'300C0853 "/>
    <s v="JKK BAJAJ"/>
    <s v="COIMBATORE"/>
    <s v="RAC PACKAGE TS03 HN 220L"/>
    <x v="5"/>
    <s v="CLJE550028"/>
    <s v="ccs005 "/>
    <s v="16.01.2013 16:44 "/>
    <s v="17.01.2013 10:00"/>
    <s v="17.01.2013 11:00"/>
    <x v="7"/>
    <n v="1"/>
    <n v="18"/>
    <m/>
    <m/>
    <s v="Out of Warranty"/>
    <m/>
  </r>
  <r>
    <n v="1092"/>
    <s v="'300C0678 "/>
    <s v="RENUKA ENGINEERING WORKS"/>
    <s v="COIMBATORE"/>
    <s v="RAC PACKAGE TS03 HN 220L"/>
    <x v="5"/>
    <s v="CLKE550154"/>
    <s v="ccs005 "/>
    <s v="08.11.2012 10:34 "/>
    <s v="08.11.2012 14:00"/>
    <s v="09.11.2012 13:00"/>
    <x v="7"/>
    <n v="23"/>
    <n v="26"/>
    <m/>
    <m/>
    <s v="Out of Warranty"/>
    <m/>
  </r>
  <r>
    <n v="1119"/>
    <s v="'300C0216 "/>
    <s v="NOBLE GRANITES PVT LTD"/>
    <s v="THURAIYUR"/>
    <s v="TS 03 120 HN"/>
    <x v="5"/>
    <s v="CLBE550493"/>
    <s v="ccs014 "/>
    <s v="09.06.2012 10:29 "/>
    <s v="09.06.2012 10:30"/>
    <s v="09.06.2012 16:00"/>
    <x v="7"/>
    <n v="6"/>
    <n v="6"/>
    <m/>
    <m/>
    <s v="Warranty Commissioning"/>
    <m/>
  </r>
  <r>
    <n v="1127"/>
    <s v="'300B1181 "/>
    <s v="LGB"/>
    <s v="THUDIYALUR"/>
    <s v="TS03"/>
    <x v="5"/>
    <n v="55803"/>
    <s v="ccs015 "/>
    <s v="30.03.2012 09:43 "/>
    <s v="31.03.2012 10:00"/>
    <s v="02.04.2012 14:00"/>
    <x v="7"/>
    <n v="52"/>
    <n v="76"/>
    <m/>
    <m/>
    <s v="Out of Warranty"/>
    <m/>
  </r>
  <r>
    <n v="1130"/>
    <s v="'300B1171 "/>
    <s v="SHIVASS PLEASURE IN"/>
    <s v="Ooty"/>
    <s v="TS 03 120 HN"/>
    <x v="5"/>
    <s v="CLKE550128"/>
    <s v="S00014 "/>
    <s v="27.03.2012 15:51 "/>
    <s v="27.03.2012 16:00"/>
    <s v="27.03.2012 18:00"/>
    <x v="7"/>
    <n v="2"/>
    <n v="2"/>
    <m/>
    <m/>
    <s v="Warranty Commissioning"/>
    <m/>
  </r>
  <r>
    <n v="1137"/>
    <s v="'300B1104 "/>
    <s v="RAYMIX CONCRETE"/>
    <s v="MADURAI"/>
    <s v="TS 03 120 H"/>
    <x v="5"/>
    <s v="CKBE180061"/>
    <s v="ccs015 "/>
    <s v="08.03.2012 14:56 "/>
    <s v="09.03.2012 10:00"/>
    <s v="09.03.2012 17:00"/>
    <x v="7"/>
    <n v="7"/>
    <n v="26"/>
    <m/>
    <m/>
    <s v="Warranty Failure"/>
    <m/>
  </r>
  <r>
    <n v="1150"/>
    <s v="'300B0783 "/>
    <s v="IVLR CONCRETE"/>
    <s v="MADURAI"/>
    <s v="TS03120"/>
    <x v="5"/>
    <s v="D300B0783"/>
    <s v="ccs005 "/>
    <s v="06.12.2011 10:38 "/>
    <s v="06.12.2011 13:00"/>
    <s v="07.12.2011 20:00"/>
    <x v="1"/>
    <n v="31"/>
    <n v="33"/>
    <m/>
    <m/>
    <s v="Out of Warranty"/>
    <m/>
  </r>
  <r>
    <n v="1181"/>
    <s v="'300B0289 "/>
    <s v="HITECH ENGINEERING"/>
    <s v="TRICHY"/>
    <s v="TS 03 120 HN"/>
    <x v="5"/>
    <s v="CKCE550605"/>
    <s v="ccs005 "/>
    <s v="06.07.2011 10:18 "/>
    <s v="06.07.2011 10:30"/>
    <s v="06.07.2011 18:00"/>
    <x v="1"/>
    <n v="8"/>
    <n v="8"/>
    <m/>
    <m/>
    <s v="Warranty Commissioning"/>
    <m/>
  </r>
  <r>
    <n v="1182"/>
    <s v="'300B0274 "/>
    <s v="MURUGAN AUTO SERVICE CENTRE"/>
    <s v="TARAPURAM"/>
    <s v="TS03"/>
    <x v="5"/>
    <n v="9"/>
    <s v="ccs003 "/>
    <s v="29.06.2011 17:15 "/>
    <s v="30.06.2011 10:00"/>
    <s v="30.06.2011 15:00"/>
    <x v="1"/>
    <n v="5"/>
    <n v="22"/>
    <m/>
    <m/>
    <s v="Out of Warranty"/>
    <m/>
  </r>
  <r>
    <n v="1184"/>
    <s v="'300B0236 "/>
    <s v="INDIGLOW MATCH COMPANY"/>
    <s v="KOVILPATTY"/>
    <s v="TS 03 120 HN"/>
    <x v="5"/>
    <s v="CKBE550442"/>
    <s v="ccs002 "/>
    <s v="20.06.2011 11:35 "/>
    <s v="20.06.2011 11:45"/>
    <s v="20.06.2011 18:00"/>
    <x v="1"/>
    <n v="6"/>
    <n v="6"/>
    <m/>
    <m/>
    <s v="Warranty Commissioning"/>
    <m/>
  </r>
  <r>
    <n v="1188"/>
    <s v="'300B0207 "/>
    <s v="RAJAJI GOVT HOSPITAL"/>
    <s v="MADURAI"/>
    <s v="TS03"/>
    <x v="5"/>
    <s v="D300B0207"/>
    <s v="ccs001 "/>
    <s v="10.06.2011 11:54 "/>
    <s v="10.06.2011 12:15"/>
    <s v="11.06.2011 13:00"/>
    <x v="1"/>
    <n v="25"/>
    <n v="25"/>
    <m/>
    <m/>
    <s v="Out of Warranty"/>
    <m/>
  </r>
  <r>
    <n v="1210"/>
    <s v="'300A0730 "/>
    <s v="RK EXPORT PVT LTD"/>
    <s v="KARUR"/>
    <s v="TS 03 120 HN"/>
    <x v="5"/>
    <s v="CJIE551153"/>
    <s v="ccs002 "/>
    <s v="13.12.2010 12:50 "/>
    <s v="13.12.2010 10:00"/>
    <s v="13.12.2010 17:00"/>
    <x v="11"/>
    <n v="4"/>
    <n v="4"/>
    <m/>
    <m/>
    <s v="Warranty Commissioning"/>
    <m/>
  </r>
  <r>
    <n v="1230"/>
    <s v="'300A0138 "/>
    <s v="KALI AREATED WATER WORKS"/>
    <s v="KARUR"/>
    <s v="TS 03 120 HN"/>
    <x v="5"/>
    <s v="CJAE550311"/>
    <s v="ccs002 "/>
    <s v="19.05.2010 20:20 "/>
    <s v="19.05.2010 20:30"/>
    <s v="28.05.2010 06:00"/>
    <x v="11"/>
    <n v="202"/>
    <n v="202"/>
    <m/>
    <m/>
    <s v="Warranty Failure"/>
    <m/>
  </r>
  <r>
    <n v="1251"/>
    <s v="'30090304 "/>
    <s v="SRI LAKSHMI AGENCIES"/>
    <s v="Coimbatore"/>
    <s v="TS03"/>
    <x v="5"/>
    <n v="37852"/>
    <s v="ccs001 "/>
    <s v="03.07.2009 10:48 "/>
    <s v="03.07.2009 11:00"/>
    <s v="03.07.2009 13:00"/>
    <x v="4"/>
    <n v="2"/>
    <n v="2"/>
    <m/>
    <m/>
    <s v="Out of Warranty"/>
    <m/>
  </r>
  <r>
    <n v="1277"/>
    <s v="'30080705 "/>
    <s v="POLYLAM PRODUCTS PVT LTD"/>
    <s v="Dindugal"/>
    <s v="TS 03 120 HN"/>
    <x v="5"/>
    <s v="CHBE550173"/>
    <s v="ccs007 "/>
    <s v="16.10.2008 17:24 "/>
    <s v="21.10.2008 10:00"/>
    <s v="31.10.2008 14:45"/>
    <x v="5"/>
    <n v="341"/>
    <n v="357"/>
    <m/>
    <m/>
    <s v="Warranty Maintenance"/>
    <m/>
  </r>
  <r>
    <n v="1280"/>
    <s v="'30080667 "/>
    <s v="APR AGENCIES"/>
    <s v="PUDDUKOTTAI"/>
    <s v="TS03120"/>
    <x v="5"/>
    <s v="D30080667"/>
    <s v="ccs007 "/>
    <s v="06.10.2008 15:17 "/>
    <s v="07.10.2008 10:00"/>
    <s v="18.10.2008 11:00"/>
    <x v="5"/>
    <n v="265"/>
    <n v="284"/>
    <m/>
    <m/>
    <s v="Out of Warranty"/>
    <m/>
  </r>
  <r>
    <n v="1298"/>
    <s v="'30080355 "/>
    <s v="JAYARAJ KARZ"/>
    <s v="Trichy"/>
    <s v="TS 03 120 HN"/>
    <x v="5"/>
    <n v="55957"/>
    <s v="ccs007 "/>
    <s v="16.07.2008 18:27 "/>
    <s v="17.07.2008 10:00"/>
    <s v="26.07.2008 13:00"/>
    <x v="5"/>
    <n v="219"/>
    <n v="235"/>
    <m/>
    <m/>
    <s v="Out of Warranty"/>
    <m/>
  </r>
  <r>
    <n v="1302"/>
    <s v="'30080275 "/>
    <s v="PRODIGY ENGINEERING ENTERPRISES"/>
    <s v="TRICHY"/>
    <s v="TS03120"/>
    <x v="5"/>
    <n v="54228"/>
    <s v="ccs002 "/>
    <s v="27.06.2008 19:44 "/>
    <s v="28.06.2008 10:00"/>
    <s v="14.07.2008 15:00"/>
    <x v="5"/>
    <n v="390"/>
    <n v="403"/>
    <m/>
    <m/>
    <s v="Out of Warranty"/>
    <m/>
  </r>
  <r>
    <n v="1314"/>
    <s v="'30075563 "/>
    <s v="GB ENGINEER ENTERPRISES PVT LTD"/>
    <s v="Trichy"/>
    <s v="TS 03 120 HN"/>
    <x v="5"/>
    <s v="CHJE550059"/>
    <s v="ccs003 "/>
    <s v="10.03.2008 13:53 "/>
    <s v="10.03.2008 14:15"/>
    <s v="10.03.2008 18:00"/>
    <x v="5"/>
    <n v="4"/>
    <n v="4"/>
    <m/>
    <m/>
    <s v="Warranty Commissioning"/>
    <m/>
  </r>
  <r>
    <n v="1316"/>
    <s v="'30075474 "/>
    <s v="HANIFFA FILLING STATION"/>
    <s v="Trichy"/>
    <s v="TS03"/>
    <x v="5"/>
    <s v="D30075474"/>
    <s v="ccs001 "/>
    <s v="25.02.2008 12:13 "/>
    <s v="25.02.2008 12:15"/>
    <s v="07.03.2008 16:00"/>
    <x v="5"/>
    <n v="31"/>
    <n v="268"/>
    <m/>
    <m/>
    <s v="Out of Warranty"/>
    <m/>
  </r>
  <r>
    <n v="1319"/>
    <s v="'30075394 "/>
    <s v="WELCOME STAR PETROL BUNK--C"/>
    <s v="Coimbatore"/>
    <s v="TS03120"/>
    <x v="5"/>
    <s v="D30075394"/>
    <s v="ccs007 "/>
    <s v="11.02.2008 17:16 "/>
    <s v="12.02.2008 15:00"/>
    <s v="20.02.2008 11:30"/>
    <x v="3"/>
    <n v="194"/>
    <n v="210"/>
    <m/>
    <m/>
    <s v="Out of Warranty"/>
    <m/>
  </r>
  <r>
    <n v="1334"/>
    <s v="'30074896 "/>
    <s v="SATHYA NARAYANAN FILLING CENTRE--C"/>
    <s v="Theni"/>
    <s v="TS03120"/>
    <x v="5"/>
    <s v="D30074896"/>
    <s v="ccs003 "/>
    <s v="27.10.2007 11:39 "/>
    <s v="31.10.2007 10:00"/>
    <s v="03.11.2007 12:00"/>
    <x v="3"/>
    <n v="168"/>
    <n v="168"/>
    <m/>
    <m/>
    <m/>
    <m/>
  </r>
  <r>
    <n v="1335"/>
    <s v="'30074819 "/>
    <s v="CDS HOUSING INFASTURATURE"/>
    <s v="Coimbatore"/>
    <s v="TS03120"/>
    <x v="5"/>
    <s v="D30074819"/>
    <s v="ccs003 "/>
    <s v="11.10.2007 10:46 "/>
    <s v="11.10.2007 11:15"/>
    <s v="12.10.2007 12:00"/>
    <x v="3"/>
    <n v="25"/>
    <n v="25"/>
    <m/>
    <m/>
    <m/>
    <m/>
  </r>
  <r>
    <n v="1398"/>
    <s v="'30062370 "/>
    <s v="JP GRANITES--SREE"/>
    <s v="Madurai"/>
    <s v="TS 03"/>
    <x v="5"/>
    <n v="54195"/>
    <s v="ccs001 "/>
    <s v="19.05.2006 15:47 "/>
    <s v="19.05.2006 16:00"/>
    <s v="19.05.2006 18:00"/>
    <x v="12"/>
    <n v="0"/>
    <n v="2"/>
    <m/>
    <m/>
    <m/>
    <m/>
  </r>
  <r>
    <n v="1413"/>
    <m/>
    <s v="Mohan Brick Works , Cbe"/>
    <s v="Kanuvai"/>
    <s v="TS03/160"/>
    <x v="5"/>
    <n v="42986"/>
    <m/>
    <m/>
    <m/>
    <m/>
    <x v="13"/>
    <m/>
    <m/>
    <m/>
    <m/>
    <m/>
    <m/>
  </r>
  <r>
    <n v="1414"/>
    <m/>
    <s v="Applied Digital Micrologics India Pvt Ltd, 13/E, 2nd Floor, Brooke Bond Layout, Coimbatore-2"/>
    <s v="Cbe"/>
    <s v="TS03/160"/>
    <x v="5"/>
    <n v="44956"/>
    <m/>
    <m/>
    <m/>
    <m/>
    <x v="13"/>
    <m/>
    <m/>
    <m/>
    <m/>
    <m/>
    <n v="9943909500"/>
  </r>
  <r>
    <n v="1415"/>
    <m/>
    <s v="Nazar, Gandhi Park, Coimbatore"/>
    <s v="Cbe"/>
    <s v="TS03/160"/>
    <x v="5"/>
    <n v="31270"/>
    <m/>
    <m/>
    <m/>
    <m/>
    <x v="13"/>
    <m/>
    <m/>
    <m/>
    <m/>
    <m/>
    <n v="9847993030"/>
  </r>
  <r>
    <n v="1417"/>
    <m/>
    <s v="Sri VenkateswaraGinning Mills, SF.No:204/1-A, Pattakarar Thottam,Chettipalayam Main Road, Karadivavi"/>
    <s v="Karadivavi"/>
    <s v="TS03/220"/>
    <x v="5"/>
    <n v="48163"/>
    <m/>
    <m/>
    <m/>
    <m/>
    <x v="13"/>
    <m/>
    <m/>
    <m/>
    <m/>
    <m/>
    <n v="9842237961"/>
  </r>
  <r>
    <n v="1450"/>
    <m/>
    <s v="Vasanthi Motors, 3-1, Hope College, Avinashi Road, Peelamedu, Coimbatore"/>
    <s v="Hope College"/>
    <s v="TS03/220"/>
    <x v="5"/>
    <n v="49931"/>
    <m/>
    <m/>
    <m/>
    <m/>
    <x v="13"/>
    <m/>
    <m/>
    <m/>
    <m/>
    <m/>
    <m/>
  </r>
  <r>
    <n v="1457"/>
    <m/>
    <s v="Mech Lab Equipments, 103/1, School Street, Chinnavedampatti, Coimbatore"/>
    <s v="Chinnavedampatti"/>
    <s v="TS03/160"/>
    <x v="5"/>
    <n v="50299"/>
    <m/>
    <m/>
    <m/>
    <m/>
    <x v="13"/>
    <m/>
    <m/>
    <m/>
    <m/>
    <m/>
    <n v="9443736743"/>
  </r>
  <r>
    <n v="1468"/>
    <m/>
    <s v="Rohini Poly Packss, 372, B.S.Sundaram Road,Tirupur"/>
    <s v="Tirupur"/>
    <s v="TS03/220"/>
    <x v="5"/>
    <n v="51036"/>
    <m/>
    <m/>
    <m/>
    <m/>
    <x v="13"/>
    <m/>
    <m/>
    <m/>
    <m/>
    <m/>
    <m/>
  </r>
  <r>
    <n v="1472"/>
    <m/>
    <s v="P.V.Knit Fashions, 81-A Ranganathapuram Extn, Kongu Main Road, Tirupur"/>
    <s v="Tirupur"/>
    <s v="TS03/220"/>
    <x v="5"/>
    <n v="51046"/>
    <m/>
    <m/>
    <m/>
    <m/>
    <x v="13"/>
    <m/>
    <m/>
    <m/>
    <m/>
    <m/>
    <s v="0421-2221894"/>
  </r>
  <r>
    <n v="1478"/>
    <m/>
    <s v="Mech Lab Equipments, 103/1, School Street, Chinnavedampatti, Coimbatore"/>
    <s v="Cbe"/>
    <s v="TS03/160"/>
    <x v="5"/>
    <n v="51296"/>
    <m/>
    <m/>
    <m/>
    <m/>
    <x v="13"/>
    <m/>
    <m/>
    <m/>
    <m/>
    <m/>
    <n v="9443736743"/>
  </r>
  <r>
    <n v="1483"/>
    <m/>
    <s v="Eswar Designs, 225/10, Nadupangu Thottam, Parani Compound, Dharapuram Road, Tirupur"/>
    <s v="Tirupur"/>
    <s v="TS03/220"/>
    <x v="5"/>
    <n v="51489"/>
    <m/>
    <m/>
    <m/>
    <m/>
    <x v="13"/>
    <m/>
    <m/>
    <m/>
    <m/>
    <m/>
    <n v="9842675243"/>
  </r>
  <r>
    <n v="1484"/>
    <m/>
    <s v="Maaster Machinery &amp; Tools, 1103, Lakshmi Mills Bus Stop, P.N.Palayam, Coimbatore"/>
    <s v="Cbe"/>
    <s v="TS03/160"/>
    <x v="5"/>
    <n v="51492"/>
    <m/>
    <m/>
    <m/>
    <m/>
    <x v="13"/>
    <m/>
    <m/>
    <m/>
    <m/>
    <m/>
    <n v="9790011337"/>
  </r>
  <r>
    <n v="1493"/>
    <m/>
    <s v="Adithya Impex, D.No:1/396 Plot No:1-305, Navarathina Apartment, Kangayam Poondi, Tirupur"/>
    <s v="Tirupur"/>
    <s v="TS03/220"/>
    <x v="5"/>
    <n v="51924"/>
    <m/>
    <m/>
    <m/>
    <m/>
    <x v="13"/>
    <m/>
    <m/>
    <m/>
    <m/>
    <m/>
    <m/>
  </r>
  <r>
    <n v="1498"/>
    <m/>
    <s v="Well Tech Engineering Industry, SF No:531, Nehru Nagar, Maniakarampalayam, Ganapathy Post, Coimbatore"/>
    <s v="Cbe"/>
    <s v="TS03/220"/>
    <x v="5"/>
    <n v="52178"/>
    <m/>
    <m/>
    <m/>
    <m/>
    <x v="13"/>
    <m/>
    <m/>
    <m/>
    <m/>
    <m/>
    <m/>
  </r>
  <r>
    <n v="1502"/>
    <m/>
    <s v="Core Automotive Equipment, 1-H, Trishank Apparments, GKD Nagar, P.N.Palayam, Cbe"/>
    <s v="Cbe"/>
    <s v="TS03/160"/>
    <x v="5"/>
    <n v="52268"/>
    <m/>
    <m/>
    <m/>
    <m/>
    <x v="13"/>
    <m/>
    <m/>
    <m/>
    <m/>
    <m/>
    <n v="9688866455"/>
  </r>
  <r>
    <n v="1508"/>
    <m/>
    <s v="The Glenmorgan Tea Estates Company, Glenmorgan Estate, The Nilgiris"/>
    <s v="Nilgiris"/>
    <s v="TS03/160"/>
    <x v="5"/>
    <n v="52466"/>
    <m/>
    <m/>
    <m/>
    <m/>
    <x v="13"/>
    <m/>
    <m/>
    <m/>
    <m/>
    <m/>
    <n v="9363121052"/>
  </r>
  <r>
    <n v="1510"/>
    <m/>
    <s v="Roots Multiclean Limited, Mettupalayam Post, Kovilpalayam, Pollachi"/>
    <s v="Pollachi"/>
    <s v="TS03/160"/>
    <x v="5"/>
    <n v="52545"/>
    <m/>
    <m/>
    <m/>
    <m/>
    <x v="13"/>
    <m/>
    <m/>
    <m/>
    <m/>
    <m/>
    <n v="9363118728"/>
  </r>
  <r>
    <n v="1527"/>
    <m/>
    <s v="Core Automotive Equipment, 1-H, Trishank Apparments, GKD Nagar, P.N.Palayam, Cbe"/>
    <s v="Cbe"/>
    <s v="TS03/220"/>
    <x v="5"/>
    <n v="52982"/>
    <m/>
    <m/>
    <m/>
    <m/>
    <x v="13"/>
    <m/>
    <m/>
    <m/>
    <m/>
    <m/>
    <n v="9688866455"/>
  </r>
  <r>
    <n v="1532"/>
    <m/>
    <s v="Akshay Industries, 96/1, Shobha Nagar Road, Elango Nagar,Avarampalayam, Coimbatore"/>
    <s v="Avarampalayam"/>
    <s v="TS03/220"/>
    <x v="5"/>
    <n v="53239"/>
    <m/>
    <m/>
    <m/>
    <m/>
    <x v="13"/>
    <m/>
    <m/>
    <m/>
    <m/>
    <m/>
    <n v="9344754389"/>
  </r>
  <r>
    <n v="1534"/>
    <m/>
    <s v="Basheer, Sokkampudur"/>
    <s v="Cbe"/>
    <s v="TS03/220"/>
    <x v="5"/>
    <n v="33842"/>
    <m/>
    <m/>
    <m/>
    <m/>
    <x v="13"/>
    <m/>
    <m/>
    <m/>
    <m/>
    <m/>
    <m/>
  </r>
  <r>
    <n v="1545"/>
    <m/>
    <s v="Eswari Knitting Works, 5/815, Pitchampalayam Pudur Road, P.N.Road, Tirupur"/>
    <s v="Tirupur"/>
    <s v="TS03/220"/>
    <x v="5"/>
    <n v="53767"/>
    <m/>
    <m/>
    <m/>
    <m/>
    <x v="13"/>
    <m/>
    <m/>
    <m/>
    <m/>
    <m/>
    <m/>
  </r>
  <r>
    <n v="1549"/>
    <m/>
    <s v="ARD Exports, 1/455-A, Ashankulam Road, Neelambur, Coimbatore"/>
    <s v="Neelambur"/>
    <s v="TS03/220"/>
    <x v="5"/>
    <n v="53849"/>
    <m/>
    <m/>
    <m/>
    <m/>
    <x v="13"/>
    <m/>
    <m/>
    <m/>
    <m/>
    <m/>
    <m/>
  </r>
  <r>
    <n v="1553"/>
    <m/>
    <s v="Akshay Industries, 96/1, Shobha Nagar Road, Elango Nagar,Avarampalayam, Coimbatore"/>
    <s v="Coimbatore"/>
    <s v="TS03/220"/>
    <x v="5"/>
    <n v="54102"/>
    <m/>
    <m/>
    <m/>
    <m/>
    <x v="13"/>
    <m/>
    <m/>
    <m/>
    <m/>
    <m/>
    <n v="9344754389"/>
  </r>
  <r>
    <n v="1557"/>
    <m/>
    <s v="Premier Equipment and Tools, 135, Trichy Road, Ondipudur, Coimbatore"/>
    <s v="Ondipudur"/>
    <s v="TS03/160"/>
    <x v="5"/>
    <n v="54382"/>
    <m/>
    <m/>
    <m/>
    <m/>
    <x v="13"/>
    <m/>
    <m/>
    <m/>
    <m/>
    <m/>
    <m/>
  </r>
  <r>
    <n v="1563"/>
    <m/>
    <s v="Shobha Electricals, 239-240, Patel Road, Ram Nagar, Coimbatore"/>
    <s v="Cbe"/>
    <s v="TS03/220"/>
    <x v="5"/>
    <n v="54478"/>
    <m/>
    <m/>
    <m/>
    <m/>
    <x v="13"/>
    <m/>
    <m/>
    <m/>
    <m/>
    <m/>
    <m/>
  </r>
  <r>
    <n v="1564"/>
    <m/>
    <s v="Mech Lab Equipments, 103/1, School Street, Chinnavedampatti, Coimbatore"/>
    <s v="Cbe"/>
    <s v="TS03/160"/>
    <x v="5"/>
    <n v="54482"/>
    <m/>
    <m/>
    <m/>
    <m/>
    <x v="13"/>
    <m/>
    <m/>
    <m/>
    <m/>
    <m/>
    <m/>
  </r>
  <r>
    <n v="1574"/>
    <m/>
    <s v="Babu Raj, Selvapuram, Cbe"/>
    <s v="Selvapuram"/>
    <s v="TS03/220"/>
    <x v="5"/>
    <n v="29219"/>
    <m/>
    <m/>
    <m/>
    <m/>
    <x v="13"/>
    <m/>
    <m/>
    <m/>
    <m/>
    <m/>
    <m/>
  </r>
  <r>
    <n v="1576"/>
    <m/>
    <s v="A.V.Garments, 3/58, Alathur South Alathur, Avinashi "/>
    <s v="Avinashi"/>
    <s v="TS03/160"/>
    <x v="5"/>
    <n v="29354"/>
    <m/>
    <m/>
    <m/>
    <m/>
    <x v="13"/>
    <m/>
    <m/>
    <m/>
    <m/>
    <m/>
    <m/>
  </r>
  <r>
    <n v="1579"/>
    <m/>
    <s v="The Coimbatore Co-Operative Printing Works Ltd, 1545, Trichy Road, Cbe"/>
    <s v="Coimbatore"/>
    <s v="TS03/220"/>
    <x v="5"/>
    <n v="41755"/>
    <m/>
    <m/>
    <m/>
    <m/>
    <x v="13"/>
    <m/>
    <m/>
    <m/>
    <m/>
    <m/>
    <n v="9789219343"/>
  </r>
  <r>
    <n v="1582"/>
    <m/>
    <s v="Lakshmigraha Enterprises, 52-B, Clysium Central, Opp to Carmel Garden School, Puliyakulam Road, Ramanathapuram, Cbe"/>
    <s v="Ramanathapuram"/>
    <s v="TS03/220"/>
    <x v="5"/>
    <n v="42026"/>
    <m/>
    <m/>
    <m/>
    <m/>
    <x v="13"/>
    <m/>
    <m/>
    <m/>
    <m/>
    <m/>
    <m/>
  </r>
  <r>
    <n v="1586"/>
    <m/>
    <s v="Ramachandran, Gandhipark, Coimbatore"/>
    <s v="Coimbatore"/>
    <s v="TS03/220"/>
    <x v="5"/>
    <n v="29857"/>
    <m/>
    <m/>
    <m/>
    <m/>
    <x v="13"/>
    <m/>
    <m/>
    <m/>
    <m/>
    <m/>
    <m/>
  </r>
  <r>
    <n v="1593"/>
    <m/>
    <s v="Mech Lab Equipments (India) Pvt.Ltd, 103/2,Subbanaickenpudur Road, Chinnavedampatti Coimbatore"/>
    <s v="Chinnavedampatti"/>
    <s v="TS03/160"/>
    <x v="5"/>
    <n v="43736"/>
    <m/>
    <m/>
    <m/>
    <m/>
    <x v="13"/>
    <m/>
    <m/>
    <m/>
    <m/>
    <m/>
    <n v="7200155255"/>
  </r>
  <r>
    <n v="1596"/>
    <m/>
    <s v="I Mech Lab Equipments, Raja Bala Complex, 772-D Sathy Road, Ganapathy, Cbe"/>
    <s v="Ganapathy"/>
    <s v="TS03/160"/>
    <x v="5"/>
    <n v="43811"/>
    <m/>
    <m/>
    <m/>
    <m/>
    <x v="13"/>
    <m/>
    <m/>
    <m/>
    <m/>
    <m/>
    <n v="9677795951"/>
  </r>
  <r>
    <n v="1599"/>
    <m/>
    <s v="Tyre World,20, Dhanalakshmi Nagar, 100 Feet Scheme Road, New Siddhapudur, Coimbatore-14"/>
    <s v="Cbe"/>
    <s v="TS03/220"/>
    <x v="5"/>
    <n v="44111"/>
    <m/>
    <m/>
    <m/>
    <m/>
    <x v="13"/>
    <m/>
    <m/>
    <m/>
    <m/>
    <m/>
    <n v="9944964992"/>
  </r>
  <r>
    <n v="1611"/>
    <m/>
    <s v="New India Tyres, Kulanada Post, Panthalam, PTM Dist "/>
    <s v="Panthalam "/>
    <s v="TS03/220"/>
    <x v="5"/>
    <n v="45017"/>
    <m/>
    <m/>
    <m/>
    <m/>
    <x v="13"/>
    <m/>
    <m/>
    <m/>
    <m/>
    <m/>
    <n v="9947653392"/>
  </r>
  <r>
    <n v="1613"/>
    <m/>
    <s v="Adhi Vinayakar Enterprises, 199-201, Venkatasamy Road, New Siddhapudur, Cbe"/>
    <s v="Sidddhapudur"/>
    <s v="TS03/220"/>
    <x v="5"/>
    <n v="45335"/>
    <m/>
    <m/>
    <m/>
    <m/>
    <x v="13"/>
    <m/>
    <m/>
    <m/>
    <m/>
    <m/>
    <m/>
  </r>
  <r>
    <n v="1621"/>
    <m/>
    <s v="Sree Annapoorna Sree Gowrishankar Hotels Pvt Ltd, 75, East Arokiasamy Road, R.S.Puram, Coimbatore"/>
    <s v="Cbe"/>
    <s v="TS03/160"/>
    <x v="5"/>
    <n v="45804"/>
    <m/>
    <m/>
    <m/>
    <m/>
    <x v="13"/>
    <m/>
    <m/>
    <m/>
    <m/>
    <m/>
    <n v="9965546770"/>
  </r>
  <r>
    <n v="1626"/>
    <m/>
    <s v="S&amp;T Engineers P Ltd, 22, Vasanth Nagar, Opp Ulavar Santhai, Singanalur, Cbe"/>
    <s v="Singanallur"/>
    <s v="TS03/160"/>
    <x v="5"/>
    <n v="46130"/>
    <m/>
    <m/>
    <m/>
    <m/>
    <x v="13"/>
    <m/>
    <m/>
    <m/>
    <m/>
    <m/>
    <n v="7708243222"/>
  </r>
  <r>
    <n v="1632"/>
    <m/>
    <s v="Core Automotive Equipments, No:1, Dr.NRN Layout, 2nd Floor, P.N.Palayam, Cbe"/>
    <s v="P.N.Palayam"/>
    <s v="TS03/220"/>
    <x v="5"/>
    <n v="46959"/>
    <m/>
    <m/>
    <m/>
    <m/>
    <x v="13"/>
    <m/>
    <m/>
    <m/>
    <m/>
    <m/>
    <n v="9688866455"/>
  </r>
  <r>
    <n v="1638"/>
    <m/>
    <s v="Akshay Industries,96/1,Shobha Nagar Road,Elango Nagar,Avarampalayam Coimbatore"/>
    <s v="Avarampalayam "/>
    <s v="TS03/220"/>
    <x v="5"/>
    <n v="47387"/>
    <m/>
    <m/>
    <m/>
    <m/>
    <x v="13"/>
    <m/>
    <m/>
    <m/>
    <m/>
    <m/>
    <n v="9344754389"/>
  </r>
  <r>
    <n v="1648"/>
    <m/>
    <s v="Abhi Honda (Abhi Motors)"/>
    <s v="Virudhunagar"/>
    <s v="TS 03 160L"/>
    <x v="5"/>
    <m/>
    <m/>
    <m/>
    <m/>
    <m/>
    <x v="13"/>
    <m/>
    <m/>
    <m/>
    <m/>
    <m/>
    <m/>
  </r>
  <r>
    <n v="1651"/>
    <m/>
    <s v="Akkavila.K.Lekshmanan &amp; Co.,"/>
    <s v="Kollam"/>
    <s v="TS 03 120 TB, LL03 022, GH004 AG4/5KG-3NO."/>
    <x v="5"/>
    <m/>
    <m/>
    <m/>
    <m/>
    <m/>
    <x v="13"/>
    <m/>
    <m/>
    <m/>
    <m/>
    <m/>
    <m/>
  </r>
  <r>
    <n v="1652"/>
    <m/>
    <s v="AKR Express (P) Ltd"/>
    <s v="SALEM"/>
    <s v="TS 03 220L - 2 Nos.  / TI 10 22 WMI - 2 Nos."/>
    <x v="5"/>
    <m/>
    <m/>
    <m/>
    <m/>
    <m/>
    <x v="13"/>
    <m/>
    <m/>
    <m/>
    <m/>
    <m/>
    <m/>
  </r>
  <r>
    <n v="1653"/>
    <m/>
    <s v="AKR Express (P) Ltd"/>
    <s v="SALEM"/>
    <s v="TS 03 220L - 4 Nos.  / TI 10 22 WMI - 4 Nos."/>
    <x v="5"/>
    <m/>
    <m/>
    <m/>
    <m/>
    <m/>
    <x v="13"/>
    <m/>
    <m/>
    <m/>
    <m/>
    <m/>
    <m/>
  </r>
  <r>
    <n v="1663"/>
    <m/>
    <s v="Arrya Hi-Tech Energy"/>
    <s v="Coimbatore"/>
    <s v="TS 03 160L"/>
    <x v="5"/>
    <m/>
    <m/>
    <m/>
    <m/>
    <m/>
    <x v="13"/>
    <m/>
    <m/>
    <m/>
    <m/>
    <m/>
    <m/>
  </r>
  <r>
    <n v="1672"/>
    <m/>
    <s v="Bright Burnishig Tools Private Limited"/>
    <s v="COIMBATORE"/>
    <s v="TS 03 120H / 220L"/>
    <x v="5"/>
    <m/>
    <m/>
    <m/>
    <m/>
    <m/>
    <x v="13"/>
    <m/>
    <m/>
    <m/>
    <m/>
    <m/>
    <m/>
  </r>
  <r>
    <n v="1681"/>
    <m/>
    <s v="Deccan Packaging Company"/>
    <s v="Coimbatore"/>
    <s v="TS 03 220L"/>
    <x v="5"/>
    <m/>
    <m/>
    <m/>
    <m/>
    <m/>
    <x v="13"/>
    <m/>
    <m/>
    <m/>
    <m/>
    <m/>
    <m/>
  </r>
  <r>
    <n v="1682"/>
    <m/>
    <s v="Dinamalar (Try)"/>
    <s v="TRICHY"/>
    <s v="TS03 220l, ELRD20"/>
    <x v="5"/>
    <m/>
    <m/>
    <m/>
    <m/>
    <m/>
    <x v="13"/>
    <m/>
    <m/>
    <m/>
    <m/>
    <m/>
    <m/>
  </r>
  <r>
    <n v="1684"/>
    <m/>
    <s v="G.S.Pillay &amp; Sons"/>
    <s v="Nagapattinam "/>
    <s v="TS 03 120HN/220L"/>
    <x v="5"/>
    <m/>
    <m/>
    <m/>
    <m/>
    <m/>
    <x v="13"/>
    <m/>
    <m/>
    <m/>
    <m/>
    <m/>
    <m/>
  </r>
  <r>
    <n v="1687"/>
    <m/>
    <s v="Genuine Shell Carb (P) Ltd"/>
    <s v="Coimbatore"/>
    <s v="TS 03 120HN/220L"/>
    <x v="5"/>
    <m/>
    <m/>
    <m/>
    <m/>
    <m/>
    <x v="13"/>
    <m/>
    <m/>
    <m/>
    <m/>
    <m/>
    <m/>
  </r>
  <r>
    <n v="1693"/>
    <m/>
    <s v="J.B.Enterprises"/>
    <s v="Gandhipuram,Cbe"/>
    <s v="TS 03 160L"/>
    <x v="5"/>
    <m/>
    <m/>
    <m/>
    <m/>
    <m/>
    <x v="13"/>
    <m/>
    <m/>
    <m/>
    <m/>
    <m/>
    <m/>
  </r>
  <r>
    <n v="1697"/>
    <m/>
    <s v="Jenis Pump (IOCL)"/>
    <s v="Theni"/>
    <s v="TS03 220L"/>
    <x v="5"/>
    <m/>
    <m/>
    <m/>
    <m/>
    <m/>
    <x v="13"/>
    <m/>
    <m/>
    <m/>
    <m/>
    <m/>
    <m/>
  </r>
  <r>
    <n v="1711"/>
    <m/>
    <s v="Maha Gayathri Sealers"/>
    <s v="Coimbatore"/>
    <s v="TS 03 160L"/>
    <x v="5"/>
    <m/>
    <m/>
    <m/>
    <m/>
    <m/>
    <x v="13"/>
    <m/>
    <m/>
    <m/>
    <m/>
    <m/>
    <m/>
  </r>
  <r>
    <n v="1742"/>
    <m/>
    <s v="Shri Bhavani Honda"/>
    <s v="Alangulam"/>
    <s v="TS 03 120/160L"/>
    <x v="5"/>
    <m/>
    <m/>
    <m/>
    <m/>
    <m/>
    <x v="13"/>
    <m/>
    <m/>
    <m/>
    <m/>
    <m/>
    <m/>
  </r>
  <r>
    <n v="1762"/>
    <m/>
    <s v="Sri Kaliswari Metal Powders"/>
    <s v="Virudhunagar"/>
    <s v="TS 03 120HN/220L"/>
    <x v="5"/>
    <m/>
    <m/>
    <m/>
    <m/>
    <m/>
    <x v="13"/>
    <m/>
    <m/>
    <m/>
    <m/>
    <m/>
    <m/>
  </r>
  <r>
    <n v="1770"/>
    <m/>
    <s v="Sri Sai Hari Motors"/>
    <s v="Virudhunagar"/>
    <s v="TS 03 220L"/>
    <x v="5"/>
    <m/>
    <m/>
    <m/>
    <m/>
    <m/>
    <x v="13"/>
    <m/>
    <m/>
    <m/>
    <m/>
    <m/>
    <m/>
  </r>
  <r>
    <n v="1787"/>
    <m/>
    <s v="Veegee Sundaram &amp; Sons"/>
    <s v="Kozhijampara"/>
    <s v="TS 03 120HN/220L"/>
    <x v="5"/>
    <m/>
    <m/>
    <m/>
    <m/>
    <m/>
    <x v="13"/>
    <m/>
    <m/>
    <m/>
    <m/>
    <m/>
    <m/>
  </r>
  <r>
    <n v="1788"/>
    <m/>
    <s v="Venco Research  &amp; Breeding Farm Pvt.Ltd"/>
    <s v="Hosur"/>
    <s v="TS 03 120HN/220L"/>
    <x v="5"/>
    <m/>
    <m/>
    <m/>
    <m/>
    <m/>
    <x v="13"/>
    <m/>
    <m/>
    <m/>
    <m/>
    <m/>
    <m/>
  </r>
  <r>
    <n v="8"/>
    <s v="'300G00063 "/>
    <s v="MONAK METALS"/>
    <s v="COIMBATORE"/>
    <s v="TS 05 120 HN"/>
    <x v="6"/>
    <s v="GOEE561058"/>
    <s v="ccs028 "/>
    <s v="18.04.2016 12:53 "/>
    <s v="18.04.2016 14:00"/>
    <s v="18.04.2016 18:00"/>
    <x v="9"/>
    <n v="4"/>
    <n v="5"/>
    <m/>
    <m/>
    <s v="Warranty Maintenance"/>
    <m/>
  </r>
  <r>
    <n v="13"/>
    <s v="'300F01213 "/>
    <s v="NATURAL GROUP ENTERPRISES"/>
    <s v="PALAGHAT"/>
    <s v="TS 05 120 HN"/>
    <x v="6"/>
    <s v="D300F01213"/>
    <s v="ccs014 "/>
    <s v="11.03.2016 12:43 "/>
    <s v="12.03.2016 10:00"/>
    <s v="15.03.2016 16:00"/>
    <x v="9"/>
    <n v="73"/>
    <n v="99"/>
    <m/>
    <m/>
    <s v="Out of Warranty"/>
    <m/>
  </r>
  <r>
    <n v="24"/>
    <s v="'300F00913 "/>
    <s v="VVINS FASHION"/>
    <s v="THIRUPUR"/>
    <s v="TS 05 120 HN"/>
    <x v="6"/>
    <s v="GNHE560478"/>
    <s v="ccs021 "/>
    <s v="18.12.2015 16:54 "/>
    <s v="25.12.2015 00:00"/>
    <s v="25.12.2015 00:00"/>
    <x v="8"/>
    <n v="49"/>
    <n v="151"/>
    <m/>
    <m/>
    <s v="Out of Warranty"/>
    <m/>
  </r>
  <r>
    <n v="29"/>
    <s v="'300F00847 "/>
    <s v="WATER TECH INDIA P LTD"/>
    <s v="COIMBATORE"/>
    <s v="TS 05 120 HN"/>
    <x v="6"/>
    <s v="GOBE560639"/>
    <s v="ccs025 "/>
    <s v="27.11.2015 13:58 "/>
    <s v="28.11.2015 10:00"/>
    <s v="28.11.2015 15:00"/>
    <x v="8"/>
    <n v="5"/>
    <n v="25"/>
    <m/>
    <m/>
    <s v="Out of Warranty"/>
    <m/>
  </r>
  <r>
    <n v="32"/>
    <s v="'300F00816 "/>
    <s v="SPS MARKETING"/>
    <s v="TIRUPPUR"/>
    <s v="TS 05 120 HN"/>
    <x v="6"/>
    <n v="21763"/>
    <s v="ccs025 "/>
    <s v="19.11.2015 18:02 "/>
    <s v="20.11.2015 10:00"/>
    <s v="20.11.2015 13:00"/>
    <x v="8"/>
    <n v="3"/>
    <n v="19"/>
    <m/>
    <m/>
    <s v="Out of Warranty"/>
    <m/>
  </r>
  <r>
    <n v="33"/>
    <s v="'300F00764 "/>
    <s v="EMERALD JEWEL INDUSTRY"/>
    <s v="COIMBATORE"/>
    <s v="TS 05 120 HN"/>
    <x v="6"/>
    <s v="CNJE560136"/>
    <s v="ccs025 "/>
    <s v="04.11.2015 09:09 "/>
    <s v="04.11.2015 10:00"/>
    <s v="04.11.2015 13:00"/>
    <x v="8"/>
    <n v="3"/>
    <n v="4"/>
    <m/>
    <m/>
    <s v="Out of Warranty"/>
    <m/>
  </r>
  <r>
    <n v="51"/>
    <s v="'300F00443 "/>
    <s v="SIMTA MANUFACTURING COMPANY"/>
    <s v="SULUR"/>
    <s v="RAC PACKAGE TS05 HN 220L"/>
    <x v="6"/>
    <s v="CHEE560602"/>
    <s v="ccs014 "/>
    <s v="26.08.2015 10:26 "/>
    <s v="26.08.2015 14:00"/>
    <s v="26.08.2015 17:00"/>
    <x v="8"/>
    <n v="3"/>
    <n v="7"/>
    <m/>
    <m/>
    <s v="Out of Warranty"/>
    <m/>
  </r>
  <r>
    <n v="55"/>
    <s v="'300F00362 "/>
    <s v="SCORPION KNITS"/>
    <s v="TIRUPPUR"/>
    <s v="RAC PACKAGE TS05 HN 220L"/>
    <x v="6"/>
    <n v="28008"/>
    <s v="ccs025 "/>
    <s v="31.07.2015 14:04 "/>
    <s v="01.08.2015 10:00"/>
    <s v="01.08.2015 13:00"/>
    <x v="8"/>
    <n v="3"/>
    <n v="23"/>
    <m/>
    <m/>
    <s v="Out of Warranty"/>
    <m/>
  </r>
  <r>
    <n v="59"/>
    <s v="'300F00305 "/>
    <s v="SHIVALAYA GARMENTS"/>
    <s v="TIRUPPUR"/>
    <s v="TS 05 120"/>
    <x v="6"/>
    <n v="21236"/>
    <s v="ccs025 "/>
    <s v="11.07.2015 16:52 "/>
    <s v="13.07.2015 10:00"/>
    <s v="13.07.2015 14:00"/>
    <x v="8"/>
    <n v="4"/>
    <n v="45"/>
    <m/>
    <m/>
    <s v="Out of Warranty"/>
    <m/>
  </r>
  <r>
    <n v="65"/>
    <s v="'300F00251 "/>
    <s v="ROYAL STICKERS AND LABLES"/>
    <s v="TIRUPPUR"/>
    <s v="RAC PACKAGE TS05 HN 220L"/>
    <x v="6"/>
    <n v="24602"/>
    <s v="ccs025 "/>
    <s v="29.06.2015 11:08 "/>
    <s v="30.06.2015 10:00"/>
    <s v="30.06.2015 13:00"/>
    <x v="8"/>
    <n v="3"/>
    <n v="26"/>
    <m/>
    <m/>
    <s v="Out of Warranty"/>
    <m/>
  </r>
  <r>
    <n v="69"/>
    <s v="'300F00070 "/>
    <s v="GV TECH"/>
    <s v="TIRUPUR"/>
    <s v="RAC PACKAGE TS05 HN 220L"/>
    <x v="6"/>
    <s v="CLDE561301"/>
    <s v="ccs021 "/>
    <s v="29.04.2015 10:19 "/>
    <s v="29.04.2015 14:00"/>
    <s v="29.04.2015 16:00"/>
    <x v="8"/>
    <n v="2"/>
    <n v="6"/>
    <m/>
    <m/>
    <s v="Out of Warranty"/>
    <m/>
  </r>
  <r>
    <n v="76"/>
    <s v="'300E00937 "/>
    <s v="ARUN REGA BAKERY MACHINERY"/>
    <s v="COIMABTORE"/>
    <s v="TS 05"/>
    <x v="6"/>
    <n v="8954"/>
    <s v="ccs021 "/>
    <s v="05.03.2015 11:07 "/>
    <s v="05.03.2015 14:00"/>
    <s v="05.03.2015 15:00"/>
    <x v="8"/>
    <n v="1"/>
    <n v="4"/>
    <m/>
    <m/>
    <s v="Out of Warranty"/>
    <m/>
  </r>
  <r>
    <n v="77"/>
    <s v="'300E00936 "/>
    <s v="ARUN REGA BAKERY MACHINERY"/>
    <s v="COIMABTORE"/>
    <s v="RAC PACKAGE TS05 HN 220L"/>
    <x v="6"/>
    <s v="CGIE560018"/>
    <s v="ccs021 "/>
    <s v="05.03.2015 11:06 "/>
    <s v="05.03.2015 13:00"/>
    <s v="06.03.2015 13:30"/>
    <x v="8"/>
    <n v="25"/>
    <n v="26"/>
    <m/>
    <m/>
    <s v="Out of Warranty"/>
    <m/>
  </r>
  <r>
    <n v="78"/>
    <s v="'300E00914 "/>
    <s v="TYRE CARE"/>
    <s v="COIMBATORE"/>
    <s v="TS 05 120 HN"/>
    <x v="6"/>
    <s v="CLFE561774"/>
    <s v="ccs019 "/>
    <s v="26.02.2015 16:08 "/>
    <s v="03.03.2015 00:00"/>
    <s v="03.03.2015 01:00"/>
    <x v="8"/>
    <n v="28"/>
    <n v="105"/>
    <m/>
    <m/>
    <s v="Out of Warranty"/>
    <m/>
  </r>
  <r>
    <n v="81"/>
    <s v="'300E00898 "/>
    <s v="M&amp;N METAL COMPANY"/>
    <s v="Coimbatore"/>
    <s v="TS 05 120 HN"/>
    <x v="6"/>
    <s v="GOKE560132"/>
    <s v="ccs019 "/>
    <s v="21.02.2015 11:00 "/>
    <s v="26.02.2015 00:00"/>
    <s v="26.02.2015 15:00"/>
    <x v="8"/>
    <n v="54"/>
    <n v="124"/>
    <m/>
    <m/>
    <s v="Warranty Commissioning"/>
    <m/>
  </r>
  <r>
    <n v="84"/>
    <s v="'300E00850 "/>
    <s v="KARPAGAM TEXTILES"/>
    <s v="TIRUPPUR"/>
    <s v="RAC PACKAGE TS05 HN 220L"/>
    <x v="6"/>
    <s v="CJKE560289"/>
    <s v="ccs021 "/>
    <s v="12.02.2015 18:02 "/>
    <s v="13.02.2015 10:00"/>
    <s v="13.02.2015 14:00"/>
    <x v="10"/>
    <n v="4"/>
    <n v="20"/>
    <m/>
    <m/>
    <s v="Out of Warranty"/>
    <m/>
  </r>
  <r>
    <n v="91"/>
    <s v="'300E00659 "/>
    <s v="VSK INTERIOR"/>
    <s v="KANUVAI"/>
    <s v="RAC PACKAGE TS05 NS 220L"/>
    <x v="6"/>
    <s v="CJBE560861"/>
    <s v="ccs014 "/>
    <s v="08.12.2014 13:36 "/>
    <s v="19.12.2014 00:00"/>
    <s v="19.12.2014 00:00"/>
    <x v="10"/>
    <n v="76"/>
    <n v="250"/>
    <m/>
    <m/>
    <s v="Out of Warranty"/>
    <m/>
  </r>
  <r>
    <n v="96"/>
    <s v="'300E00621 "/>
    <s v="A ONE SAND"/>
    <s v="PALAKAD"/>
    <s v="TS 05 120 HN"/>
    <x v="6"/>
    <s v="CMFE561478"/>
    <s v="ccs021 "/>
    <s v="24.11.2014 08:33 "/>
    <s v="24.11.2014 13:00"/>
    <s v="24.11.2014 15:00"/>
    <x v="10"/>
    <n v="2"/>
    <n v="6"/>
    <m/>
    <m/>
    <s v="Out of Warranty"/>
    <m/>
  </r>
  <r>
    <n v="102"/>
    <s v="'300E00389 "/>
    <s v="POOJA HONDA"/>
    <s v="ANNUR"/>
    <s v="RAC PACKAGE TS05 HN 220L"/>
    <x v="6"/>
    <s v="CLKE560427"/>
    <s v="ccs003 "/>
    <s v="22.08.2014 15:27 "/>
    <s v="25.08.2014 15:00"/>
    <s v="25.08.2014 15:00"/>
    <x v="10"/>
    <n v="9"/>
    <n v="72"/>
    <m/>
    <m/>
    <s v="Out of Warranty"/>
    <m/>
  </r>
  <r>
    <n v="107"/>
    <s v="'300E00258 "/>
    <s v="ALFA POWER TECH"/>
    <s v="COIMBATORE"/>
    <s v="RAC PACKAGE TS05 HN 220L"/>
    <x v="6"/>
    <s v="CKFE561448"/>
    <s v="ccs021 "/>
    <s v="07.07.2014 16:50 "/>
    <s v="08.07.2014 10:00"/>
    <s v="08.07.2014 15:00"/>
    <x v="10"/>
    <n v="5"/>
    <n v="22"/>
    <m/>
    <m/>
    <s v="Out of Warranty"/>
    <m/>
  </r>
  <r>
    <n v="112"/>
    <s v="'300E00189 "/>
    <s v="MARUTHI AGENCY"/>
    <s v="AVINASHI"/>
    <s v="TS05"/>
    <x v="6"/>
    <s v="D300E00189"/>
    <s v="ccs021 "/>
    <s v="10.06.2014 18:06 "/>
    <s v="11.06.2014 10:00"/>
    <s v="11.06.2014 12:00"/>
    <x v="10"/>
    <n v="2"/>
    <n v="18"/>
    <m/>
    <m/>
    <s v="Out of Warranty"/>
    <m/>
  </r>
  <r>
    <n v="118"/>
    <s v="'300E00137 "/>
    <s v="DOPOVAN SENOIR CITIZEN FOUNDATION"/>
    <s v="COIMABTORE"/>
    <s v="TS 05 120 HN"/>
    <x v="6"/>
    <s v="CMAE560662"/>
    <s v="ccs003 "/>
    <s v="23.05.2014 16:48 "/>
    <s v="24.05.2014 09:00"/>
    <s v="24.05.2014 12:00"/>
    <x v="10"/>
    <n v="3"/>
    <n v="19"/>
    <m/>
    <m/>
    <s v="Out of Warranty"/>
    <m/>
  </r>
  <r>
    <n v="122"/>
    <s v="'300E00080 "/>
    <s v="SAHARA GRANITES"/>
    <s v="PALAGHAT"/>
    <s v="TS05 120HN"/>
    <x v="6"/>
    <s v="D300E00080"/>
    <s v="ccs019 "/>
    <s v="06.05.2014 15:02 "/>
    <s v="07.05.2014 10:00"/>
    <s v="08.05.2014 12:00"/>
    <x v="10"/>
    <n v="26"/>
    <n v="45"/>
    <m/>
    <m/>
    <s v="Out of Warranty"/>
    <m/>
  </r>
  <r>
    <n v="123"/>
    <s v="'300E00052 "/>
    <s v="DODABETTA TEA FACTORY"/>
    <s v="OOTY"/>
    <s v="RAC PACKAGE TS05 HN 220L"/>
    <x v="6"/>
    <s v="CJAE560642"/>
    <s v="ccs014 "/>
    <s v="22.04.2014 12:24 "/>
    <s v="23.04.2014 10:00"/>
    <s v="23.04.2014 13:00"/>
    <x v="10"/>
    <n v="3"/>
    <n v="25"/>
    <m/>
    <m/>
    <s v="Out of Warranty"/>
    <m/>
  </r>
  <r>
    <n v="127"/>
    <s v="'300D1034 "/>
    <s v="AISWARYA STEELS PVT LIMITED"/>
    <s v="PALAKAD"/>
    <s v="RAC PACKAGE TS05 NS 220L"/>
    <x v="6"/>
    <s v="CJBE560857"/>
    <s v="ccs005 "/>
    <s v="27.03.2014 17:57 "/>
    <s v="28.03.2014 10:00"/>
    <s v="29.03.2014 01:00"/>
    <x v="10"/>
    <n v="15"/>
    <n v="31"/>
    <m/>
    <m/>
    <s v="Out of Warranty"/>
    <m/>
  </r>
  <r>
    <n v="128"/>
    <s v="'300D0981 "/>
    <s v="SCORPION KNITS"/>
    <s v="TIRUPUR"/>
    <s v="TS05HN"/>
    <x v="6"/>
    <n v="28008"/>
    <s v="ccs019 "/>
    <s v="05.03.2014 12:17 "/>
    <s v="06.03.2014 10:00"/>
    <s v="06.03.2014 11:00"/>
    <x v="10"/>
    <n v="1"/>
    <n v="23"/>
    <m/>
    <m/>
    <s v="Out of Warranty"/>
    <m/>
  </r>
  <r>
    <n v="130"/>
    <s v="'300D0957 "/>
    <s v="UNTRA FIELD INDUSTRIES"/>
    <s v="TIRUSSUR"/>
    <s v="TS 05 120 HN"/>
    <x v="6"/>
    <s v="CLIE562312"/>
    <s v="ccs005 "/>
    <s v="26.02.2014 13:11 "/>
    <s v="26.02.2014 15:00"/>
    <s v="28.02.2014 12:00"/>
    <x v="10"/>
    <n v="45"/>
    <n v="47"/>
    <m/>
    <m/>
    <s v="Out of Warranty"/>
    <m/>
  </r>
  <r>
    <n v="132"/>
    <s v="'300D0930 "/>
    <s v="ROYAL TOUGH GLASS WORKS"/>
    <s v="ONDIPUDUR"/>
    <s v="RAC PACKAGE TS05 NS 220L"/>
    <x v="6"/>
    <s v="D300D0930"/>
    <s v="ccs005 "/>
    <s v="14.02.2014 14:33 "/>
    <s v="15.02.2014 10:00"/>
    <s v="18.02.2014 11:00"/>
    <x v="2"/>
    <n v="73"/>
    <n v="92"/>
    <m/>
    <m/>
    <s v="Out of Warranty"/>
    <m/>
  </r>
  <r>
    <n v="133"/>
    <s v="'300D0859 "/>
    <s v="GV TECH"/>
    <s v="TIRUPUR"/>
    <s v="TS05120HN"/>
    <x v="6"/>
    <s v="D300D0859"/>
    <s v="ccs019 "/>
    <s v="22.01.2014 10:59 "/>
    <s v="23.01.2014 10:00"/>
    <s v="23.01.2014 11:00"/>
    <x v="2"/>
    <n v="1"/>
    <n v="24"/>
    <m/>
    <m/>
    <s v="Out of Warranty"/>
    <m/>
  </r>
  <r>
    <n v="138"/>
    <s v="'300D0763 "/>
    <s v="AS MOTORS"/>
    <s v="COIMABTORE"/>
    <s v="TS 05 120 HN"/>
    <x v="6"/>
    <s v="CMGE561631"/>
    <s v="ccs019 "/>
    <s v="10.12.2013 13:02 "/>
    <s v="11.12.2013 10:00"/>
    <s v="11.12.2013 13:00"/>
    <x v="2"/>
    <n v="3"/>
    <n v="24"/>
    <m/>
    <m/>
    <s v="Warranty Commissioning"/>
    <m/>
  </r>
  <r>
    <n v="141"/>
    <s v="'300D0617 "/>
    <s v="SRI SIVAMURUGAN KNIT COMPACTORS"/>
    <s v="TIRUPUR"/>
    <s v="RAC PACKAGE TS05 HN 220L"/>
    <x v="6"/>
    <s v="CGIE560056"/>
    <s v="ccs014 "/>
    <s v="17.10.2013 10:02 "/>
    <s v="17.10.2013 13:00"/>
    <s v="17.10.2013 15:00"/>
    <x v="2"/>
    <n v="2"/>
    <n v="5"/>
    <m/>
    <m/>
    <s v="Out of Warranty"/>
    <m/>
  </r>
  <r>
    <n v="143"/>
    <s v="'300D0594 "/>
    <s v="NATURAL GROUP ENTERPRISES"/>
    <s v="PALAGHAT"/>
    <s v="TS 05 120 HN"/>
    <x v="6"/>
    <s v="CLIE562189"/>
    <s v="ccs005 "/>
    <s v="09.10.2013 11:39 "/>
    <s v="09.10.2013 15:00"/>
    <s v="11.10.2013 12:00"/>
    <x v="2"/>
    <n v="45"/>
    <n v="48"/>
    <m/>
    <m/>
    <s v="Out of Warranty"/>
    <m/>
  </r>
  <r>
    <n v="146"/>
    <s v="'300D0467 "/>
    <s v="SRI BALAJI MOTORS"/>
    <s v="COIMBATORE"/>
    <s v="RAC PACKAGE TS05 HN 220L"/>
    <x v="6"/>
    <s v="CKDE561191"/>
    <s v="ccs002 "/>
    <s v="28.08.2013 11:07 "/>
    <s v="28.08.2013 13:00"/>
    <s v="04.09.2013 19:00"/>
    <x v="2"/>
    <n v="124"/>
    <n v="176"/>
    <m/>
    <m/>
    <s v="Out of Warranty"/>
    <m/>
  </r>
  <r>
    <n v="151"/>
    <s v="'300D0267 "/>
    <s v="KEELKOTHAGIRI TEA AND COFFEE ESTATE"/>
    <s v="COIMBATORE"/>
    <s v="TS05120"/>
    <x v="6"/>
    <n v="76643"/>
    <s v="ccs015 "/>
    <s v="27.06.2013 16:53 "/>
    <s v="28.06.2013 10:00"/>
    <s v="29.06.2013 14:00"/>
    <x v="2"/>
    <n v="28"/>
    <n v="45"/>
    <m/>
    <m/>
    <s v="Out of Warranty"/>
    <m/>
  </r>
  <r>
    <n v="153"/>
    <s v="'300D0189 "/>
    <s v="ARUL MURUGAN TEXTILES"/>
    <s v="SOMMANUR"/>
    <s v="TS05120"/>
    <x v="6"/>
    <n v="314"/>
    <s v="ccs005 "/>
    <s v="29.05.2013 13:51 "/>
    <s v="30.05.2013 10:00"/>
    <s v="31.05.2013 14:00"/>
    <x v="2"/>
    <n v="28"/>
    <n v="48"/>
    <m/>
    <m/>
    <s v="Out of Warranty"/>
    <m/>
  </r>
  <r>
    <n v="154"/>
    <s v="'300D0184 "/>
    <s v="SUSIN TECHNOLOGIES"/>
    <s v="COIMBATORE"/>
    <s v="TS05120"/>
    <x v="6"/>
    <n v="24122"/>
    <s v="ccs005 "/>
    <s v="29.05.2013 09:46 "/>
    <s v="29.05.2013 14:00"/>
    <s v="30.05.2013 12:00"/>
    <x v="2"/>
    <n v="22"/>
    <n v="26"/>
    <m/>
    <m/>
    <s v="Out of Warranty"/>
    <m/>
  </r>
  <r>
    <n v="156"/>
    <s v="'300D0066 "/>
    <s v="LAKSHMI ENVIROTECH PVT LTD"/>
    <s v="COIMBATORE"/>
    <s v="RAC PACKAGE TS05 HN 220L"/>
    <x v="6"/>
    <s v="CLJE560175"/>
    <s v="ccs004 "/>
    <s v="25.04.2013 12:16 "/>
    <s v="25.04.2013 13:00"/>
    <s v="25.04.2013 16:00"/>
    <x v="2"/>
    <n v="1"/>
    <n v="4"/>
    <m/>
    <m/>
    <s v="Out of Warranty"/>
    <m/>
  </r>
  <r>
    <n v="158"/>
    <s v="'300D0006 "/>
    <s v="GROUP THREE INDUSTRIES"/>
    <s v="COIMBATORE"/>
    <s v="RAC PACKAGE TS05 HN 220L"/>
    <x v="6"/>
    <s v="CKGE561725"/>
    <s v="ccs002 "/>
    <s v="02.04.2013 10:12 "/>
    <s v="02.04.2013 12:00"/>
    <s v="04.04.2013 11:00"/>
    <x v="2"/>
    <n v="31"/>
    <n v="49"/>
    <m/>
    <m/>
    <s v="Out of Warranty"/>
    <m/>
  </r>
  <r>
    <n v="164"/>
    <s v="'300C0918 "/>
    <s v="SABARI FUELS"/>
    <s v="COIMBATORE"/>
    <s v="TS 05 120 HN"/>
    <x v="6"/>
    <s v="CMJE560055"/>
    <s v="ccs007 "/>
    <s v="15.02.2013 10:31 "/>
    <s v="15.02.2013 10:45"/>
    <s v="15.02.2013 12:00"/>
    <x v="7"/>
    <n v="1"/>
    <n v="1"/>
    <m/>
    <m/>
    <s v="Warranty Commissioning"/>
    <m/>
  </r>
  <r>
    <n v="171"/>
    <s v="'300C0774 "/>
    <s v="WATER FALLS ESATE PVT LTD"/>
    <s v="VALPARAI"/>
    <s v="TS 05 120 HN"/>
    <x v="6"/>
    <s v="CLGE561821"/>
    <s v="ccs007 "/>
    <s v="14.12.2012 11:01 "/>
    <s v="14.12.2012 11:15"/>
    <s v="14.12.2012 13:00"/>
    <x v="7"/>
    <n v="2"/>
    <n v="2"/>
    <m/>
    <m/>
    <s v="Warranty Commissioning"/>
    <m/>
  </r>
  <r>
    <n v="175"/>
    <s v="'300C0677 "/>
    <s v="PUSPA SERVICE STATION"/>
    <s v="TIRUPPUR"/>
    <s v="RAC PACKAGE TS05 NS 220L"/>
    <x v="6"/>
    <s v="CJFE561526"/>
    <s v="ccs005 "/>
    <s v="07.11.2012 19:23 "/>
    <s v="15.11.2012 09:00"/>
    <s v="12.11.2012 09:00"/>
    <x v="7"/>
    <n v="95"/>
    <n v="110"/>
    <m/>
    <m/>
    <s v="Warranty Failure"/>
    <m/>
  </r>
  <r>
    <n v="177"/>
    <s v="'300C0654 "/>
    <s v="SRI BALAJI MOTORS"/>
    <s v="COIMBATORE"/>
    <s v="RAC PACKAGE TS05 HN 220L"/>
    <x v="6"/>
    <s v="CKDE561191"/>
    <s v="ccs007 "/>
    <s v="31.10.2012 10:41 "/>
    <s v="31.10.2012 11:00"/>
    <s v="01.11.2012 14:00"/>
    <x v="7"/>
    <n v="26"/>
    <n v="27"/>
    <s v="35119C026-19.11.2012"/>
    <s v="35119C026"/>
    <s v="Out of Warranty"/>
    <m/>
  </r>
  <r>
    <n v="186"/>
    <s v="'300C0466 "/>
    <s v="PSR ASSOCIATES"/>
    <s v="TIRUPUR"/>
    <s v="TS05120"/>
    <x v="6"/>
    <s v="D300C0466"/>
    <s v="ccs015 "/>
    <s v="24.08.2012 17:05 "/>
    <s v="25.08.2012 10:00"/>
    <s v="25.08.2012 11:00"/>
    <x v="7"/>
    <n v="1"/>
    <n v="18"/>
    <m/>
    <m/>
    <s v="Out of Warranty"/>
    <m/>
  </r>
  <r>
    <n v="191"/>
    <s v="'300C0436 "/>
    <s v="BRIGHT SERVICE STATION"/>
    <s v="MUTHALAMADA"/>
    <s v="TS 05 120 HN"/>
    <x v="6"/>
    <s v="CKIE562004"/>
    <s v="ccs004 "/>
    <s v="16.08.2012 09:37 "/>
    <s v="16.08.2012 10:00"/>
    <s v="16.08.2012 12:00"/>
    <x v="7"/>
    <n v="2"/>
    <n v="2"/>
    <m/>
    <m/>
    <s v="Warranty Commissioning"/>
    <m/>
  </r>
  <r>
    <n v="197"/>
    <s v="'300C0407 "/>
    <s v="PUSHPA SERVICE STATION"/>
    <s v="TIRUPPUR"/>
    <s v="TS05 NS"/>
    <x v="6"/>
    <s v="D300C0407"/>
    <s v="ccs003 "/>
    <s v="06.08.2012 19:14 "/>
    <s v="07.08.2012 10:00"/>
    <s v="14.08.2012 11:00"/>
    <x v="7"/>
    <n v="169"/>
    <n v="184"/>
    <m/>
    <m/>
    <s v="Out of Warranty"/>
    <m/>
  </r>
  <r>
    <n v="201"/>
    <s v="'300C0334 "/>
    <s v="PRAVIN ENGINEERING"/>
    <s v="COIMBATORE"/>
    <s v="TS 05 120 HN"/>
    <x v="6"/>
    <s v="CLAE560841"/>
    <s v="ccs005 "/>
    <s v="14.07.2012 17:43 "/>
    <s v="16.07.2012 10:00"/>
    <s v="17.07.2012 14:00"/>
    <x v="7"/>
    <n v="28"/>
    <n v="68"/>
    <m/>
    <m/>
    <s v="Warranty Failure"/>
    <m/>
  </r>
  <r>
    <n v="202"/>
    <s v="'300C0287 "/>
    <s v="INTEC WATER SERVICE"/>
    <s v="COIMBATORE"/>
    <s v="TS 05 120 HN"/>
    <x v="6"/>
    <s v="CJAE560556"/>
    <s v="ccs014 "/>
    <s v="03.07.2012 10:43 "/>
    <s v="04.07.2012 10:00"/>
    <s v="04.07.2012 11:00"/>
    <x v="7"/>
    <n v="1"/>
    <n v="24"/>
    <m/>
    <m/>
    <s v="Warranty Maintenance"/>
    <m/>
  </r>
  <r>
    <n v="205"/>
    <s v="'300C0241 "/>
    <s v="VISHNU INDUSTRIES"/>
    <s v="COIMBATORE"/>
    <s v="TS 05 120 HN"/>
    <x v="6"/>
    <s v="CJDE561126"/>
    <s v="ccs002 "/>
    <s v="18.06.2012 09:26 "/>
    <s v="18.06.2012 11:00"/>
    <s v="19.06.2012 13:30"/>
    <x v="7"/>
    <n v="27"/>
    <n v="28"/>
    <m/>
    <m/>
    <s v="Out of Warranty"/>
    <m/>
  </r>
  <r>
    <n v="207"/>
    <s v="'300C0202 "/>
    <s v="AJEESH MUSHIN"/>
    <s v="KOZHIKODE"/>
    <s v="TS 05 120 HN"/>
    <x v="6"/>
    <s v="CLBE560988"/>
    <s v="ccs003 "/>
    <s v="05.06.2012 10:05 "/>
    <s v="05.06.2012 10:15"/>
    <s v="05.06.2012 13:00"/>
    <x v="7"/>
    <n v="3"/>
    <n v="3"/>
    <m/>
    <m/>
    <s v="Warranty Commissioning"/>
    <m/>
  </r>
  <r>
    <n v="210"/>
    <s v="'300C0183 "/>
    <s v="UNITED NELGRI TEA ESTATE COMPANY LTD"/>
    <s v="NILGRI"/>
    <s v="TS 05 120 HN"/>
    <x v="6"/>
    <s v="CKFE561574"/>
    <s v="ccs015 "/>
    <s v="29.05.2012 12:44 "/>
    <s v="30.05.2012 10:00"/>
    <s v="04.06.2012 13:00"/>
    <x v="7"/>
    <n v="32"/>
    <n v="144"/>
    <m/>
    <m/>
    <s v="Warranty Failure"/>
    <m/>
  </r>
  <r>
    <n v="215"/>
    <s v="'300C0114 "/>
    <s v="VSK INTERIOR"/>
    <s v="COIMBATORE"/>
    <s v="TS 05 NS 220L"/>
    <x v="6"/>
    <s v="CJBE560861"/>
    <s v="ccs005 "/>
    <s v="07.05.2012 10:21 "/>
    <s v="07.05.2012 15:00"/>
    <s v="09.05.2012 12:00"/>
    <x v="7"/>
    <n v="45"/>
    <n v="50"/>
    <m/>
    <m/>
    <s v="Out of Warranty"/>
    <m/>
  </r>
  <r>
    <n v="222"/>
    <s v="'300C0012 "/>
    <s v="SRI BALAJI MOTORS"/>
    <s v="COIMBATORE"/>
    <s v="TS 05 120 HN"/>
    <x v="6"/>
    <s v="CKDE561191"/>
    <s v="C00002 "/>
    <s v="04.04.2012 13:31 "/>
    <s v="04.04.2012 13:33"/>
    <s v="04.04.2012 16:00"/>
    <x v="7"/>
    <n v="2"/>
    <n v="2"/>
    <s v="35119C001-24.04.2012"/>
    <s v="35119C001"/>
    <s v="Warranty Failure"/>
    <m/>
  </r>
  <r>
    <n v="224"/>
    <s v="'300C0001 "/>
    <s v="JC EQUIPMENTS"/>
    <s v="COIMBATORE"/>
    <s v="TS 05 120 HN"/>
    <x v="6"/>
    <s v="CLLE560676"/>
    <s v="ccs015 "/>
    <s v="02.04.2012 10:23 "/>
    <s v="02.04.2012 11:00"/>
    <s v="02.04.2012 14:00"/>
    <x v="7"/>
    <n v="3"/>
    <n v="4"/>
    <m/>
    <m/>
    <s v="Warranty Commissioning"/>
    <m/>
  </r>
  <r>
    <n v="227"/>
    <s v="'300B1174 "/>
    <s v="GEM PRECISION TOOLS"/>
    <s v="COIMBATORE"/>
    <s v="TS 05 120 HN"/>
    <x v="6"/>
    <s v="CKIE562012"/>
    <s v="ccs015 "/>
    <s v="27.03.2012 19:50 "/>
    <s v="28.03.2012 10:00"/>
    <s v="28.03.2012 18:00"/>
    <x v="7"/>
    <n v="8"/>
    <n v="22"/>
    <m/>
    <m/>
    <s v="Warranty Failure"/>
    <m/>
  </r>
  <r>
    <n v="228"/>
    <s v="'300B1150 "/>
    <s v="AHILL EXPORTS"/>
    <s v="TIRUPPUR"/>
    <s v="TS05"/>
    <x v="6"/>
    <n v="1211"/>
    <s v="ccs003 "/>
    <s v="20.03.2012 14:29 "/>
    <s v="21.03.2012 10:00"/>
    <s v="21.03.2012 11:00"/>
    <x v="7"/>
    <n v="1"/>
    <n v="21"/>
    <m/>
    <m/>
    <s v="Out of Warranty"/>
    <m/>
  </r>
  <r>
    <n v="231"/>
    <s v="'300B1069 "/>
    <s v="SRI MIRUGALA AIR CONTROL"/>
    <s v="ERODE"/>
    <s v="TS 05 120 HN"/>
    <x v="6"/>
    <s v="CKIE562201"/>
    <s v="ccs015 "/>
    <s v="27.02.2012 15:29 "/>
    <s v="28.02.2012 10:00"/>
    <s v="28.02.2012 12:00"/>
    <x v="7"/>
    <n v="2"/>
    <n v="21"/>
    <m/>
    <m/>
    <s v="Warranty Commissioning"/>
    <m/>
  </r>
  <r>
    <n v="232"/>
    <s v="'300B1067 "/>
    <s v="SARAVANA SPINNERS"/>
    <s v="AMARAVATHY"/>
    <s v="TS05120"/>
    <x v="6"/>
    <s v="D300B1067"/>
    <s v="ccs015 "/>
    <s v="27.02.2012 12:07 "/>
    <s v="28.02.2012 10:00"/>
    <s v="29.02.2012 11:00"/>
    <x v="7"/>
    <n v="6"/>
    <n v="47"/>
    <m/>
    <m/>
    <s v="Out of Warranty"/>
    <m/>
  </r>
  <r>
    <n v="233"/>
    <s v="'300B1047 "/>
    <s v="ASSOCAITED HYDRO PLASTICS PVT LTD"/>
    <s v="COIMBATORE"/>
    <s v="TS05"/>
    <x v="6"/>
    <s v="D300B1047"/>
    <s v="ccs003 "/>
    <s v="22.02.2012 10:53 "/>
    <s v="22.02.2012 13:00"/>
    <s v="23.02.2012 11:00"/>
    <x v="7"/>
    <n v="22"/>
    <n v="24"/>
    <m/>
    <m/>
    <s v="Out of Warranty"/>
    <m/>
  </r>
  <r>
    <n v="234"/>
    <s v="'300B1034 "/>
    <s v="HARVEST PUMPS"/>
    <s v="COIMBATORE"/>
    <s v="TS 05 NS 220L"/>
    <x v="6"/>
    <s v="CJEE561318"/>
    <s v="ccs002 "/>
    <s v="17.02.2012 11:58 "/>
    <s v="18.02.2012 09:00"/>
    <s v="18.02.2012 20:00"/>
    <x v="1"/>
    <n v="11"/>
    <n v="32"/>
    <m/>
    <m/>
    <s v="Out of Warranty"/>
    <m/>
  </r>
  <r>
    <n v="235"/>
    <s v="'300B1022 "/>
    <s v="AS SURJEET"/>
    <s v="AVINASHI"/>
    <s v="TS 05 NS 220L"/>
    <x v="6"/>
    <s v="CJEE561431"/>
    <s v="C00002 "/>
    <s v="14.02.2012 15:44 "/>
    <s v="21.02.2012 10:00"/>
    <s v="21.02.2012 15:00"/>
    <x v="1"/>
    <n v="167"/>
    <n v="167"/>
    <m/>
    <m/>
    <s v="Out of Warranty"/>
    <m/>
  </r>
  <r>
    <n v="238"/>
    <s v="'300B1002 "/>
    <s v="ARUMUGAM TEX"/>
    <s v="AVINASHI"/>
    <s v="TS 05 120 HN"/>
    <x v="6"/>
    <s v="CJIE562208"/>
    <s v="ccs015 "/>
    <s v="09.02.2012 15:08 "/>
    <s v="10.02.2012 10:00"/>
    <s v="10.02.2012 12:00"/>
    <x v="1"/>
    <n v="2"/>
    <n v="21"/>
    <m/>
    <m/>
    <s v="Out of Warranty"/>
    <m/>
  </r>
  <r>
    <n v="252"/>
    <s v="'300B0777 "/>
    <s v="ISHWARYA STEELS PVT LTD"/>
    <s v="PALAKAD"/>
    <s v="TS 05 NS 220L"/>
    <x v="6"/>
    <s v="CJBE560857"/>
    <s v="ccs005 "/>
    <s v="05.12.2011 11:31 "/>
    <s v="05.12.2011 15:00"/>
    <s v="15.12.2011 14:00"/>
    <x v="1"/>
    <n v="191"/>
    <n v="242"/>
    <m/>
    <m/>
    <s v="Out of Warranty"/>
    <m/>
  </r>
  <r>
    <n v="254"/>
    <s v="'300B0746 "/>
    <s v="SRI ABHISHEK TEX"/>
    <s v="SANKARANKOVIL"/>
    <s v="TS 05 120 HN"/>
    <x v="6"/>
    <s v="CKCE560999"/>
    <s v="ccs002 "/>
    <s v="28.11.2011 09:32 "/>
    <s v="28.11.2011 10:00"/>
    <s v="29.11.2011 16:00"/>
    <x v="1"/>
    <n v="30"/>
    <n v="30"/>
    <m/>
    <m/>
    <s v="Warranty Failure"/>
    <m/>
  </r>
  <r>
    <n v="270"/>
    <s v="'300B0370 "/>
    <s v="GP TEXTILES"/>
    <s v="TIRUPPUR"/>
    <s v="TS 05 120 HN"/>
    <x v="6"/>
    <s v="CKCE560877"/>
    <s v="ccs007 "/>
    <s v="23.07.2011 15:12 "/>
    <s v="23.07.2011 15:15"/>
    <s v="23.07.2011 17:00"/>
    <x v="1"/>
    <n v="2"/>
    <n v="2"/>
    <m/>
    <m/>
    <s v="Warranty Commissioning"/>
    <m/>
  </r>
  <r>
    <n v="273"/>
    <s v="'300B0341 "/>
    <s v="CORE CARBON PVT LTD"/>
    <s v="TIRUPUR"/>
    <s v="TS 05 NS 220L"/>
    <x v="6"/>
    <s v="CJDE561204"/>
    <s v="ccs001 "/>
    <s v="18.07.2011 09:20 "/>
    <s v="18.07.2011 10:00"/>
    <s v="27.07.2011 14:00"/>
    <x v="1"/>
    <n v="221"/>
    <n v="221"/>
    <s v="3511AB008-20.07.2011"/>
    <s v="3511AB008"/>
    <s v="Warranty Failure"/>
    <m/>
  </r>
  <r>
    <n v="274"/>
    <s v="'300B0337 "/>
    <s v="CARRIES PIPES &amp; TUBES PVT LTD"/>
    <s v="COIMBATORE"/>
    <s v="TS 05 120 HN"/>
    <x v="6"/>
    <s v="CIIE561431"/>
    <s v="ccs002 "/>
    <s v="16.07.2011 10:16 "/>
    <s v="16.07.2011 10:30"/>
    <s v="18.07.2011 10:00"/>
    <x v="1"/>
    <n v="48"/>
    <n v="48"/>
    <s v="35119B010-30.07.2011"/>
    <s v="35119B010"/>
    <s v="Warranty Failure"/>
    <m/>
  </r>
  <r>
    <n v="281"/>
    <s v="'300B0249 "/>
    <s v="ALVERNIA EXPORTS UNIT II"/>
    <s v="TIRUPUR"/>
    <s v="TS 05 120 HN"/>
    <x v="6"/>
    <s v="CKCE560915"/>
    <s v="ccs001 "/>
    <s v="23.06.2011 14:24 "/>
    <s v="23.06.2011 14:30"/>
    <s v="23.06.2011 16:00"/>
    <x v="1"/>
    <n v="2"/>
    <n v="2"/>
    <m/>
    <m/>
    <s v="Warranty Commissioning"/>
    <m/>
  </r>
  <r>
    <n v="289"/>
    <s v="'300B0181 "/>
    <s v="JAYAM FUEL AGENCIES"/>
    <s v="ERODE"/>
    <s v="TS 05 120 HN"/>
    <x v="6"/>
    <s v="CKAE560571"/>
    <s v="ccs001 "/>
    <s v="02.06.2011 11:22 "/>
    <s v="02.06.2011 11:30"/>
    <s v="02.06.2011 14:00"/>
    <x v="1"/>
    <n v="3"/>
    <n v="3"/>
    <m/>
    <m/>
    <s v="Warranty Commissioning"/>
    <m/>
  </r>
  <r>
    <n v="294"/>
    <s v="'300B0143 "/>
    <s v="ADIL TEXTILES PVT LTD"/>
    <s v="TIRUPPUR"/>
    <s v="TS 05 120 HN"/>
    <x v="6"/>
    <s v="CKBE560639"/>
    <s v="ccs007 "/>
    <s v="20.05.2011 15:44 "/>
    <s v="20.05.2011 16:00"/>
    <s v="20.05.2011 17:30"/>
    <x v="1"/>
    <n v="2"/>
    <n v="2"/>
    <m/>
    <m/>
    <s v="Warranty Commissioning"/>
    <m/>
  </r>
  <r>
    <n v="295"/>
    <s v="'300B0142 "/>
    <s v="BMT INNOVONATION PVT LTD"/>
    <s v="TIRUPPUR"/>
    <s v="TS 05 120 HN"/>
    <x v="6"/>
    <s v="CKBE560681"/>
    <s v="ccs007 "/>
    <s v="20.05.2011 15:43 "/>
    <s v="20.05.2011 15:45"/>
    <s v="20.05.2011 18:15"/>
    <x v="1"/>
    <n v="3"/>
    <n v="3"/>
    <m/>
    <m/>
    <s v="Warranty Failure"/>
    <m/>
  </r>
  <r>
    <n v="301"/>
    <s v="'300B0083 "/>
    <s v="VSK INTERIOR"/>
    <s v="COIMBATORE"/>
    <s v="TS 05 NS 220L"/>
    <x v="6"/>
    <s v="CJBE560861"/>
    <s v="ccs007 "/>
    <s v="02.05.2011 12:50 "/>
    <s v="02.05.2011 13:00"/>
    <s v="02.05.2011 17:00"/>
    <x v="1"/>
    <n v="2"/>
    <n v="4"/>
    <m/>
    <m/>
    <s v="Warranty Failure"/>
    <m/>
  </r>
  <r>
    <n v="304"/>
    <s v="'300B0042 "/>
    <s v="CARRIS PIPES AND TUBES PVT LTD"/>
    <s v="COIMBATORE"/>
    <s v="TS 05 120 HN"/>
    <x v="6"/>
    <s v="CIIE561431"/>
    <s v="ccs007 "/>
    <s v="18.04.2011 17:26 "/>
    <s v="19.04.2011 10:00"/>
    <s v="21.04.2011 12:00"/>
    <x v="1"/>
    <n v="50"/>
    <n v="67"/>
    <m/>
    <m/>
    <s v="Out of Warranty"/>
    <m/>
  </r>
  <r>
    <n v="307"/>
    <s v="'300A1163 "/>
    <s v="DHANALAKSHMI SRINIVASAN COLLEGE"/>
    <s v="PERAMBALUR"/>
    <s v="TS 05 120 HN"/>
    <x v="6"/>
    <s v="CJHE561945"/>
    <s v="ccs007 "/>
    <s v="29.03.2011 08:53 "/>
    <s v="29.03.2011 10:00"/>
    <s v="30.03.2011 13:00"/>
    <x v="1"/>
    <n v="25"/>
    <n v="28"/>
    <m/>
    <m/>
    <s v="Warranty Failure"/>
    <m/>
  </r>
  <r>
    <n v="313"/>
    <s v="'300A1074 "/>
    <s v="SONARAM"/>
    <s v="COIMBATORE"/>
    <s v="TS 05 120 HN"/>
    <x v="6"/>
    <s v="CIHE561193"/>
    <s v="ccs003 "/>
    <s v="02.03.2011 18:06 "/>
    <s v="03.03.2011 09:00"/>
    <s v="03.03.2011 10:00"/>
    <x v="1"/>
    <n v="1"/>
    <n v="16"/>
    <m/>
    <m/>
    <s v="Out of Warranty"/>
    <m/>
  </r>
  <r>
    <n v="318"/>
    <s v="'300A1022 "/>
    <s v="MUTHIRAI MULTI PRINT INDIA PVT LTD"/>
    <s v="TIRUPPUR"/>
    <s v="TS 05 120 HN"/>
    <x v="6"/>
    <s v="CHEE560659"/>
    <s v="ccs005 "/>
    <s v="18.02.2011 11:37 "/>
    <s v="23.02.2011 09:00"/>
    <s v="23.02.2011 12:00"/>
    <x v="1"/>
    <n v="95"/>
    <n v="120"/>
    <m/>
    <m/>
    <s v="Out of Warranty"/>
    <m/>
  </r>
  <r>
    <n v="319"/>
    <s v="'300A1018 "/>
    <s v="GOOD FOOD INDUSTRIES"/>
    <s v="COIMBATORE"/>
    <s v="TS 05 120 HN"/>
    <x v="6"/>
    <s v="CJBE560809"/>
    <s v="ccs003 "/>
    <s v="17.02.2011 11:24 "/>
    <s v="17.02.2011 11:30"/>
    <s v="17.02.2011 15:00"/>
    <x v="11"/>
    <n v="4"/>
    <n v="4"/>
    <m/>
    <m/>
    <s v="Warranty Maintenance"/>
    <m/>
  </r>
  <r>
    <n v="320"/>
    <s v="'300A1017 "/>
    <s v="VISHNU INDUSTRIES"/>
    <s v="COIMBATORE"/>
    <s v="TS 05 120 HN"/>
    <x v="6"/>
    <s v="CJDE561126"/>
    <s v="ccs003 "/>
    <s v="17.02.2011 11:22 "/>
    <s v="17.02.2011 11:30"/>
    <s v="17.02.2011 16:00"/>
    <x v="11"/>
    <n v="5"/>
    <n v="5"/>
    <m/>
    <m/>
    <s v="Warranty Maintenance"/>
    <m/>
  </r>
  <r>
    <n v="321"/>
    <s v="'300A1011 "/>
    <s v="VSK INTERIORS"/>
    <s v="COIMBATORE"/>
    <s v="TS 05 NS 220L"/>
    <x v="6"/>
    <s v="CJBE560861"/>
    <s v="ccs005 "/>
    <s v="16.02.2011 11:17 "/>
    <s v="16.02.2011 13:00"/>
    <s v="25.02.2011 14:00"/>
    <x v="11"/>
    <n v="217"/>
    <n v="219"/>
    <s v="3511AA040-16.02.2011"/>
    <s v="3511AA040"/>
    <s v="Warranty Failure"/>
    <m/>
  </r>
  <r>
    <n v="322"/>
    <s v="'300A0975 "/>
    <s v="GEM MOTORS"/>
    <s v="COIMBATORE"/>
    <s v="TS 05 120 HN"/>
    <x v="6"/>
    <s v="CHHE560947"/>
    <s v="ccs003 "/>
    <s v="10.02.2011 09:18 "/>
    <s v="10.02.2011 13:00"/>
    <s v="15.02.2011 18:00"/>
    <x v="11"/>
    <n v="125"/>
    <n v="129"/>
    <m/>
    <m/>
    <s v="Out of Warranty"/>
    <m/>
  </r>
  <r>
    <n v="323"/>
    <s v="'300A0945 "/>
    <s v="KUMARAN AGENCY"/>
    <s v="COIMBATORE"/>
    <s v="TS05120"/>
    <x v="6"/>
    <n v="90231"/>
    <s v="ccs003 "/>
    <s v="03.02.2011 16:13 "/>
    <s v="03.02.2011 16:20"/>
    <s v="05.02.2011 12:00"/>
    <x v="11"/>
    <n v="44"/>
    <n v="44"/>
    <m/>
    <m/>
    <s v="Out of Warranty"/>
    <m/>
  </r>
  <r>
    <n v="325"/>
    <s v="'300A0890 "/>
    <s v="MAHAVISHNU LASER INDUSTRIES"/>
    <s v="COIMBATORE"/>
    <s v="TS 05 120 HN"/>
    <x v="6"/>
    <s v="CIIE561342"/>
    <s v="ccs002 "/>
    <s v="22.01.2011 10:42 "/>
    <s v="22.01.2011 12:00"/>
    <s v="24.01.2011 16:30"/>
    <x v="11"/>
    <n v="53"/>
    <n v="54"/>
    <m/>
    <m/>
    <s v="Out of Warranty"/>
    <m/>
  </r>
  <r>
    <n v="326"/>
    <s v="'300A0889 "/>
    <s v="VSK INTERIORS"/>
    <s v="COIMBATORE"/>
    <s v="TS 05 NS 220L"/>
    <x v="6"/>
    <s v="CJBE560861"/>
    <s v="ccs007 "/>
    <s v="21.01.2011 17:42 "/>
    <s v="22.01.2011 10:00"/>
    <s v="25.01.2011 12:00"/>
    <x v="11"/>
    <n v="90"/>
    <n v="90"/>
    <s v="3511AA037-22.01.2011"/>
    <s v="3511AA037"/>
    <s v="Warranty Failure"/>
    <m/>
  </r>
  <r>
    <n v="329"/>
    <s v="'300A0858 "/>
    <s v="PSR ASSOCIATE"/>
    <s v="TIRUPPUR"/>
    <s v="TS 05 NS 220L"/>
    <x v="6"/>
    <s v="CJFE561527"/>
    <s v="ccs004 "/>
    <s v="14.01.2011 17:37 "/>
    <s v="14.01.2011 17:30"/>
    <s v="18.01.2011 15:00"/>
    <x v="11"/>
    <n v="94"/>
    <n v="93"/>
    <m/>
    <m/>
    <s v="Warranty Maintenance"/>
    <m/>
  </r>
  <r>
    <n v="330"/>
    <s v="'300A0844 "/>
    <s v="INTEC WATER SERVICE"/>
    <s v="COIMBATORE"/>
    <s v="TS 05 120 HN"/>
    <x v="6"/>
    <s v="CJAE560556"/>
    <s v="ccs001 "/>
    <s v="13.01.2011 11:52 "/>
    <s v="14.01.2011 09:00"/>
    <s v="15.01.2011 16:00"/>
    <x v="11"/>
    <n v="31"/>
    <n v="52"/>
    <m/>
    <m/>
    <s v="Out of Warranty"/>
    <m/>
  </r>
  <r>
    <n v="341"/>
    <s v="'300A0637 "/>
    <s v="PSR ASSOCIATES"/>
    <s v="TIRUPPUR"/>
    <s v="TS 05 NS 220L"/>
    <x v="6"/>
    <s v="CJFE561526"/>
    <s v="ccs007 "/>
    <s v="26.11.2010 10:35 "/>
    <s v="26.11.2010 11:00"/>
    <s v="29.11.2010 13:00"/>
    <x v="11"/>
    <n v="74"/>
    <n v="74"/>
    <s v="3511AA029-26.11.2010"/>
    <s v="3511AA029"/>
    <s v="Warranty Failure"/>
    <m/>
  </r>
  <r>
    <n v="342"/>
    <s v="'300A0636 "/>
    <s v="PUSHPA SERVICE STATION"/>
    <s v="TIRUPPUR"/>
    <s v="TS 05 NS 220L"/>
    <x v="6"/>
    <s v="CJFE561527"/>
    <s v="ccs007 "/>
    <s v="26.11.2010 10:34 "/>
    <s v="26.11.2010 11:00"/>
    <s v="29.11.2010 16:00"/>
    <x v="11"/>
    <n v="77"/>
    <n v="77"/>
    <s v="3511AA028-26.11.2010"/>
    <s v="3511AA028"/>
    <s v="Warranty Failure"/>
    <m/>
  </r>
  <r>
    <n v="346"/>
    <s v="'300A0608 "/>
    <s v="MAHESWARAN"/>
    <s v="THENI"/>
    <s v="TS 05 120 HN"/>
    <x v="6"/>
    <s v="CJGE561764"/>
    <s v="ccs002 "/>
    <s v="17.11.2010 15:12 "/>
    <s v="18.11.2010 09:00"/>
    <s v="24.11.2010 17:00"/>
    <x v="11"/>
    <n v="152"/>
    <n v="170"/>
    <m/>
    <m/>
    <s v="Warranty Commissioning"/>
    <m/>
  </r>
  <r>
    <n v="354"/>
    <s v="'300A0368 "/>
    <s v="KAP MILLS"/>
    <s v="Coimbatore"/>
    <s v="TS05120"/>
    <x v="6"/>
    <n v="82507"/>
    <s v="ccs007 "/>
    <s v="24.08.2010 17:29 "/>
    <s v="25.08.2010 10:00"/>
    <s v="26.08.2010 16:00"/>
    <x v="11"/>
    <n v="30"/>
    <n v="47"/>
    <m/>
    <m/>
    <s v="Out of Warranty"/>
    <m/>
  </r>
  <r>
    <n v="357"/>
    <s v="'300A0250 "/>
    <s v="SURYA SEEDS PVT LTD"/>
    <s v="DHARAPURAM"/>
    <s v="TS 05 NS 220L"/>
    <x v="6"/>
    <s v="CJBE560855"/>
    <s v="ccs002 "/>
    <s v="30.06.2010 17:23 "/>
    <s v="01.07.2010 10:00"/>
    <s v="07.07.2010 17:00"/>
    <x v="11"/>
    <n v="151"/>
    <n v="168"/>
    <m/>
    <m/>
    <s v="Warranty Maintenance"/>
    <m/>
  </r>
  <r>
    <n v="367"/>
    <s v="'300A0157 "/>
    <s v="BAGYAM AGENCIES"/>
    <s v="Coimbatore"/>
    <s v="TS 05 120 M"/>
    <x v="6"/>
    <s v="CJAE210076"/>
    <s v="ccs001 "/>
    <s v="26.05.2010 12:52 "/>
    <s v="26.05.2010 13:00"/>
    <s v="26.05.2010 15:00"/>
    <x v="11"/>
    <n v="2"/>
    <n v="2"/>
    <m/>
    <m/>
    <s v="Warranty Commissioning"/>
    <m/>
  </r>
  <r>
    <n v="379"/>
    <s v="'300A0113 "/>
    <s v="MARYS GLASS DESING"/>
    <s v="Nagerkoil"/>
    <s v="TS 05 120 HN"/>
    <x v="6"/>
    <s v="CJAE560526"/>
    <s v="ccs001 "/>
    <s v="10.05.2010 14:39 "/>
    <s v="14.05.2010 09:00"/>
    <s v="19.05.2010 18:00"/>
    <x v="11"/>
    <n v="219"/>
    <n v="219"/>
    <m/>
    <m/>
    <s v="Warranty Commissioning"/>
    <m/>
  </r>
  <r>
    <n v="380"/>
    <s v="'300A0107 "/>
    <s v="INTECH CAR CARE"/>
    <s v="Coimbatore"/>
    <s v="TS 05 120 HN"/>
    <x v="6"/>
    <s v="CJAE560556"/>
    <s v="ccs001 "/>
    <s v="06.05.2010 17:06 "/>
    <s v="06.05.2010 17:15"/>
    <s v="11.05.2010 13:00"/>
    <x v="11"/>
    <n v="116"/>
    <n v="116"/>
    <m/>
    <m/>
    <s v="Warranty Commissioning"/>
    <m/>
  </r>
  <r>
    <n v="388"/>
    <s v="'300A0050 "/>
    <s v="PEARL INTIMATES"/>
    <s v="Tirupur"/>
    <s v="TS 05 120 HN"/>
    <x v="6"/>
    <s v="CJAE560534"/>
    <s v="ccs001 "/>
    <s v="15.04.2010 12:37 "/>
    <s v="15.04.2010 12:45"/>
    <s v="15.04.2010 15:00"/>
    <x v="11"/>
    <n v="2"/>
    <n v="2"/>
    <m/>
    <m/>
    <s v="Warranty Commissioning"/>
    <m/>
  </r>
  <r>
    <n v="390"/>
    <s v="'300A0033 "/>
    <s v="MANIRANJAN DIESELS"/>
    <s v="COIMBATORE"/>
    <s v="TS 05 120 HN"/>
    <x v="6"/>
    <s v="CIFE561026"/>
    <s v="ccs002 "/>
    <s v="10.04.2010 15:51 "/>
    <s v="10.04.2010 16:00"/>
    <s v="10.04.2010 18:00"/>
    <x v="11"/>
    <n v="2"/>
    <n v="2"/>
    <m/>
    <m/>
    <s v="Warranty Failure"/>
    <m/>
  </r>
  <r>
    <n v="394"/>
    <s v="'300A0016 "/>
    <s v="MD COLOURS"/>
    <s v="Tirupur"/>
    <s v="TS05120"/>
    <x v="6"/>
    <n v="62417"/>
    <s v="ccs001 "/>
    <s v="06.04.2010 12:46 "/>
    <s v="06.04.2010 13:00"/>
    <s v="06.04.2010 15:00"/>
    <x v="11"/>
    <n v="2"/>
    <n v="2"/>
    <m/>
    <m/>
    <s v="Out of Warranty"/>
    <m/>
  </r>
  <r>
    <n v="402"/>
    <s v="'30091211 "/>
    <s v="INDO AUTOMATION"/>
    <s v="COIMBATORE"/>
    <s v="TS 05 120 HN"/>
    <x v="6"/>
    <s v="CJLE560420"/>
    <s v="ccs002 "/>
    <s v="22.03.2010 14:27 "/>
    <s v="22.03.2010 14:45"/>
    <s v="24.03.2010 12:00"/>
    <x v="11"/>
    <n v="45"/>
    <n v="46"/>
    <m/>
    <m/>
    <s v="Warranty Commissioning"/>
    <m/>
  </r>
  <r>
    <n v="414"/>
    <s v="'30091148 "/>
    <s v="MM SERVICE STATION"/>
    <s v="Karur"/>
    <s v="TS 05 120 HN"/>
    <x v="6"/>
    <s v="CIIE561488"/>
    <s v="ccs007 "/>
    <s v="06.03.2010 13:12 "/>
    <s v="06.03.2010 13:30"/>
    <s v="06.03.2010 14:30"/>
    <x v="11"/>
    <n v="1"/>
    <n v="1"/>
    <m/>
    <m/>
    <s v="Warranty Commissioning"/>
    <m/>
  </r>
  <r>
    <n v="417"/>
    <s v="'30091144 "/>
    <s v="KARPAGAM TEXTILES"/>
    <s v="TIRUPPUR"/>
    <s v="TS 05 120 HN"/>
    <x v="6"/>
    <s v="CJKE560289"/>
    <s v="ccs002 "/>
    <s v="06.03.2010 12:04 "/>
    <s v="06.03.2010 12:30"/>
    <s v="06.03.2010 14:00"/>
    <x v="11"/>
    <n v="2"/>
    <n v="2"/>
    <m/>
    <m/>
    <s v="Warranty Commissioning"/>
    <m/>
  </r>
  <r>
    <n v="432"/>
    <s v="'30091071 "/>
    <s v="ABI INDUSTRY"/>
    <s v="COIMBATORE"/>
    <s v="TS 05 120 HN"/>
    <x v="6"/>
    <s v="CJKE560209"/>
    <s v="ccs004 "/>
    <s v="13.02.2010 10:27 "/>
    <s v="13.02.2010 10:30"/>
    <s v="13.02.2010 12:00"/>
    <x v="4"/>
    <n v="2"/>
    <n v="2"/>
    <m/>
    <m/>
    <s v="Warranty Commissioning"/>
    <m/>
  </r>
  <r>
    <n v="434"/>
    <s v="'30091068 "/>
    <s v="EXPO GRAPHIC"/>
    <s v="TIRUPPUR"/>
    <s v="TS 05 120 HN"/>
    <x v="6"/>
    <s v="CJKE560192"/>
    <s v="ccs004 "/>
    <s v="12.02.2010 11:56 "/>
    <s v="12.02.2010 12:00"/>
    <s v="12.02.2010 16:00"/>
    <x v="4"/>
    <n v="4"/>
    <n v="4"/>
    <m/>
    <m/>
    <s v="Warranty Commissioning"/>
    <m/>
  </r>
  <r>
    <n v="435"/>
    <s v="'30091063 "/>
    <s v="SUNDARAM METALS"/>
    <s v="COIMBATORE"/>
    <s v="TS 05 120 HN"/>
    <x v="6"/>
    <s v="CIGE561080"/>
    <s v="ccs002 "/>
    <s v="10.02.2010 14:08 "/>
    <s v="10.02.2010 15:00"/>
    <s v="12.02.2010 20:00"/>
    <x v="4"/>
    <n v="53"/>
    <n v="54"/>
    <m/>
    <m/>
    <s v="Warranty Maintenance"/>
    <m/>
  </r>
  <r>
    <n v="441"/>
    <s v="'30091023 "/>
    <s v="CARRIS PIPES AND TUBES PVT LTD"/>
    <s v="Coimbatore"/>
    <s v="TS 05 120 HN"/>
    <x v="6"/>
    <s v="CIIE561431"/>
    <s v="ccs007 "/>
    <s v="30.01.2010 13:47 "/>
    <s v="01.02.2010 10:00"/>
    <s v="08.02.2010 12:00"/>
    <x v="4"/>
    <n v="170"/>
    <n v="214"/>
    <m/>
    <m/>
    <s v="Warranty Failure"/>
    <m/>
  </r>
  <r>
    <n v="447"/>
    <s v="'30091001 "/>
    <s v="SUN KNITTING MILLS"/>
    <s v="Tirupur"/>
    <s v="TS 05 120 HN"/>
    <x v="6"/>
    <s v="CJJE560048"/>
    <s v="ccs001 "/>
    <s v="27.01.2010 14:08 "/>
    <s v="27.01.2010 14:15"/>
    <s v="27.01.2010 16:00"/>
    <x v="4"/>
    <n v="2"/>
    <n v="2"/>
    <m/>
    <m/>
    <s v="Warranty Commissioning"/>
    <m/>
  </r>
  <r>
    <n v="455"/>
    <s v="'30090985 "/>
    <s v="ITAL INDIA PACK PLUS PVT LTD"/>
    <s v="Coimbatore"/>
    <s v="TS 05 120 HN"/>
    <x v="6"/>
    <s v="CJJE560057"/>
    <s v="ccs007 "/>
    <s v="22.01.2010 10:03 "/>
    <s v="22.01.2010 10:15"/>
    <s v="22.01.2010 12:00"/>
    <x v="4"/>
    <n v="2"/>
    <n v="2"/>
    <m/>
    <m/>
    <s v="Warranty Commissioning"/>
    <m/>
  </r>
  <r>
    <n v="456"/>
    <s v="'30090979 "/>
    <s v="BROOKS ENGINEERING INDUSTRIES"/>
    <s v="Coimbatore"/>
    <s v="TS 05 120 HN"/>
    <x v="6"/>
    <s v="CJJE560078"/>
    <s v="ccs007 "/>
    <s v="20.01.2010 12:42 "/>
    <s v="20.01.2010 12:45"/>
    <s v="20.01.2010 16:00"/>
    <x v="4"/>
    <n v="3"/>
    <n v="3"/>
    <m/>
    <m/>
    <s v="Warranty Commissioning"/>
    <m/>
  </r>
  <r>
    <n v="458"/>
    <s v="'30090929 "/>
    <s v="VINAYAKA SERVICE STATION"/>
    <s v="Karur"/>
    <s v="TS 05 120 HN"/>
    <x v="6"/>
    <s v="CIGE561174"/>
    <s v="ccs005 "/>
    <s v="06.01.2010 17:38 "/>
    <s v="06.01.2010 18:00"/>
    <s v="06.01.2010 20:00"/>
    <x v="4"/>
    <n v="2"/>
    <n v="2"/>
    <s v="351199014-16.01.2010"/>
    <n v="351199014"/>
    <s v="Warranty Commissioning"/>
    <m/>
  </r>
  <r>
    <n v="471"/>
    <s v="'30090836 "/>
    <s v="BANNARI AMMAN SUGARS LTD"/>
    <s v="SATHY"/>
    <s v="TS 05 120 HN"/>
    <x v="6"/>
    <s v="CIFE561006"/>
    <s v="ccs002 "/>
    <s v="09.12.2009 10:08 "/>
    <s v="09.12.2009 10:15"/>
    <s v="09.12.2009 13:00"/>
    <x v="4"/>
    <n v="3"/>
    <n v="3"/>
    <m/>
    <m/>
    <s v="Warranty Failure"/>
    <m/>
  </r>
  <r>
    <n v="472"/>
    <s v="'30090829 "/>
    <s v="VECTRA KNIT GARMENTS"/>
    <s v="Tirupur"/>
    <s v="TS 05 120 HN"/>
    <x v="6"/>
    <s v="CIIE561344"/>
    <s v="ccs001 "/>
    <s v="08.12.2009 11:23 "/>
    <s v="08.12.2009 11:30"/>
    <s v="09.12.2009 13:00"/>
    <x v="4"/>
    <n v="26"/>
    <n v="26"/>
    <m/>
    <m/>
    <s v="Warranty Commissioning"/>
    <m/>
  </r>
  <r>
    <n v="475"/>
    <s v="'30090806 "/>
    <s v="SELVA GARMENTS"/>
    <s v="TIRUPPUR"/>
    <s v="TS 05 120 HN"/>
    <x v="6"/>
    <s v="CIHE561258"/>
    <s v="ccs007 "/>
    <s v="30.11.2009 14:59 "/>
    <s v="30.11.2009 15:00"/>
    <s v="05.12.2009 18:00"/>
    <x v="4"/>
    <n v="123"/>
    <n v="123"/>
    <m/>
    <m/>
    <s v="Warranty Commissioning"/>
    <m/>
  </r>
  <r>
    <n v="480"/>
    <s v="'30090775 "/>
    <s v="ESSWIN BLEACHING"/>
    <s v="Tiruppur"/>
    <s v="TS 05 120 HN"/>
    <x v="6"/>
    <s v="CIGE561153"/>
    <s v="ccs005 "/>
    <s v="21.11.2009 12:11 "/>
    <s v="21.11.2009 12:15"/>
    <s v="21.11.2009 14:00"/>
    <x v="4"/>
    <n v="2"/>
    <n v="2"/>
    <m/>
    <m/>
    <s v="Warranty Commissioning"/>
    <m/>
  </r>
  <r>
    <n v="481"/>
    <s v="'30090762 "/>
    <s v="JEEVAN MOTORS"/>
    <s v="Ambaur"/>
    <s v="TS 05 120 HN"/>
    <x v="6"/>
    <s v="CIBE560475"/>
    <s v="ccs003 "/>
    <s v="18.11.2009 10:57 "/>
    <s v="18.11.2009 11:15"/>
    <s v="24.11.2009 13:00"/>
    <x v="4"/>
    <n v="146"/>
    <n v="146"/>
    <m/>
    <m/>
    <s v="Warranty Failure"/>
    <m/>
  </r>
  <r>
    <n v="484"/>
    <s v="'30090751 "/>
    <s v="JEEVAN MOTOR"/>
    <s v="COIMBATORE"/>
    <s v="TS 05 120 HN"/>
    <x v="6"/>
    <s v="CIBE560475"/>
    <s v="ccs004 "/>
    <s v="14.11.2009 17:04 "/>
    <s v="14.11.2009 17:15"/>
    <s v="14.11.2009 19:00"/>
    <x v="4"/>
    <n v="2"/>
    <n v="2"/>
    <m/>
    <m/>
    <s v="Warranty Commissioning"/>
    <m/>
  </r>
  <r>
    <n v="485"/>
    <s v="'30090747 "/>
    <s v="SIVAMURUGAN KNIT COMPACTERS"/>
    <s v="TIRUPPUR"/>
    <s v="TS 05 120 HN"/>
    <x v="6"/>
    <s v="CGIE560056"/>
    <s v="ccs002 "/>
    <s v="14.11.2009 11:03 "/>
    <s v="14.11.2009 12:00"/>
    <s v="17.11.2009 13:00"/>
    <x v="4"/>
    <n v="73"/>
    <n v="74"/>
    <m/>
    <m/>
    <s v="Out of Warranty"/>
    <m/>
  </r>
  <r>
    <n v="488"/>
    <s v="'30090740 "/>
    <s v="KRISHNA SQUEEZER &amp; DRIER"/>
    <s v="TIRUPPUR"/>
    <s v="TS05120"/>
    <x v="6"/>
    <n v="52237"/>
    <s v="ccs002 "/>
    <s v="10.11.2009 12:33 "/>
    <s v="10.11.2009 13:00"/>
    <s v="10.11.2009 15:00"/>
    <x v="4"/>
    <n v="2"/>
    <n v="2"/>
    <m/>
    <m/>
    <s v="Out of Warranty"/>
    <m/>
  </r>
  <r>
    <n v="494"/>
    <s v="'30090723 "/>
    <s v="CLIFTON EXPORTS"/>
    <s v="tirupur"/>
    <s v="TS 05 120 HN"/>
    <x v="6"/>
    <s v="CIGE561045"/>
    <s v="ccs007 "/>
    <s v="06.11.2009 15:50 "/>
    <s v="06.11.2009 16:00"/>
    <s v="06.11.2009 18:00"/>
    <x v="4"/>
    <n v="2"/>
    <n v="2"/>
    <m/>
    <m/>
    <s v="Warranty Commissioning"/>
    <m/>
  </r>
  <r>
    <n v="495"/>
    <s v="'30090717 "/>
    <s v="SEVEN HILL FASHION"/>
    <s v="Tirupur"/>
    <s v="TS 05 120 HN"/>
    <x v="6"/>
    <s v="CIGE561173"/>
    <s v="ccs001 "/>
    <s v="06.11.2009 11:35 "/>
    <s v="06.11.2009 11:45"/>
    <s v="06.11.2009 17:00"/>
    <x v="4"/>
    <n v="5"/>
    <n v="5"/>
    <m/>
    <m/>
    <s v="Warranty Commissioning"/>
    <m/>
  </r>
  <r>
    <n v="498"/>
    <s v="'30090706 "/>
    <s v="MANIRANJAN DIESEL SALES &amp; SERVICE"/>
    <s v="Coimbatore"/>
    <s v="TS 05 120 HN"/>
    <x v="6"/>
    <s v="CIFE561026"/>
    <s v="ccs001 "/>
    <s v="04.11.2009 11:11 "/>
    <s v="04.11.2009 11:15"/>
    <s v="04.11.2009 13:00"/>
    <x v="4"/>
    <n v="2"/>
    <n v="2"/>
    <m/>
    <m/>
    <s v="Warranty Commissioning"/>
    <m/>
  </r>
  <r>
    <n v="499"/>
    <s v="'30090701 "/>
    <s v="DHANALAKSHMI EXPORTS"/>
    <s v="TIRUPPUR"/>
    <s v="TS 05 120 HN"/>
    <x v="6"/>
    <s v="CILE560282"/>
    <s v="ccs002 "/>
    <s v="03.11.2009 12:40 "/>
    <s v="03.11.2009 14:00"/>
    <s v="04.11.2009 17:00"/>
    <x v="4"/>
    <n v="27"/>
    <n v="28"/>
    <m/>
    <m/>
    <s v="Out of Warranty"/>
    <m/>
  </r>
  <r>
    <n v="506"/>
    <s v="'30090652 "/>
    <s v="SUNDARAM METALS"/>
    <s v="Coimbatore"/>
    <s v="TS 05 120 HN"/>
    <x v="6"/>
    <s v="CIGE561080"/>
    <s v="ccs001 "/>
    <s v="15.10.2009 11:18 "/>
    <s v="15.10.2009 11:30"/>
    <s v="15.10.2009 13:30"/>
    <x v="4"/>
    <n v="2"/>
    <n v="2"/>
    <m/>
    <m/>
    <s v="Warranty Commissioning"/>
    <m/>
  </r>
  <r>
    <n v="508"/>
    <s v="'30090645 "/>
    <s v="SWATHY CREATIONS"/>
    <s v="Tirupur"/>
    <s v="TS 05 120 HN"/>
    <x v="6"/>
    <s v="CIGE561057"/>
    <s v="ccs001 "/>
    <s v="10.10.2009 12:08 "/>
    <s v="10.10.2009 12:15"/>
    <s v="10.10.2009 15:00"/>
    <x v="4"/>
    <n v="3"/>
    <n v="3"/>
    <m/>
    <m/>
    <s v="Warranty Commissioning"/>
    <m/>
  </r>
  <r>
    <n v="509"/>
    <s v="'30090644 "/>
    <s v="PMR KNIT COMPACTING"/>
    <s v="Tirupur"/>
    <s v="TS 05 120 HN"/>
    <x v="6"/>
    <s v="CIEE560793"/>
    <s v="ccs001 "/>
    <s v="10.10.2009 12:03 "/>
    <s v="10.10.2009 12:15"/>
    <s v="10.10.2009 15:00"/>
    <x v="4"/>
    <n v="3"/>
    <n v="3"/>
    <m/>
    <m/>
    <s v="Warranty Commissioning"/>
    <m/>
  </r>
  <r>
    <n v="512"/>
    <s v="'30090604 "/>
    <s v="JAI VISHNU KNIT"/>
    <s v="Tiruppur"/>
    <s v="TS05120"/>
    <x v="6"/>
    <n v="26472"/>
    <s v="ccs007 "/>
    <s v="26.09.2009 10:09 "/>
    <s v="26.09.2009 13:00"/>
    <s v="29.09.2009 16:30"/>
    <x v="4"/>
    <n v="76"/>
    <n v="78"/>
    <m/>
    <m/>
    <s v="Out of Warranty"/>
    <m/>
  </r>
  <r>
    <n v="517"/>
    <s v="'30090586 "/>
    <s v="BEEYES FASHION"/>
    <s v="Tiruppur"/>
    <s v="TS 05 120 HN"/>
    <x v="6"/>
    <s v="CIFE560929"/>
    <s v="ccs007 "/>
    <s v="19.09.2009 14:32 "/>
    <s v="19.09.2009 14:45"/>
    <s v="19.09.2009 15:00"/>
    <x v="4"/>
    <n v="0"/>
    <n v="0"/>
    <m/>
    <m/>
    <s v="Warranty Commissioning"/>
    <m/>
  </r>
  <r>
    <n v="527"/>
    <s v="'30090475 "/>
    <s v="SRI BHAGAVATHY AGENCIES"/>
    <s v="Avinshi"/>
    <s v="TS05 102hn"/>
    <x v="6"/>
    <n v="21039"/>
    <s v="ccs007 "/>
    <s v="19.08.2009 18:00 "/>
    <s v="20.08.2009 10:00"/>
    <s v="22.08.2009 14:00"/>
    <x v="4"/>
    <n v="-1"/>
    <n v="68"/>
    <m/>
    <m/>
    <s v="Out of Warranty"/>
    <m/>
  </r>
  <r>
    <n v="537"/>
    <s v="'30090077 "/>
    <s v="HINDUSTAN FLOUR MILLS"/>
    <s v="Coimbatore"/>
    <s v="TS05120H-220L"/>
    <x v="6"/>
    <n v="23623"/>
    <s v="ccs004 "/>
    <s v="25.04.2009 14:09 "/>
    <s v="27.04.2009 10:00"/>
    <s v="01.05.2009 13:00"/>
    <x v="4"/>
    <n v="99"/>
    <n v="143"/>
    <m/>
    <m/>
    <s v="Out of Warranty"/>
    <m/>
  </r>
  <r>
    <n v="538"/>
    <s v="'30090047 "/>
    <s v="ARULMURUGAN SEIZING"/>
    <s v="Coimbatore"/>
    <s v="TS05120"/>
    <x v="6"/>
    <n v="21320"/>
    <s v="ccs001 "/>
    <s v="17.04.2009 13:09 "/>
    <s v="17.04.2009 13:15"/>
    <s v="18.04.2009 14:00"/>
    <x v="4"/>
    <n v="-1"/>
    <n v="25"/>
    <m/>
    <m/>
    <s v="Out of Warranty"/>
    <m/>
  </r>
  <r>
    <n v="540"/>
    <s v="'30090037 "/>
    <s v="JEYAM TEXTILES"/>
    <s v="UDUMULPET"/>
    <s v="TS05"/>
    <x v="6"/>
    <n v="163860"/>
    <s v="ccs002 "/>
    <s v="11.04.2009 16:38 "/>
    <s v="13.04.2009 09:00"/>
    <s v="18.04.2009 12:00"/>
    <x v="4"/>
    <n v="-1"/>
    <n v="163"/>
    <m/>
    <m/>
    <s v="Out of Warranty"/>
    <m/>
  </r>
  <r>
    <n v="541"/>
    <s v="'30081255 "/>
    <s v="DHARSHINI STEEL INDUSTRIES"/>
    <s v="COIMBATORE"/>
    <s v="TS05120"/>
    <x v="6"/>
    <n v="27468"/>
    <s v="ccs002 "/>
    <s v="30.03.2009 17:45 "/>
    <s v="31.03.2009 09:00"/>
    <s v="01.04.2009 10:00"/>
    <x v="4"/>
    <n v="25"/>
    <n v="40"/>
    <m/>
    <m/>
    <s v="Out of Warranty"/>
    <m/>
  </r>
  <r>
    <n v="553"/>
    <s v="'30081095 "/>
    <s v="KUN MOTORS COMPANY PVT LTD"/>
    <s v="Coimbatore"/>
    <s v="TS 05 120 HN"/>
    <x v="6"/>
    <s v="CIKE560128"/>
    <s v="ccs007 "/>
    <s v="06.02.2009 16:17 "/>
    <s v="18.02.2009 09:00"/>
    <s v="18.02.2009 21:00"/>
    <x v="5"/>
    <n v="-1"/>
    <n v="293"/>
    <m/>
    <m/>
    <s v="Warranty Commissioning"/>
    <m/>
  </r>
  <r>
    <n v="554"/>
    <s v="'30081094 "/>
    <s v="KV TEX"/>
    <s v="TIRUPPUR"/>
    <s v="TS 05 120 HN"/>
    <x v="6"/>
    <s v="CIKE560125"/>
    <s v="ccs002 "/>
    <s v="06.02.2009 15:51 "/>
    <s v="06.02.2009 16:00"/>
    <s v="06.02.2009 19:00"/>
    <x v="5"/>
    <n v="3"/>
    <n v="3"/>
    <m/>
    <m/>
    <s v="Warranty Commissioning"/>
    <m/>
  </r>
  <r>
    <n v="557"/>
    <s v="'30081070 "/>
    <s v="TULIP CLOTHING PVT LTD"/>
    <s v="DHARAPURAM"/>
    <s v="TS 05 120 HN"/>
    <x v="6"/>
    <s v="CHJE560007"/>
    <s v="ccs005 "/>
    <s v="29.01.2009 13:26 "/>
    <s v="29.01.2009 13:30"/>
    <s v="29.01.2009 18:00"/>
    <x v="5"/>
    <n v="5"/>
    <n v="5"/>
    <m/>
    <m/>
    <s v="Warranty Commissioning"/>
    <m/>
  </r>
  <r>
    <n v="560"/>
    <s v="'30081042 "/>
    <s v="KM TEXTILES"/>
    <s v="Tirupur"/>
    <s v="TS 05 120 HN"/>
    <x v="6"/>
    <s v="CHIE561035"/>
    <s v="ccs001 "/>
    <s v="21.01.2009 10:55 "/>
    <s v="21.01.2009 10:30"/>
    <s v="21.01.2009 14:00"/>
    <x v="5"/>
    <n v="4"/>
    <n v="3"/>
    <m/>
    <m/>
    <s v="Warranty Commissioning"/>
    <m/>
  </r>
  <r>
    <n v="564"/>
    <s v="'30080967 "/>
    <s v="ARVIND CREATION"/>
    <s v="Tiruppur"/>
    <s v="TS 05 120 HN"/>
    <x v="6"/>
    <s v="CHBE560140"/>
    <s v="ccs003 "/>
    <s v="30.12.2008 11:32 "/>
    <s v="30.12.2008 11:45"/>
    <s v="31.12.2008 14:00"/>
    <x v="5"/>
    <n v="27"/>
    <n v="26"/>
    <m/>
    <m/>
    <s v="Warranty Failure"/>
    <m/>
  </r>
  <r>
    <n v="567"/>
    <s v="'30080941 "/>
    <s v="VEDHAGIRI PAPER MILLS PVT LTD"/>
    <s v="ERODE"/>
    <s v="TS 05 120 HN"/>
    <x v="6"/>
    <n v="27341"/>
    <s v="ccs002 "/>
    <s v="23.12.2008 10:39 "/>
    <s v="23.12.2008 10:30"/>
    <s v="14.02.2009 13:00"/>
    <x v="5"/>
    <n v="-1"/>
    <n v="1274"/>
    <s v="3511A8163-24.12.2008"/>
    <s v="3511A8163"/>
    <s v="Out of Warranty"/>
    <m/>
  </r>
  <r>
    <n v="574"/>
    <s v="'30080885 "/>
    <s v="UNIVERSAL HIGH FLYER"/>
    <s v="Coimbatore"/>
    <s v="TS 05 120 HN"/>
    <x v="6"/>
    <s v="CHHE560915"/>
    <s v="ccs001 "/>
    <s v="04.12.2008 13:20 "/>
    <s v="04.12.2008 13:20"/>
    <s v="04.12.2008 18:00"/>
    <x v="5"/>
    <n v="5"/>
    <n v="5"/>
    <m/>
    <m/>
    <s v="Warranty Commissioning"/>
    <m/>
  </r>
  <r>
    <n v="578"/>
    <s v="'30080841 "/>
    <s v="MICRO INDUSTRIES"/>
    <s v="COIMBATORE"/>
    <s v="TS05120"/>
    <x v="6"/>
    <s v="D30080841"/>
    <s v="ccs002 "/>
    <s v="22.11.2008 13:37 "/>
    <s v="22.11.2008 14:00"/>
    <s v="01.12.2008 17:15"/>
    <x v="5"/>
    <n v="219"/>
    <n v="220"/>
    <m/>
    <m/>
    <s v="Out of Warranty"/>
    <m/>
  </r>
  <r>
    <n v="580"/>
    <s v="'30080833 "/>
    <s v="GREAT PRINTS"/>
    <s v="TIRUPPUR"/>
    <s v="TS 05 120 HN"/>
    <x v="6"/>
    <s v="CHGE560851"/>
    <s v="ccs002 "/>
    <s v="20.11.2008 15:29 "/>
    <s v="20.11.2008 15:30"/>
    <s v="20.11.2008 18:00"/>
    <x v="5"/>
    <n v="3"/>
    <n v="3"/>
    <m/>
    <m/>
    <s v="Warranty Commissioning"/>
    <m/>
  </r>
  <r>
    <n v="595"/>
    <s v="'30080678 "/>
    <s v="MANIK MERCHANTS"/>
    <s v="Sivakasi"/>
    <s v="TS 05 120 HN"/>
    <x v="6"/>
    <s v="CHGE560752"/>
    <s v="ccs007 "/>
    <s v="10.10.2008 11:24 "/>
    <s v="10.10.2008 11:30"/>
    <s v="24.10.2008 16:00"/>
    <x v="5"/>
    <n v="341"/>
    <n v="341"/>
    <m/>
    <m/>
    <s v="Warranty Commissioning"/>
    <m/>
  </r>
  <r>
    <n v="600"/>
    <s v="'30080633 "/>
    <s v="SAKTHI POLY PACK"/>
    <s v="TIRUPPUR"/>
    <s v="TS 05 120 HN"/>
    <x v="6"/>
    <s v="CHEE560659"/>
    <s v="ccs007 "/>
    <s v="26.09.2008 16:17 "/>
    <s v="26.09.2008 16:30"/>
    <s v="04.10.2008 17:00"/>
    <x v="5"/>
    <n v="193"/>
    <n v="193"/>
    <m/>
    <m/>
    <s v="Warranty Commissioning"/>
    <m/>
  </r>
  <r>
    <n v="601"/>
    <s v="'30080627 "/>
    <s v="ARVIND CREATIONS"/>
    <s v="Tiruppur"/>
    <s v="TS 05 120 HN"/>
    <x v="6"/>
    <s v="CHBE560140"/>
    <s v="ccs007 "/>
    <s v="26.09.2008 12:06 "/>
    <s v="26.09.2008 12:15"/>
    <s v="13.10.2008 09:00"/>
    <x v="5"/>
    <n v="405"/>
    <n v="405"/>
    <m/>
    <m/>
    <s v="Warranty Commissioning"/>
    <m/>
  </r>
  <r>
    <n v="603"/>
    <s v="'30080618 "/>
    <s v="SSS TRADERS"/>
    <s v="Tiruppur"/>
    <s v="TS 05 120 HN"/>
    <x v="6"/>
    <s v="CHEE560660"/>
    <s v="ccs007 "/>
    <s v="24.09.2008 14:19 "/>
    <s v="24.09.2008 14:30"/>
    <s v="24.09.2008 18:00"/>
    <x v="5"/>
    <n v="4"/>
    <n v="4"/>
    <m/>
    <m/>
    <s v="Warranty Commissioning"/>
    <m/>
  </r>
  <r>
    <n v="609"/>
    <s v="'30080592 "/>
    <s v="MANORAMA APPREALS"/>
    <s v="new tirupur"/>
    <s v="TS05120"/>
    <x v="6"/>
    <n v="24228"/>
    <s v="ccs007 "/>
    <s v="18.09.2008 17:25 "/>
    <s v="22.09.2008 09:00"/>
    <s v="22.09.2008 11:00"/>
    <x v="5"/>
    <n v="73"/>
    <n v="90"/>
    <m/>
    <m/>
    <s v="Out of Warranty"/>
    <m/>
  </r>
  <r>
    <n v="620"/>
    <s v="'30080510 "/>
    <s v="DSP KNITTING COMPANY"/>
    <s v="Tiruppur"/>
    <s v="TS 05 120 HN"/>
    <x v="6"/>
    <s v="CHEE560586"/>
    <s v="ccs003 "/>
    <s v="26.08.2008 15:46 "/>
    <s v="26.08.2008 16:00"/>
    <s v="26.08.2008 18:00"/>
    <x v="5"/>
    <n v="2"/>
    <n v="2"/>
    <m/>
    <m/>
    <s v="Warranty Commissioning"/>
    <m/>
  </r>
  <r>
    <n v="623"/>
    <s v="'30080488 "/>
    <s v="SUN MOTORS"/>
    <s v="Tirupur"/>
    <s v="TS 05 120 HN"/>
    <x v="6"/>
    <s v="CHEE560585"/>
    <s v="ccs001 "/>
    <s v="21.08.2008 15:09 "/>
    <s v="21.08.2008 15:00"/>
    <s v="23.08.2008 17:30"/>
    <x v="5"/>
    <n v="51"/>
    <n v="50"/>
    <m/>
    <m/>
    <s v="Warranty Commissioning"/>
    <m/>
  </r>
  <r>
    <n v="625"/>
    <s v="'30080473 "/>
    <s v="GRAND DYEING INDUTRIES"/>
    <s v="Tiruppur"/>
    <s v="TS 05 120 HN"/>
    <x v="6"/>
    <s v="CHDE560412"/>
    <s v="ccs003 "/>
    <s v="14.08.2008 15:53 "/>
    <s v="14.08.2008 16:15"/>
    <s v="14.08.2008 17:00"/>
    <x v="5"/>
    <n v="1"/>
    <n v="1"/>
    <m/>
    <m/>
    <s v="Warranty Commissioning"/>
    <m/>
  </r>
  <r>
    <n v="634"/>
    <s v="'30080034 "/>
    <s v="KONGU ENGINEERING COLLEGE"/>
    <s v="Erode"/>
    <s v="TS 05 120 HN"/>
    <x v="6"/>
    <s v="CHKE560163"/>
    <s v="ccs001 "/>
    <s v="03.05.2008 16:30 "/>
    <s v="03.05.2008 16:30"/>
    <s v="03.05.2008 19:00"/>
    <x v="5"/>
    <n v="3"/>
    <n v="2"/>
    <m/>
    <m/>
    <s v="Warranty Commissioning"/>
    <m/>
  </r>
  <r>
    <n v="644"/>
    <s v="'30075336 "/>
    <s v="DWARAGA PAPER PRODUCT PVT LTD"/>
    <s v="Coimbatore"/>
    <s v="TS 05 120 HN"/>
    <x v="6"/>
    <n v="26572"/>
    <s v="ccs004 "/>
    <s v="30.01.2008 17:36 "/>
    <s v="01.02.2008 10:00"/>
    <s v="09.02.2008 12:00"/>
    <x v="3"/>
    <n v="219"/>
    <n v="234"/>
    <m/>
    <m/>
    <s v="Out of Warranty"/>
    <m/>
  </r>
  <r>
    <n v="656"/>
    <s v="'30075086 "/>
    <s v="KALEIDO GRAPHICS--CITY"/>
    <s v="Tirupur"/>
    <s v="TS05120HN-220L"/>
    <x v="6"/>
    <n v="28616"/>
    <s v="ccs001 "/>
    <s v="07.12.2007 11:08 "/>
    <s v="07.12.2007 11:15"/>
    <s v="07.12.2007 12:45"/>
    <x v="3"/>
    <n v="2"/>
    <n v="2"/>
    <m/>
    <m/>
    <m/>
    <m/>
  </r>
  <r>
    <n v="659"/>
    <s v="'30075060 "/>
    <s v="SANGU KNIT LAND--CITY"/>
    <s v="Tiruppur"/>
    <s v="TS05120HN-220L"/>
    <x v="6"/>
    <n v="27443"/>
    <s v="ccs004 "/>
    <s v="04.12.2007 11:45 "/>
    <s v="04.12.2007 11:45"/>
    <s v="14.12.2007 12:00"/>
    <x v="3"/>
    <n v="240"/>
    <n v="240"/>
    <m/>
    <m/>
    <s v="Out of Warranty"/>
    <m/>
  </r>
  <r>
    <n v="660"/>
    <s v="'30075059 "/>
    <s v="HOTEL SARAVANA BHAVAN--CITY"/>
    <s v="Tiruppur"/>
    <s v="TS05120HN-220L"/>
    <x v="6"/>
    <n v="27910"/>
    <s v="ccs004 "/>
    <s v="04.12.2007 11:40 "/>
    <s v="04.12.2007 11:45"/>
    <s v="04.12.2007 14:00"/>
    <x v="3"/>
    <n v="2"/>
    <n v="2"/>
    <m/>
    <m/>
    <m/>
    <m/>
  </r>
  <r>
    <n v="663"/>
    <s v="'30075008 "/>
    <s v="SARKAR GARMENTS--C"/>
    <s v="Tiruppur"/>
    <s v="TS05120HN-220L"/>
    <x v="6"/>
    <n v="28533"/>
    <s v="ccs003 "/>
    <s v="23.11.2007 18:00 "/>
    <s v="24.11.2007 10:00"/>
    <s v="26.11.2007 13:00"/>
    <x v="3"/>
    <n v="52"/>
    <n v="67"/>
    <m/>
    <m/>
    <m/>
    <m/>
  </r>
  <r>
    <n v="664"/>
    <s v="'30075004 "/>
    <s v="JAI VISHNU KNIT"/>
    <s v="Tirupur"/>
    <s v="TS05120HN-220L"/>
    <x v="6"/>
    <n v="26472"/>
    <s v="ccs001 "/>
    <s v="23.11.2007 16:49 "/>
    <s v="24.11.2007 09:00"/>
    <s v="24.11.2007 14:30"/>
    <x v="3"/>
    <n v="6"/>
    <n v="22"/>
    <m/>
    <m/>
    <m/>
    <m/>
  </r>
  <r>
    <n v="665"/>
    <s v="'30075001 "/>
    <s v="BS INTERNATIONAL--CITY"/>
    <s v="Erode"/>
    <s v="TS05120HN-220L"/>
    <x v="6"/>
    <n v="28534"/>
    <s v="ccs004 "/>
    <s v="23.11.2007 12:01 "/>
    <s v="23.11.2007 12:15"/>
    <s v="24.11.2007 14:00"/>
    <x v="3"/>
    <n v="26"/>
    <n v="26"/>
    <m/>
    <m/>
    <m/>
    <m/>
  </r>
  <r>
    <n v="669"/>
    <s v="'30074845 "/>
    <s v="MANOJ AGENCIES -- C"/>
    <s v="SATHYAMANGALAM"/>
    <s v="TS05120HN-220L"/>
    <x v="6"/>
    <n v="27769"/>
    <s v="ccs002 "/>
    <s v="15.10.2007 10:27 "/>
    <s v="15.10.2007 11:00"/>
    <s v="31.10.2007 12:00"/>
    <x v="3"/>
    <n v="385"/>
    <n v="386"/>
    <m/>
    <m/>
    <m/>
    <m/>
  </r>
  <r>
    <n v="682"/>
    <s v="'30074713 "/>
    <s v="SRI NARENDRARAJ TEXTILES LTD--CITY"/>
    <s v="Coimbatore"/>
    <s v="TS05120"/>
    <x v="6"/>
    <n v="75243"/>
    <s v="ccs004 "/>
    <s v="18.09.2007 11:54 "/>
    <s v="18.09.2007 12:00"/>
    <s v="19.09.2007 15:00"/>
    <x v="3"/>
    <n v="27"/>
    <n v="27"/>
    <m/>
    <m/>
    <m/>
    <m/>
  </r>
  <r>
    <n v="690"/>
    <s v="'30074644 "/>
    <s v="MADHUJAYTHI INTERNATIONAL LTD--CITY"/>
    <s v="Coimbatore"/>
    <s v="TS05120HN-220L"/>
    <x v="6"/>
    <n v="28064"/>
    <s v="ccs003 "/>
    <s v="04.09.2007 14:01 "/>
    <s v="04.09.2007 14:30"/>
    <s v="04.09.2007 16:30"/>
    <x v="3"/>
    <n v="2"/>
    <n v="2"/>
    <m/>
    <m/>
    <m/>
    <m/>
  </r>
  <r>
    <n v="697"/>
    <s v="'30074611 "/>
    <s v="COIMBATORE CLOTH MILLS P LTD"/>
    <s v="coimbatore"/>
    <s v="TS05120"/>
    <x v="6"/>
    <n v="46851"/>
    <s v="ccs002 "/>
    <s v="29.08.2007 10:41 "/>
    <s v="29.08.2007 10:45"/>
    <s v="11.09.2007 15:00"/>
    <x v="3"/>
    <n v="30"/>
    <n v="316"/>
    <m/>
    <m/>
    <m/>
    <m/>
  </r>
  <r>
    <n v="698"/>
    <s v="'30074610 "/>
    <s v="COIMBATORE CLOTH MILLS P LTD -- C"/>
    <s v="coimbatore"/>
    <s v="TS05120"/>
    <x v="6"/>
    <n v="361"/>
    <s v="ccs002 "/>
    <s v="29.08.2007 10:38 "/>
    <s v="29.08.2007 10:45"/>
    <s v="11.09.2007 15:00"/>
    <x v="3"/>
    <n v="30"/>
    <n v="316"/>
    <m/>
    <m/>
    <m/>
    <m/>
  </r>
  <r>
    <n v="718"/>
    <s v="'30063801 "/>
    <s v="VINAYAGAR SPINNING MILLS"/>
    <s v="Dindugul"/>
    <s v="TS05120HN-220L"/>
    <x v="6"/>
    <n v="27447"/>
    <s v="ccs001 "/>
    <s v="12.02.2007 12:45 "/>
    <s v="13.02.2007 09:30"/>
    <s v="16.02.2007 18:00"/>
    <x v="12"/>
    <n v="81"/>
    <n v="101"/>
    <m/>
    <m/>
    <m/>
    <m/>
  </r>
  <r>
    <n v="722"/>
    <s v="'30063511 "/>
    <s v="GEETHA TEX--CITY"/>
    <s v="Erode"/>
    <s v="TS05120HN-220L"/>
    <x v="6"/>
    <n v="24855"/>
    <s v="ccs001 "/>
    <s v="06.12.2006 10:23 "/>
    <s v="06.12.2006 10:45"/>
    <s v="06.12.2006 16:00"/>
    <x v="12"/>
    <n v="0"/>
    <n v="6"/>
    <m/>
    <m/>
    <m/>
    <m/>
  </r>
  <r>
    <n v="726"/>
    <s v="'30063350 "/>
    <s v="E.P.KUNJU MOHMAD--CITY"/>
    <s v="Palakad"/>
    <s v="TS05120HN-220L"/>
    <x v="6"/>
    <n v="26098"/>
    <s v="ccs001 "/>
    <s v="06.11.2006 13:18 "/>
    <s v="06.11.2006 13:30"/>
    <s v="06.11.2006 14:30"/>
    <x v="12"/>
    <n v="0"/>
    <n v="1"/>
    <m/>
    <m/>
    <m/>
    <m/>
  </r>
  <r>
    <n v="736"/>
    <s v="'30062787 "/>
    <s v="R.K.KNIT -- CITY"/>
    <s v="Tripur"/>
    <s v="TS 05"/>
    <x v="6"/>
    <n v="92043"/>
    <s v="ccs001 "/>
    <s v="15.07.2006 16:11 "/>
    <s v="15.07.2006 16:15"/>
    <s v="15.07.2006 20:30"/>
    <x v="12"/>
    <n v="0"/>
    <n v="4"/>
    <m/>
    <m/>
    <m/>
    <m/>
  </r>
  <r>
    <n v="737"/>
    <s v="'30062786 "/>
    <s v="R.K.KNIT -- CITY"/>
    <s v="Tripur"/>
    <s v="TS 05"/>
    <x v="6"/>
    <n v="89862"/>
    <s v="ccs001 "/>
    <s v="15.07.2006 16:11 "/>
    <s v="15.07.2006 16:15"/>
    <s v="15.07.2006 21:30"/>
    <x v="12"/>
    <n v="0"/>
    <n v="5"/>
    <m/>
    <m/>
    <m/>
    <m/>
  </r>
  <r>
    <n v="742"/>
    <s v="'30062431 "/>
    <s v="BHUVANESWARI COT SPIN INDIA PVT LTD"/>
    <s v="Kangeyam"/>
    <s v="TS 05"/>
    <x v="6"/>
    <n v="24953"/>
    <s v="ccs001 "/>
    <s v="30.05.2006 11:06 "/>
    <s v="30.05.2006 11:30"/>
    <s v="03.06.2006 15:00"/>
    <x v="12"/>
    <n v="0"/>
    <n v="100"/>
    <m/>
    <m/>
    <m/>
    <m/>
  </r>
  <r>
    <n v="744"/>
    <s v="'30062176 "/>
    <s v="SAKTHY SARANYA SPIINNING MILLS--CITY"/>
    <s v="Madurai"/>
    <s v="TS 05"/>
    <x v="6"/>
    <n v="26032"/>
    <s v="ccs001 "/>
    <s v="19.04.2006 15:36 "/>
    <s v="19.04.2006 16:00"/>
    <s v="22.04.2006 18:00"/>
    <x v="12"/>
    <n v="0"/>
    <n v="74"/>
    <m/>
    <m/>
    <m/>
    <m/>
  </r>
  <r>
    <n v="745"/>
    <s v="'30052076 "/>
    <s v="SKILL TECH MARUTHI SERVICE CENTER"/>
    <s v="Palakad"/>
    <s v="TS 05"/>
    <x v="6"/>
    <n v="26009"/>
    <s v="ccs001 "/>
    <s v="31.03.2006 11:24 "/>
    <s v="31.03.2006 11:30"/>
    <s v="31.03.2006 16:10"/>
    <x v="12"/>
    <n v="0"/>
    <n v="5"/>
    <m/>
    <m/>
    <m/>
    <m/>
  </r>
  <r>
    <n v="747"/>
    <s v="'30051898 "/>
    <s v="A.G.E INDUSTRIES PVT LTD----CITY"/>
    <s v="Palakkad"/>
    <s v="TS 05"/>
    <x v="6"/>
    <n v="25797"/>
    <s v="ccs001 "/>
    <s v="24.02.2006 13:46 "/>
    <s v="24.02.2006 13:50"/>
    <s v="24.02.2006 15:30"/>
    <x v="12"/>
    <n v="0"/>
    <n v="2"/>
    <m/>
    <m/>
    <m/>
    <m/>
  </r>
  <r>
    <n v="751"/>
    <s v="'30051500 "/>
    <s v="INTER MARKETING INDIA LTD--CITY"/>
    <s v="Erode"/>
    <s v="TS 05"/>
    <x v="6"/>
    <n v="23545"/>
    <s v="ccs001 "/>
    <s v="15.12.2005 11:18 "/>
    <s v="15.12.2005 11:30"/>
    <s v="16.12.2005 14:00"/>
    <x v="0"/>
    <n v="0"/>
    <n v="27"/>
    <m/>
    <m/>
    <m/>
    <m/>
  </r>
  <r>
    <n v="757"/>
    <s v="'30051491 "/>
    <s v="ONLINE KNIT FASHIONS---CITY"/>
    <s v="Tiruppur"/>
    <s v="TS 05"/>
    <x v="6"/>
    <n v="20417"/>
    <s v="ccs001 "/>
    <s v="12.12.2005 14:45 "/>
    <s v="12.12.2005 15:00"/>
    <s v="12.12.2005 17:00"/>
    <x v="0"/>
    <n v="0"/>
    <n v="2"/>
    <m/>
    <m/>
    <m/>
    <m/>
  </r>
  <r>
    <n v="758"/>
    <s v="'30051490 "/>
    <s v="ONLINE KNIT FASHIONS---CITY"/>
    <s v="Tiruppur"/>
    <s v="TS 05"/>
    <x v="6"/>
    <n v="30912"/>
    <s v="ccs001 "/>
    <s v="12.12.2005 14:38 "/>
    <s v="12.12.2005 14:45"/>
    <s v="12.12.2005 16:30"/>
    <x v="0"/>
    <n v="0"/>
    <n v="2"/>
    <m/>
    <m/>
    <m/>
    <m/>
  </r>
  <r>
    <n v="765"/>
    <s v="'30051320 "/>
    <s v="LEESHARE INDIA PVT LTD"/>
    <s v="Tirupur"/>
    <s v="TS 05"/>
    <x v="6"/>
    <n v="25752"/>
    <m/>
    <s v="10.11.2005 12:25 "/>
    <s v="10.11.2005 13:00"/>
    <s v="10.11.2005 18:00"/>
    <x v="0"/>
    <n v="0"/>
    <n v="6"/>
    <m/>
    <m/>
    <m/>
    <m/>
  </r>
  <r>
    <n v="768"/>
    <s v="'30050292 "/>
    <s v="SREE PETROLEUM--CITY"/>
    <s v="Palakad"/>
    <s v="TS 05"/>
    <x v="6"/>
    <n v="22360"/>
    <s v="E00001 "/>
    <s v="19.05.2005 16:05 "/>
    <s v="19.05.2005 16:15"/>
    <s v="19.05.2005 17:30"/>
    <x v="0"/>
    <n v="0"/>
    <n v="1"/>
    <m/>
    <m/>
    <m/>
    <m/>
  </r>
  <r>
    <n v="777"/>
    <s v="'30050186 "/>
    <s v="BABU KNIT COMPACTING--CITY"/>
    <s v="Tirupur"/>
    <s v="TS 05"/>
    <x v="6"/>
    <n v="109"/>
    <s v="E00001 "/>
    <s v="04.05.2005 11:38 "/>
    <s v="04.05.2005 11:45"/>
    <s v="04.05.2005 15:00"/>
    <x v="0"/>
    <n v="0"/>
    <n v="3"/>
    <m/>
    <m/>
    <m/>
    <m/>
  </r>
  <r>
    <n v="778"/>
    <s v="'30050185 "/>
    <s v="DG GARMENTS--CITY"/>
    <s v="TIrupur"/>
    <s v="TS 05"/>
    <x v="6"/>
    <n v="25008"/>
    <s v="E00001 "/>
    <s v="04.05.2005 11:37 "/>
    <s v="04.05.2005 11:45"/>
    <s v="04.05.2005 13:00"/>
    <x v="0"/>
    <n v="0"/>
    <n v="1"/>
    <m/>
    <m/>
    <m/>
    <m/>
  </r>
  <r>
    <n v="781"/>
    <s v="'30050162 "/>
    <s v="SARKAS GARMENTS--CITY"/>
    <s v="Tirupur"/>
    <s v="TS 05"/>
    <x v="6"/>
    <n v="24899"/>
    <s v="E00001 "/>
    <s v="29.04.2005 11:21 "/>
    <s v="29.04.2005 11:30"/>
    <s v="29.04.2005 13:30"/>
    <x v="0"/>
    <n v="0"/>
    <n v="2"/>
    <m/>
    <m/>
    <m/>
    <m/>
  </r>
  <r>
    <n v="789"/>
    <s v="'30050138 "/>
    <s v="9TH MAY GARMENTS-CITY"/>
    <s v="Tirupur"/>
    <s v="TS 05"/>
    <x v="6"/>
    <n v="800"/>
    <s v="E00001 "/>
    <s v="27.04.2005 12:12 "/>
    <s v="27.04.2005 12:30"/>
    <s v="27.04.2005 13:30"/>
    <x v="0"/>
    <n v="0"/>
    <n v="1"/>
    <m/>
    <m/>
    <m/>
    <m/>
  </r>
  <r>
    <n v="801"/>
    <s v="'30050043 "/>
    <s v="TAIWAN PLASTICS--CITY"/>
    <s v="Tirupur"/>
    <s v="TS 05"/>
    <x v="6"/>
    <n v="21663"/>
    <s v="E00001 "/>
    <s v="06.04.2005 12:28 "/>
    <s v="06.04.2005 12:45"/>
    <s v="06.04.2005 15:00"/>
    <x v="0"/>
    <n v="0"/>
    <n v="3"/>
    <m/>
    <m/>
    <m/>
    <m/>
  </r>
  <r>
    <n v="804"/>
    <s v="'30050033 "/>
    <s v="JRV VALVES LTD----VELMURUGAN PUMPS"/>
    <s v="Coimbatore"/>
    <s v="TS 05"/>
    <x v="6"/>
    <n v="24916"/>
    <s v="E00001 "/>
    <s v="05.04.2005 15:06 "/>
    <s v="05.04.2005 15:15"/>
    <s v="05.04.2005 17:30"/>
    <x v="0"/>
    <n v="0"/>
    <n v="2"/>
    <m/>
    <m/>
    <m/>
    <m/>
  </r>
  <r>
    <n v="808"/>
    <s v="'30050016 "/>
    <s v="UMESH PENCIL PROCESS--CITY"/>
    <s v="Coimbatore"/>
    <s v="TS 05"/>
    <x v="6"/>
    <n v="24556"/>
    <s v="E00001 "/>
    <s v="04.04.2005 11:32 "/>
    <s v="04.04.2005 11:45"/>
    <s v="04.04.2005 15:00"/>
    <x v="0"/>
    <n v="0"/>
    <n v="3"/>
    <m/>
    <m/>
    <m/>
    <m/>
  </r>
  <r>
    <n v="812"/>
    <s v="'3004003960 "/>
    <s v="SREE SREENIVASA TEXTILES--CITY"/>
    <s v="Tirupur"/>
    <s v="TS 05"/>
    <x v="6"/>
    <n v="23355"/>
    <s v="E00001 "/>
    <s v="30.03.2005 17:00 "/>
    <s v="30.03.2005 17:15"/>
    <s v="30.03.2005 18:30"/>
    <x v="0"/>
    <n v="0"/>
    <n v="1"/>
    <m/>
    <m/>
    <m/>
    <m/>
  </r>
  <r>
    <n v="817"/>
    <s v="'3004003945 "/>
    <s v="BABU KNIT FINISHERS--CITY"/>
    <s v="Tirupur"/>
    <s v="TS 05"/>
    <x v="6"/>
    <n v="109"/>
    <s v="E00001 "/>
    <s v="28.03.2005 12:21 "/>
    <s v="28.03.2005 12:45"/>
    <s v="28.03.2005 14:00"/>
    <x v="0"/>
    <n v="0"/>
    <n v="2"/>
    <m/>
    <m/>
    <m/>
    <m/>
  </r>
  <r>
    <n v="819"/>
    <s v="'3004003941 "/>
    <s v="PROFILE PACKING INDIA LTD--CITY"/>
    <s v="Coimbatore"/>
    <s v="TS 05"/>
    <x v="6"/>
    <n v="24701"/>
    <s v="E00001 "/>
    <s v="26.03.2005 15:25 "/>
    <s v="26.03.2005 15:45"/>
    <s v="26.03.2005 18:30"/>
    <x v="0"/>
    <n v="0"/>
    <n v="3"/>
    <m/>
    <m/>
    <m/>
    <m/>
  </r>
  <r>
    <n v="821"/>
    <s v="'3004003936 "/>
    <s v="SARAN GARMENTS--CITY"/>
    <s v="Tirupur"/>
    <s v="TS 05"/>
    <x v="6"/>
    <n v="2"/>
    <s v="E00001 "/>
    <s v="25.03.2005 16:32 "/>
    <s v="25.03.2005 16:45"/>
    <s v="25.03.2005 20:00"/>
    <x v="0"/>
    <n v="0"/>
    <n v="3"/>
    <m/>
    <m/>
    <m/>
    <m/>
  </r>
  <r>
    <n v="822"/>
    <s v="'3004003935 "/>
    <s v="PADIUR SARVODAYA SANGAM--CITY"/>
    <s v="Tirupur"/>
    <s v="TS 05"/>
    <x v="6"/>
    <n v="24563"/>
    <s v="E00001 "/>
    <s v="25.03.2005 12:46 "/>
    <s v="25.03.2005 13:00"/>
    <s v="25.03.2005 17:00"/>
    <x v="0"/>
    <n v="0"/>
    <n v="4"/>
    <m/>
    <m/>
    <m/>
    <m/>
  </r>
  <r>
    <n v="829"/>
    <s v="'3004003919 "/>
    <s v="AVIRAM KNITTERS--CITY"/>
    <s v="Tirupur"/>
    <s v="TS 05"/>
    <x v="6"/>
    <n v="24883"/>
    <s v="E00001 "/>
    <s v="23.03.2005 11:35 "/>
    <s v="23.03.2005 11:45"/>
    <s v="23.03.2005 14:30"/>
    <x v="0"/>
    <n v="0"/>
    <n v="3"/>
    <m/>
    <m/>
    <m/>
    <m/>
  </r>
  <r>
    <n v="833"/>
    <s v="'3004003901 "/>
    <s v="RAJULA INTERNATIONAL--CITY"/>
    <s v="Coimbatore"/>
    <s v="TS 05"/>
    <x v="6"/>
    <n v="24270"/>
    <s v="E00001 "/>
    <s v="21.03.2005 10:20 "/>
    <s v="21.03.2005 10:30"/>
    <s v="24.03.2005 12:00"/>
    <x v="0"/>
    <n v="0"/>
    <n v="74"/>
    <m/>
    <m/>
    <m/>
    <m/>
  </r>
  <r>
    <n v="839"/>
    <s v="'3004003877 "/>
    <s v="SRI REGULA INTERNATIONAL"/>
    <s v="Tirupur"/>
    <s v="TS 05"/>
    <x v="6"/>
    <n v="24270"/>
    <s v="E00001 "/>
    <s v="16.03.2005 11:08 "/>
    <s v="16.03.2005 11:30"/>
    <s v="16.03.2005 16:00"/>
    <x v="0"/>
    <n v="0"/>
    <n v="5"/>
    <m/>
    <m/>
    <m/>
    <m/>
  </r>
  <r>
    <n v="840"/>
    <s v="'3004003876 "/>
    <s v="AHAD APPARELS--CITY"/>
    <s v="Tirupur"/>
    <s v="TS 05"/>
    <x v="6"/>
    <n v="16"/>
    <s v="E00001 "/>
    <s v="16.03.2005 11:04 "/>
    <s v="16.03.2005 11:15"/>
    <s v="16.03.2005 12:30"/>
    <x v="0"/>
    <n v="0"/>
    <n v="1"/>
    <m/>
    <m/>
    <m/>
    <m/>
  </r>
  <r>
    <n v="843"/>
    <s v="'3004003860 "/>
    <s v="TECKNIT INDIA--CITY"/>
    <s v="Tirupur"/>
    <s v="TS 05"/>
    <x v="6"/>
    <n v="22348"/>
    <s v="E00001 "/>
    <s v="15.03.2005 11:22 "/>
    <s v="15.03.2005 11:45"/>
    <s v="15.03.2005 17:00"/>
    <x v="0"/>
    <n v="0"/>
    <n v="6"/>
    <m/>
    <m/>
    <m/>
    <m/>
  </r>
  <r>
    <n v="853"/>
    <s v="'3004003820 "/>
    <s v="RK KNITS--CITY"/>
    <s v="Tirupur"/>
    <s v="TS 05"/>
    <x v="6"/>
    <n v="23908"/>
    <s v="E00001 "/>
    <s v="08.03.2005 11:33 "/>
    <s v="08.03.2005 11:45"/>
    <s v="08.03.2005 15:00"/>
    <x v="0"/>
    <n v="0"/>
    <n v="3"/>
    <m/>
    <m/>
    <m/>
    <m/>
  </r>
  <r>
    <n v="862"/>
    <s v="'3004003780 "/>
    <s v="GEETHA MILLS--CITY"/>
    <s v="Tirupur"/>
    <s v="TS 05"/>
    <x v="6"/>
    <n v="51308"/>
    <s v="E00001 "/>
    <s v="01.03.2005 16:24 "/>
    <s v="01.03.2005 16:30"/>
    <s v="01.03.2005 18:00"/>
    <x v="0"/>
    <n v="0"/>
    <n v="2"/>
    <m/>
    <m/>
    <m/>
    <m/>
  </r>
  <r>
    <n v="864"/>
    <s v="'3004003770 "/>
    <s v="SYED ALI KUTTI--CITY"/>
    <s v="Palakad"/>
    <s v="TS 05"/>
    <x v="6"/>
    <n v="2460"/>
    <s v="E00001 "/>
    <s v="01.03.2005 10:05 "/>
    <s v="01.03.2005 10:15"/>
    <s v="01.03.2005 19:00"/>
    <x v="0"/>
    <n v="0"/>
    <n v="9"/>
    <m/>
    <m/>
    <m/>
    <m/>
  </r>
  <r>
    <n v="868"/>
    <s v="'3004003748 "/>
    <s v="TEXKNIT--CITY"/>
    <s v="Tirupur"/>
    <s v="TS 05"/>
    <x v="6"/>
    <n v="20021"/>
    <s v="E00001 "/>
    <s v="25.02.2005 12:50 "/>
    <s v="25.02.2005 13:00"/>
    <s v="25.02.2005 18:00"/>
    <x v="0"/>
    <n v="0"/>
    <n v="5"/>
    <m/>
    <m/>
    <m/>
    <m/>
  </r>
  <r>
    <n v="871"/>
    <s v="'3004003740 "/>
    <s v="MODERNDYING--CITY"/>
    <s v="Tirupur"/>
    <s v="TS 05"/>
    <x v="6"/>
    <n v="23069"/>
    <s v="E00001 "/>
    <s v="24.02.2005 16:57 "/>
    <s v="24.02.2005 17:00"/>
    <s v="24.02.2005 19:30"/>
    <x v="0"/>
    <n v="0"/>
    <n v="3"/>
    <m/>
    <m/>
    <m/>
    <m/>
  </r>
  <r>
    <n v="872"/>
    <s v="'3004003735 "/>
    <s v="MARVELL DYING MILLS--CITY"/>
    <s v="Tirupur"/>
    <s v="TS 05"/>
    <x v="6"/>
    <n v="23069"/>
    <s v="E00001 "/>
    <s v="24.02.2005 11:57 "/>
    <s v="24.02.2005 12:00"/>
    <s v="24.02.2005 14:30"/>
    <x v="0"/>
    <n v="0"/>
    <n v="3"/>
    <m/>
    <m/>
    <m/>
    <m/>
  </r>
  <r>
    <n v="880"/>
    <s v="'3004003709 "/>
    <s v="IOC LTD--CITY"/>
    <s v="Coimbatore"/>
    <s v="TS 05"/>
    <x v="6"/>
    <n v="21222"/>
    <s v="E00001 "/>
    <s v="19.02.2005 14:13 "/>
    <s v="19.02.2005 14:30"/>
    <s v="21.02.2005 15:00"/>
    <x v="0"/>
    <n v="0"/>
    <n v="49"/>
    <m/>
    <m/>
    <m/>
    <m/>
  </r>
  <r>
    <n v="889"/>
    <s v="'3004003667 "/>
    <s v="CROPY PACKS--CITY"/>
    <s v="Coimbatore"/>
    <s v="TS 05"/>
    <x v="6"/>
    <n v="24701"/>
    <s v="E00001 "/>
    <s v="15.02.2005 12:48 "/>
    <s v="15.02.2005 13:00"/>
    <s v="16.02.2005 16:00"/>
    <x v="6"/>
    <n v="0"/>
    <n v="27"/>
    <m/>
    <m/>
    <m/>
    <m/>
  </r>
  <r>
    <n v="894"/>
    <s v="'3004003649 "/>
    <s v="YESEX APPARELS--CITY"/>
    <s v="Tirupur"/>
    <s v="TS 05"/>
    <x v="6"/>
    <n v="24593"/>
    <s v="E00001 "/>
    <s v="11.02.2005 15:23 "/>
    <s v="11.02.2005 15:45"/>
    <s v="11.02.2005 17:15"/>
    <x v="6"/>
    <n v="0"/>
    <n v="2"/>
    <m/>
    <m/>
    <m/>
    <m/>
  </r>
  <r>
    <n v="898"/>
    <s v="'3004003632 "/>
    <s v="ROOPA COMPACTING--CITY"/>
    <s v="Tirupur"/>
    <s v="TS 05"/>
    <x v="6"/>
    <n v="87008"/>
    <s v="E00001 "/>
    <s v="09.02.2005 14:38 "/>
    <s v="09.02.2005 14:45"/>
    <s v="09.02.2005 16:00"/>
    <x v="6"/>
    <n v="0"/>
    <n v="1"/>
    <m/>
    <m/>
    <m/>
    <m/>
  </r>
  <r>
    <n v="900"/>
    <s v="'3004003626 "/>
    <s v="GANESH KARTHIKTEXTILES--CITY"/>
    <s v="Coimbatore"/>
    <s v="TS 05"/>
    <x v="6"/>
    <s v="2261E"/>
    <s v="E00001 "/>
    <s v="08.02.2005 15:08 "/>
    <s v="08.02.2005 15:15"/>
    <s v="09.02.2005 15:00"/>
    <x v="6"/>
    <n v="0"/>
    <n v="24"/>
    <m/>
    <m/>
    <m/>
    <m/>
  </r>
  <r>
    <n v="901"/>
    <s v="'3004003625 "/>
    <s v="QUEEN SOLA TEA FACTORY-CITY"/>
    <s v="Coimbatore"/>
    <s v="TS 05"/>
    <x v="6"/>
    <s v="2359E"/>
    <s v="E00001 "/>
    <s v="08.02.2005 15:03 "/>
    <s v="08.02.2005 15:15"/>
    <s v="09.02.2005 19:00"/>
    <x v="6"/>
    <n v="0"/>
    <n v="28"/>
    <m/>
    <m/>
    <m/>
    <m/>
  </r>
  <r>
    <n v="903"/>
    <s v="'3004003622 "/>
    <s v="FORHUN LABELS--CITY"/>
    <s v="Vellore, Coimbatore"/>
    <s v="TS 05"/>
    <x v="6"/>
    <n v="24599"/>
    <s v="E00001 "/>
    <s v="08.02.2005 11:34 "/>
    <s v="08.02.2005 11:45"/>
    <s v="08.02.2005 13:00"/>
    <x v="6"/>
    <n v="0"/>
    <n v="1"/>
    <m/>
    <m/>
    <m/>
    <m/>
  </r>
  <r>
    <n v="908"/>
    <s v="'3004003600 "/>
    <s v="SS SPINNING MILLS--CITY"/>
    <s v="Avinashi, Tirupur"/>
    <s v="TS 05"/>
    <x v="6"/>
    <n v="64070"/>
    <s v="E00001 "/>
    <s v="04.02.2005 11:59 "/>
    <s v="04.02.2005 12:10"/>
    <s v="04.02.2005 15:15"/>
    <x v="6"/>
    <n v="0"/>
    <n v="3"/>
    <m/>
    <m/>
    <m/>
    <m/>
  </r>
  <r>
    <n v="918"/>
    <s v="'3004003536 "/>
    <s v="RK KNITS--CITY"/>
    <s v="Tirupur"/>
    <s v="TS 05"/>
    <x v="6"/>
    <n v="0"/>
    <s v="E00001 "/>
    <s v="24.01.2005 15:26 "/>
    <s v="24.01.2005 15:45"/>
    <s v="24.01.2005 17:00"/>
    <x v="6"/>
    <n v="0"/>
    <n v="2"/>
    <m/>
    <m/>
    <m/>
    <m/>
  </r>
  <r>
    <n v="932"/>
    <s v="'304003459 "/>
    <s v="VR TEXTILES PVT LTD--CITY"/>
    <s v="Coimbatore"/>
    <s v="TS 05"/>
    <x v="6"/>
    <s v="3186E"/>
    <s v="E00001 "/>
    <s v="10.01.2005 12:04 "/>
    <s v="10.01.2005 12:15"/>
    <s v="10.01.2005 18:00"/>
    <x v="6"/>
    <n v="0"/>
    <n v="6"/>
    <m/>
    <m/>
    <m/>
    <m/>
  </r>
  <r>
    <n v="939"/>
    <s v="'304003435 "/>
    <s v="AL BURIME SERVICE STATION--CITY"/>
    <s v="Palakad"/>
    <s v="TS 05"/>
    <x v="6"/>
    <n v="24274"/>
    <s v="E00001 "/>
    <s v="05.01.2005 16:41 "/>
    <s v="05.01.2005 17:00"/>
    <s v="05.01.2005 18:15"/>
    <x v="6"/>
    <n v="0"/>
    <n v="2"/>
    <m/>
    <m/>
    <m/>
    <m/>
  </r>
  <r>
    <n v="940"/>
    <s v="'304003426 "/>
    <s v="POOMPUHAR PROCESS"/>
    <s v="Tirupur"/>
    <s v="TS 05"/>
    <x v="6"/>
    <n v="759"/>
    <s v="E00001 "/>
    <s v="04.01.2005 12:32 "/>
    <s v="04.01.2005 12:45"/>
    <s v="04.01.2005 14:30"/>
    <x v="6"/>
    <n v="0"/>
    <n v="2"/>
    <m/>
    <m/>
    <m/>
    <m/>
  </r>
  <r>
    <n v="941"/>
    <s v="'304003417 "/>
    <s v="DARSHINI IMPACTS PVT LTD--CITY"/>
    <s v="Coimbatore"/>
    <s v="TS 05"/>
    <x v="6"/>
    <n v="11514"/>
    <s v="E00001 "/>
    <s v="01.01.2005 12:32 "/>
    <s v="01.01.2005 12:45"/>
    <s v="03.01.2005 18:00"/>
    <x v="6"/>
    <n v="0"/>
    <n v="53"/>
    <m/>
    <m/>
    <m/>
    <m/>
  </r>
  <r>
    <n v="943"/>
    <s v="'304003410 "/>
    <s v="JAYACHITRA GARMENTS"/>
    <s v="Tirupur"/>
    <s v="TS 05"/>
    <x v="6"/>
    <n v="51220"/>
    <s v="E00001 "/>
    <s v="31.12.2004 17:15 "/>
    <s v="31.12.2004 17:20"/>
    <s v="31.12.2004 18:30"/>
    <x v="6"/>
    <n v="0"/>
    <n v="1"/>
    <m/>
    <m/>
    <m/>
    <m/>
  </r>
  <r>
    <n v="948"/>
    <s v="'304003379 "/>
    <s v="SIECER SYNATEX EQUIPMENTS-CITY"/>
    <s v="coimbatore"/>
    <s v="TS 05"/>
    <x v="6"/>
    <n v="23206"/>
    <s v="E00001 "/>
    <s v="27.12.2004 15:18 "/>
    <s v="27.12.2004 15:30"/>
    <s v="27.12.2004 21:00"/>
    <x v="6"/>
    <n v="0"/>
    <n v="6"/>
    <m/>
    <m/>
    <m/>
    <m/>
  </r>
  <r>
    <n v="951"/>
    <s v="'304003361 "/>
    <s v="K.N.M TEX"/>
    <s v="coimbatore"/>
    <s v="TS 05"/>
    <x v="6"/>
    <s v="91311/12.99"/>
    <s v="E00001 "/>
    <s v="23.12.2004 14:39 "/>
    <s v="23.12.2004 14:40"/>
    <s v="24.12.2004 18:00"/>
    <x v="6"/>
    <n v="0"/>
    <n v="27"/>
    <m/>
    <m/>
    <m/>
    <m/>
  </r>
  <r>
    <n v="956"/>
    <s v="'304003323 "/>
    <s v="EVERWIN TEXTILES--CITY"/>
    <s v="Coimbatore"/>
    <s v="TS 05"/>
    <x v="6"/>
    <n v="0"/>
    <s v="E00001 "/>
    <s v="17.12.2004 15:32 "/>
    <s v="17.12.2004 15:35"/>
    <s v="20.12.2004 13:00"/>
    <x v="6"/>
    <n v="0"/>
    <n v="69"/>
    <m/>
    <m/>
    <m/>
    <m/>
  </r>
  <r>
    <n v="959"/>
    <s v="'304003305 "/>
    <s v="PAMALOG FABRICS"/>
    <s v="Tirupur"/>
    <s v="TS 05"/>
    <x v="6"/>
    <n v="1678"/>
    <s v="E00001 "/>
    <s v="14.12.2004 17:34 "/>
    <s v="14.12.2004 17:40"/>
    <s v="15.12.2004 10:00"/>
    <x v="6"/>
    <n v="0"/>
    <n v="16"/>
    <m/>
    <m/>
    <m/>
    <m/>
  </r>
  <r>
    <n v="960"/>
    <s v="'304003304 "/>
    <s v="EXCELL PLAST--CITY"/>
    <s v="Coimbatore"/>
    <s v="TS 05"/>
    <x v="6"/>
    <n v="23870"/>
    <s v="E00001 "/>
    <s v="14.12.2004 17:18 "/>
    <s v="14.12.2004 17:20"/>
    <s v="15.12.2004 10:00"/>
    <x v="6"/>
    <n v="0"/>
    <n v="17"/>
    <m/>
    <m/>
    <m/>
    <m/>
  </r>
  <r>
    <n v="964"/>
    <s v="'304003256 "/>
    <s v="PRABATH MILLS"/>
    <s v="TIRUPPUR"/>
    <s v="TS 05"/>
    <x v="6"/>
    <s v="3670E"/>
    <s v="E00001 "/>
    <s v="08.12.2004 13:21 "/>
    <s v="08.12.2004 13:45"/>
    <s v="08.12.2004 16:00"/>
    <x v="6"/>
    <n v="0"/>
    <n v="3"/>
    <m/>
    <m/>
    <m/>
    <m/>
  </r>
  <r>
    <n v="972"/>
    <s v="'304003214 "/>
    <s v="VIKING KNITTING--CITY"/>
    <s v="Tirupur"/>
    <s v="TS 05"/>
    <x v="6"/>
    <n v="83399"/>
    <s v="E00001 "/>
    <s v="01.12.2004 11:27 "/>
    <s v="01.12.2004 11:45"/>
    <s v="01.12.2004 17:30"/>
    <x v="6"/>
    <n v="0"/>
    <n v="6"/>
    <m/>
    <m/>
    <m/>
    <m/>
  </r>
  <r>
    <n v="974"/>
    <s v="'304003174 "/>
    <s v="VITAL INSTRUMENTS--CITY"/>
    <s v="Coimbatore"/>
    <s v="TS 05"/>
    <x v="6"/>
    <s v="2658E"/>
    <s v="E00001 "/>
    <s v="24.11.2004 14:49 "/>
    <s v="24.11.2004 15:00"/>
    <s v="24.11.2004 16:00"/>
    <x v="6"/>
    <n v="0"/>
    <n v="1"/>
    <m/>
    <m/>
    <m/>
    <m/>
  </r>
  <r>
    <n v="981"/>
    <s v="'304003139 "/>
    <s v="KUMAR SIRPAKALAIYAGAM--CITY"/>
    <s v="Coimbatore"/>
    <s v="TS05"/>
    <x v="6"/>
    <n v="87550"/>
    <s v="E00001 "/>
    <s v="18.11.2004 14:57 "/>
    <s v="18.11.2004 15:15"/>
    <s v="18.11.2004 18:00"/>
    <x v="6"/>
    <n v="0"/>
    <n v="3"/>
    <m/>
    <m/>
    <m/>
    <m/>
  </r>
  <r>
    <n v="983"/>
    <s v="'304003130 "/>
    <s v="ROOPA COMPACTING--CITY"/>
    <s v="Tirupur"/>
    <s v="TS05"/>
    <x v="6"/>
    <n v="87008"/>
    <s v="E00001 "/>
    <s v="17.11.2004 15:26 "/>
    <s v="17.11.2004 15:45"/>
    <s v="17.11.2004 23:00"/>
    <x v="6"/>
    <n v="0"/>
    <n v="8"/>
    <m/>
    <m/>
    <m/>
    <m/>
  </r>
  <r>
    <n v="984"/>
    <s v="'304003117 "/>
    <s v="KNM TEXTILES--CITY"/>
    <s v="Coimbatore"/>
    <s v="TS05120"/>
    <x v="6"/>
    <n v="91311"/>
    <s v="E00001 "/>
    <s v="15.11.2004 15:02 "/>
    <s v="15.11.2004 15:15"/>
    <s v="15.11.2004 18:30"/>
    <x v="6"/>
    <n v="0"/>
    <n v="3"/>
    <m/>
    <m/>
    <m/>
    <m/>
  </r>
  <r>
    <n v="988"/>
    <s v="'304003097 "/>
    <s v="PRASANNA HONDA--CITY"/>
    <s v="Coimbatore"/>
    <s v="TS05"/>
    <x v="6"/>
    <n v="23623"/>
    <s v="E00001 "/>
    <s v="10.11.2004 11:27 "/>
    <s v="10.11.2004 11:35"/>
    <s v="10.11.2004 16:00"/>
    <x v="6"/>
    <n v="0"/>
    <n v="5"/>
    <m/>
    <m/>
    <m/>
    <m/>
  </r>
  <r>
    <n v="999"/>
    <s v="'300F01229 "/>
    <s v="NGP ESTATE MOTOR"/>
    <s v="COIMBATORE"/>
    <s v="TS 05"/>
    <x v="6"/>
    <n v="20770"/>
    <s v="S00014 "/>
    <s v="15.03.2016 12:32 "/>
    <s v="15.03.2016 13:00"/>
    <s v="19.03.2016 00:00"/>
    <x v="9"/>
    <n v="83"/>
    <n v="83"/>
    <m/>
    <m/>
    <s v="Out of Warranty"/>
    <m/>
  </r>
  <r>
    <n v="1000"/>
    <s v="'300F01212 "/>
    <s v="UNIQUE PATTERN WORKS"/>
    <s v="COIMBATORE"/>
    <s v="TS 05 120 HN"/>
    <x v="6"/>
    <s v="GOCE560816"/>
    <s v="ccs021 "/>
    <s v="11.03.2016 11:22 "/>
    <s v="12.03.2016 10:00"/>
    <s v="12.03.2016 13:00"/>
    <x v="9"/>
    <n v="3"/>
    <n v="26"/>
    <m/>
    <m/>
    <s v="Warranty Maintenance"/>
    <m/>
  </r>
  <r>
    <n v="1002"/>
    <s v="'300F01169 "/>
    <s v="BHAGAVATHI GLASS &amp; PLYWOODS"/>
    <s v="MANGALAM ANTHIYUR"/>
    <s v="TS 05 120 HN"/>
    <x v="6"/>
    <s v="CMFE561599"/>
    <s v="ccs025 "/>
    <s v="01.03.2016 14:59 "/>
    <s v="02.03.2016 10:00"/>
    <s v="02.03.2016 12:00"/>
    <x v="9"/>
    <n v="2"/>
    <n v="21"/>
    <m/>
    <m/>
    <s v="Out of Warranty"/>
    <m/>
  </r>
  <r>
    <n v="1005"/>
    <s v="'300F00880 "/>
    <s v="LAXMI SUNDARAM INDUSTRIES"/>
    <s v="KEERANATHAM"/>
    <s v="RAC PACKAGE TS05 HN 220L"/>
    <x v="6"/>
    <s v="CLLE560563"/>
    <s v="ccs025 "/>
    <s v="07.12.2015 12:11 "/>
    <s v="08.12.2015 10:00"/>
    <s v="08.12.2015 14:00"/>
    <x v="8"/>
    <n v="4"/>
    <n v="26"/>
    <m/>
    <m/>
    <s v="Out of Warranty"/>
    <m/>
  </r>
  <r>
    <n v="1014"/>
    <s v="'300F00387 "/>
    <s v="TYRE PORT"/>
    <s v="COIMBATORE"/>
    <s v="TS 05 120 HN"/>
    <x v="6"/>
    <s v="CMKE560289"/>
    <s v="ccs015 "/>
    <s v="08.08.2015 17:41 "/>
    <s v="10.08.2015 08:00"/>
    <s v="11.08.2015 10:00"/>
    <x v="8"/>
    <n v="26"/>
    <n v="64"/>
    <m/>
    <m/>
    <s v="Out of Warranty"/>
    <m/>
  </r>
  <r>
    <n v="1016"/>
    <s v="'300F00380 "/>
    <s v="SUGUNA RAJAGOPAL AGENCIES"/>
    <s v="COIMBATORE"/>
    <s v="TS05120"/>
    <x v="6"/>
    <s v="D300F00380"/>
    <s v="ccs015 "/>
    <s v="06.08.2015 11:55 "/>
    <s v="07.08.2015 08:00"/>
    <s v="08.08.2015 12:00"/>
    <x v="8"/>
    <n v="28"/>
    <n v="48"/>
    <m/>
    <m/>
    <s v="Out of Warranty"/>
    <m/>
  </r>
  <r>
    <n v="1017"/>
    <s v="'300F00329 "/>
    <s v="TT AUTO FUELS"/>
    <s v="TIRUPPUR"/>
    <s v="TS05"/>
    <x v="6"/>
    <n v="5248"/>
    <s v="ccs021 "/>
    <s v="20.07.2015 11:02 "/>
    <s v="20.07.2015 14:00"/>
    <s v="24.07.2015 13:00"/>
    <x v="8"/>
    <n v="43"/>
    <n v="98"/>
    <m/>
    <m/>
    <s v="Out of Warranty"/>
    <m/>
  </r>
  <r>
    <n v="1030"/>
    <s v="'300E01026 "/>
    <s v="AMMAN AGENCIES"/>
    <s v="MOOLANOR"/>
    <s v="TS05"/>
    <x v="6"/>
    <n v="93285"/>
    <s v="ccs028 "/>
    <s v="30.03.2015 15:53 "/>
    <s v="31.03.2015 10:00"/>
    <s v="31.03.2015 12:00"/>
    <x v="8"/>
    <n v="2"/>
    <n v="20"/>
    <m/>
    <m/>
    <s v="Out of Warranty"/>
    <m/>
  </r>
  <r>
    <n v="1034"/>
    <s v="'300E00956 "/>
    <s v="AKSHYA FORD"/>
    <s v="MADURAI"/>
    <s v="RAC PACKAGE TS05 HN 220L"/>
    <x v="6"/>
    <n v="27808"/>
    <s v="ccs014 "/>
    <s v="13.03.2015 09:16 "/>
    <s v="14.03.2015 14:00"/>
    <s v="13.03.2015 16:00"/>
    <x v="8"/>
    <n v="2"/>
    <n v="7"/>
    <m/>
    <m/>
    <s v="Out of Warranty"/>
    <m/>
  </r>
  <r>
    <n v="1038"/>
    <s v="'300E00813 "/>
    <s v="PLASMOLD ENTERPRISES"/>
    <s v="CBE"/>
    <s v="RAC PACKAGE TS05 HN 220L"/>
    <x v="6"/>
    <n v="27862"/>
    <s v="S00014 "/>
    <s v="02.02.2015 10:24 "/>
    <s v="07.02.2015 00:00"/>
    <s v="07.02.2015 01:00"/>
    <x v="10"/>
    <n v="31"/>
    <n v="111"/>
    <m/>
    <m/>
    <s v="Out of Warranty"/>
    <m/>
  </r>
  <r>
    <n v="1039"/>
    <s v="'300E00797 "/>
    <s v="SAKTHI HATCHERIES"/>
    <s v="DINDIGUL"/>
    <s v="TS 05 120 HN"/>
    <x v="6"/>
    <s v="CNDE561068"/>
    <s v="ccs014 "/>
    <s v="28.01.2015 10:22 "/>
    <s v="31.01.2015 00:00"/>
    <s v="31.01.2015 12:00"/>
    <x v="10"/>
    <n v="32"/>
    <n v="74"/>
    <m/>
    <m/>
    <s v="Warranty Maintenance"/>
    <m/>
  </r>
  <r>
    <n v="1042"/>
    <s v="'300E00751 "/>
    <s v="AKSHYA FORD"/>
    <s v="MADURAI"/>
    <s v="RAC PACKAGE TS05 HN 220L"/>
    <x v="6"/>
    <n v="27808"/>
    <s v="ccs014 "/>
    <s v="07.01.2015 12:22 "/>
    <s v="08.01.2015 10:00"/>
    <s v="08.01.2015 12:00"/>
    <x v="10"/>
    <n v="2"/>
    <n v="24"/>
    <m/>
    <m/>
    <s v="Out of Warranty"/>
    <m/>
  </r>
  <r>
    <n v="1048"/>
    <s v="'300E00587 "/>
    <s v="AKSHYA FORD"/>
    <s v="MADURAI"/>
    <s v="RAC PACKAGE TS05 HN 220L"/>
    <x v="6"/>
    <n v="27808"/>
    <s v="ccs019 "/>
    <s v="11.11.2014 17:20 "/>
    <s v="23.11.2014 00:00"/>
    <s v="25.11.2014 12:00"/>
    <x v="10"/>
    <n v="26"/>
    <n v="331"/>
    <m/>
    <m/>
    <s v="Out of Warranty"/>
    <m/>
  </r>
  <r>
    <n v="1055"/>
    <s v="'300E00418 "/>
    <s v="J AUTO"/>
    <s v="VATHALAGUNDU"/>
    <s v="TS 05 120 HN"/>
    <x v="6"/>
    <s v="CLIE562266"/>
    <s v="ccs021 "/>
    <s v="01.09.2014 10:33 "/>
    <s v="05.09.2014 00:00"/>
    <s v="05.09.2014 00:00"/>
    <x v="10"/>
    <n v="45"/>
    <n v="85"/>
    <m/>
    <m/>
    <s v="Out of Warranty"/>
    <m/>
  </r>
  <r>
    <n v="1056"/>
    <s v="'300E00384 "/>
    <s v="VENKATESHWARA AUTOMATION"/>
    <s v="COIMBATORE"/>
    <s v="RAC PACKAGE TS05 HN 220L"/>
    <x v="6"/>
    <s v="CKDE561029"/>
    <s v="ccs015 "/>
    <s v="22.08.2014 09:57 "/>
    <s v="22.08.2014 16:00"/>
    <s v="22.08.2014 18:00"/>
    <x v="10"/>
    <n v="2"/>
    <n v="8"/>
    <m/>
    <m/>
    <s v="Out of Warranty"/>
    <m/>
  </r>
  <r>
    <n v="1069"/>
    <s v="'300D0877 "/>
    <s v="KANNAPIRAN ENGINEERING INDUSTRIES"/>
    <s v="COIMBATORE"/>
    <s v="TS05NS220L"/>
    <x v="6"/>
    <s v="D300D0877"/>
    <s v="ccs019 "/>
    <s v="27.01.2014 16:54 "/>
    <s v="28.01.2014 10:00"/>
    <s v="02.02.2014 01:00"/>
    <x v="2"/>
    <n v="49"/>
    <n v="128"/>
    <m/>
    <m/>
    <s v="Out of Warranty"/>
    <m/>
  </r>
  <r>
    <n v="1072"/>
    <s v="'300D0582 "/>
    <s v="SIVASAKTHI MOTORS"/>
    <s v="COIMBATORE"/>
    <s v="TS 05 120 HN"/>
    <x v="6"/>
    <s v="CLHE562141"/>
    <s v="ccs005 "/>
    <s v="05.10.2013 12:58 "/>
    <s v="05.10.2013 15:00"/>
    <s v="08.10.2013 11:00"/>
    <x v="2"/>
    <n v="68"/>
    <n v="70"/>
    <m/>
    <m/>
    <s v="Out of Warranty"/>
    <m/>
  </r>
  <r>
    <n v="1073"/>
    <s v="'300D0530 "/>
    <s v="SRI BARANI INDUSTRIES"/>
    <s v="COIMBATORE"/>
    <s v="TS 05 120 HN"/>
    <x v="6"/>
    <s v="CMAE560667"/>
    <s v="ccs004 "/>
    <s v="18.09.2013 16:11 "/>
    <s v="19.09.2013 10:00"/>
    <s v="19.09.2013 10:30"/>
    <x v="2"/>
    <n v="1"/>
    <n v="18"/>
    <m/>
    <m/>
    <s v="Warranty Maintenance"/>
    <m/>
  </r>
  <r>
    <n v="1075"/>
    <s v="'300D0413 "/>
    <s v="HARVEST PUMPS"/>
    <s v="COIMBATORE"/>
    <s v="TS05120"/>
    <x v="6"/>
    <s v="D300D0413"/>
    <s v="ccs015 "/>
    <s v="08.08.2013 10:07 "/>
    <s v="08.08.2013 16:00"/>
    <s v="13.08.2013 11:00"/>
    <x v="2"/>
    <n v="115"/>
    <n v="121"/>
    <m/>
    <m/>
    <s v="Out of Warranty"/>
    <m/>
  </r>
  <r>
    <n v="1077"/>
    <s v="'300D0259 "/>
    <s v="J AUTO"/>
    <s v="VATHALAGUNDU"/>
    <s v="TS 05 120 HN"/>
    <x v="6"/>
    <s v="CLIE562266"/>
    <s v="ccs007 "/>
    <s v="24.06.2013 11:08 "/>
    <s v="24.06.2013 10:00"/>
    <s v="27.06.2013 12:00"/>
    <x v="2"/>
    <n v="50"/>
    <n v="73"/>
    <m/>
    <m/>
    <s v="Warranty Commissioning"/>
    <m/>
  </r>
  <r>
    <n v="1078"/>
    <s v="'300D0250 "/>
    <s v="SRI BARANI INDUSTRIES"/>
    <s v="COIMBATORE"/>
    <s v="TS 05 120 HN"/>
    <x v="6"/>
    <s v="CMAE560667"/>
    <s v="ccs004 "/>
    <s v="19.06.2013 15:18 "/>
    <s v="19.06.2013 16:00"/>
    <s v="20.06.2013 16:00"/>
    <x v="2"/>
    <n v="24"/>
    <n v="25"/>
    <m/>
    <m/>
    <s v="Warranty Maintenance"/>
    <m/>
  </r>
  <r>
    <n v="1084"/>
    <s v="'300C0987 "/>
    <s v="ELGI ULTRA INDUSTRIES LTD"/>
    <s v="Coimbatore"/>
    <s v="TS 05 NEW SERIES"/>
    <x v="6"/>
    <s v="CJGE561882"/>
    <s v="S00014 "/>
    <s v="11.03.2013 16:41 "/>
    <s v="22.03.2013 12:15"/>
    <s v="21.03.2013 16:00"/>
    <x v="2"/>
    <n v="233"/>
    <n v="239"/>
    <m/>
    <m/>
    <m/>
    <m/>
  </r>
  <r>
    <n v="1085"/>
    <s v="'300C0978 "/>
    <s v="DAMODHAR FOODS"/>
    <s v="Coimbatore"/>
    <s v="TS 05 120 HN"/>
    <x v="6"/>
    <s v="CLHE562150"/>
    <s v="S00014 "/>
    <s v="08.03.2013 12:47 "/>
    <s v="08.03.2013 13:00"/>
    <s v="08.03.2013 15:00"/>
    <x v="2"/>
    <n v="2"/>
    <n v="2"/>
    <m/>
    <m/>
    <s v="Warranty Commissioning"/>
    <m/>
  </r>
  <r>
    <n v="1097"/>
    <s v="'300C0538 "/>
    <s v="UMA MOTORS"/>
    <s v="SRIVILLIPUTHUR"/>
    <s v="TS 05 120 HN"/>
    <x v="6"/>
    <s v="CLEE561594"/>
    <s v="ccs015 "/>
    <s v="18.09.2012 13:54 "/>
    <s v="18.09.2012 14:00"/>
    <s v="19.09.2012 16:00"/>
    <x v="7"/>
    <n v="2"/>
    <n v="26"/>
    <m/>
    <m/>
    <s v="Warranty Commissioning"/>
    <m/>
  </r>
  <r>
    <n v="1101"/>
    <s v="'300C0463 "/>
    <s v="SENTHUR SERVICE STATION"/>
    <s v="TIRUNELVELI"/>
    <s v="RAC PACKAGE TS05 HN 220L"/>
    <x v="6"/>
    <s v="CLKE560333"/>
    <s v="ccs015 "/>
    <s v="24.08.2012 13:37 "/>
    <s v="24.08.2012 14:00"/>
    <s v="24.08.2012 19:00"/>
    <x v="7"/>
    <n v="5"/>
    <n v="5"/>
    <m/>
    <m/>
    <s v="Warranty Commissioning"/>
    <m/>
  </r>
  <r>
    <n v="1103"/>
    <s v="'300C0455 "/>
    <s v="FINE TEX"/>
    <s v="COIMBATORE"/>
    <s v="TS05120"/>
    <x v="6"/>
    <s v="D300C0455"/>
    <s v="ccs002 "/>
    <s v="21.08.2012 09:59 "/>
    <s v="21.08.2012 12:00"/>
    <s v="24.08.2012 10:00"/>
    <x v="7"/>
    <n v="70"/>
    <n v="72"/>
    <m/>
    <m/>
    <s v="Out of Warranty"/>
    <m/>
  </r>
  <r>
    <n v="1106"/>
    <s v="'300C0435 "/>
    <s v="KALEESHWARI REFINERY PVT LTD"/>
    <s v="PALANI"/>
    <s v="TS 05 120 HN"/>
    <x v="6"/>
    <s v="CLKE560370"/>
    <s v="ccs014 "/>
    <s v="14.08.2012 19:45 "/>
    <s v="16.08.2012 10:00"/>
    <s v="16.08.2012 18:00"/>
    <x v="7"/>
    <n v="8"/>
    <n v="46"/>
    <m/>
    <m/>
    <s v="Warranty Failure"/>
    <m/>
  </r>
  <r>
    <n v="1107"/>
    <s v="'300C0412 "/>
    <s v="SRI SHANMUGA POLYMERS"/>
    <s v="PUDDUKOTTAI"/>
    <s v="TS05120"/>
    <x v="6"/>
    <n v="32017"/>
    <s v="ccs015 "/>
    <s v="08.08.2012 11:47 "/>
    <s v="09.08.2012 10:00"/>
    <s v="14.08.2012 18:00"/>
    <x v="7"/>
    <n v="128"/>
    <n v="150"/>
    <m/>
    <m/>
    <s v="Out of Warranty"/>
    <m/>
  </r>
  <r>
    <n v="1112"/>
    <s v="'300C0276 "/>
    <s v="TIRUPATHI MOTORS"/>
    <s v="KARAIKUDI"/>
    <s v="TS 05 120 HN"/>
    <x v="6"/>
    <s v="CJGE561860"/>
    <s v="ccs004 "/>
    <s v="30.06.2012 11:41 "/>
    <s v="30.06.2012 12:00"/>
    <s v="03.07.2012 13:00"/>
    <x v="7"/>
    <n v="73"/>
    <n v="73"/>
    <m/>
    <m/>
    <s v="Out of Warranty"/>
    <m/>
  </r>
  <r>
    <n v="1115"/>
    <s v="'300C0244 "/>
    <s v="AMMAN AGENCIES"/>
    <s v="MOOLANOR"/>
    <s v="TS05"/>
    <x v="6"/>
    <n v="93285"/>
    <s v="ccs015 "/>
    <s v="19.06.2012 14:49 "/>
    <s v="20.06.2012 10:00"/>
    <s v="21.06.2012 17:00"/>
    <x v="7"/>
    <n v="31"/>
    <n v="50"/>
    <m/>
    <m/>
    <s v="Out of Warranty"/>
    <m/>
  </r>
  <r>
    <n v="1117"/>
    <s v="'300C0223 "/>
    <s v="LAKSHMI MOTOR"/>
    <s v="KUMBAGONAM"/>
    <s v="TS 05 120 HN"/>
    <x v="6"/>
    <s v="CJHE562030"/>
    <s v="ccs005 "/>
    <s v="12.06.2012 16:39 "/>
    <s v="13.06.2012 10:00"/>
    <s v="15.06.2012 16:00"/>
    <x v="7"/>
    <n v="54"/>
    <n v="71"/>
    <m/>
    <m/>
    <s v="Out of Warranty"/>
    <m/>
  </r>
  <r>
    <n v="1120"/>
    <s v="'300C0141 "/>
    <s v="BAGYALAKSHMI ENTERPRISES"/>
    <s v="KARUMATHAMPATTY"/>
    <s v="TS05120"/>
    <x v="6"/>
    <n v="22147"/>
    <s v="ccs005 "/>
    <s v="11.05.2012 14:56 "/>
    <s v="12.05.2012 10:00"/>
    <s v="15.05.2012 15:00"/>
    <x v="7"/>
    <n v="77"/>
    <n v="96"/>
    <m/>
    <m/>
    <s v="Out of Warranty"/>
    <m/>
  </r>
  <r>
    <n v="1126"/>
    <s v="'300C0010 "/>
    <s v="GEM MOTORS"/>
    <s v="COIMBATORE"/>
    <s v="TS 05 120 HN"/>
    <x v="6"/>
    <s v="CHHE560947"/>
    <s v="ccs014 "/>
    <s v="03.04.2012 18:57 "/>
    <s v="04.04.2012 10:00"/>
    <s v="05.04.2012 16:30"/>
    <x v="7"/>
    <n v="31"/>
    <n v="46"/>
    <m/>
    <m/>
    <s v="Out of Warranty"/>
    <m/>
  </r>
  <r>
    <n v="1131"/>
    <s v="'300B1166 "/>
    <s v="KAALESWARI REFINERY PVT LTD"/>
    <s v="DINDUGUL"/>
    <s v="TS 05 120 HN"/>
    <x v="6"/>
    <s v="CJKE560309"/>
    <s v="ccs003 "/>
    <s v="26.03.2012 11:27 "/>
    <s v="27.03.2012 10:00"/>
    <s v="27.03.2012 17:00"/>
    <x v="7"/>
    <n v="7"/>
    <n v="30"/>
    <m/>
    <m/>
    <s v="Out of Warranty"/>
    <m/>
  </r>
  <r>
    <n v="1133"/>
    <s v="'300B1156 "/>
    <s v="GKNM HOSPITAL"/>
    <s v="COIMBATORE"/>
    <s v="TS05121"/>
    <x v="6"/>
    <s v="D300B1156"/>
    <s v="ccs004 "/>
    <s v="23.03.2012 08:30 "/>
    <s v="23.03.2012 09:00"/>
    <s v="24.03.2012 10:30"/>
    <x v="7"/>
    <n v="26"/>
    <n v="26"/>
    <m/>
    <m/>
    <s v="Out of Warranty"/>
    <m/>
  </r>
  <r>
    <n v="1139"/>
    <s v="'300B1080 "/>
    <s v="BAGYALAKSHMI ENTERPRISES"/>
    <s v="COIMBATORE"/>
    <s v="TS05120"/>
    <x v="6"/>
    <n v="22147"/>
    <s v="ccs015 "/>
    <s v="02.03.2012 10:42 "/>
    <s v="03.03.2012 10:00"/>
    <s v="04.03.2012 12:00"/>
    <x v="7"/>
    <n v="26"/>
    <n v="49"/>
    <m/>
    <m/>
    <s v="Out of Warranty"/>
    <m/>
  </r>
  <r>
    <n v="1141"/>
    <s v="'300B0984 "/>
    <s v="BALU MANIYAKARAR FUELS"/>
    <s v="COIMBATORE"/>
    <s v="TS 05 120"/>
    <x v="6"/>
    <s v="D300B0984"/>
    <s v="ccs005 "/>
    <s v="04.02.2012 11:30 "/>
    <s v="04.02.2012 15:00"/>
    <s v="04.02.2012 17:00"/>
    <x v="1"/>
    <n v="2"/>
    <n v="5"/>
    <m/>
    <m/>
    <s v="Out of Warranty"/>
    <m/>
  </r>
  <r>
    <n v="1142"/>
    <s v="'300B0960 "/>
    <s v="NAGAMMAL TRADERS"/>
    <s v="SOMMANUR"/>
    <s v="TS 05 120 HN"/>
    <x v="6"/>
    <s v="CKCE560912"/>
    <s v="ccs005 "/>
    <s v="31.01.2012 14:46 "/>
    <s v="01.02.2012 10:00"/>
    <s v="02.02.2012 17:30"/>
    <x v="1"/>
    <n v="32"/>
    <n v="51"/>
    <m/>
    <m/>
    <s v="Warranty Maintenance"/>
    <m/>
  </r>
  <r>
    <n v="1143"/>
    <s v="'300B0950 "/>
    <s v="LAKSHMI ELECTRICAL DRIVES LTD"/>
    <s v="COIMBATORE"/>
    <s v="TS 05 120 HN"/>
    <x v="6"/>
    <s v="CKHE561930"/>
    <s v="ccs015 "/>
    <s v="28.01.2012 14:19 "/>
    <s v="30.01.2012 10:00"/>
    <s v="01.02.2012 17:00"/>
    <x v="1"/>
    <n v="55"/>
    <n v="99"/>
    <m/>
    <m/>
    <s v="Warranty Commissioning"/>
    <m/>
  </r>
  <r>
    <n v="1145"/>
    <s v="'300B0907 "/>
    <s v="PALANIVEL"/>
    <s v="ARIYALUR"/>
    <s v="TS 05 120 HN"/>
    <x v="6"/>
    <s v="CKEE561242"/>
    <s v="ccs014 "/>
    <s v="10.01.2012 08:53 "/>
    <s v="10.01.2012 09:00"/>
    <s v="12.01.2012 09:00"/>
    <x v="1"/>
    <n v="48"/>
    <n v="48"/>
    <s v="35119B034-20.03.2012"/>
    <s v="35119B034"/>
    <s v="Warranty Failure"/>
    <m/>
  </r>
  <r>
    <n v="1152"/>
    <s v="'300B0718 "/>
    <s v="COCO KARAIKUDI"/>
    <s v="KARAIKUDI"/>
    <s v="TS05120"/>
    <x v="6"/>
    <s v="D300B0718"/>
    <s v="ccs002 "/>
    <s v="18.11.2011 10:29 "/>
    <s v="18.11.2011 12:00"/>
    <s v="21.11.2011 16:00"/>
    <x v="1"/>
    <n v="70"/>
    <n v="78"/>
    <m/>
    <m/>
    <s v="Out of Warranty"/>
    <m/>
  </r>
  <r>
    <n v="1154"/>
    <s v="'300B0657 "/>
    <s v="LAKSHMI MOTOR"/>
    <s v="KUMBAGONAM"/>
    <s v="TS 05 120 HN"/>
    <x v="6"/>
    <s v="CJHE562030"/>
    <s v="ccs005 "/>
    <s v="31.10.2011 11:43 "/>
    <s v="31.10.2011 15:00"/>
    <s v="05.11.2011 16:00"/>
    <x v="1"/>
    <n v="80"/>
    <n v="124"/>
    <m/>
    <m/>
    <s v="Warranty Commissioning"/>
    <m/>
  </r>
  <r>
    <n v="1158"/>
    <s v="'300B0519 "/>
    <s v="MODERN RICE MILL"/>
    <s v="MANNARGUDI"/>
    <s v="TS 05 120 HN"/>
    <x v="6"/>
    <s v="CJHE561896"/>
    <s v="ccs004 "/>
    <s v="13.09.2011 12:55 "/>
    <s v="13.09.2011 13:00"/>
    <s v="14.09.2011 13:30"/>
    <x v="1"/>
    <n v="25"/>
    <n v="25"/>
    <m/>
    <m/>
    <s v="Warranty Maintenance"/>
    <m/>
  </r>
  <r>
    <n v="1161"/>
    <s v="'300B0496 "/>
    <s v="PARISUTHAR WATER SERVICE"/>
    <s v="ARIYALUR"/>
    <s v="TS 05 120 HN"/>
    <x v="6"/>
    <s v="CHGE560846"/>
    <s v="ccs003 "/>
    <s v="01.09.2011 11:21 "/>
    <s v="02.09.2011 10:00"/>
    <s v="02.09.2011 17:00"/>
    <x v="1"/>
    <n v="30"/>
    <n v="30"/>
    <m/>
    <m/>
    <s v="Out of Warranty"/>
    <m/>
  </r>
  <r>
    <n v="1162"/>
    <s v="'300B0491 "/>
    <s v="COIMBATORE INSISITUDE OF TECHONOLGY"/>
    <s v="COIMBATORE"/>
    <s v="TS 05 120 HN"/>
    <x v="6"/>
    <s v="CHLE560289"/>
    <s v="ccs007 "/>
    <s v="30.08.2011 14:59 "/>
    <s v="30.08.2011 16:00"/>
    <s v="31.08.2011 18:00"/>
    <x v="1"/>
    <n v="26"/>
    <n v="27"/>
    <m/>
    <m/>
    <s v="Out of Warranty"/>
    <m/>
  </r>
  <r>
    <n v="1165"/>
    <s v="'300B0486 "/>
    <s v="ARUNA SERVICE STATION"/>
    <s v="MAYILADURAI"/>
    <s v="TS 05 120 HN"/>
    <x v="6"/>
    <s v="CKBE560654"/>
    <s v="ccs014 "/>
    <s v="29.08.2011 10:37 "/>
    <s v="29.08.2011 10:40"/>
    <s v="30.08.2011 14:00"/>
    <x v="1"/>
    <n v="27"/>
    <n v="27"/>
    <m/>
    <m/>
    <s v="Warranty Commissioning"/>
    <m/>
  </r>
  <r>
    <n v="1166"/>
    <s v="'300B0485 "/>
    <s v="SANKAR"/>
    <s v="MAYILADURAI"/>
    <s v="TS 05 120 HN"/>
    <x v="6"/>
    <s v="CKCE560946"/>
    <s v="ccs014 "/>
    <s v="29.08.2011 10:15 "/>
    <s v="30.08.2011 10:00"/>
    <s v="30.08.2011 12:00"/>
    <x v="1"/>
    <n v="2"/>
    <n v="26"/>
    <m/>
    <m/>
    <s v="Warranty Commissioning"/>
    <m/>
  </r>
  <r>
    <n v="1173"/>
    <s v="'300B0412 "/>
    <s v="PICHAIMANI"/>
    <s v="MADURAI"/>
    <s v="TS 05 120 HN"/>
    <x v="6"/>
    <s v="CKLE560356"/>
    <s v="ccs007 "/>
    <s v="08.08.2011 10:52 "/>
    <s v="08.08.2011 10:45"/>
    <s v="08.08.2011 12:20"/>
    <x v="1"/>
    <n v="2"/>
    <n v="1"/>
    <m/>
    <m/>
    <s v="Warranty Commissioning"/>
    <m/>
  </r>
  <r>
    <n v="1174"/>
    <s v="'300B0405 "/>
    <s v="BEST MOTORS PVT LTD"/>
    <s v="MADURAI"/>
    <s v="TS 05 120 HN"/>
    <x v="6"/>
    <s v="CKAE560546"/>
    <s v="ccs005 "/>
    <s v="05.08.2011 11:27 "/>
    <s v="05.08.2011 11:30"/>
    <s v="05.08.2011 14:00"/>
    <x v="1"/>
    <n v="3"/>
    <n v="3"/>
    <m/>
    <m/>
    <s v="Warranty Commissioning"/>
    <m/>
  </r>
  <r>
    <n v="1175"/>
    <s v="'300B0396 "/>
    <s v="SRI GANESH AGENCIES"/>
    <s v="KUMBAKONAM"/>
    <s v="TS05"/>
    <x v="6"/>
    <s v="D300B0396"/>
    <s v="ccs005 "/>
    <s v="01.08.2011 16:19 "/>
    <s v="02.08.2011 10:00"/>
    <s v="04.08.2011 10:00"/>
    <x v="1"/>
    <n v="48"/>
    <n v="66"/>
    <m/>
    <m/>
    <s v="Out of Warranty"/>
    <m/>
  </r>
  <r>
    <n v="1176"/>
    <s v="'300B0375 "/>
    <s v="AYYAPPA AGENCIES"/>
    <s v="ARIYALUR"/>
    <s v="TS05120"/>
    <x v="6"/>
    <s v="D300B0375"/>
    <s v="ccs014 "/>
    <s v="26.07.2011 15:53 "/>
    <s v="27.07.2011 09:00"/>
    <s v="28.07.2011 10:10"/>
    <x v="1"/>
    <n v="25"/>
    <n v="42"/>
    <m/>
    <m/>
    <s v="Out of Warranty"/>
    <m/>
  </r>
  <r>
    <n v="1178"/>
    <s v="'300B0345 "/>
    <s v="MICROSON CONTROL DEVICES PVT LTD"/>
    <s v="COIMBATORE"/>
    <s v="TS05120"/>
    <x v="6"/>
    <s v="D300B0345"/>
    <s v="ccs007 "/>
    <s v="19.07.2011 10:49 "/>
    <s v="19.07.2011 10:45"/>
    <s v="21.07.2011 16:30"/>
    <x v="1"/>
    <n v="52"/>
    <n v="54"/>
    <m/>
    <m/>
    <s v="Out of Warranty"/>
    <m/>
  </r>
  <r>
    <n v="1186"/>
    <s v="'300B0224 "/>
    <s v="SRI MUTHUKUMARAN TRADERS"/>
    <s v="COIMBATORE"/>
    <s v="TS05"/>
    <x v="6"/>
    <n v="19587"/>
    <s v="ccs003 "/>
    <s v="15.06.2011 18:08 "/>
    <s v="16.06.2011 10:00"/>
    <s v="17.06.2011 19:00"/>
    <x v="1"/>
    <n v="33"/>
    <n v="49"/>
    <m/>
    <m/>
    <s v="Out of Warranty"/>
    <m/>
  </r>
  <r>
    <n v="1187"/>
    <s v="'300B0208 "/>
    <s v="GT AUTOMOTIVE PVT LTD"/>
    <s v="KARUR"/>
    <s v="TS 05 NS 220L"/>
    <x v="6"/>
    <s v="CJFE561525"/>
    <s v="ccs002 "/>
    <s v="10.06.2011 17:49 "/>
    <s v="11.06.2011 09:00"/>
    <s v="11.06.2011 11:00"/>
    <x v="1"/>
    <n v="1"/>
    <n v="17"/>
    <m/>
    <m/>
    <s v="Out of Warranty"/>
    <m/>
  </r>
  <r>
    <n v="1194"/>
    <s v="'300B0063 "/>
    <s v="ARASU HYUNDAI"/>
    <s v="TRICHY"/>
    <s v="TS 05"/>
    <x v="6"/>
    <s v="D300B0063"/>
    <s v="ccs003 "/>
    <s v="23.04.2011 09:51 "/>
    <s v="23.04.2011 10:00"/>
    <s v="23.04.2011 13:00"/>
    <x v="1"/>
    <n v="3"/>
    <n v="3"/>
    <m/>
    <m/>
    <s v="Annual Maintenance contract"/>
    <m/>
  </r>
  <r>
    <n v="1202"/>
    <s v="'300A1061 "/>
    <s v="COCO KOMANGALAM PUDUR"/>
    <s v="TIRUPUR"/>
    <s v="TS05120"/>
    <x v="6"/>
    <s v="D300A1061"/>
    <s v="ccs003 "/>
    <s v="28.02.2011 17:28 "/>
    <s v="01.03.2011 09:00"/>
    <s v="01.03.2011 09:30"/>
    <x v="1"/>
    <n v="1"/>
    <n v="16"/>
    <m/>
    <m/>
    <s v="Out of Warranty"/>
    <m/>
  </r>
  <r>
    <n v="1208"/>
    <s v="'300A0800 "/>
    <s v="VENKATESHWARA AGENCIES"/>
    <s v="COIMBATORE"/>
    <s v="TS05120"/>
    <x v="6"/>
    <n v="19952"/>
    <s v="ccs002 "/>
    <s v="04.01.2011 09:25 "/>
    <s v="04.01.2011 12:00"/>
    <s v="04.01.2011 13:30"/>
    <x v="11"/>
    <n v="2"/>
    <n v="4"/>
    <m/>
    <m/>
    <s v="Out of Warranty"/>
    <m/>
  </r>
  <r>
    <n v="1217"/>
    <s v="'300A0434 "/>
    <s v="SRI SARAVANA FUELS"/>
    <s v="TIRUPPUR"/>
    <s v="TS05"/>
    <x v="6"/>
    <s v="D300A0434"/>
    <s v="ccs001 "/>
    <s v="18.09.2010 10:03 "/>
    <s v="18.09.2010 10:15"/>
    <s v="21.09.2010 17:30"/>
    <x v="11"/>
    <n v="79"/>
    <n v="79"/>
    <m/>
    <m/>
    <s v="Out of Warranty"/>
    <m/>
  </r>
  <r>
    <n v="1220"/>
    <s v="'300A0373 "/>
    <s v="BHAIYALAKSHMI ENTERPRISES"/>
    <s v="Coimbatore"/>
    <s v="TS05120"/>
    <x v="6"/>
    <n v="22147"/>
    <s v="ccs007 "/>
    <s v="25.08.2010 17:18 "/>
    <s v="26.08.2010 10:00"/>
    <s v="27.08.2010 15:30"/>
    <x v="11"/>
    <n v="30"/>
    <n v="46"/>
    <m/>
    <m/>
    <s v="Out of Warranty"/>
    <m/>
  </r>
  <r>
    <n v="1222"/>
    <s v="'300A0292 "/>
    <s v="RAMAKRISHNA YARN CARRIER LTD"/>
    <s v="COIMBATORE"/>
    <s v="TS05120"/>
    <x v="6"/>
    <n v="21992"/>
    <s v="ccs004 "/>
    <s v="17.07.2010 15:22 "/>
    <s v="17.07.2010 15:30"/>
    <s v="23.07.2010 16:00"/>
    <x v="11"/>
    <n v="145"/>
    <n v="145"/>
    <m/>
    <m/>
    <s v="Out of Warranty"/>
    <m/>
  </r>
  <r>
    <n v="1233"/>
    <s v="'300A0087 "/>
    <s v="SRI KANNAN MILLS"/>
    <s v="Erode"/>
    <s v="TS 05 120 HN"/>
    <x v="6"/>
    <s v="CILE560310"/>
    <s v="ccs001 "/>
    <s v="28.04.2010 10:38 "/>
    <s v="28.04.2010 11:00"/>
    <s v="03.05.2010 16:00"/>
    <x v="11"/>
    <n v="125"/>
    <n v="125"/>
    <m/>
    <m/>
    <s v="Out of Warranty"/>
    <m/>
  </r>
  <r>
    <n v="1237"/>
    <s v="'30091120 "/>
    <s v="ABGA PETRO FILLING STATION"/>
    <s v="Coimbatore"/>
    <s v="TS05"/>
    <x v="6"/>
    <n v="23969"/>
    <s v="ccs003 "/>
    <s v="01.03.2010 11:19 "/>
    <s v="02.03.2010 10:00"/>
    <s v="06.03.2010 15:00"/>
    <x v="11"/>
    <n v="102"/>
    <n v="124"/>
    <m/>
    <m/>
    <s v="Out of Warranty"/>
    <m/>
  </r>
  <r>
    <n v="1248"/>
    <s v="'30090338 "/>
    <s v="RAMAKRISHNA YARN CARRIER LTD"/>
    <s v="Coimbatore"/>
    <s v="TS05120"/>
    <x v="6"/>
    <n v="21992"/>
    <s v="ccs001 "/>
    <s v="13.07.2009 14:37 "/>
    <s v="13.07.2009 14:45"/>
    <s v="13.07.2009 18:00"/>
    <x v="4"/>
    <n v="3"/>
    <n v="3"/>
    <m/>
    <m/>
    <s v="Out of Warranty"/>
    <m/>
  </r>
  <r>
    <n v="1254"/>
    <s v="'30090208 "/>
    <s v="KALPANA AGENCIES"/>
    <s v="Coimbatore"/>
    <s v="TS05120"/>
    <x v="6"/>
    <n v="24365"/>
    <s v="ccs007 "/>
    <s v="10.06.2009 14:20 "/>
    <s v="10.06.2009 10:00"/>
    <s v="16.06.2009 18:00"/>
    <x v="4"/>
    <n v="128"/>
    <n v="148"/>
    <m/>
    <m/>
    <s v="Out of Warranty"/>
    <m/>
  </r>
  <r>
    <n v="1255"/>
    <s v="'30090132 "/>
    <s v="ARASU HYUNDAI"/>
    <s v="TRICHY"/>
    <s v="TS 05 120 HN"/>
    <x v="6"/>
    <s v="CHBE560241"/>
    <s v="ccs002 "/>
    <s v="20.05.2009 11:40 "/>
    <s v="20.05.2009 12:00"/>
    <s v="26.05.2009 14:00"/>
    <x v="4"/>
    <n v="146"/>
    <n v="146"/>
    <m/>
    <m/>
    <s v="Out of Warranty"/>
    <m/>
  </r>
  <r>
    <n v="1259"/>
    <s v="'30090039 "/>
    <s v="BALAMANIKAR FUELS"/>
    <s v="COIMBATORE"/>
    <s v="TS05"/>
    <x v="6"/>
    <n v="24068"/>
    <s v="ccs002 "/>
    <s v="14.04.2009 19:11 "/>
    <s v="15.04.2009 09:00"/>
    <s v="15.04.2009 16:30"/>
    <x v="4"/>
    <n v="8"/>
    <n v="21"/>
    <m/>
    <m/>
    <s v="Out of Warranty"/>
    <m/>
  </r>
  <r>
    <n v="1275"/>
    <s v="'30080743 "/>
    <s v="KUMARAN AGENCIES"/>
    <s v="Coimbatore"/>
    <s v="TS05120"/>
    <x v="6"/>
    <n v="90231"/>
    <s v="ccs001 "/>
    <s v="31.10.2008 12:15 "/>
    <s v="31.10.2008 12:15"/>
    <s v="31.10.2008 15:30"/>
    <x v="5"/>
    <n v="3"/>
    <n v="3"/>
    <m/>
    <m/>
    <s v="Out of Warranty"/>
    <m/>
  </r>
  <r>
    <n v="1276"/>
    <s v="'30080733 "/>
    <s v="SRI MURUGAN WATER SERVICE"/>
    <s v="Trichy"/>
    <s v="TS 05 120 HN"/>
    <x v="6"/>
    <s v="CHFE560739"/>
    <s v="ccs001 "/>
    <s v="29.10.2008 14:29 "/>
    <s v="29.10.2008 14:15"/>
    <s v="29.10.2008 17:00"/>
    <x v="5"/>
    <n v="3"/>
    <n v="3"/>
    <m/>
    <m/>
    <s v="Warranty Commissioning"/>
    <m/>
  </r>
  <r>
    <n v="1279"/>
    <s v="'30080673 "/>
    <s v="ARASU HYUNDAI"/>
    <s v="Trichy"/>
    <s v="TS 05 120 HN"/>
    <x v="6"/>
    <s v="CHBE560241"/>
    <s v="ccs001 "/>
    <s v="07.10.2008 13:49 "/>
    <s v="07.10.2008 14:10"/>
    <s v="08.10.2008 13:00"/>
    <x v="5"/>
    <n v="23"/>
    <n v="23"/>
    <m/>
    <m/>
    <s v="Warranty Commissioning"/>
    <m/>
  </r>
  <r>
    <n v="1284"/>
    <s v="'30080570 "/>
    <s v="MURUGAN TYRES-"/>
    <s v="RamanathapuramMadurai"/>
    <s v="TS 05 120 HN"/>
    <x v="6"/>
    <s v="CHCE560278"/>
    <s v="ccs001 "/>
    <s v="11.09.2008 13:02 "/>
    <s v="11.09.2008 13:05"/>
    <s v="13.09.2008 19:00"/>
    <x v="5"/>
    <n v="54"/>
    <n v="54"/>
    <m/>
    <m/>
    <s v="Warranty Commissioning"/>
    <m/>
  </r>
  <r>
    <n v="1296"/>
    <s v="'30080448 "/>
    <s v="SRI RAMAKRISHNA YARN CARRIERS LTD"/>
    <s v="Coimbatore"/>
    <s v="TS05"/>
    <x v="6"/>
    <s v="D30080448"/>
    <s v="ccs004 "/>
    <s v="09.08.2008 20:58 "/>
    <s v="11.08.2008 13:00"/>
    <s v="13.08.2008 12:00"/>
    <x v="5"/>
    <n v="51"/>
    <n v="87"/>
    <m/>
    <m/>
    <s v="Out of Warranty"/>
    <m/>
  </r>
  <r>
    <n v="1301"/>
    <s v="'30080279 "/>
    <s v="SRUTHI AGENCIES"/>
    <s v="COIMBATORE"/>
    <s v="TS05120"/>
    <x v="6"/>
    <n v="20197"/>
    <s v="ccs002 "/>
    <s v="28.06.2008 20:53 "/>
    <s v="04.07.2008 09:00"/>
    <s v="07.07.2008 14:00"/>
    <x v="5"/>
    <n v="172"/>
    <n v="209"/>
    <m/>
    <m/>
    <s v="Out of Warranty"/>
    <m/>
  </r>
  <r>
    <n v="1311"/>
    <s v="'30085699 "/>
    <s v="SUDHASH AGENCIES"/>
    <s v="Karikudi"/>
    <s v="TS05"/>
    <x v="6"/>
    <s v="D30085699"/>
    <s v="ccs003 "/>
    <s v="03.04.2008 12:24 "/>
    <s v="04.04.2008 09:30"/>
    <s v="12.04.2008 15:00"/>
    <x v="5"/>
    <n v="198"/>
    <n v="219"/>
    <m/>
    <m/>
    <s v="Out of Warranty"/>
    <m/>
  </r>
  <r>
    <n v="1315"/>
    <s v="'30075530 "/>
    <s v="MRG AGENCIES"/>
    <s v="THIRUVARUR"/>
    <s v="TS05120"/>
    <x v="6"/>
    <n v="21768"/>
    <s v="ccs002 "/>
    <s v="05.03.2008 18:41 "/>
    <s v="06.03.2008 09:00"/>
    <s v="10.03.2008 11:00"/>
    <x v="5"/>
    <n v="98"/>
    <n v="112"/>
    <m/>
    <m/>
    <s v="Out of Warranty"/>
    <m/>
  </r>
  <r>
    <n v="1324"/>
    <s v="'30075188 "/>
    <s v="ESSILOR INDIA PRIVATE LTD"/>
    <s v="MADURAI"/>
    <s v="TS 05 120 HN"/>
    <x v="6"/>
    <s v="CGHE560005"/>
    <s v="ccs007 "/>
    <s v="28.12.2007 16:02 "/>
    <s v="28.12.2007 16:00"/>
    <s v="05.01.2008 12:00"/>
    <x v="3"/>
    <n v="188"/>
    <n v="188"/>
    <m/>
    <m/>
    <s v="Warranty Commissioning"/>
    <m/>
  </r>
  <r>
    <n v="1325"/>
    <s v="'30075161 "/>
    <s v="MK SYED ASHAD KHADAR &amp; CO--SREE"/>
    <s v="Rajapalayam"/>
    <s v="TS 05 120 HN"/>
    <x v="6"/>
    <s v="CGIE560063"/>
    <s v="ccs004 "/>
    <s v="24.12.2007 10:58 "/>
    <s v="24.12.2007 11:00"/>
    <s v="09.01.2008 15:00"/>
    <x v="3"/>
    <n v="388"/>
    <n v="388"/>
    <m/>
    <m/>
    <s v="Warranty Commissioning"/>
    <m/>
  </r>
  <r>
    <n v="1328"/>
    <s v="'30075075 "/>
    <s v="PLA TRADERS--IOCL DEALER-C"/>
    <s v="Trichy"/>
    <s v="TS05120H"/>
    <x v="6"/>
    <n v="21505"/>
    <s v="ccs001 "/>
    <s v="05.12.2007 18:44 "/>
    <s v="06.12.2007 10:00"/>
    <s v="17.12.2007 12:00"/>
    <x v="3"/>
    <n v="266"/>
    <n v="281"/>
    <m/>
    <m/>
    <s v="Out of Warranty"/>
    <m/>
  </r>
  <r>
    <n v="1331"/>
    <s v="'30074991 "/>
    <s v="PARTHIBAN WATER SERVICE--SREE"/>
    <s v="Virudhachalam"/>
    <s v="TS05120HN-220L"/>
    <x v="6"/>
    <n v="28339"/>
    <s v="ccs001 "/>
    <s v="21.11.2007 16:57 "/>
    <s v="21.11.2007 17:00"/>
    <s v="23.11.2007 18:00"/>
    <x v="3"/>
    <n v="49"/>
    <n v="49"/>
    <m/>
    <m/>
    <m/>
    <m/>
  </r>
  <r>
    <n v="1338"/>
    <s v="'30074428 "/>
    <s v="ROMAN TARMAT LTD"/>
    <s v="TRICHI"/>
    <s v="TS05120HN-220L"/>
    <x v="6"/>
    <n v="27438"/>
    <s v="ccs005 "/>
    <s v="13.07.2007 15:02 "/>
    <s v="14.07.2007 10:00"/>
    <s v="16.07.2007 17:30"/>
    <x v="3"/>
    <n v="56"/>
    <n v="74"/>
    <m/>
    <m/>
    <m/>
    <m/>
  </r>
  <r>
    <n v="1339"/>
    <s v="'30074422 "/>
    <s v="WORTH INDUSTRIES -- SREE"/>
    <s v="Trichy"/>
    <s v="TS05120HN-220L"/>
    <x v="6"/>
    <n v="28024"/>
    <s v="ccs005 "/>
    <s v="12.07.2007 14:48 "/>
    <s v="12.07.2007 15:00"/>
    <s v="12.07.2007 16:00"/>
    <x v="3"/>
    <n v="1"/>
    <n v="1"/>
    <m/>
    <m/>
    <m/>
    <m/>
  </r>
  <r>
    <n v="1358"/>
    <s v="'30063874 "/>
    <s v="SRI SREENIVASA MACHINE WORKS--SREE"/>
    <s v="Coimbatore"/>
    <s v="TS05120HN-220L"/>
    <x v="6"/>
    <n v="26024"/>
    <s v="ccs001 "/>
    <s v="05.03.2007 09:54 "/>
    <s v="05.03.2007 09:55"/>
    <s v="05.03.2007 12:15"/>
    <x v="3"/>
    <n v="2"/>
    <n v="2"/>
    <m/>
    <m/>
    <m/>
    <m/>
  </r>
  <r>
    <n v="1367"/>
    <s v="'30063184 "/>
    <s v="TEXMO INDUSTRIES--SREE"/>
    <s v="Coimbatore"/>
    <s v="TS05120"/>
    <x v="6"/>
    <n v="26879"/>
    <s v="ccs001 "/>
    <s v="29.09.2006 11:07 "/>
    <s v="29.09.2006 11:15"/>
    <s v="29.09.2006 15:30"/>
    <x v="12"/>
    <n v="0"/>
    <n v="4"/>
    <m/>
    <m/>
    <m/>
    <m/>
  </r>
  <r>
    <n v="1373"/>
    <s v="'30063029 "/>
    <s v="BALASANKA TVS -- C"/>
    <s v="Virudhunagar"/>
    <s v="TS05120HN-220L"/>
    <x v="6"/>
    <n v="26473"/>
    <s v="ccs001 "/>
    <s v="24.08.2006 18:52 "/>
    <s v="24.08.2006 19:00"/>
    <s v="29.08.2006 16:00"/>
    <x v="12"/>
    <n v="0"/>
    <n v="117"/>
    <m/>
    <m/>
    <m/>
    <m/>
  </r>
  <r>
    <n v="1380"/>
    <s v="'30062746 "/>
    <s v="IYYAN SPINNING MILL -- SREE"/>
    <s v="Avinashi"/>
    <s v="TS 05"/>
    <x v="6"/>
    <s v="D30062746"/>
    <s v="ccs001 "/>
    <s v="11.07.2006 12:04 "/>
    <s v="11.07.2006 12:30"/>
    <s v="18.07.2006 19:00"/>
    <x v="12"/>
    <n v="0"/>
    <n v="175"/>
    <m/>
    <m/>
    <m/>
    <m/>
  </r>
  <r>
    <n v="1384"/>
    <s v="'30062721 "/>
    <s v="VST MOTORS -- SREE"/>
    <s v="Trichy"/>
    <s v="TS 05"/>
    <x v="6"/>
    <n v="26201"/>
    <s v="ccs001 "/>
    <s v="06.07.2006 14:57 "/>
    <s v="07.07.2006 09:00"/>
    <s v="07.07.2006 16:30"/>
    <x v="12"/>
    <n v="0"/>
    <n v="26"/>
    <m/>
    <m/>
    <m/>
    <m/>
  </r>
  <r>
    <n v="1385"/>
    <s v="'30062720 "/>
    <s v="A ELANGOVAN"/>
    <s v="Trichy"/>
    <s v="TS 05"/>
    <x v="6"/>
    <n v="26412"/>
    <s v="ccs001 "/>
    <s v="06.07.2006 14:48 "/>
    <s v="06.07.2006 15:00"/>
    <s v="06.07.2006 22:30"/>
    <x v="12"/>
    <n v="0"/>
    <n v="8"/>
    <m/>
    <m/>
    <m/>
    <m/>
  </r>
  <r>
    <n v="1389"/>
    <s v="'30062583 "/>
    <s v="GRAHAM ENTERPRISES-SREE"/>
    <s v="Madurai"/>
    <s v="TS 05 PETRO(G5)"/>
    <x v="6"/>
    <n v="20907"/>
    <s v="ccs001 "/>
    <s v="19.06.2006 12:03 "/>
    <s v="19.06.2006 12:15"/>
    <s v="20.06.2006 13:00"/>
    <x v="12"/>
    <n v="0"/>
    <n v="25"/>
    <m/>
    <m/>
    <m/>
    <m/>
  </r>
  <r>
    <n v="1392"/>
    <s v="'30062491 "/>
    <s v="SRI ARUNACHALAM ENTERPRISES--SREE"/>
    <s v="Dhalmiyapuram"/>
    <s v="TS 05"/>
    <x v="6"/>
    <n v="23347"/>
    <s v="ccs001 "/>
    <s v="07.06.2006 10:55 "/>
    <s v="07.06.2006 11:00"/>
    <s v="14.06.2006 14:30"/>
    <x v="12"/>
    <n v="0"/>
    <n v="172"/>
    <m/>
    <m/>
    <m/>
    <m/>
  </r>
  <r>
    <n v="1395"/>
    <s v="'30062479 "/>
    <s v="SHANTHY POWER COATING--SREE"/>
    <s v="Trichy"/>
    <s v="TS 05"/>
    <x v="6"/>
    <n v="26236"/>
    <s v="ccs001 "/>
    <s v="06.06.2006 12:24 "/>
    <s v="06.06.2006 12:30"/>
    <s v="06.06.2006 18:00"/>
    <x v="12"/>
    <n v="0"/>
    <n v="6"/>
    <m/>
    <m/>
    <m/>
    <m/>
  </r>
  <r>
    <n v="1396"/>
    <s v="'30062478 "/>
    <s v="KARTHIK MODERN RICE MILL--SREE"/>
    <s v="Trichy"/>
    <s v="TS 05"/>
    <x v="6"/>
    <n v="26439"/>
    <s v="ccs001 "/>
    <s v="06.06.2006 10:18 "/>
    <s v="06.06.2006 10:30"/>
    <s v="06.06.2006 12:30"/>
    <x v="12"/>
    <n v="0"/>
    <n v="2"/>
    <m/>
    <m/>
    <m/>
    <m/>
  </r>
  <r>
    <n v="1399"/>
    <s v="'30062347 "/>
    <s v="AUNACHAL MOTORS"/>
    <s v="Madurai"/>
    <s v="TS 05"/>
    <x v="6"/>
    <n v="23583"/>
    <s v="ccs001 "/>
    <s v="17.05.2006 12:26 "/>
    <s v="17.05.2006 12:30"/>
    <s v="17.05.2006 17:00"/>
    <x v="12"/>
    <n v="0"/>
    <n v="5"/>
    <m/>
    <m/>
    <m/>
    <m/>
  </r>
  <r>
    <n v="1401"/>
    <s v="'30062159 "/>
    <s v="VOLVOX ENGINEERING PVT LTD--SREE"/>
    <s v="Trichy"/>
    <s v="TS 05"/>
    <x v="6"/>
    <n v="24852"/>
    <s v="ccs001 "/>
    <s v="17.04.2006 11:25 "/>
    <s v="17.04.2006 11:30"/>
    <s v="18.04.2006 17:00"/>
    <x v="12"/>
    <n v="0"/>
    <n v="30"/>
    <m/>
    <m/>
    <m/>
    <m/>
  </r>
  <r>
    <n v="1402"/>
    <s v="'30062091 "/>
    <s v="MUTHU PIPES PVC PLANT--SREE"/>
    <s v="Trichy"/>
    <s v="TS 05"/>
    <x v="6"/>
    <s v="D30062091"/>
    <s v="ccs001 "/>
    <s v="04.04.2006 17:03 "/>
    <s v="05.04.2006 09:00"/>
    <s v="13.04.2006 14:30"/>
    <x v="12"/>
    <n v="0"/>
    <n v="213"/>
    <m/>
    <m/>
    <m/>
    <m/>
  </r>
  <r>
    <n v="1405"/>
    <s v="'30051729 "/>
    <s v="SREE SRINIVASA M/C WORKS--SREE"/>
    <s v="Coimbatore"/>
    <s v="TS 05"/>
    <x v="6"/>
    <n v="26024"/>
    <s v="ccs001 "/>
    <s v="25.01.2006 14:34 "/>
    <s v="25.01.2006 14:45"/>
    <s v="28.01.2006 12:00"/>
    <x v="0"/>
    <n v="0"/>
    <n v="69"/>
    <m/>
    <m/>
    <m/>
    <m/>
  </r>
  <r>
    <n v="1412"/>
    <m/>
    <s v="SRS Mining, KPS Thottam, Kulithalai, Karur"/>
    <s v="Karur"/>
    <s v="TS05/220"/>
    <x v="6"/>
    <n v="33367"/>
    <m/>
    <m/>
    <m/>
    <m/>
    <x v="13"/>
    <m/>
    <m/>
    <m/>
    <m/>
    <m/>
    <n v="7402733176"/>
  </r>
  <r>
    <n v="1418"/>
    <m/>
    <s v="Sri Sai Ram Petrols, Dealer HPCL, MP Thottam, Pitchampalayam Pudur, Tirupur"/>
    <s v="Tirupur"/>
    <s v="TS05/220"/>
    <x v="6"/>
    <n v="48259"/>
    <m/>
    <m/>
    <m/>
    <m/>
    <x v="13"/>
    <m/>
    <m/>
    <m/>
    <m/>
    <m/>
    <m/>
  </r>
  <r>
    <n v="1420"/>
    <m/>
    <s v="Bravo Impex, F1, Garden, 441/2A, Sevanthampalayam Road, Muthanampalayam Post Tirupur"/>
    <s v="Tirupur"/>
    <s v="TS05/220"/>
    <x v="6"/>
    <n v="48506"/>
    <m/>
    <m/>
    <m/>
    <m/>
    <x v="13"/>
    <m/>
    <m/>
    <m/>
    <m/>
    <m/>
    <s v="0421-6536004"/>
  </r>
  <r>
    <n v="1421"/>
    <m/>
    <s v="Core Automotive Equipment, 1-H, Trishank Apparments, GKD Nagar, P.N.Palayam, Cbe"/>
    <s v="P.N.Palayam"/>
    <s v="TS05/220"/>
    <x v="6"/>
    <n v="48566"/>
    <m/>
    <m/>
    <m/>
    <m/>
    <x v="13"/>
    <m/>
    <m/>
    <m/>
    <m/>
    <m/>
    <m/>
  </r>
  <r>
    <n v="1422"/>
    <m/>
    <s v="Vivek Furniture, 47-P.Kangayam Road, Near DSK Hospital, Tirupur"/>
    <s v="Tirupur"/>
    <s v="TS05/220"/>
    <x v="6"/>
    <n v="48607"/>
    <m/>
    <m/>
    <m/>
    <m/>
    <x v="13"/>
    <m/>
    <m/>
    <m/>
    <m/>
    <m/>
    <s v="0421-4355759"/>
  </r>
  <r>
    <n v="1429"/>
    <m/>
    <s v="Bison Knitting Company, 505, P.N.Road, Tirupur"/>
    <s v="Tirupur"/>
    <s v="TS05/220"/>
    <x v="6"/>
    <n v="48971"/>
    <m/>
    <m/>
    <m/>
    <m/>
    <x v="13"/>
    <m/>
    <m/>
    <m/>
    <m/>
    <m/>
    <m/>
  </r>
  <r>
    <n v="1430"/>
    <m/>
    <s v="Sri Gomuki Tex Chem Pvt Ltd, 1/93, Mylampatti, Coimbatore"/>
    <s v="Mylampatti"/>
    <s v="TS05/220"/>
    <x v="6"/>
    <n v="48999"/>
    <m/>
    <m/>
    <m/>
    <m/>
    <x v="13"/>
    <m/>
    <m/>
    <m/>
    <m/>
    <m/>
    <n v="9944044772"/>
  </r>
  <r>
    <n v="1440"/>
    <m/>
    <s v="Eipar Engineering, 134/2, Palli Street, Chinnavedampatti Post, Ganapathy, Cbe"/>
    <s v="Cbe"/>
    <s v="TS05/220"/>
    <x v="6"/>
    <n v="49401"/>
    <m/>
    <m/>
    <m/>
    <m/>
    <x v="13"/>
    <m/>
    <m/>
    <m/>
    <m/>
    <m/>
    <n v="9865039900"/>
  </r>
  <r>
    <n v="1447"/>
    <m/>
    <s v="K.C.Mills, 10-A, Thanneer Pandal, V.K.Road, Cbe"/>
    <s v="Thaneer Pandal"/>
    <s v="TS05/220"/>
    <x v="6"/>
    <n v="49711"/>
    <m/>
    <m/>
    <m/>
    <m/>
    <x v="13"/>
    <m/>
    <m/>
    <m/>
    <m/>
    <m/>
    <n v="9345075684"/>
  </r>
  <r>
    <n v="1449"/>
    <m/>
    <s v="Sri Pathi Paper Cones , Coimbatore"/>
    <s v="Cbe"/>
    <s v="TS05/220"/>
    <x v="6"/>
    <n v="32722"/>
    <m/>
    <m/>
    <m/>
    <m/>
    <x v="13"/>
    <m/>
    <m/>
    <m/>
    <m/>
    <m/>
    <m/>
  </r>
  <r>
    <n v="1453"/>
    <m/>
    <s v="Sri Lakosha Polymer Pvt Ltd, 2/100,NH-47,Near Teachers Colony, Thekkalur Post, Avinashi TK"/>
    <s v="Thekkalur"/>
    <s v="TS05/220"/>
    <x v="6"/>
    <n v="50015"/>
    <m/>
    <m/>
    <m/>
    <m/>
    <x v="13"/>
    <m/>
    <m/>
    <m/>
    <m/>
    <m/>
    <m/>
  </r>
  <r>
    <n v="1456"/>
    <m/>
    <s v="Viking Knitters, No:4, VOC Nagar, Ist Street, Tirupur"/>
    <s v="Tirupur"/>
    <s v="TS05/220"/>
    <x v="6"/>
    <n v="50200"/>
    <m/>
    <m/>
    <m/>
    <m/>
    <x v="13"/>
    <m/>
    <m/>
    <m/>
    <m/>
    <m/>
    <s v="0421-2244840"/>
  </r>
  <r>
    <n v="1458"/>
    <m/>
    <s v="Industrial Engineering Stores, 10/3, Cherian Road, Cbe"/>
    <s v="Cbe"/>
    <s v="TS05/220"/>
    <x v="6"/>
    <n v="50352"/>
    <m/>
    <m/>
    <m/>
    <m/>
    <x v="13"/>
    <m/>
    <m/>
    <m/>
    <m/>
    <m/>
    <n v="8015721244"/>
  </r>
  <r>
    <n v="1459"/>
    <m/>
    <s v="Reythm Knits,693/1, Ramabiran colony, Dharapuram Road, Tirupur"/>
    <s v="Tirupur"/>
    <s v="TS05/220"/>
    <x v="6"/>
    <n v="50405"/>
    <m/>
    <m/>
    <m/>
    <m/>
    <x v="13"/>
    <m/>
    <m/>
    <m/>
    <m/>
    <m/>
    <n v="9003308596"/>
  </r>
  <r>
    <n v="1467"/>
    <m/>
    <s v="United Institue of Technology, G.Koundampalayam, Periyanaickenpalayam, Coimbatore-641 020"/>
    <s v="Periyanaickenpalayam"/>
    <s v="TS05/220"/>
    <x v="6"/>
    <n v="50964"/>
    <m/>
    <m/>
    <m/>
    <m/>
    <x v="13"/>
    <m/>
    <m/>
    <m/>
    <m/>
    <m/>
    <n v="9688875555"/>
  </r>
  <r>
    <n v="1474"/>
    <m/>
    <s v="Harish Coconut P Ltd, Unjavelampatti, Pollachi"/>
    <s v="Pollachi"/>
    <s v="TS05/220"/>
    <x v="6"/>
    <n v="33154"/>
    <m/>
    <m/>
    <m/>
    <m/>
    <x v="13"/>
    <m/>
    <m/>
    <m/>
    <m/>
    <m/>
    <n v="9626262841"/>
  </r>
  <r>
    <n v="1476"/>
    <m/>
    <s v="Adhi Vinayakar Enterprises, 199-201, Venkatasamy Road, New Siddhapudur, Cbe"/>
    <s v="Cbe"/>
    <s v="TS05/220"/>
    <x v="6"/>
    <n v="51199"/>
    <m/>
    <m/>
    <m/>
    <m/>
    <x v="13"/>
    <m/>
    <m/>
    <m/>
    <m/>
    <m/>
    <m/>
  </r>
  <r>
    <n v="1477"/>
    <m/>
    <s v="Adhi Vinayakar Enterprises, 199-201, Venkatasamy Road, New Siddhapudur, Cbe"/>
    <s v="Cbe"/>
    <s v="TS05/220"/>
    <x v="6"/>
    <n v="51291"/>
    <m/>
    <m/>
    <m/>
    <m/>
    <x v="13"/>
    <m/>
    <m/>
    <m/>
    <m/>
    <m/>
    <n v="9842215181"/>
  </r>
  <r>
    <n v="1479"/>
    <m/>
    <s v="Akshay Industries, 96/1, Shobha Nagar Road, Elango Nagar,Avarampalayam, Coimbatore"/>
    <s v="Cbe"/>
    <s v="TS05/220"/>
    <x v="6"/>
    <n v="51330"/>
    <m/>
    <m/>
    <m/>
    <m/>
    <x v="13"/>
    <m/>
    <m/>
    <m/>
    <m/>
    <m/>
    <m/>
  </r>
  <r>
    <n v="1488"/>
    <m/>
    <s v="Sri Vignesh Poly Pack, No:25, KRE Lay-out, Tirupur"/>
    <s v="Tirupur"/>
    <s v="TS05/220"/>
    <x v="6"/>
    <n v="51770"/>
    <m/>
    <m/>
    <m/>
    <m/>
    <x v="13"/>
    <m/>
    <m/>
    <m/>
    <m/>
    <m/>
    <s v="0421-2246810"/>
  </r>
  <r>
    <n v="1495"/>
    <m/>
    <s v="Abdul Rasheed, Nadupunni Road, Velandhavalam, Cbe"/>
    <s v="Cbe"/>
    <s v="TS05/220"/>
    <x v="6"/>
    <n v="33465"/>
    <m/>
    <m/>
    <m/>
    <m/>
    <x v="13"/>
    <m/>
    <m/>
    <m/>
    <m/>
    <m/>
    <n v="9447074005"/>
  </r>
  <r>
    <n v="1496"/>
    <m/>
    <s v="Ramamoorthy, Avarampalayam, Cbe"/>
    <s v="Avarampalayam"/>
    <s v="TS05/220"/>
    <x v="6"/>
    <n v="33471"/>
    <m/>
    <m/>
    <m/>
    <m/>
    <x v="13"/>
    <m/>
    <m/>
    <m/>
    <m/>
    <m/>
    <m/>
  </r>
  <r>
    <n v="1501"/>
    <m/>
    <s v="Saira Trading Agencies, 15/3, Chenimalai Andavar Street, Sruvani Road, P.N.Pudur, Cbe"/>
    <s v="P.N.Pudur"/>
    <s v="TS05/220"/>
    <x v="6"/>
    <n v="33532"/>
    <m/>
    <m/>
    <m/>
    <m/>
    <x v="13"/>
    <m/>
    <m/>
    <m/>
    <m/>
    <m/>
    <n v="8940012991"/>
  </r>
  <r>
    <n v="1505"/>
    <m/>
    <s v="We knit Creations, SF.No:482/7, PVG Nagar, Samundipuram South, Gandhi Nagar, Tirupur"/>
    <s v="Tirupur"/>
    <s v="TS05/220"/>
    <x v="6"/>
    <n v="52360"/>
    <m/>
    <m/>
    <m/>
    <m/>
    <x v="13"/>
    <m/>
    <m/>
    <m/>
    <m/>
    <m/>
    <m/>
  </r>
  <r>
    <n v="1509"/>
    <m/>
    <s v="The Indian Public School, 193, Sathy Main Road, S.S.Kulam, Kovilpalayam"/>
    <s v="Kovilpalayam"/>
    <s v="TS05/220"/>
    <x v="6"/>
    <n v="52521"/>
    <m/>
    <m/>
    <m/>
    <m/>
    <x v="13"/>
    <m/>
    <m/>
    <m/>
    <m/>
    <m/>
    <n v="9840549111"/>
  </r>
  <r>
    <n v="1518"/>
    <m/>
    <s v="Prtiyaa Knit Faabs, SF.No:360/B2, Dharapuram Main Road, K.Chettipalayam, Tirupur"/>
    <s v="Tirupur"/>
    <s v="TS05/220"/>
    <x v="6"/>
    <n v="52763"/>
    <m/>
    <m/>
    <m/>
    <m/>
    <x v="13"/>
    <m/>
    <m/>
    <m/>
    <m/>
    <m/>
    <s v="0421-2264555"/>
  </r>
  <r>
    <n v="1525"/>
    <m/>
    <s v="Ess Emm Corporation, 270 GKS Nagar, Sathy Road,Saravanampatti, Coimbatore"/>
    <s v="Saravanampatti"/>
    <s v="TS05/220"/>
    <x v="6"/>
    <n v="52892"/>
    <m/>
    <m/>
    <m/>
    <m/>
    <x v="13"/>
    <m/>
    <m/>
    <m/>
    <m/>
    <m/>
    <n v="4243800"/>
  </r>
  <r>
    <n v="1526"/>
    <m/>
    <s v="Akshay Industries, 96/1, Shobha Nagar Road, Elango Nagar,Avarampalayam, Coimbatore"/>
    <s v="Cbe"/>
    <s v="TS05/220"/>
    <x v="6"/>
    <n v="52898"/>
    <m/>
    <m/>
    <m/>
    <m/>
    <x v="13"/>
    <m/>
    <m/>
    <m/>
    <m/>
    <m/>
    <n v="9344754389"/>
  </r>
  <r>
    <n v="1529"/>
    <m/>
    <s v="Coimbatore Carbons, Shed No:8A, Sidco Industrial Estate Malumachampatti, Cbe"/>
    <s v="Cbe"/>
    <s v="TS05/220"/>
    <x v="6"/>
    <n v="53095"/>
    <m/>
    <m/>
    <m/>
    <m/>
    <x v="13"/>
    <m/>
    <m/>
    <m/>
    <m/>
    <m/>
    <s v="0422-2655040"/>
  </r>
  <r>
    <n v="1530"/>
    <m/>
    <s v="Kodanad Estate, Post Box No:16, Kotagiri Post, The Nilgiris"/>
    <s v="Kotagiri"/>
    <s v="TS05/220"/>
    <x v="6"/>
    <n v="53136"/>
    <m/>
    <m/>
    <m/>
    <m/>
    <x v="13"/>
    <m/>
    <m/>
    <m/>
    <m/>
    <m/>
    <n v="4266270760"/>
  </r>
  <r>
    <n v="1536"/>
    <m/>
    <s v="Jai Polymer, 310/2A, Kannimar Thottam, Chennimalai Palayam, Vijayapuram, Tirupur"/>
    <s v="Tirupur"/>
    <s v="TS05/220"/>
    <x v="6"/>
    <n v="53417"/>
    <m/>
    <m/>
    <m/>
    <m/>
    <x v="13"/>
    <m/>
    <m/>
    <m/>
    <m/>
    <m/>
    <n v="9842919779"/>
  </r>
  <r>
    <n v="1550"/>
    <m/>
    <s v="Global Impex, No:7, Sivakami Nagar Extn, Coimbatore"/>
    <s v="Coimbatore"/>
    <s v="TS05/220"/>
    <x v="6"/>
    <n v="53897"/>
    <m/>
    <m/>
    <m/>
    <m/>
    <x v="13"/>
    <m/>
    <m/>
    <m/>
    <m/>
    <m/>
    <n v="9789281418"/>
  </r>
  <r>
    <n v="1559"/>
    <m/>
    <s v="Rainbow, 2/17, Ulavar Santhai Road, New Bustand, Pitchampalayam, Tirupur"/>
    <s v="Tirupur"/>
    <s v="TS05/220"/>
    <x v="6"/>
    <n v="54404"/>
    <m/>
    <m/>
    <m/>
    <m/>
    <x v="13"/>
    <m/>
    <m/>
    <m/>
    <m/>
    <m/>
    <n v="9865326153"/>
  </r>
  <r>
    <n v="1561"/>
    <m/>
    <s v="Praveen Kumar, "/>
    <s v="Cbe"/>
    <s v="TS05/220"/>
    <x v="6"/>
    <n v="34243"/>
    <m/>
    <m/>
    <m/>
    <m/>
    <x v="13"/>
    <m/>
    <m/>
    <m/>
    <m/>
    <m/>
    <m/>
  </r>
  <r>
    <n v="1565"/>
    <m/>
    <s v="Pravin Tex, 10, Thiruneelakandapuram North, Main Road, Tirupur"/>
    <s v="Tirupur"/>
    <s v="TS05/220"/>
    <x v="6"/>
    <n v="54502"/>
    <m/>
    <m/>
    <m/>
    <m/>
    <x v="13"/>
    <m/>
    <m/>
    <m/>
    <m/>
    <m/>
    <n v="7092996969"/>
  </r>
  <r>
    <n v="1568"/>
    <m/>
    <s v="Imayam Yarn Processing Mill, SF No:330/2A-1, Imayam Garden Pattnam Road, Coimbatore"/>
    <s v="Coimbatore"/>
    <s v="TS05/220"/>
    <x v="6"/>
    <n v="34287"/>
    <m/>
    <m/>
    <m/>
    <m/>
    <x v="13"/>
    <m/>
    <m/>
    <m/>
    <m/>
    <m/>
    <n v="9842257326"/>
  </r>
  <r>
    <n v="1570"/>
    <m/>
    <s v="Pro Knits,Gandhi Nagar, Tirupur"/>
    <s v="Tirupur"/>
    <s v="TS05/220"/>
    <x v="6"/>
    <n v="54620"/>
    <m/>
    <m/>
    <m/>
    <m/>
    <x v="13"/>
    <m/>
    <m/>
    <m/>
    <m/>
    <m/>
    <s v="0421-2477517"/>
  </r>
  <r>
    <n v="1573"/>
    <m/>
    <s v="MSR Engineering Works, 5A-4, Krishnammal Layout, Mettupalayam"/>
    <s v="MTP"/>
    <s v="TS05/220"/>
    <x v="6"/>
    <n v="54692"/>
    <m/>
    <m/>
    <m/>
    <m/>
    <x v="13"/>
    <m/>
    <m/>
    <m/>
    <m/>
    <m/>
    <n v="9629400444"/>
  </r>
  <r>
    <n v="1575"/>
    <m/>
    <s v="Janani Equipments, 47, Masakalipalayam Main Road, Sowripalayam, Cbe"/>
    <s v="Sowripalayam"/>
    <s v="TS05/220"/>
    <x v="6"/>
    <n v="29271"/>
    <m/>
    <m/>
    <m/>
    <m/>
    <x v="13"/>
    <m/>
    <m/>
    <m/>
    <m/>
    <m/>
    <m/>
  </r>
  <r>
    <n v="1577"/>
    <m/>
    <s v="Akshay Industries,96/1,Shobha Nagar Road,Elango Nagar,Avarampalayam Coimbatore"/>
    <s v="Avarampalayam "/>
    <s v="TS05/220"/>
    <x v="6"/>
    <n v="41701"/>
    <m/>
    <m/>
    <m/>
    <m/>
    <x v="13"/>
    <m/>
    <m/>
    <m/>
    <m/>
    <m/>
    <n v="9344754389"/>
  </r>
  <r>
    <n v="1578"/>
    <m/>
    <s v="MG Industries,1/11, V.N&gt;Industrial Estate, Bharathi Colony, Peelamedu, Cbe"/>
    <s v="Peelamedu"/>
    <s v="TS05/220"/>
    <x v="6"/>
    <n v="41714"/>
    <m/>
    <m/>
    <m/>
    <m/>
    <x v="13"/>
    <m/>
    <m/>
    <m/>
    <m/>
    <m/>
    <n v="9952566600"/>
  </r>
  <r>
    <n v="1580"/>
    <m/>
    <s v="Shanthi Feeds Pvt Ltd, 6/15, Main Road, Pappampatti Coimbatore"/>
    <s v="Pappampatti "/>
    <s v="TS05/220"/>
    <x v="6"/>
    <n v="41837"/>
    <m/>
    <m/>
    <m/>
    <m/>
    <x v="13"/>
    <m/>
    <m/>
    <m/>
    <m/>
    <m/>
    <s v="0422-2635000"/>
  </r>
  <r>
    <n v="1581"/>
    <m/>
    <s v="Vee Seven Industries, 192-E5, Pathi Gounder Thottam, Sanganoor Main Road, Ganapathy Coimbatore"/>
    <s v="Ganapathy"/>
    <s v="TS05/220"/>
    <x v="6"/>
    <n v="41953"/>
    <m/>
    <m/>
    <m/>
    <m/>
    <x v="13"/>
    <m/>
    <m/>
    <m/>
    <m/>
    <m/>
    <n v="9894025059"/>
  </r>
  <r>
    <n v="1584"/>
    <m/>
    <s v="Aditya Automobile Spares Pvt Ltd, 9/435, Cross Cut Road, Coimbatore"/>
    <s v="Coimbatore"/>
    <s v="TS05/220"/>
    <x v="6"/>
    <n v="42654"/>
    <m/>
    <m/>
    <m/>
    <m/>
    <x v="13"/>
    <m/>
    <m/>
    <m/>
    <m/>
    <m/>
    <m/>
  </r>
  <r>
    <n v="1585"/>
    <m/>
    <s v="Core Automotive Equipments, No:1, Dr.NRN Layout, 2nd Floor, P.N.Palayam, Cbe"/>
    <s v="Coimbatore"/>
    <s v="TS05/220"/>
    <x v="6"/>
    <n v="42668"/>
    <m/>
    <m/>
    <m/>
    <m/>
    <x v="13"/>
    <m/>
    <m/>
    <m/>
    <m/>
    <m/>
    <m/>
  </r>
  <r>
    <n v="1588"/>
    <m/>
    <s v="Classic Equipments, 1/4, NGR Nagar, ELGI School Back Side, Vellalore, Cbe"/>
    <s v="Vellalore"/>
    <s v="TS05/220"/>
    <x v="6"/>
    <n v="43008"/>
    <m/>
    <m/>
    <m/>
    <m/>
    <x v="13"/>
    <m/>
    <m/>
    <m/>
    <m/>
    <m/>
    <m/>
  </r>
  <r>
    <n v="1589"/>
    <m/>
    <s v="Supreme Industries, 1/142, Stalin Chinnaiyan Thottam, Kannampalayam Road Cbe"/>
    <s v="Kannampalayam"/>
    <s v="TS05/220"/>
    <x v="6"/>
    <n v="30224"/>
    <m/>
    <m/>
    <m/>
    <m/>
    <x v="13"/>
    <m/>
    <m/>
    <m/>
    <m/>
    <m/>
    <m/>
  </r>
  <r>
    <n v="1591"/>
    <m/>
    <s v="Supreme Industries, 1/142, Stalin Chinnaiyan Thottam, Kannampalayam Road Cbe"/>
    <s v="Kannampalayam"/>
    <s v="TS05/220"/>
    <x v="6"/>
    <n v="43623"/>
    <m/>
    <m/>
    <m/>
    <m/>
    <x v="13"/>
    <m/>
    <m/>
    <m/>
    <m/>
    <m/>
    <m/>
  </r>
  <r>
    <n v="1594"/>
    <m/>
    <s v="Tyre Port,715, Kongu Nagar, Ramanathapuram, Coimbatore"/>
    <s v="Ramanathapuram"/>
    <s v="TS05/220"/>
    <x v="6"/>
    <n v="43775"/>
    <m/>
    <m/>
    <m/>
    <m/>
    <x v="13"/>
    <m/>
    <m/>
    <m/>
    <m/>
    <m/>
    <n v="9842460161"/>
  </r>
  <r>
    <n v="1597"/>
    <m/>
    <s v="Gayathri Textiles, 4/718,Kollipannai Thottam, Othimalai Road, Vadakkalur, Annur"/>
    <s v="Annur"/>
    <s v="TS05/220"/>
    <x v="6"/>
    <n v="43903"/>
    <m/>
    <m/>
    <m/>
    <m/>
    <x v="13"/>
    <m/>
    <m/>
    <m/>
    <m/>
    <m/>
    <n v="9842247501"/>
  </r>
  <r>
    <n v="1602"/>
    <m/>
    <s v="AMK Coir Exports, SF 130/2, 130/3, Kumaram Street, Sundaram Avenu, Pollachi"/>
    <s v="Pollachi"/>
    <s v="TS05/220"/>
    <x v="6"/>
    <n v="44252"/>
    <m/>
    <m/>
    <m/>
    <m/>
    <x v="13"/>
    <m/>
    <m/>
    <m/>
    <m/>
    <m/>
    <m/>
  </r>
  <r>
    <n v="1603"/>
    <m/>
    <s v="Selvanayagi Electricals, 63, Kaleeswara Mill Road, Kattoor, Coimbatore"/>
    <s v="Coimbatore"/>
    <s v="TS05/220"/>
    <x v="6"/>
    <n v="44329"/>
    <m/>
    <m/>
    <m/>
    <m/>
    <x v="13"/>
    <m/>
    <m/>
    <m/>
    <m/>
    <m/>
    <n v="9842221251"/>
  </r>
  <r>
    <n v="1605"/>
    <m/>
    <s v="Akshay Industries,96/1,Shobha Nagar Road,Elango Nagar,Avarampalayam Coimbatore"/>
    <s v="Avarampalayam "/>
    <s v="TS05/220"/>
    <x v="6"/>
    <n v="44426"/>
    <m/>
    <m/>
    <m/>
    <m/>
    <x v="13"/>
    <m/>
    <m/>
    <m/>
    <m/>
    <m/>
    <m/>
  </r>
  <r>
    <n v="1606"/>
    <m/>
    <s v="The Maadans Engineering Works, Post Box No:2995 711, Cross Cut Road, Coimbatore"/>
    <s v="Coimbatore"/>
    <s v="TS05/220"/>
    <x v="6"/>
    <n v="44437"/>
    <m/>
    <m/>
    <m/>
    <m/>
    <x v="13"/>
    <m/>
    <m/>
    <m/>
    <m/>
    <m/>
    <n v="9842216768"/>
  </r>
  <r>
    <n v="1607"/>
    <m/>
    <s v="Mak Holdings, 14/264, LN Nagar, Sitra Road, Kalapatti Post CBE"/>
    <s v="Kalapatti"/>
    <s v="TS05/220"/>
    <x v="6"/>
    <n v="44621"/>
    <m/>
    <m/>
    <m/>
    <m/>
    <x v="13"/>
    <m/>
    <m/>
    <m/>
    <m/>
    <m/>
    <n v="7373837773"/>
  </r>
  <r>
    <n v="1608"/>
    <m/>
    <s v="Sri Balaji paper Convertors,-Unit-II, 4/77/2, Bilichi Post, Chinnamathampalayam, Cbe"/>
    <s v="Chinna Mathampalayam"/>
    <s v="TS05/220"/>
    <x v="6"/>
    <n v="30681"/>
    <m/>
    <m/>
    <m/>
    <m/>
    <x v="13"/>
    <m/>
    <m/>
    <m/>
    <m/>
    <m/>
    <n v="9791244491"/>
  </r>
  <r>
    <n v="1615"/>
    <m/>
    <s v="A.K.Associates, 10/1, Extension Main Street, Singanallur, Coimbatore"/>
    <s v="Singanallur"/>
    <s v="TS05/220"/>
    <x v="6"/>
    <n v="45383"/>
    <m/>
    <m/>
    <m/>
    <m/>
    <x v="13"/>
    <m/>
    <m/>
    <m/>
    <m/>
    <m/>
    <m/>
  </r>
  <r>
    <n v="1616"/>
    <m/>
    <s v="Prism Feeds India Pvt Ltd, SF No:107/3B7/107/3B, Kakkadavu Village, Kinathukadavu Cbe"/>
    <s v="Kinathukadavu"/>
    <s v="TS05/220"/>
    <x v="6"/>
    <n v="45410"/>
    <m/>
    <m/>
    <m/>
    <m/>
    <x v="13"/>
    <m/>
    <m/>
    <m/>
    <m/>
    <m/>
    <m/>
  </r>
  <r>
    <n v="1617"/>
    <m/>
    <s v="Kishor, Coimbatore"/>
    <s v="Coimbatore"/>
    <s v="TS05/220"/>
    <x v="6"/>
    <n v="30997"/>
    <m/>
    <m/>
    <m/>
    <m/>
    <x v="13"/>
    <m/>
    <m/>
    <m/>
    <m/>
    <m/>
    <m/>
  </r>
  <r>
    <n v="1622"/>
    <m/>
    <s v="Victory Engineering Works, No:3, Near Hamsaveni Spinners, Mettupalayam Main Road, Press Colony Coimbatore"/>
    <s v="Cbe"/>
    <s v="TS05/220"/>
    <x v="6"/>
    <n v="31165"/>
    <m/>
    <m/>
    <m/>
    <m/>
    <x v="13"/>
    <m/>
    <m/>
    <m/>
    <m/>
    <m/>
    <n v="9994343975"/>
  </r>
  <r>
    <n v="1625"/>
    <m/>
    <s v="Amman Alloys, Site No:C-2A, Muthusamy Industrial Estate, Ganapathy Coimbatore"/>
    <s v="Ganapathy"/>
    <s v="TS05/220"/>
    <x v="6"/>
    <n v="46062"/>
    <m/>
    <m/>
    <m/>
    <m/>
    <x v="13"/>
    <m/>
    <m/>
    <m/>
    <m/>
    <m/>
    <n v="9443353547"/>
  </r>
  <r>
    <n v="1627"/>
    <m/>
    <s v="Commanding Officer, 69, Armed Regiment"/>
    <s v="Cbe"/>
    <s v="TS05/220"/>
    <x v="6"/>
    <n v="46542"/>
    <m/>
    <m/>
    <m/>
    <m/>
    <x v="13"/>
    <m/>
    <m/>
    <m/>
    <m/>
    <m/>
    <m/>
  </r>
  <r>
    <n v="1628"/>
    <m/>
    <s v="Tools World, Calicut Road, Perinthalmanna"/>
    <s v="Cbe"/>
    <s v="TS05/220"/>
    <x v="6"/>
    <n v="46589"/>
    <m/>
    <m/>
    <m/>
    <m/>
    <x v="13"/>
    <m/>
    <m/>
    <m/>
    <m/>
    <m/>
    <n v="9946446015"/>
  </r>
  <r>
    <n v="1631"/>
    <m/>
    <s v="Basher, Velanthavalam Cbe"/>
    <s v="Cbe"/>
    <s v="TS05/220"/>
    <x v="6"/>
    <n v="31508"/>
    <m/>
    <m/>
    <m/>
    <m/>
    <x v="13"/>
    <m/>
    <m/>
    <m/>
    <m/>
    <m/>
    <m/>
  </r>
  <r>
    <n v="1634"/>
    <m/>
    <s v="V.A.Mershad, Cbe"/>
    <s v="Cbe"/>
    <s v="TS05/220"/>
    <x v="6"/>
    <n v="31613"/>
    <m/>
    <m/>
    <m/>
    <m/>
    <x v="13"/>
    <m/>
    <m/>
    <m/>
    <m/>
    <m/>
    <m/>
  </r>
  <r>
    <n v="1637"/>
    <m/>
    <s v="Shree Engineering,3/432, Vairam Nagar, Palladam "/>
    <s v="Palladam"/>
    <s v="TS05/220"/>
    <x v="6"/>
    <n v="31684"/>
    <m/>
    <m/>
    <m/>
    <m/>
    <x v="13"/>
    <m/>
    <m/>
    <m/>
    <m/>
    <m/>
    <n v="8526288874"/>
  </r>
  <r>
    <n v="1639"/>
    <m/>
    <s v="United Jewel  Works Pvt Ltd, 105-D, Mettupalayam Road, GN Mills Post, Coimbatore"/>
    <s v="GN Mills "/>
    <s v="TS05/220"/>
    <x v="6"/>
    <n v="47681"/>
    <m/>
    <m/>
    <m/>
    <m/>
    <x v="13"/>
    <m/>
    <m/>
    <m/>
    <m/>
    <m/>
    <n v="9597778181"/>
  </r>
  <r>
    <n v="1640"/>
    <m/>
    <s v="Global Impex, 7, Sivagami Nagar,SBI Post, Cbe"/>
    <s v="Cbe"/>
    <s v="TS05/220"/>
    <x v="6"/>
    <n v="47742"/>
    <m/>
    <m/>
    <m/>
    <m/>
    <x v="13"/>
    <m/>
    <m/>
    <m/>
    <m/>
    <m/>
    <n v="9789281418"/>
  </r>
  <r>
    <n v="1642"/>
    <m/>
    <s v="Shrri Varee Automation, 22-B, Veeriampalayam, Kalapatti, Cbe"/>
    <s v="Veeriampalayam"/>
    <s v="TS05/220"/>
    <x v="6"/>
    <n v="47901"/>
    <m/>
    <m/>
    <m/>
    <m/>
    <x v="13"/>
    <m/>
    <m/>
    <m/>
    <m/>
    <m/>
    <n v="9655883402"/>
  </r>
  <r>
    <n v="1643"/>
    <m/>
    <s v="Vishal Packs, 10/47, Pudhupalayam, Thondamuthur Road, Deenampalayam, Coimbatore"/>
    <s v="Deenampalayam"/>
    <s v="TS05/220"/>
    <x v="6"/>
    <n v="47902"/>
    <m/>
    <m/>
    <m/>
    <m/>
    <x v="13"/>
    <m/>
    <m/>
    <m/>
    <m/>
    <m/>
    <n v="9443381614"/>
  </r>
  <r>
    <n v="1650"/>
    <m/>
    <s v="Aiswarya Devi.K (Deepak Water Service Station)"/>
    <s v="Ramnad"/>
    <s v="TS05, LL03, PU4, GP50 KG"/>
    <x v="6"/>
    <m/>
    <m/>
    <m/>
    <m/>
    <m/>
    <x v="13"/>
    <m/>
    <m/>
    <m/>
    <m/>
    <m/>
    <m/>
  </r>
  <r>
    <n v="1655"/>
    <m/>
    <s v="AMB Water Service Center"/>
    <s v="Chidambaram"/>
    <s v="TS 05 120H/220L, LL03022, GP50, PU4, 1HP scooter washer, oil"/>
    <x v="6"/>
    <m/>
    <m/>
    <m/>
    <m/>
    <m/>
    <x v="13"/>
    <m/>
    <m/>
    <m/>
    <m/>
    <m/>
    <m/>
  </r>
  <r>
    <n v="1656"/>
    <m/>
    <s v="Amman Auto Diesel Works"/>
    <s v="Thanjavur"/>
    <s v="TS 05 120HN/220L"/>
    <x v="6"/>
    <m/>
    <m/>
    <m/>
    <m/>
    <m/>
    <x v="13"/>
    <m/>
    <m/>
    <m/>
    <m/>
    <m/>
    <m/>
  </r>
  <r>
    <n v="1657"/>
    <m/>
    <s v="Amman Autos Pvt. Ltd"/>
    <s v="Coimbatore"/>
    <s v="TS 05 120H/220L"/>
    <x v="6"/>
    <m/>
    <m/>
    <m/>
    <m/>
    <m/>
    <x v="13"/>
    <m/>
    <m/>
    <m/>
    <m/>
    <m/>
    <m/>
  </r>
  <r>
    <n v="1658"/>
    <m/>
    <s v="Amman Autos Pvt. Ltd"/>
    <s v="Coimbatore"/>
    <s v="TS 05 120HN/220L"/>
    <x v="6"/>
    <m/>
    <m/>
    <m/>
    <m/>
    <m/>
    <x v="13"/>
    <m/>
    <m/>
    <m/>
    <m/>
    <m/>
    <m/>
  </r>
  <r>
    <n v="1660"/>
    <m/>
    <s v="Anu Industries"/>
    <s v="Coimbatore"/>
    <s v="TS 05 120HN/220L"/>
    <x v="6"/>
    <m/>
    <m/>
    <m/>
    <m/>
    <m/>
    <x v="13"/>
    <m/>
    <m/>
    <m/>
    <m/>
    <m/>
    <m/>
  </r>
  <r>
    <n v="1661"/>
    <m/>
    <s v="A-One Super Market"/>
    <s v="Sivagangai Dt"/>
    <s v="TS 05 120HN/220L"/>
    <x v="6"/>
    <m/>
    <m/>
    <m/>
    <m/>
    <m/>
    <x v="13"/>
    <m/>
    <m/>
    <m/>
    <m/>
    <m/>
    <m/>
  </r>
  <r>
    <n v="1662"/>
    <m/>
    <s v="Ariyalakshmi Aqua Farms "/>
    <s v="Madurai"/>
    <s v="TS05 220L"/>
    <x v="6"/>
    <m/>
    <m/>
    <m/>
    <m/>
    <m/>
    <x v="13"/>
    <m/>
    <m/>
    <m/>
    <m/>
    <m/>
    <m/>
  </r>
  <r>
    <n v="1670"/>
    <m/>
    <s v="Beegee Engineering works"/>
    <s v="Cbe"/>
    <s v="TS 05 120HN/220L, ELRD20"/>
    <x v="6"/>
    <m/>
    <m/>
    <m/>
    <m/>
    <m/>
    <x v="13"/>
    <m/>
    <m/>
    <m/>
    <m/>
    <m/>
    <m/>
  </r>
  <r>
    <n v="1677"/>
    <m/>
    <s v="Classic Equipments"/>
    <s v="Coimbatore"/>
    <s v="TS 05 120HN/220L"/>
    <x v="6"/>
    <m/>
    <m/>
    <m/>
    <m/>
    <m/>
    <x v="13"/>
    <m/>
    <m/>
    <m/>
    <m/>
    <m/>
    <m/>
  </r>
  <r>
    <n v="1683"/>
    <m/>
    <s v="G.Kuppusamy Naidu Memorial Hospital"/>
    <s v="Coimbatore"/>
    <s v="TS 05 120HN/220L"/>
    <x v="6"/>
    <m/>
    <m/>
    <m/>
    <m/>
    <m/>
    <x v="13"/>
    <m/>
    <m/>
    <m/>
    <m/>
    <m/>
    <m/>
  </r>
  <r>
    <n v="1685"/>
    <m/>
    <s v="Ganesha Water Service Centre"/>
    <s v="Mannargudi"/>
    <s v="TS 05 120H/220L, LL03022, GP50, PU4, 1HP scooter washer, oil"/>
    <x v="6"/>
    <m/>
    <m/>
    <m/>
    <m/>
    <m/>
    <x v="13"/>
    <m/>
    <m/>
    <m/>
    <m/>
    <m/>
    <m/>
  </r>
  <r>
    <n v="1688"/>
    <m/>
    <s v="GODWIN DESIGNERS"/>
    <s v="COIMBATORE"/>
    <s v="TS05 120HN/220L"/>
    <x v="6"/>
    <m/>
    <m/>
    <m/>
    <m/>
    <m/>
    <x v="13"/>
    <m/>
    <m/>
    <m/>
    <m/>
    <m/>
    <m/>
  </r>
  <r>
    <n v="1689"/>
    <m/>
    <s v="Goutham Aanooraa Inc."/>
    <s v="Coimbatore"/>
    <s v="TS 05 120H/220L"/>
    <x v="6"/>
    <m/>
    <m/>
    <m/>
    <m/>
    <m/>
    <x v="13"/>
    <m/>
    <m/>
    <m/>
    <m/>
    <m/>
    <m/>
  </r>
  <r>
    <n v="1690"/>
    <m/>
    <s v="Grand Stitching Unit"/>
    <s v="COIMBATORE"/>
    <s v="TS05 120HN/220L"/>
    <x v="6"/>
    <m/>
    <m/>
    <m/>
    <m/>
    <m/>
    <x v="13"/>
    <m/>
    <m/>
    <m/>
    <m/>
    <m/>
    <m/>
  </r>
  <r>
    <n v="1692"/>
    <m/>
    <s v="Hindustan Enterprises"/>
    <s v="Cbe"/>
    <s v="TS 05 120HN/220L"/>
    <x v="6"/>
    <m/>
    <m/>
    <m/>
    <m/>
    <m/>
    <x v="13"/>
    <m/>
    <m/>
    <m/>
    <m/>
    <m/>
    <m/>
  </r>
  <r>
    <n v="1695"/>
    <m/>
    <s v="Jayaram Agency"/>
    <s v="Virudhunagar"/>
    <s v="TS 05 120HN/220L"/>
    <x v="6"/>
    <m/>
    <m/>
    <m/>
    <m/>
    <m/>
    <x v="13"/>
    <m/>
    <m/>
    <m/>
    <m/>
    <m/>
    <m/>
  </r>
  <r>
    <n v="1696"/>
    <m/>
    <s v="Jeevan Autozone Pvt. Ltd"/>
    <s v="Madurai"/>
    <s v="TS 05 120HN/220L"/>
    <x v="6"/>
    <m/>
    <m/>
    <m/>
    <m/>
    <m/>
    <x v="13"/>
    <m/>
    <m/>
    <m/>
    <m/>
    <m/>
    <m/>
  </r>
  <r>
    <n v="1699"/>
    <m/>
    <s v="KEERTHIVASAN WEIGHT BRIDGE - _x000a_Mrs. Sharmila"/>
    <s v="Thiruvaroor dist"/>
    <s v="TS 05 120HN/220L"/>
    <x v="6"/>
    <m/>
    <m/>
    <m/>
    <m/>
    <m/>
    <x v="13"/>
    <m/>
    <m/>
    <m/>
    <m/>
    <m/>
    <m/>
  </r>
  <r>
    <n v="1708"/>
    <m/>
    <s v="Lakshmi Industries"/>
    <s v="Coimbatore"/>
    <s v="TS 05 120HN/220L"/>
    <x v="6"/>
    <m/>
    <m/>
    <m/>
    <m/>
    <m/>
    <x v="13"/>
    <m/>
    <m/>
    <m/>
    <m/>
    <m/>
    <m/>
  </r>
  <r>
    <n v="1709"/>
    <m/>
    <s v="M.J.Motors"/>
    <s v="Sivakasi"/>
    <s v="TS 05 120HN/220L"/>
    <x v="6"/>
    <m/>
    <m/>
    <m/>
    <m/>
    <m/>
    <x v="13"/>
    <m/>
    <m/>
    <m/>
    <m/>
    <m/>
    <m/>
  </r>
  <r>
    <n v="1710"/>
    <m/>
    <s v="M.S.Transformers India Pvt.Ltd"/>
    <s v="COIMBATORE"/>
    <s v="TS05 120HN/220L"/>
    <x v="6"/>
    <m/>
    <m/>
    <m/>
    <m/>
    <m/>
    <x v="13"/>
    <m/>
    <m/>
    <m/>
    <m/>
    <m/>
    <m/>
  </r>
  <r>
    <n v="1712"/>
    <m/>
    <s v="Manikandan Auto Diesel Works"/>
    <s v="Aranthangi"/>
    <s v="TS05 220L"/>
    <x v="6"/>
    <m/>
    <m/>
    <m/>
    <m/>
    <m/>
    <x v="13"/>
    <m/>
    <m/>
    <m/>
    <m/>
    <m/>
    <m/>
  </r>
  <r>
    <n v="1714"/>
    <m/>
    <s v="Mr. Govindasamy"/>
    <s v="Thiruvannamalai"/>
    <s v="TS05, LL03, GP50 KG"/>
    <x v="6"/>
    <m/>
    <m/>
    <m/>
    <m/>
    <m/>
    <x v="13"/>
    <m/>
    <m/>
    <m/>
    <m/>
    <m/>
    <m/>
  </r>
  <r>
    <n v="1715"/>
    <m/>
    <s v="Mr. Kalidass"/>
    <s v="Thiruvadanai"/>
    <s v="TS05 120HN/220L"/>
    <x v="6"/>
    <m/>
    <m/>
    <m/>
    <m/>
    <m/>
    <x v="13"/>
    <m/>
    <m/>
    <m/>
    <m/>
    <m/>
    <m/>
  </r>
  <r>
    <n v="1716"/>
    <m/>
    <s v="Mr. Mohanraj (HP Dealer)  /velumanickam fuels"/>
    <s v="Ramnad"/>
    <s v="TS 05 120HN/200L"/>
    <x v="6"/>
    <m/>
    <m/>
    <m/>
    <m/>
    <m/>
    <x v="13"/>
    <m/>
    <m/>
    <m/>
    <m/>
    <m/>
    <m/>
  </r>
  <r>
    <n v="1718"/>
    <m/>
    <s v="MR.SULAIMAN,RAMNAD"/>
    <s v="RAMNAD"/>
    <s v="TS05 220L"/>
    <x v="6"/>
    <m/>
    <m/>
    <m/>
    <m/>
    <m/>
    <x v="13"/>
    <m/>
    <m/>
    <m/>
    <m/>
    <m/>
    <m/>
  </r>
  <r>
    <n v="1719"/>
    <m/>
    <s v="Navarasam Arts &amp; Science College for Women"/>
    <s v="Arachallur"/>
    <s v="TS 05 120H/220L"/>
    <x v="6"/>
    <m/>
    <m/>
    <m/>
    <m/>
    <m/>
    <x v="13"/>
    <m/>
    <m/>
    <m/>
    <m/>
    <m/>
    <m/>
  </r>
  <r>
    <n v="1721"/>
    <m/>
    <s v="PADMA TEXTILES ENGINEERS"/>
    <s v="CBE"/>
    <s v="TS05 120HN/220L"/>
    <x v="6"/>
    <m/>
    <m/>
    <m/>
    <m/>
    <m/>
    <x v="13"/>
    <m/>
    <m/>
    <m/>
    <m/>
    <m/>
    <m/>
  </r>
  <r>
    <n v="1723"/>
    <m/>
    <s v="Pillai and Sons"/>
    <s v="Kumbakonam"/>
    <s v="TS 05 120HN/220L"/>
    <x v="6"/>
    <m/>
    <m/>
    <m/>
    <m/>
    <m/>
    <x v="13"/>
    <m/>
    <m/>
    <m/>
    <m/>
    <m/>
    <m/>
  </r>
  <r>
    <n v="1724"/>
    <m/>
    <s v="R.R Enterprises"/>
    <s v="Coimbatore"/>
    <s v="TS 05 120HN/220L"/>
    <x v="6"/>
    <m/>
    <m/>
    <m/>
    <m/>
    <m/>
    <x v="13"/>
    <m/>
    <m/>
    <m/>
    <m/>
    <m/>
    <m/>
  </r>
  <r>
    <n v="1725"/>
    <m/>
    <s v="RAMANI MOTORS PVT.LTD"/>
    <s v="POLLACHI"/>
    <s v="TS 05 120HN/220L"/>
    <x v="6"/>
    <m/>
    <m/>
    <m/>
    <m/>
    <m/>
    <x v="13"/>
    <m/>
    <m/>
    <m/>
    <m/>
    <m/>
    <m/>
  </r>
  <r>
    <n v="1726"/>
    <m/>
    <s v="RITHANYA TEXTILES"/>
    <s v="Coimbatore"/>
    <s v="TS 05 120HN/200L"/>
    <x v="6"/>
    <m/>
    <m/>
    <m/>
    <m/>
    <m/>
    <x v="13"/>
    <m/>
    <m/>
    <m/>
    <m/>
    <m/>
    <m/>
  </r>
  <r>
    <n v="1731"/>
    <m/>
    <s v="S.S.Heat Recover Engineers India Pvt. Ltd"/>
    <s v="Cbe"/>
    <s v="TS 05 120HN/220L"/>
    <x v="6"/>
    <m/>
    <m/>
    <m/>
    <m/>
    <m/>
    <x v="13"/>
    <m/>
    <m/>
    <m/>
    <m/>
    <m/>
    <m/>
  </r>
  <r>
    <n v="1732"/>
    <m/>
    <s v="Sagunthala.D - KANCHIPURAM "/>
    <s v="Sivagangai Dt"/>
    <s v="TS 05 120HN/220L"/>
    <x v="6"/>
    <m/>
    <m/>
    <m/>
    <m/>
    <m/>
    <x v="13"/>
    <m/>
    <m/>
    <m/>
    <m/>
    <m/>
    <m/>
  </r>
  <r>
    <n v="1733"/>
    <m/>
    <s v="Sakthi Hatcheries (Feed Division)"/>
    <s v="Dindigul"/>
    <s v="TS 05 120HN/220L"/>
    <x v="6"/>
    <m/>
    <m/>
    <m/>
    <m/>
    <m/>
    <x v="13"/>
    <m/>
    <m/>
    <m/>
    <m/>
    <m/>
    <m/>
  </r>
  <r>
    <n v="1736"/>
    <m/>
    <s v="Sanjay Saravanan"/>
    <s v="Thanjavur"/>
    <s v="TS 05 220L, LL03, PU4, GP50"/>
    <x v="6"/>
    <m/>
    <m/>
    <m/>
    <m/>
    <m/>
    <x v="13"/>
    <m/>
    <m/>
    <m/>
    <m/>
    <m/>
    <m/>
  </r>
  <r>
    <n v="1743"/>
    <m/>
    <s v="Shristi Engineering works"/>
    <s v="Coimbatore"/>
    <s v="TS 05 120HN/220L"/>
    <x v="6"/>
    <m/>
    <m/>
    <m/>
    <m/>
    <m/>
    <x v="13"/>
    <m/>
    <m/>
    <m/>
    <m/>
    <m/>
    <m/>
  </r>
  <r>
    <n v="1744"/>
    <m/>
    <s v="Simta Manufacturing Company"/>
    <s v="Coimbatore"/>
    <s v="TS 05 120TB"/>
    <x v="6"/>
    <m/>
    <m/>
    <m/>
    <m/>
    <m/>
    <x v="13"/>
    <m/>
    <m/>
    <m/>
    <m/>
    <m/>
    <m/>
  </r>
  <r>
    <n v="1746"/>
    <m/>
    <s v="Siva &amp; Siva Auto Service"/>
    <s v="Vadaserry"/>
    <s v="TS05 120HN/220L"/>
    <x v="6"/>
    <m/>
    <m/>
    <m/>
    <m/>
    <m/>
    <x v="13"/>
    <m/>
    <m/>
    <m/>
    <m/>
    <m/>
    <m/>
  </r>
  <r>
    <n v="1747"/>
    <m/>
    <s v="SIVA AUTOMOTIVE TRADING P.LTD"/>
    <s v="Madurai"/>
    <s v="TS05 120HN/220L"/>
    <x v="6"/>
    <m/>
    <m/>
    <m/>
    <m/>
    <m/>
    <x v="13"/>
    <m/>
    <m/>
    <m/>
    <m/>
    <m/>
    <m/>
  </r>
  <r>
    <n v="1753"/>
    <m/>
    <s v="South India Motors"/>
    <s v="Cbe"/>
    <s v="TS 05 120HN/220L"/>
    <x v="6"/>
    <m/>
    <m/>
    <m/>
    <m/>
    <m/>
    <x v="13"/>
    <m/>
    <m/>
    <m/>
    <m/>
    <m/>
    <m/>
  </r>
  <r>
    <n v="1755"/>
    <m/>
    <s v="Sree Karpagalakshmi Fabrics"/>
    <s v="Rajapalayam"/>
    <s v="TS 05 120HN/220L"/>
    <x v="6"/>
    <m/>
    <m/>
    <m/>
    <m/>
    <m/>
    <x v="13"/>
    <m/>
    <m/>
    <m/>
    <m/>
    <m/>
    <m/>
  </r>
  <r>
    <n v="1760"/>
    <m/>
    <s v="Sri Janagalakshmi Water Service Station"/>
    <s v="Pattukottai"/>
    <s v="TS 05 120H/220L, LL03022, GP50, PU4"/>
    <x v="6"/>
    <m/>
    <m/>
    <m/>
    <m/>
    <m/>
    <x v="13"/>
    <m/>
    <m/>
    <m/>
    <m/>
    <m/>
    <m/>
  </r>
  <r>
    <n v="1761"/>
    <m/>
    <s v="Sri Kaliswari Metal Powders"/>
    <s v="Virudhunagar"/>
    <s v="TS 05 120HN/220L"/>
    <x v="6"/>
    <m/>
    <m/>
    <m/>
    <m/>
    <m/>
    <x v="13"/>
    <m/>
    <m/>
    <m/>
    <m/>
    <m/>
    <m/>
  </r>
  <r>
    <n v="1763"/>
    <m/>
    <s v="Sri Kaliswari Metal Powders"/>
    <s v="Virudhunagar"/>
    <s v="TS 05 120HN/220L"/>
    <x v="6"/>
    <m/>
    <m/>
    <m/>
    <m/>
    <m/>
    <x v="13"/>
    <m/>
    <m/>
    <m/>
    <m/>
    <m/>
    <m/>
  </r>
  <r>
    <n v="1765"/>
    <m/>
    <s v="Sri Krishna Rice Mill"/>
    <s v="Madurai"/>
    <s v="TS 05 120HN/220L"/>
    <x v="6"/>
    <m/>
    <m/>
    <m/>
    <m/>
    <m/>
    <x v="13"/>
    <m/>
    <m/>
    <m/>
    <m/>
    <m/>
    <m/>
  </r>
  <r>
    <n v="1766"/>
    <m/>
    <s v="Sri Lakshmi Metal Company"/>
    <s v="Coimbatore"/>
    <s v="TS 05 120HN/220L"/>
    <x v="6"/>
    <m/>
    <m/>
    <m/>
    <m/>
    <m/>
    <x v="13"/>
    <m/>
    <m/>
    <m/>
    <m/>
    <m/>
    <m/>
  </r>
  <r>
    <n v="1769"/>
    <m/>
    <s v="Sri Raja Rubber "/>
    <s v="Kappalur, Madurai"/>
    <s v="TS 05 120HN/220L"/>
    <x v="6"/>
    <m/>
    <m/>
    <m/>
    <m/>
    <m/>
    <x v="13"/>
    <m/>
    <m/>
    <m/>
    <m/>
    <m/>
    <m/>
  </r>
  <r>
    <n v="1773"/>
    <m/>
    <s v="SUDHARSHAN TRADERS"/>
    <s v="Coimbatore"/>
    <s v="TS 05 120HN/200L"/>
    <x v="6"/>
    <m/>
    <m/>
    <m/>
    <m/>
    <m/>
    <x v="13"/>
    <m/>
    <m/>
    <m/>
    <m/>
    <m/>
    <m/>
  </r>
  <r>
    <n v="1775"/>
    <m/>
    <s v="Super Speeds (P) Ltd.,"/>
    <s v="Coimbatore"/>
    <s v="TS 05 120HN/220L"/>
    <x v="6"/>
    <m/>
    <m/>
    <m/>
    <m/>
    <m/>
    <x v="13"/>
    <m/>
    <m/>
    <m/>
    <m/>
    <m/>
    <m/>
  </r>
  <r>
    <n v="1776"/>
    <m/>
    <s v="Super Speeds (P) Ltd.,"/>
    <s v="Cbe"/>
    <s v="TS 05 120HN/220L"/>
    <x v="6"/>
    <m/>
    <m/>
    <m/>
    <m/>
    <m/>
    <x v="13"/>
    <m/>
    <m/>
    <m/>
    <m/>
    <m/>
    <m/>
  </r>
  <r>
    <n v="1778"/>
    <m/>
    <s v="Thirumalai Textiles, Pollachi"/>
    <s v="Pollachi"/>
    <s v="TS 05 120HN/220L"/>
    <x v="6"/>
    <m/>
    <m/>
    <m/>
    <m/>
    <m/>
    <x v="13"/>
    <m/>
    <m/>
    <m/>
    <m/>
    <m/>
    <m/>
  </r>
  <r>
    <n v="1781"/>
    <m/>
    <s v="Unique Pattern Works"/>
    <s v="Coimbatore"/>
    <s v="TS 05 120H/220L"/>
    <x v="6"/>
    <m/>
    <m/>
    <m/>
    <m/>
    <m/>
    <x v="13"/>
    <m/>
    <m/>
    <m/>
    <m/>
    <m/>
    <m/>
  </r>
  <r>
    <n v="1782"/>
    <m/>
    <s v="Unique Pattern Works"/>
    <s v="Coimbatore"/>
    <s v="TS 05 120HN/220L"/>
    <x v="6"/>
    <m/>
    <m/>
    <m/>
    <m/>
    <m/>
    <x v="13"/>
    <m/>
    <m/>
    <m/>
    <m/>
    <m/>
    <m/>
  </r>
  <r>
    <n v="1793"/>
    <m/>
    <s v="VIKAS MOTORS"/>
    <s v="ANDIPATTI"/>
    <s v="TS 05 120HN/220L"/>
    <x v="6"/>
    <m/>
    <m/>
    <m/>
    <m/>
    <m/>
    <x v="13"/>
    <m/>
    <m/>
    <m/>
    <m/>
    <m/>
    <m/>
  </r>
  <r>
    <n v="1794"/>
    <m/>
    <s v="Vimaleshwari.R"/>
    <s v="Madurai"/>
    <s v="TS 05 120HN/220L"/>
    <x v="6"/>
    <m/>
    <m/>
    <m/>
    <m/>
    <m/>
    <x v="13"/>
    <m/>
    <m/>
    <m/>
    <m/>
    <m/>
    <m/>
  </r>
  <r>
    <n v="1795"/>
    <m/>
    <s v="VP3 Motors"/>
    <s v="Rasipuram"/>
    <s v="TS 05, Triple Plunger CW, PU4, oil ,Two post Lift, LC"/>
    <x v="6"/>
    <m/>
    <m/>
    <m/>
    <m/>
    <m/>
    <x v="13"/>
    <m/>
    <m/>
    <m/>
    <m/>
    <m/>
    <m/>
  </r>
  <r>
    <n v="7"/>
    <s v="'300G00065 "/>
    <s v="SUPER AUTOS SERVICE"/>
    <s v="METTUPALAYAM"/>
    <s v="TS 05 120 M"/>
    <x v="7"/>
    <s v="CNDE210193"/>
    <s v="ccs021 "/>
    <s v="19.04.2016 09:25 "/>
    <s v="19.04.2016 12:00"/>
    <s v="20.04.2016 13:00"/>
    <x v="9"/>
    <n v="25"/>
    <n v="28"/>
    <m/>
    <m/>
    <s v="Out of Warranty"/>
    <m/>
  </r>
  <r>
    <n v="9"/>
    <s v="'300G00049 "/>
    <s v="SUPER AUTOS SERVICE"/>
    <s v="METTUPALAYAM"/>
    <s v="TS 05 M"/>
    <x v="7"/>
    <s v="D300G00049"/>
    <s v="ccs019 "/>
    <s v="13.04.2016 12:00 "/>
    <s v="15.04.2016 11:00"/>
    <s v="15.04.2016 11:00"/>
    <x v="9"/>
    <n v="25"/>
    <n v="47"/>
    <m/>
    <m/>
    <s v="Out of Warranty"/>
    <m/>
  </r>
  <r>
    <n v="36"/>
    <s v="'300F00721 "/>
    <s v="AMBAL AND CO"/>
    <s v="TIRUPPUR"/>
    <s v="TS05120M 220L EP 5HP"/>
    <x v="7"/>
    <s v="CKFE210212"/>
    <s v="ccs018 "/>
    <s v="22.10.2015 13:47 "/>
    <s v="23.10.2015 10:00"/>
    <s v="23.10.2015 12:00"/>
    <x v="8"/>
    <n v="2"/>
    <n v="22"/>
    <m/>
    <m/>
    <s v="Out of Warranty"/>
    <m/>
  </r>
  <r>
    <n v="49"/>
    <s v="'300F00479 "/>
    <s v="AMBAL AND CO"/>
    <s v="TIRUPPUR"/>
    <s v="TS05120M 220L EP 5HP"/>
    <x v="7"/>
    <s v="CKFE210212"/>
    <s v="ccs028 "/>
    <s v="08.09.2015 15:33 "/>
    <s v="09.09.2015 09:00"/>
    <s v="09.09.2015 14:00"/>
    <x v="8"/>
    <n v="5"/>
    <n v="22"/>
    <m/>
    <m/>
    <s v="Out of Warranty"/>
    <m/>
  </r>
  <r>
    <n v="74"/>
    <s v="'300E00971 "/>
    <s v="SRI MUTHU AND CO"/>
    <s v="TIRUPPUR"/>
    <s v="TS05120M 220L EP 5HP"/>
    <x v="7"/>
    <s v="CILE210043"/>
    <s v="ccs014 "/>
    <s v="17.03.2015 12:37 "/>
    <s v="18.03.2015 10:00"/>
    <s v="18.03.2015 11:00"/>
    <x v="8"/>
    <n v="1"/>
    <n v="22"/>
    <m/>
    <m/>
    <s v="Out of Warranty"/>
    <m/>
  </r>
  <r>
    <n v="85"/>
    <s v="'300E00849 "/>
    <s v="SRI MUTHU AND CO"/>
    <s v="THIRUPPUR"/>
    <s v="TS05120M 220L EP 5HP"/>
    <x v="7"/>
    <s v="CILE210043"/>
    <s v="ccs021 "/>
    <s v="12.02.2015 13:21 "/>
    <s v="13.02.2015 10:00"/>
    <s v="13.02.2015 13:00"/>
    <x v="10"/>
    <n v="3"/>
    <n v="24"/>
    <m/>
    <m/>
    <s v="Out of Warranty"/>
    <m/>
  </r>
  <r>
    <n v="108"/>
    <s v="'300E00254 "/>
    <s v="AMBAL AND CO"/>
    <s v="TIRUPPUR"/>
    <s v="TS05120M 220L EP 5HP"/>
    <x v="7"/>
    <s v="CKFE210212"/>
    <s v="ccs014 "/>
    <s v="05.07.2014 12:27 "/>
    <s v="07.07.2014 10:00"/>
    <s v="07.07.2014 11:00"/>
    <x v="10"/>
    <n v="1"/>
    <n v="47"/>
    <m/>
    <m/>
    <s v="Out of Warranty"/>
    <m/>
  </r>
  <r>
    <n v="115"/>
    <s v="'300E00157 "/>
    <s v="SR FUEL"/>
    <s v="THIRUPUR"/>
    <s v="TS05120M 220L EP 5HP"/>
    <x v="7"/>
    <s v="CLAE210082"/>
    <s v="ccs021 "/>
    <s v="30.05.2014 16:31 "/>
    <s v="31.05.2014 10:00"/>
    <s v="31.05.2014 12:00"/>
    <x v="10"/>
    <n v="2"/>
    <n v="19"/>
    <m/>
    <m/>
    <s v="Out of Warranty"/>
    <m/>
  </r>
  <r>
    <n v="117"/>
    <s v="'300E00146 "/>
    <s v="SREE VEERAKUMAR PETROL FILS"/>
    <s v="VELLAKOVIL"/>
    <s v="TS 05 120 M"/>
    <x v="7"/>
    <s v="CNAE210121"/>
    <s v="ccs021 "/>
    <s v="28.05.2014 10:54 "/>
    <s v="28.05.2014 15:00"/>
    <s v="29.05.2014 16:00"/>
    <x v="10"/>
    <n v="25"/>
    <n v="29"/>
    <m/>
    <m/>
    <s v="Warranty Commissioning"/>
    <m/>
  </r>
  <r>
    <n v="124"/>
    <s v="'300E00049 "/>
    <s v="SHANTHI GEARS"/>
    <s v="COIMBATORE"/>
    <s v="TS 05 120 M"/>
    <x v="7"/>
    <s v="CMBE210149"/>
    <s v="ccs015 "/>
    <s v="21.04.2014 12:29 "/>
    <s v="21.04.2014 16:00"/>
    <s v="22.04.2014 17:00"/>
    <x v="10"/>
    <n v="1"/>
    <n v="29"/>
    <m/>
    <m/>
    <s v="Out of Warranty"/>
    <m/>
  </r>
  <r>
    <n v="131"/>
    <s v="'300D0954 "/>
    <s v="SANTHI SOCIAL SERVICES"/>
    <s v="COIMBATORE"/>
    <s v="TS 05 120 M"/>
    <x v="7"/>
    <s v="CMBE210149"/>
    <s v="ccs014 "/>
    <s v="26.02.2014 09:00 "/>
    <s v="26.02.2014 12:00"/>
    <s v="26.02.2014 15:00"/>
    <x v="10"/>
    <n v="3"/>
    <n v="6"/>
    <m/>
    <m/>
    <s v="Out of Warranty"/>
    <m/>
  </r>
  <r>
    <n v="148"/>
    <s v="'300D0406 "/>
    <s v="BHEARANAKA TRADERS"/>
    <s v="PALLADAM"/>
    <s v="TS 05 120 M"/>
    <x v="7"/>
    <s v="CMCE210199"/>
    <s v="ccs004 "/>
    <s v="06.08.2013 14:52 "/>
    <s v="07.08.2013 10:00"/>
    <s v="07.08.2013 13:00"/>
    <x v="2"/>
    <n v="3"/>
    <n v="22"/>
    <m/>
    <m/>
    <s v="Warranty Commissioning"/>
    <m/>
  </r>
  <r>
    <n v="165"/>
    <s v="'300C0913 "/>
    <s v="AMBAL AND CO"/>
    <s v="TIRUPPUR"/>
    <s v="TS05120M 220L EP 5HP"/>
    <x v="7"/>
    <s v="CKFE210212"/>
    <s v="ccs007 "/>
    <s v="14.02.2013 09:05 "/>
    <s v="14.02.2013 10:00"/>
    <s v="14.02.2013 15:00"/>
    <x v="7"/>
    <n v="3"/>
    <n v="6"/>
    <m/>
    <m/>
    <s v="Out of Warranty"/>
    <m/>
  </r>
  <r>
    <n v="183"/>
    <s v="'300C0579 "/>
    <s v="AP SHIVARAJ AND COMPANY"/>
    <s v="TIRUPPUR"/>
    <s v="TS05120M 220L EP 5HP"/>
    <x v="7"/>
    <s v="CILE210044"/>
    <s v="ccs014 "/>
    <s v="03.10.2012 15:33 "/>
    <s v="04.10.2012 10:00"/>
    <s v="04.10.2012 11:00"/>
    <x v="7"/>
    <n v="1"/>
    <n v="19"/>
    <m/>
    <m/>
    <s v="Out of Warranty"/>
    <m/>
  </r>
  <r>
    <n v="184"/>
    <s v="'300C0577 "/>
    <s v="SRI SRI AGENCES"/>
    <s v="ANAIKKATTI"/>
    <s v="TS05 M"/>
    <x v="7"/>
    <n v="23911"/>
    <s v="ccs005 "/>
    <s v="03.10.2012 10:36 "/>
    <s v="03.10.2012 14:00"/>
    <s v="03.10.2012 16:00"/>
    <x v="7"/>
    <n v="2"/>
    <n v="5"/>
    <m/>
    <m/>
    <s v="Out of Warranty"/>
    <m/>
  </r>
  <r>
    <n v="188"/>
    <s v="'300C0451 "/>
    <s v="LOGU AGENCIES"/>
    <s v="TIRUPPUR"/>
    <s v="TS 05 120 M"/>
    <x v="7"/>
    <s v="CILE210061"/>
    <s v="ccs005 "/>
    <s v="18.08.2012 16:27 "/>
    <s v="20.08.2012 10:00"/>
    <s v="21.08.2012 11:30"/>
    <x v="7"/>
    <n v="26"/>
    <n v="67"/>
    <m/>
    <m/>
    <s v="Out of Warranty"/>
    <m/>
  </r>
  <r>
    <n v="195"/>
    <s v="'300C0414 "/>
    <s v="SRI NANJAPPA AND CO"/>
    <s v="COIMBATORE"/>
    <s v="TS 05 120 M"/>
    <x v="7"/>
    <s v="CJFE210211"/>
    <s v="ccs005 "/>
    <s v="08.08.2012 14:12 "/>
    <s v="09.08.2012 10:00"/>
    <s v="09.08.2012 11:00"/>
    <x v="7"/>
    <n v="1"/>
    <n v="21"/>
    <m/>
    <m/>
    <s v="Out of Warranty"/>
    <m/>
  </r>
  <r>
    <n v="266"/>
    <s v="'300B0410 "/>
    <s v="SASTHA TYRES"/>
    <s v="PATTAMBI"/>
    <s v="TS05 M"/>
    <x v="7"/>
    <n v="17189"/>
    <s v="ccs005 "/>
    <s v="06.08.2011 10:03 "/>
    <s v="06.08.2011 14:00"/>
    <s v="06.08.2011 14:00"/>
    <x v="1"/>
    <n v="0"/>
    <n v="4"/>
    <m/>
    <m/>
    <s v="Out of Warranty"/>
    <m/>
  </r>
  <r>
    <n v="297"/>
    <s v="'300B0105 "/>
    <s v="SUPER CASTINGS PVT LTD"/>
    <s v="COIMBATORE"/>
    <s v="TS 05 120 M"/>
    <x v="7"/>
    <s v="CHAE210031"/>
    <s v="ccs001 "/>
    <s v="10.05.2011 14:22 "/>
    <s v="10.05.2011 14:40"/>
    <s v="10.05.2011 17:00"/>
    <x v="1"/>
    <n v="3"/>
    <n v="3"/>
    <m/>
    <m/>
    <s v="Out of Warranty"/>
    <m/>
  </r>
  <r>
    <n v="324"/>
    <s v="'300A0932 "/>
    <s v="SRI NANJAPPA &amp; CO"/>
    <s v="COIMBATORE"/>
    <s v="TS 05 120 M"/>
    <x v="7"/>
    <s v="CJFE210211"/>
    <s v="ccs005 "/>
    <s v="02.02.2011 10:32 "/>
    <s v="02.02.2011 12:00"/>
    <s v="03.02.2011 11:30"/>
    <x v="11"/>
    <n v="24"/>
    <n v="25"/>
    <m/>
    <m/>
    <s v="Warranty Failure"/>
    <m/>
  </r>
  <r>
    <n v="333"/>
    <s v="'300A0796 "/>
    <s v="SELVANAYAGI AGENCIES"/>
    <s v="COIMBATORE"/>
    <s v="TS05 M"/>
    <x v="7"/>
    <n v="24407"/>
    <s v="ccs005 "/>
    <s v="01.01.2011 11:48 "/>
    <s v="03.01.2011 10:00"/>
    <s v="05.01.2011 10:00"/>
    <x v="11"/>
    <n v="48"/>
    <n v="94"/>
    <m/>
    <m/>
    <s v="Out of Warranty"/>
    <m/>
  </r>
  <r>
    <n v="336"/>
    <s v="'300A0768 "/>
    <s v="SRI NANCHAPPA AND CO"/>
    <s v="COIMBATORE"/>
    <s v="TS 05 120 M"/>
    <x v="7"/>
    <s v="CJFE210211"/>
    <s v="ccs007 "/>
    <s v="24.12.2010 18:00 "/>
    <s v="27.12.2010 10:00"/>
    <s v="27.12.2010 12:00"/>
    <x v="11"/>
    <n v="2"/>
    <n v="66"/>
    <m/>
    <m/>
    <s v="Warranty Failure"/>
    <m/>
  </r>
  <r>
    <n v="343"/>
    <s v="'300A0635 "/>
    <s v="VENGATACHALPATHY AGENCIES"/>
    <s v="COIMBATORE"/>
    <s v="TS 05 120 M"/>
    <x v="7"/>
    <s v="CJFE210200"/>
    <s v="ccs007 "/>
    <s v="26.11.2010 10:32 "/>
    <s v="26.11.2010 11:15"/>
    <s v="26.11.2010 13:00"/>
    <x v="11"/>
    <n v="2"/>
    <n v="2"/>
    <m/>
    <m/>
    <s v="Warranty Commissioning"/>
    <m/>
  </r>
  <r>
    <n v="347"/>
    <s v="'300A0537 "/>
    <s v="HARI JANANI &amp; CO"/>
    <s v="COIMBATORE"/>
    <s v="TS05 M"/>
    <x v="7"/>
    <n v="20414"/>
    <s v="ccs005 "/>
    <s v="25.10.2010 11:08 "/>
    <s v="25.10.2010 13:00"/>
    <s v="03.12.2010 15:00"/>
    <x v="11"/>
    <n v="676"/>
    <n v="940"/>
    <m/>
    <m/>
    <s v="Out of Warranty"/>
    <m/>
  </r>
  <r>
    <n v="352"/>
    <s v="'300A0380 "/>
    <s v="SUPER AUTO SERVICE"/>
    <s v="TIRUPPUR"/>
    <s v="TS 05 120 M"/>
    <x v="7"/>
    <s v="CJEE210185"/>
    <s v="ccs002 "/>
    <s v="27.08.2010 13:28 "/>
    <s v="27.08.2010 15:00"/>
    <s v="18.09.2010 17:00"/>
    <x v="11"/>
    <n v="530"/>
    <n v="532"/>
    <m/>
    <m/>
    <s v="Warranty Commissioning"/>
    <m/>
  </r>
  <r>
    <n v="397"/>
    <s v="'30091238 "/>
    <s v="DEVAKI AGENCIES"/>
    <s v="ERODE"/>
    <s v="TS 05 120 M"/>
    <x v="7"/>
    <s v="CJLE210046"/>
    <s v="ccs002 "/>
    <s v="29.03.2010 10:12 "/>
    <s v="29.03.2010 10:30"/>
    <s v="29.03.2010 13:00"/>
    <x v="11"/>
    <n v="3"/>
    <n v="3"/>
    <m/>
    <m/>
    <s v="Warranty Commissioning"/>
    <m/>
  </r>
  <r>
    <n v="504"/>
    <s v="'30090667 "/>
    <s v="HARI AGENCIES"/>
    <s v="Erode"/>
    <s v="TS 05 120 M"/>
    <x v="7"/>
    <s v="CHGE210168"/>
    <s v="ccs007 "/>
    <s v="22.10.2009 17:14 "/>
    <s v="22.10.2009 10:00"/>
    <s v="29.10.2009 13:00"/>
    <x v="4"/>
    <n v="147"/>
    <n v="164"/>
    <m/>
    <m/>
    <s v="Out of Warranty"/>
    <m/>
  </r>
  <r>
    <n v="633"/>
    <s v="'30080087 "/>
    <s v="GOWRIDURGA GAS SERVICE"/>
    <s v="TIRUPPUR"/>
    <s v="TS 05 120 M"/>
    <x v="7"/>
    <n v="23678"/>
    <s v="ccs007 "/>
    <s v="13.05.2008 10:38 "/>
    <s v="14.05.2008 10:00"/>
    <s v="19.05.2008 14:00"/>
    <x v="5"/>
    <n v="147"/>
    <n v="147"/>
    <m/>
    <m/>
    <s v="Out of Warranty"/>
    <m/>
  </r>
  <r>
    <n v="699"/>
    <s v="'30074605 "/>
    <s v="VELAN PETROL BUNK -- C"/>
    <s v="Tirupur"/>
    <s v="TS05 M"/>
    <x v="7"/>
    <n v="24063"/>
    <s v="ccs005 "/>
    <s v="24.08.2007 14:12 "/>
    <s v="24.08.2007 14:30"/>
    <s v="27.08.2007 13:00"/>
    <x v="3"/>
    <n v="71"/>
    <n v="71"/>
    <m/>
    <m/>
    <m/>
    <m/>
  </r>
  <r>
    <n v="701"/>
    <s v="'30074534 "/>
    <s v="DECCAN PUMPS--C"/>
    <s v="Coimbatore"/>
    <s v="TS05 M"/>
    <x v="7"/>
    <n v="24273"/>
    <s v="ccs002 "/>
    <s v="04.08.2007 10:16 "/>
    <s v="04.08.2007 10:30"/>
    <s v="11.08.2007 14:00"/>
    <x v="3"/>
    <n v="172"/>
    <n v="172"/>
    <m/>
    <m/>
    <m/>
    <m/>
  </r>
  <r>
    <n v="720"/>
    <s v="'30063659 "/>
    <s v="SASTHA TYRES"/>
    <s v="Palakad"/>
    <s v="TS05 M"/>
    <x v="7"/>
    <n v="24029"/>
    <s v="ccs001 "/>
    <s v="09.01.2007 12:10 "/>
    <s v="09.01.2007 12:10"/>
    <s v="29.01.2007 12:00"/>
    <x v="12"/>
    <n v="266"/>
    <n v="480"/>
    <m/>
    <m/>
    <m/>
    <m/>
  </r>
  <r>
    <n v="725"/>
    <s v="'30063432 "/>
    <s v="SRI KARTHIKEYA AGENCIES--C"/>
    <s v="Koduvai"/>
    <s v="TS05 M"/>
    <x v="7"/>
    <n v="21052"/>
    <s v="ccs001 "/>
    <s v="22.11.2006 18:18 "/>
    <s v="28.11.2006 10:30"/>
    <s v="29.11.2006 12:30"/>
    <x v="12"/>
    <n v="0"/>
    <n v="162"/>
    <m/>
    <m/>
    <m/>
    <m/>
  </r>
  <r>
    <n v="993"/>
    <s v="'300G00182 "/>
    <s v="SRI SRI AGENCIES"/>
    <s v="ANAIKKATTI"/>
    <s v="TS05M"/>
    <x v="7"/>
    <n v="16582"/>
    <s v="ccs028 "/>
    <s v="24.05.2016 16:33 "/>
    <s v="25.05.2016 10:00"/>
    <s v="25.05.2016 13:00"/>
    <x v="9"/>
    <n v="3"/>
    <n v="20"/>
    <m/>
    <m/>
    <s v="Out of Warranty"/>
    <m/>
  </r>
  <r>
    <n v="1021"/>
    <s v="'300F00227 "/>
    <s v="SARAVANA FUELS"/>
    <s v="TIRUPPUR"/>
    <s v="TS05120M 220L EP 5HP"/>
    <x v="7"/>
    <n v="24064"/>
    <s v="ccs028 "/>
    <s v="19.06.2015 15:31 "/>
    <s v="20.06.2015 09:00"/>
    <s v="20.06.2015 16:00"/>
    <x v="8"/>
    <n v="7"/>
    <n v="24"/>
    <m/>
    <m/>
    <s v="Out of Warranty"/>
    <m/>
  </r>
  <r>
    <n v="1024"/>
    <s v="'300F00194 "/>
    <s v="SRI SANGAMASHWUARAA AND CO"/>
    <s v="GOBICHETTIPALAYAM"/>
    <s v="TS 05 120 M"/>
    <x v="7"/>
    <s v="CMIE210378"/>
    <s v="ccs019 "/>
    <s v="10.06.2015 10:09 "/>
    <s v="10.06.2015 14:00"/>
    <s v="11.06.2015 13:00"/>
    <x v="8"/>
    <n v="23"/>
    <n v="27"/>
    <m/>
    <m/>
    <s v="Out of Warranty"/>
    <m/>
  </r>
  <r>
    <n v="1033"/>
    <s v="'300E00966 "/>
    <s v="SRI VELAN FILLING STATION"/>
    <s v="TRICHY"/>
    <s v="TS05120M 220L EP 5HP"/>
    <x v="7"/>
    <s v="CJBE210097"/>
    <s v="ccs025 "/>
    <s v="14.03.2015 15:23 "/>
    <s v="16.03.2015 10:00"/>
    <s v="16.03.2015 16:00"/>
    <x v="8"/>
    <n v="6"/>
    <n v="49"/>
    <m/>
    <m/>
    <s v="Out of Warranty"/>
    <m/>
  </r>
  <r>
    <n v="1035"/>
    <s v="'300E00952 "/>
    <s v="PB SAKTHIVEL &amp; COMPANY"/>
    <s v="THADIKOMBHU"/>
    <s v="TS05M"/>
    <x v="7"/>
    <s v="D300E00952"/>
    <s v="ccs014 "/>
    <s v="10.03.2015 11:06 "/>
    <s v="11.03.2015 10:00"/>
    <s v="12.03.2015 10:00"/>
    <x v="8"/>
    <n v="24"/>
    <n v="47"/>
    <m/>
    <m/>
    <s v="Out of Warranty"/>
    <m/>
  </r>
  <r>
    <n v="1037"/>
    <s v="'300E00907 "/>
    <s v="BALAJI ELECTRONICS"/>
    <s v="COIMBATORE"/>
    <s v="TS05120M 220L EP 5HP"/>
    <x v="7"/>
    <n v="21879"/>
    <s v="ccs025 "/>
    <s v="25.02.2015 12:33 "/>
    <s v="26.02.2015 10:00"/>
    <s v="26.02.2015 16:00"/>
    <x v="8"/>
    <n v="6"/>
    <n v="27"/>
    <s v="35119E024-26.02.2015"/>
    <n v="3.5119000000000001E+28"/>
    <s v="Out of Warranty"/>
    <m/>
  </r>
  <r>
    <n v="1043"/>
    <s v="'300E00742 "/>
    <s v="KALEESHWARI AGENCIES"/>
    <s v="DINDUGAL"/>
    <s v="TS 05 120 M"/>
    <x v="7"/>
    <s v="CLIE210317"/>
    <s v="ccs021 "/>
    <s v="03.01.2015 13:02 "/>
    <s v="05.01.2015 10:00"/>
    <s v="05.01.2015 12:00"/>
    <x v="10"/>
    <n v="2"/>
    <n v="47"/>
    <m/>
    <m/>
    <s v="Out of Warranty"/>
    <m/>
  </r>
  <r>
    <n v="1046"/>
    <s v="'300E00678 "/>
    <s v="AVS AGENCIES"/>
    <s v="TIRUPPUR"/>
    <s v="TS05 M"/>
    <x v="7"/>
    <s v="D300E00678"/>
    <s v="ccs025 "/>
    <s v="13.12.2014 11:09 "/>
    <s v="13.12.2014 15:00"/>
    <s v="13.12.2014 16:00"/>
    <x v="10"/>
    <n v="1"/>
    <n v="5"/>
    <m/>
    <m/>
    <s v="Out of Warranty"/>
    <m/>
  </r>
  <r>
    <n v="1050"/>
    <s v="'300E00571 "/>
    <s v="SRI BHAGAVATHY AGENCIES"/>
    <s v="THIRUMURUGANPOONDI"/>
    <s v="TS05120M"/>
    <x v="7"/>
    <n v="21893"/>
    <s v="ccs014 "/>
    <s v="31.10.2014 09:44 "/>
    <s v="31.10.2014 13:00"/>
    <s v="03.11.2014 16:00"/>
    <x v="10"/>
    <n v="32"/>
    <n v="78"/>
    <m/>
    <m/>
    <s v="Out of Warranty"/>
    <m/>
  </r>
  <r>
    <n v="1057"/>
    <s v="'300E00329 "/>
    <s v="ALSHAMS DEEN AGENCY"/>
    <s v="PERAMBALUR"/>
    <s v="TS 05 120 M"/>
    <x v="7"/>
    <s v="CNKE210045"/>
    <s v="ccs019 "/>
    <s v="01.08.2014 13:59 "/>
    <s v="02.08.2014 10:00"/>
    <s v="22.08.2014 16:00"/>
    <x v="10"/>
    <n v="406"/>
    <n v="506"/>
    <m/>
    <m/>
    <s v="Warranty Failure"/>
    <m/>
  </r>
  <r>
    <n v="1064"/>
    <s v="'300E00011 "/>
    <s v="SELVANAYAKI AGENCIES"/>
    <s v="COIMBATORE"/>
    <s v="TS05 M"/>
    <x v="7"/>
    <s v="D300E00011"/>
    <s v="ccs019 "/>
    <s v="03.04.2014 11:18 "/>
    <s v="04.04.2014 10:00"/>
    <s v="04.04.2014 12:00"/>
    <x v="10"/>
    <n v="2"/>
    <n v="25"/>
    <m/>
    <m/>
    <s v="Out of Warranty"/>
    <m/>
  </r>
  <r>
    <n v="1071"/>
    <s v="'300D0840 "/>
    <s v="SRI SRI AGENCIES"/>
    <s v="ANAIKKATTI"/>
    <s v="TS05M"/>
    <x v="7"/>
    <n v="23911"/>
    <s v="ccs014 "/>
    <s v="10.01.2014 14:17 "/>
    <s v="11.01.2014 10:00"/>
    <s v="13.01.2014 00:00"/>
    <x v="2"/>
    <n v="38"/>
    <n v="58"/>
    <m/>
    <m/>
    <s v="Out of Warranty"/>
    <m/>
  </r>
  <r>
    <n v="1083"/>
    <s v="'300C1024 "/>
    <s v="SRI KUMARAN AGENCIES"/>
    <s v="ANNUR"/>
    <s v="TS 05 120 M"/>
    <x v="7"/>
    <s v="CLHE210271"/>
    <s v="ccs005 "/>
    <s v="26.03.2013 15:22 "/>
    <s v="27.03.2013 10:00"/>
    <s v="01.04.2013 09:00"/>
    <x v="2"/>
    <n v="47"/>
    <n v="138"/>
    <m/>
    <m/>
    <s v="Out of Warranty"/>
    <m/>
  </r>
  <r>
    <n v="1108"/>
    <s v="'300C0387 "/>
    <s v="SRI RAMACHANDRAN AGENCIES"/>
    <s v="KUMBAKONAM"/>
    <s v="TS 05 120 M"/>
    <x v="7"/>
    <s v="CKFE210192"/>
    <s v="ccs015 "/>
    <s v="31.07.2012 17:50 "/>
    <s v="01.08.2012 10:00"/>
    <s v="03.08.2012 18:00"/>
    <x v="7"/>
    <n v="56"/>
    <n v="72"/>
    <m/>
    <m/>
    <s v="Out of Warranty"/>
    <m/>
  </r>
  <r>
    <n v="1122"/>
    <s v="'300C0094 "/>
    <s v="SRUTHI AGENCIES"/>
    <s v="COIMBATORE"/>
    <s v="TS05 M"/>
    <x v="7"/>
    <n v="20192"/>
    <s v="ccs005 "/>
    <s v="28.04.2012 09:40 "/>
    <s v="28.04.2012 16:00"/>
    <s v="28.04.2012 17:00"/>
    <x v="7"/>
    <n v="1"/>
    <n v="7"/>
    <m/>
    <m/>
    <s v="Out of Warranty"/>
    <m/>
  </r>
  <r>
    <n v="1128"/>
    <s v="'300B1180 "/>
    <s v="SENTHILVEL ENERGY FUELS"/>
    <s v="PALLADAM"/>
    <s v="TS 05 120 M"/>
    <x v="7"/>
    <s v="CJHE210226"/>
    <s v="ccs014 "/>
    <s v="29.03.2012 18:41 "/>
    <s v="29.03.2012 10:00"/>
    <s v="02.04.2012 13:00"/>
    <x v="7"/>
    <n v="75"/>
    <n v="90"/>
    <m/>
    <m/>
    <s v="Out of Warranty"/>
    <m/>
  </r>
  <r>
    <n v="1129"/>
    <s v="'300B1177 "/>
    <s v="MUTHUKUMAR AND CO"/>
    <s v="MUTHUR"/>
    <s v="TS 05 120 M"/>
    <x v="7"/>
    <s v="CKJE210016"/>
    <s v="ccs003 "/>
    <s v="28.03.2012 16:52 "/>
    <s v="29.03.2012 12:00"/>
    <s v="29.03.2012 11:00"/>
    <x v="7"/>
    <n v="1"/>
    <n v="18"/>
    <m/>
    <m/>
    <s v="Out of Warranty"/>
    <m/>
  </r>
  <r>
    <n v="1148"/>
    <s v="'300B0807 "/>
    <s v="ALAGU FUEL TRADERS"/>
    <s v="ULUNDURPET"/>
    <s v="TS05 M"/>
    <x v="7"/>
    <s v="D300B0807"/>
    <s v="ccs014 "/>
    <s v="12.12.2011 11:52 "/>
    <s v="13.12.2011 10:00"/>
    <s v="13.12.2011 18:00"/>
    <x v="1"/>
    <n v="8"/>
    <n v="30"/>
    <m/>
    <m/>
    <s v="Out of Warranty"/>
    <m/>
  </r>
  <r>
    <n v="1164"/>
    <s v="'300B0489 "/>
    <s v="HARI AGENCIES"/>
    <s v="ERODE"/>
    <s v="TS 05 120 M"/>
    <x v="7"/>
    <s v="CHGE210168"/>
    <s v="ccs014 "/>
    <s v="30.08.2011 14:17 "/>
    <s v="31.08.2011 10:00"/>
    <s v="31.08.2011 15:00"/>
    <x v="1"/>
    <n v="5"/>
    <n v="25"/>
    <m/>
    <m/>
    <s v="Out of Warranty"/>
    <m/>
  </r>
  <r>
    <n v="1172"/>
    <s v="'300B0418 "/>
    <s v="ANNAI VELANKANNI PETROL BUNK"/>
    <s v="TUTICORIN"/>
    <s v="TS 05 120 M"/>
    <x v="7"/>
    <s v="CKAE210073"/>
    <s v="ccs007 "/>
    <s v="09.08.2011 12:23 "/>
    <s v="10.08.2011 09:00"/>
    <s v="11.08.2011 18:00"/>
    <x v="1"/>
    <n v="32"/>
    <n v="54"/>
    <m/>
    <m/>
    <s v="Warranty Failure"/>
    <m/>
  </r>
  <r>
    <n v="1179"/>
    <s v="'300B0331 "/>
    <s v="SRINIVASA FILLING STATION"/>
    <s v="KAMBAM"/>
    <s v="TS 05 120 M"/>
    <x v="7"/>
    <s v="CKCE210130"/>
    <s v="ccs007 "/>
    <s v="14.07.2011 15:19 "/>
    <s v="14.07.2011 15:30"/>
    <s v="14.07.2011 17:30"/>
    <x v="1"/>
    <n v="2"/>
    <n v="2"/>
    <m/>
    <m/>
    <s v="Warranty Commissioning"/>
    <m/>
  </r>
  <r>
    <n v="1190"/>
    <s v="'300B0077 "/>
    <s v="MANIKAM MALAYAN AGENCIES"/>
    <s v="KARUR"/>
    <s v="TS 05 120 M"/>
    <x v="7"/>
    <s v="CJDE210167"/>
    <s v="ccs007 "/>
    <s v="28.04.2011 10:39 "/>
    <s v="28.04.2011 10:45"/>
    <s v="29.04.2011 18:00"/>
    <x v="1"/>
    <n v="31"/>
    <n v="31"/>
    <m/>
    <m/>
    <s v="Warranty Commissioning"/>
    <m/>
  </r>
  <r>
    <n v="1192"/>
    <s v="'300B0072 "/>
    <s v="SRI VELAN FILLING STATION"/>
    <s v="TRICHY"/>
    <s v="TS 05 120 M"/>
    <x v="7"/>
    <s v="CJBE210097"/>
    <s v="ccs007 "/>
    <s v="27.04.2011 11:16 "/>
    <s v="27.04.2011 12:00"/>
    <s v="29.04.2011 17:00"/>
    <x v="1"/>
    <n v="31"/>
    <n v="54"/>
    <m/>
    <m/>
    <s v="Out of Warranty"/>
    <m/>
  </r>
  <r>
    <n v="1193"/>
    <s v="'300B0071 "/>
    <s v="SR GANI FILLING STATION"/>
    <s v="RAMNAD"/>
    <s v="TS 05 120 M"/>
    <x v="7"/>
    <s v="CKLE210047"/>
    <s v="ccs003 "/>
    <s v="26.04.2011 16:09 "/>
    <s v="26.04.2011 16:15"/>
    <s v="26.04.2011 18:00"/>
    <x v="1"/>
    <n v="2"/>
    <n v="2"/>
    <m/>
    <m/>
    <s v="Warranty Commissioning"/>
    <m/>
  </r>
  <r>
    <n v="1197"/>
    <s v="'300B0053 "/>
    <s v="SRI VISHNU OILS"/>
    <s v="GOBICHETTIPALAYAM"/>
    <s v="TS05 M"/>
    <x v="7"/>
    <n v="21523"/>
    <s v="ccs002 "/>
    <s v="20.04.2011 11:58 "/>
    <s v="20.04.2011 10:00"/>
    <s v="21.04.2011 15:00"/>
    <x v="1"/>
    <n v="5"/>
    <n v="27"/>
    <m/>
    <m/>
    <s v="Out of Warranty"/>
    <m/>
  </r>
  <r>
    <n v="1201"/>
    <s v="'300B0028 "/>
    <s v="THANGAVEL PETROL PUMP"/>
    <s v="ODDANCHATRAM"/>
    <s v="TS05 M"/>
    <x v="7"/>
    <n v="21099"/>
    <s v="ccs003 "/>
    <s v="09.04.2011 10:18 "/>
    <s v="09.04.2011 11:00"/>
    <s v="09.04.2011 18:00"/>
    <x v="1"/>
    <n v="4"/>
    <n v="8"/>
    <m/>
    <m/>
    <s v="Out of Warranty"/>
    <m/>
  </r>
  <r>
    <n v="1203"/>
    <s v="'300A1008 "/>
    <s v="KUMARAN AGENCIES"/>
    <s v="COIMBATORE"/>
    <s v="TS05 M"/>
    <x v="7"/>
    <s v="D300A1008"/>
    <s v="ccs003 "/>
    <s v="15.02.2011 15:47 "/>
    <s v="15.02.2011 17:00"/>
    <s v="22.02.2011 12:00"/>
    <x v="11"/>
    <n v="90"/>
    <n v="164"/>
    <m/>
    <m/>
    <s v="Out of Warranty"/>
    <m/>
  </r>
  <r>
    <n v="1204"/>
    <s v="'300A1007 "/>
    <s v="TRANSPORT CORPORATION OF INDIA"/>
    <s v="COIMBATORE"/>
    <s v="TS05 M"/>
    <x v="7"/>
    <n v="58739"/>
    <s v="ccs003 "/>
    <s v="15.02.2011 15:45 "/>
    <s v="15.02.2011 17:00"/>
    <s v="16.02.2011 13:00"/>
    <x v="11"/>
    <n v="-1"/>
    <n v="21"/>
    <m/>
    <m/>
    <s v="Out of Warranty"/>
    <m/>
  </r>
  <r>
    <n v="1209"/>
    <s v="'300A0761 "/>
    <s v="SRI VELAN PETROLEUM AGENCIES"/>
    <s v="TIRUPPUR"/>
    <s v="TS05 M"/>
    <x v="7"/>
    <n v="240067"/>
    <s v="ccs007 "/>
    <s v="22.12.2010 15:23 "/>
    <s v="24.12.2010 10:00"/>
    <s v="24.12.2010 16:00"/>
    <x v="11"/>
    <n v="30"/>
    <n v="49"/>
    <m/>
    <m/>
    <s v="Out of Warranty"/>
    <m/>
  </r>
  <r>
    <n v="1213"/>
    <s v="'300A0610 "/>
    <s v="AVS AGENCIES"/>
    <s v="TIRUPPUR"/>
    <s v="TS05 M"/>
    <x v="7"/>
    <n v="24363"/>
    <s v="ccs004 "/>
    <s v="18.11.2010 12:28 "/>
    <s v="18.11.2010 12:30"/>
    <s v="18.11.2010 16:00"/>
    <x v="11"/>
    <n v="4"/>
    <n v="4"/>
    <m/>
    <m/>
    <s v="Out of Warranty"/>
    <m/>
  </r>
  <r>
    <n v="1214"/>
    <s v="'300A0568 "/>
    <s v="BISMEE AGENCIES"/>
    <s v="METTUPALAYAM"/>
    <s v="TS05 M"/>
    <x v="7"/>
    <s v="D300A0568"/>
    <s v="ccs007 "/>
    <s v="08.11.2010 18:09 "/>
    <s v="09.11.2010 10:00"/>
    <s v="13.11.2010 10:00"/>
    <x v="11"/>
    <n v="96"/>
    <n v="112"/>
    <m/>
    <m/>
    <s v="Out of Warranty"/>
    <m/>
  </r>
  <r>
    <n v="1215"/>
    <s v="'300A0489 "/>
    <s v="SRI BAGAVATHI AGENCIES"/>
    <s v="AVINASHI"/>
    <s v="TS05 M"/>
    <x v="7"/>
    <n v="231893"/>
    <s v="ccs004 "/>
    <s v="11.10.2010 10:37 "/>
    <s v="11.10.2010 10:45"/>
    <s v="12.10.2010 15:00"/>
    <x v="11"/>
    <n v="28"/>
    <n v="28"/>
    <m/>
    <m/>
    <s v="Out of Warranty"/>
    <m/>
  </r>
  <r>
    <n v="1216"/>
    <s v="'300A0455 "/>
    <s v="ARA ENTERPRISES"/>
    <s v="PERUNDURAI"/>
    <s v="TS05120M"/>
    <x v="7"/>
    <n v="22182"/>
    <s v="ccs001 "/>
    <s v="27.09.2010 12:30 "/>
    <s v="27.09.2010 12:35"/>
    <s v="04.10.2010 16:00"/>
    <x v="11"/>
    <n v="172"/>
    <n v="171"/>
    <m/>
    <m/>
    <s v="Out of Warranty"/>
    <m/>
  </r>
  <r>
    <n v="1226"/>
    <s v="'300A0254 "/>
    <s v="SIVA AGENCIES"/>
    <s v="Coimbatore"/>
    <s v="TS 05 120 M"/>
    <x v="7"/>
    <n v="24115"/>
    <s v="ccs001 "/>
    <s v="02.07.2010 12:22 "/>
    <s v="02.07.2010 12:20"/>
    <s v="05.07.2010 17:00"/>
    <x v="11"/>
    <n v="77"/>
    <n v="77"/>
    <m/>
    <m/>
    <s v="Out of Warranty"/>
    <m/>
  </r>
  <r>
    <n v="1227"/>
    <s v="'300A0236 "/>
    <s v="SRUTHI AGENCIES"/>
    <s v="COIMBATORE"/>
    <s v="TS05 M"/>
    <x v="7"/>
    <n v="20192"/>
    <s v="ccs005 "/>
    <s v="26.06.2010 12:12 "/>
    <s v="28.06.2010 10:00"/>
    <s v="03.07.2010 12:00"/>
    <x v="11"/>
    <n v="122"/>
    <n v="168"/>
    <m/>
    <m/>
    <s v="Out of Warranty"/>
    <m/>
  </r>
  <r>
    <n v="1231"/>
    <s v="'300A0119 "/>
    <s v="BALU MANIYAKARAR FUELS"/>
    <s v="Coimbatore"/>
    <s v="TS 05 120 M"/>
    <x v="7"/>
    <n v="24068"/>
    <s v="ccs001 "/>
    <s v="12.05.2010 14:30 "/>
    <s v="12.05.2010 14:45"/>
    <s v="17.05.2010 13:00"/>
    <x v="11"/>
    <n v="119"/>
    <n v="118"/>
    <m/>
    <m/>
    <s v="Out of Warranty"/>
    <m/>
  </r>
  <r>
    <n v="1232"/>
    <s v="'300A0117 "/>
    <s v="SRI RANGANATHAR FUELS"/>
    <s v="Coimbatore"/>
    <s v="TS05 M"/>
    <x v="7"/>
    <n v="21890"/>
    <s v="ccs001 "/>
    <s v="12.05.2010 10:04 "/>
    <s v="12.05.2010 10:15"/>
    <s v="13.05.2010 13:00"/>
    <x v="11"/>
    <n v="27"/>
    <n v="27"/>
    <m/>
    <m/>
    <s v="Out of Warranty"/>
    <m/>
  </r>
  <r>
    <n v="1234"/>
    <s v="'30091217 "/>
    <s v="SIVA AGENCY"/>
    <s v="Kenathukadau"/>
    <s v="TS05 M"/>
    <x v="7"/>
    <n v="24115"/>
    <s v="ccs007 "/>
    <s v="23.03.2010 12:30 "/>
    <s v="24.03.2010 10:00"/>
    <s v="29.03.2010 15:00"/>
    <x v="11"/>
    <n v="125"/>
    <n v="146"/>
    <m/>
    <m/>
    <s v="Out of Warranty"/>
    <m/>
  </r>
  <r>
    <n v="1235"/>
    <s v="'30091216 "/>
    <s v="SHRUTHI AGENCIES"/>
    <s v="Coimbatore"/>
    <s v="TS05 M"/>
    <x v="7"/>
    <n v="20192"/>
    <s v="ccs001 "/>
    <s v="23.03.2010 11:53 "/>
    <s v="23.03.2010 12:15"/>
    <s v="25.03.2010 12:00"/>
    <x v="11"/>
    <n v="48"/>
    <n v="48"/>
    <m/>
    <m/>
    <s v="Out of Warranty"/>
    <m/>
  </r>
  <r>
    <n v="1239"/>
    <s v="'30091050 "/>
    <s v="SIVA AGENCY"/>
    <s v="Kenathukadau"/>
    <s v="TS05 M"/>
    <x v="7"/>
    <s v="D30091050"/>
    <s v="ccs007 "/>
    <s v="05.02.2010 14:12 "/>
    <s v="05.02.2010 15:00"/>
    <s v="19.03.2010 10:45"/>
    <x v="4"/>
    <n v="937"/>
    <n v="1005"/>
    <m/>
    <m/>
    <s v="Out of Warranty"/>
    <m/>
  </r>
  <r>
    <n v="1240"/>
    <s v="'30090812 "/>
    <s v="SHIVA AGENCIES"/>
    <s v="Coimbatore"/>
    <s v="TS05 M"/>
    <x v="7"/>
    <n v="24115"/>
    <s v="ccs001 "/>
    <s v="04.12.2009 10:36 "/>
    <s v="04.12.2009 10:45"/>
    <s v="08.12.2009 14:30"/>
    <x v="4"/>
    <n v="100"/>
    <n v="100"/>
    <m/>
    <m/>
    <s v="Out of Warranty"/>
    <m/>
  </r>
  <r>
    <n v="1245"/>
    <s v="'30090560 "/>
    <s v="AYYAPPAN VENKETESHWARA AGENCY"/>
    <s v="Coimbatore"/>
    <s v="TS05 M"/>
    <x v="7"/>
    <n v="19952"/>
    <s v="ccs004 "/>
    <s v="11.09.2009 17:25 "/>
    <s v="12.09.2009 10:00"/>
    <s v="17.09.2009 15:00"/>
    <x v="4"/>
    <n v="125"/>
    <n v="142"/>
    <m/>
    <m/>
    <s v="Out of Warranty"/>
    <m/>
  </r>
  <r>
    <n v="1246"/>
    <s v="'30090497 "/>
    <s v="THIRUMURUGAN TRADERS"/>
    <s v="Coimbatore"/>
    <s v="TS 05 120 M"/>
    <x v="7"/>
    <n v="23474"/>
    <s v="ccs007 "/>
    <s v="24.08.2009 16:54 "/>
    <s v="25.08.2009 10:00"/>
    <s v="27.08.2009 18:00"/>
    <x v="4"/>
    <n v="56"/>
    <n v="73"/>
    <m/>
    <m/>
    <s v="Out of Warranty"/>
    <m/>
  </r>
  <r>
    <n v="1247"/>
    <s v="'30090399 "/>
    <s v="DURGA BALAJI AGENCIES"/>
    <s v="Tirupur"/>
    <s v="TS 05 120 M"/>
    <x v="7"/>
    <s v="CILE210042"/>
    <s v="ccs001 "/>
    <s v="28.07.2009 11:18 "/>
    <s v="28.07.2009 11:45"/>
    <s v="28.07.2009 16:00"/>
    <x v="4"/>
    <n v="5"/>
    <n v="5"/>
    <m/>
    <m/>
    <s v="Warranty Maintenance"/>
    <m/>
  </r>
  <r>
    <n v="1249"/>
    <s v="'30090319 "/>
    <s v="SS AGENCIES"/>
    <s v="Udumelpet"/>
    <s v="TS05 M"/>
    <x v="7"/>
    <n v="21819"/>
    <s v="ccs001 "/>
    <s v="07.07.2009 13:57 "/>
    <s v="08.07.2009 09:00"/>
    <s v="08.07.2009 19:30"/>
    <x v="4"/>
    <n v="11"/>
    <n v="30"/>
    <m/>
    <m/>
    <s v="Out of Warranty"/>
    <m/>
  </r>
  <r>
    <n v="1261"/>
    <s v="'30081262 "/>
    <s v="THOWSEEK"/>
    <s v="madurai"/>
    <s v="TS 05 120 M"/>
    <x v="7"/>
    <s v="CILE210045"/>
    <s v="ccs003 "/>
    <s v="31.03.2009 11:51 "/>
    <s v="31.03.2009 12:15"/>
    <s v="31.03.2009 16:00"/>
    <x v="4"/>
    <n v="4"/>
    <n v="4"/>
    <m/>
    <m/>
    <s v="Warranty Commissioning"/>
    <m/>
  </r>
  <r>
    <n v="1263"/>
    <s v="'30081248 "/>
    <s v="SRISRIS AGENCIES"/>
    <s v="ANAIKATI"/>
    <s v="TS05M"/>
    <x v="7"/>
    <n v="23911"/>
    <s v="ccs002 "/>
    <s v="26.03.2009 16:35 "/>
    <s v="26.03.2009 18:00"/>
    <s v="29.03.2009 09:00"/>
    <x v="4"/>
    <n v="48"/>
    <n v="64"/>
    <m/>
    <m/>
    <s v="Out of Warranty"/>
    <m/>
  </r>
  <r>
    <n v="1265"/>
    <s v="'30081159 "/>
    <s v="SRUTHI AGENCIES"/>
    <s v="Coimbatore"/>
    <s v="TS05 M"/>
    <x v="7"/>
    <n v="20192"/>
    <s v="ccs007 "/>
    <s v="25.02.2009 13:43 "/>
    <s v="25.02.2009 14:00"/>
    <s v="26.02.2009 13:00"/>
    <x v="4"/>
    <n v="22"/>
    <n v="23"/>
    <m/>
    <m/>
    <s v="Out of Warranty"/>
    <m/>
  </r>
  <r>
    <n v="1283"/>
    <s v="'30080585 "/>
    <s v="SELVAVINAYAGA AGENCIES"/>
    <s v="Coimbatore"/>
    <s v="TS05 M"/>
    <x v="7"/>
    <n v="24407"/>
    <s v="ccs001 "/>
    <s v="17.09.2008 10:37 "/>
    <s v="17.09.2008 10:45"/>
    <s v="17.09.2008 12:00"/>
    <x v="5"/>
    <n v="1"/>
    <n v="1"/>
    <m/>
    <m/>
    <s v="Out of Warranty"/>
    <m/>
  </r>
  <r>
    <n v="1286"/>
    <s v="'30080539 "/>
    <s v="SRUTHI AGENCIES"/>
    <s v="Coimbatore"/>
    <s v="TS05 M"/>
    <x v="7"/>
    <s v="D30080539"/>
    <s v="ccs001 "/>
    <s v="03.09.2008 14:18 "/>
    <s v="03.09.2008 14:10"/>
    <s v="05.09.2008 16:00"/>
    <x v="5"/>
    <n v="50"/>
    <n v="50"/>
    <m/>
    <m/>
    <s v="Out of Warranty"/>
    <m/>
  </r>
  <r>
    <n v="1291"/>
    <s v="'30080492 "/>
    <s v="CHERAN PETROLEUM"/>
    <s v="Erode"/>
    <s v="TS05 M"/>
    <x v="7"/>
    <n v="20348"/>
    <s v="ccs001 "/>
    <s v="23.08.2008 11:52 "/>
    <s v="23.08.2008 11:45"/>
    <s v="25.08.2008 13:00"/>
    <x v="5"/>
    <n v="49"/>
    <n v="49"/>
    <m/>
    <m/>
    <s v="Out of Warranty"/>
    <m/>
  </r>
  <r>
    <n v="1297"/>
    <s v="'30080439 "/>
    <s v="IYAPPA &amp; VENKETESHWARA AGENCY"/>
    <s v="Coimbatore"/>
    <s v="TS05 M"/>
    <x v="7"/>
    <s v="D30080439"/>
    <s v="ccs001 "/>
    <s v="06.08.2008 11:41 "/>
    <s v="06.08.2008 11:45"/>
    <s v="25.08.2008 12:00"/>
    <x v="5"/>
    <n v="2"/>
    <n v="456"/>
    <m/>
    <m/>
    <s v="Out of Warranty"/>
    <m/>
  </r>
  <r>
    <n v="1299"/>
    <s v="'30080335 "/>
    <s v="SS AGENCIES"/>
    <s v="Udumelpet"/>
    <s v="TS05 M"/>
    <x v="7"/>
    <n v="21819"/>
    <s v="ccs001 "/>
    <s v="11.07.2008 14:16 "/>
    <s v="11.07.2008 14:20"/>
    <s v="15.07.2008 18:00"/>
    <x v="5"/>
    <n v="100"/>
    <n v="100"/>
    <m/>
    <m/>
    <s v="Out of Warranty"/>
    <m/>
  </r>
  <r>
    <n v="1303"/>
    <s v="'30080268 "/>
    <s v="AYYAPPAN VENKETESHWARA AGENCY"/>
    <s v="Coimbatore"/>
    <s v="TS05 M"/>
    <x v="7"/>
    <n v="19952"/>
    <s v="ccs001 "/>
    <s v="26.06.2008 14:00 "/>
    <s v="26.06.2008 14:15"/>
    <s v="02.07.2008 16:00"/>
    <x v="5"/>
    <n v="146"/>
    <n v="146"/>
    <m/>
    <m/>
    <s v="Out of Warranty"/>
    <m/>
  </r>
  <r>
    <n v="1308"/>
    <s v="'30080100 "/>
    <s v="KRISHNA AGENCIES"/>
    <s v="Trichy"/>
    <s v="TS05 M"/>
    <x v="7"/>
    <s v="D30080100"/>
    <s v="ccs001 "/>
    <s v="17.05.2008 10:42 "/>
    <s v="19.05.2008 09:00"/>
    <s v="11.06.2008 11:00"/>
    <x v="5"/>
    <n v="218"/>
    <n v="600"/>
    <m/>
    <m/>
    <s v="Out of Warranty"/>
    <m/>
  </r>
  <r>
    <n v="1309"/>
    <s v="'30080036 "/>
    <s v="IYYAPPAN &amp; VENKETESHWARA BUNK"/>
    <s v="Coimbatore"/>
    <s v="TS05 M"/>
    <x v="7"/>
    <n v="19952"/>
    <s v="ccs001 "/>
    <s v="05.05.2008 12:04 "/>
    <s v="05.05.2008 12:30"/>
    <s v="10.05.2008 13:00"/>
    <x v="5"/>
    <n v="121"/>
    <n v="121"/>
    <m/>
    <m/>
    <s v="Out of Warranty"/>
    <m/>
  </r>
  <r>
    <n v="1310"/>
    <s v="'30085768 "/>
    <s v="BALAJI AGENCIES"/>
    <s v="Trichy"/>
    <s v="TS05 M"/>
    <x v="7"/>
    <s v="D30085768"/>
    <s v="ccs001 "/>
    <s v="16.04.2008 16:36 "/>
    <s v="17.04.2008 09:00"/>
    <s v="28.04.2008 14:30"/>
    <x v="5"/>
    <n v="78"/>
    <n v="286"/>
    <m/>
    <m/>
    <s v="Out of Warranty"/>
    <m/>
  </r>
  <r>
    <n v="1321"/>
    <s v="'30075358 "/>
    <s v="ABGA PETRO FILLING STATION"/>
    <s v="Coimbatore"/>
    <s v="TS 05 120 M"/>
    <x v="7"/>
    <n v="23969"/>
    <s v="ccs001 "/>
    <s v="04.02.2008 11:27 "/>
    <s v="04.02.2008 11:30"/>
    <s v="06.02.2008 12:00"/>
    <x v="3"/>
    <n v="49"/>
    <n v="49"/>
    <m/>
    <m/>
    <s v="Out of Warranty"/>
    <m/>
  </r>
  <r>
    <n v="1342"/>
    <s v="'30074290 "/>
    <s v="INDIAN OIL CORPORATION--SREE"/>
    <s v="Madurai"/>
    <s v="TS05 M"/>
    <x v="7"/>
    <n v="23778"/>
    <s v="ccs001 "/>
    <s v="15.06.2007 16:39 "/>
    <s v="16.06.2007 09:00"/>
    <s v="19.06.2007 16:00"/>
    <x v="3"/>
    <n v="79"/>
    <n v="95"/>
    <m/>
    <m/>
    <m/>
    <m/>
  </r>
  <r>
    <n v="1343"/>
    <s v="'30074284 "/>
    <s v="MSM PETRO CHEM--C"/>
    <s v="Coimbatore"/>
    <s v="TS05 M"/>
    <x v="7"/>
    <n v="24190"/>
    <s v="ccs002 "/>
    <s v="13.06.2007 18:47 "/>
    <s v="14.06.2007 16:30"/>
    <s v="15.06.2007 09:00"/>
    <x v="3"/>
    <n v="24"/>
    <n v="38"/>
    <m/>
    <m/>
    <m/>
    <m/>
  </r>
  <r>
    <n v="1348"/>
    <s v="'30074077 "/>
    <s v="SEETHAL BALAJI MOTOR PVT LTD"/>
    <s v="Trichy"/>
    <s v="TS05 M"/>
    <x v="7"/>
    <n v="23725"/>
    <s v="ccs004 "/>
    <s v="18.04.2007 19:26 "/>
    <s v="24.04.2007 10:00"/>
    <s v="11.05.2007 16:30"/>
    <x v="3"/>
    <n v="536"/>
    <n v="549"/>
    <m/>
    <m/>
    <m/>
    <m/>
  </r>
  <r>
    <n v="1355"/>
    <s v="'30063892 "/>
    <s v="SATHYA NARAYAN FILLING CENTER--SREE"/>
    <s v="Madurai"/>
    <s v="TS05120M - RELIANCE"/>
    <x v="7"/>
    <n v="24177"/>
    <s v="ccs001 "/>
    <s v="07.03.2007 12:22 "/>
    <s v="08.03.2007 10:00"/>
    <s v="17.03.2007 15:00"/>
    <x v="3"/>
    <n v="53"/>
    <n v="243"/>
    <m/>
    <m/>
    <m/>
    <m/>
  </r>
  <r>
    <n v="1359"/>
    <s v="'30063802 "/>
    <s v="RELIENCE PETROL BUNK"/>
    <s v="Trichy"/>
    <s v="TS05120M - RELIANCE"/>
    <x v="7"/>
    <n v="23347"/>
    <s v="ccs001 "/>
    <s v="12.02.2007 13:02 "/>
    <s v="15.02.2007 09:00"/>
    <s v="24.02.2007 16:00"/>
    <x v="12"/>
    <n v="271"/>
    <n v="291"/>
    <m/>
    <m/>
    <m/>
    <m/>
  </r>
  <r>
    <n v="1366"/>
    <s v="'30063324 "/>
    <s v="SEETHALA BALAJI MOTORS PVT LTD -- C"/>
    <s v="Trichy"/>
    <s v="TS05 M"/>
    <x v="7"/>
    <n v="237275"/>
    <s v="ccs001 "/>
    <s v="31.10.2006 20:04 "/>
    <s v="31.10.2006 20:15"/>
    <s v="14.11.2006 18:00"/>
    <x v="12"/>
    <n v="0"/>
    <n v="334"/>
    <m/>
    <m/>
    <m/>
    <m/>
  </r>
  <r>
    <n v="1386"/>
    <s v="'30062637 "/>
    <s v="RELIENCE PETROL BUNK"/>
    <s v="Trichy"/>
    <s v="TS 05M"/>
    <x v="7"/>
    <n v="25961"/>
    <s v="ccs001 "/>
    <s v="27.06.2006 10:02 "/>
    <s v="27.06.2006 10:30"/>
    <s v="29.06.2006 20:45"/>
    <x v="12"/>
    <n v="0"/>
    <n v="59"/>
    <m/>
    <m/>
    <m/>
    <m/>
  </r>
  <r>
    <n v="1416"/>
    <m/>
    <s v="Sri Madurakali Amman Agencies, Dealer:IOC, D.No:7/4H, Santhanakaruppanur, Jallipatti, Udumalpet"/>
    <s v="Udumalpet"/>
    <s v="TS05/220-M"/>
    <x v="7"/>
    <n v="48064"/>
    <m/>
    <m/>
    <m/>
    <m/>
    <x v="13"/>
    <m/>
    <m/>
    <m/>
    <m/>
    <m/>
    <n v="9578681366"/>
  </r>
  <r>
    <n v="1486"/>
    <m/>
    <s v="Shobha Electricals, 239-240, Patel Road, Ram Nagar, Coimbatore"/>
    <s v="Cbe"/>
    <s v="TS05/220-M"/>
    <x v="7"/>
    <n v="51584"/>
    <m/>
    <m/>
    <m/>
    <m/>
    <x v="13"/>
    <m/>
    <m/>
    <m/>
    <m/>
    <m/>
    <n v="9566969517"/>
  </r>
  <r>
    <n v="1560"/>
    <m/>
    <s v="Sathyamangalam Lorry Owners Association , Sathy Road, Sathyamangalam"/>
    <s v="Sathy"/>
    <s v="TS05/220-M"/>
    <x v="7"/>
    <n v="54414"/>
    <m/>
    <m/>
    <m/>
    <m/>
    <x v="13"/>
    <m/>
    <m/>
    <m/>
    <m/>
    <m/>
    <n v="9443202677"/>
  </r>
  <r>
    <n v="1592"/>
    <m/>
    <s v="IES Agencies, 780 Avinashi Road, Coimbatore"/>
    <s v="Cbe"/>
    <s v="TS05/220-M"/>
    <x v="7"/>
    <n v="43630"/>
    <m/>
    <m/>
    <m/>
    <m/>
    <x v="13"/>
    <m/>
    <m/>
    <m/>
    <m/>
    <m/>
    <s v="0422-2387816"/>
  </r>
  <r>
    <n v="1630"/>
    <m/>
    <s v="IES Agencies, 780 Avinashi Road, Coimbatore"/>
    <s v="Cbe"/>
    <s v="TS05/220-M"/>
    <x v="7"/>
    <n v="46765"/>
    <m/>
    <m/>
    <m/>
    <m/>
    <x v="13"/>
    <m/>
    <m/>
    <m/>
    <m/>
    <m/>
    <m/>
  </r>
  <r>
    <n v="1679"/>
    <m/>
    <s v="D.S.ASSOCIATES"/>
    <s v="ERODE"/>
    <s v="TS 05 120/220 M"/>
    <x v="7"/>
    <m/>
    <m/>
    <m/>
    <m/>
    <m/>
    <x v="13"/>
    <m/>
    <m/>
    <m/>
    <m/>
    <m/>
    <m/>
  </r>
  <r>
    <n v="1680"/>
    <m/>
    <s v="D.S.ASSOCIATES"/>
    <s v="Erode"/>
    <s v="TS05 M"/>
    <x v="7"/>
    <m/>
    <m/>
    <m/>
    <m/>
    <m/>
    <x v="13"/>
    <m/>
    <m/>
    <m/>
    <m/>
    <m/>
    <m/>
  </r>
  <r>
    <n v="1701"/>
    <m/>
    <s v="Kongu Construction"/>
    <s v="Erode"/>
    <s v="TS 05 120/220M"/>
    <x v="7"/>
    <m/>
    <m/>
    <m/>
    <m/>
    <m/>
    <x v="13"/>
    <m/>
    <m/>
    <m/>
    <m/>
    <m/>
    <m/>
  </r>
  <r>
    <n v="1702"/>
    <m/>
    <s v="Kongu Construction"/>
    <s v="Erode"/>
    <s v="TS 05 120/220M"/>
    <x v="7"/>
    <m/>
    <m/>
    <m/>
    <m/>
    <m/>
    <x v="13"/>
    <m/>
    <m/>
    <m/>
    <m/>
    <m/>
    <m/>
  </r>
  <r>
    <n v="1703"/>
    <m/>
    <s v="Kongu Construction"/>
    <s v="Erode"/>
    <s v="TS 05 120/220M"/>
    <x v="7"/>
    <m/>
    <m/>
    <m/>
    <m/>
    <m/>
    <x v="13"/>
    <m/>
    <m/>
    <m/>
    <m/>
    <m/>
    <m/>
  </r>
  <r>
    <n v="1704"/>
    <m/>
    <s v="Kongu Construction"/>
    <s v="Erode"/>
    <s v="TS 05 120/220M"/>
    <x v="7"/>
    <m/>
    <m/>
    <m/>
    <m/>
    <m/>
    <x v="13"/>
    <m/>
    <m/>
    <m/>
    <m/>
    <m/>
    <m/>
  </r>
  <r>
    <n v="1705"/>
    <m/>
    <s v="Kongu Construction"/>
    <s v="Erode"/>
    <s v="TS 05 120/220M"/>
    <x v="7"/>
    <m/>
    <m/>
    <m/>
    <m/>
    <m/>
    <x v="13"/>
    <m/>
    <m/>
    <m/>
    <m/>
    <m/>
    <m/>
  </r>
  <r>
    <n v="1727"/>
    <m/>
    <s v="Rizwan Agencies"/>
    <s v="Pudhukottai"/>
    <s v="TS 05 120 /220M"/>
    <x v="7"/>
    <m/>
    <m/>
    <m/>
    <m/>
    <m/>
    <x v="13"/>
    <m/>
    <m/>
    <m/>
    <m/>
    <m/>
    <m/>
  </r>
  <r>
    <n v="1729"/>
    <m/>
    <s v="S.S.Builders"/>
    <s v="Coimbatore"/>
    <s v="TS 05 120/220M"/>
    <x v="7"/>
    <m/>
    <m/>
    <m/>
    <m/>
    <m/>
    <x v="13"/>
    <m/>
    <m/>
    <m/>
    <m/>
    <m/>
    <m/>
  </r>
  <r>
    <n v="1730"/>
    <m/>
    <s v="S.S.Builders"/>
    <s v="Coimbatore"/>
    <s v="TS 05 120/220 M"/>
    <x v="7"/>
    <m/>
    <m/>
    <m/>
    <m/>
    <m/>
    <x v="13"/>
    <m/>
    <m/>
    <m/>
    <m/>
    <m/>
    <m/>
  </r>
  <r>
    <n v="1749"/>
    <m/>
    <s v="Sivam &amp; Co"/>
    <s v="COIMBATORE"/>
    <s v="TS 05 120/220 M"/>
    <x v="7"/>
    <m/>
    <m/>
    <m/>
    <m/>
    <m/>
    <x v="13"/>
    <m/>
    <m/>
    <m/>
    <m/>
    <m/>
    <m/>
  </r>
  <r>
    <n v="1767"/>
    <m/>
    <s v="Sri Mahaganapathi Agencies"/>
    <s v="Thanjavur"/>
    <s v="TS 05 220M"/>
    <x v="7"/>
    <m/>
    <m/>
    <m/>
    <m/>
    <m/>
    <x v="13"/>
    <m/>
    <m/>
    <m/>
    <m/>
    <m/>
    <m/>
  </r>
  <r>
    <n v="1790"/>
    <m/>
    <s v="Venkatam Construction Engineers"/>
    <s v="Cbe"/>
    <s v="TS 05 120/220M"/>
    <x v="7"/>
    <m/>
    <m/>
    <m/>
    <m/>
    <m/>
    <x v="13"/>
    <m/>
    <m/>
    <m/>
    <m/>
    <m/>
    <m/>
  </r>
  <r>
    <n v="1792"/>
    <m/>
    <s v="Vetrivinayagar Agencies"/>
    <s v="Cbe"/>
    <s v="TS 05 120/220M"/>
    <x v="7"/>
    <m/>
    <m/>
    <m/>
    <m/>
    <m/>
    <x v="13"/>
    <m/>
    <m/>
    <m/>
    <m/>
    <m/>
    <m/>
  </r>
  <r>
    <n v="1"/>
    <s v="'300G00181 "/>
    <s v="V K EXPORT"/>
    <s v="TIRUPUR"/>
    <s v="TS 07 120 HN"/>
    <x v="8"/>
    <s v="GPLE660258"/>
    <s v="ccs021 "/>
    <s v="24.05.2016 12:45 "/>
    <s v="25.05.2016 10:00"/>
    <s v="25.05.2016 17:00"/>
    <x v="9"/>
    <n v="7"/>
    <n v="28"/>
    <m/>
    <m/>
    <s v="Warranty Maintenance"/>
    <m/>
  </r>
  <r>
    <n v="3"/>
    <s v="'300G00113 "/>
    <s v="RAIMENT CLOTHING COMPANY"/>
    <s v="TIRUPUR"/>
    <s v="TS 07 120 HN"/>
    <x v="8"/>
    <s v="GNIE660470"/>
    <s v="ccs021 "/>
    <s v="03.05.2016 10:20 "/>
    <s v="03.05.2016 14:00"/>
    <s v="16.05.2016 00:00"/>
    <x v="9"/>
    <n v="298"/>
    <n v="302"/>
    <m/>
    <m/>
    <s v="Out of Warranty"/>
    <m/>
  </r>
  <r>
    <n v="5"/>
    <s v="'300G00092 "/>
    <s v="JNC TEXTILES"/>
    <s v="COIMBATORE"/>
    <s v="TS 07 120 HN"/>
    <x v="8"/>
    <s v="GPJE660016"/>
    <s v="ccs025 "/>
    <s v="25.04.2016 15:08 "/>
    <s v="25.04.2016 16:00"/>
    <s v="25.04.2016 17:30"/>
    <x v="9"/>
    <n v="2"/>
    <n v="2"/>
    <m/>
    <m/>
    <s v="Annual Maintenance contract"/>
    <m/>
  </r>
  <r>
    <n v="10"/>
    <s v="'300G00033 "/>
    <s v="ATHAMMAL SPINNERS"/>
    <s v="COIMBATORE"/>
    <s v="TS 07 120 HN"/>
    <x v="8"/>
    <s v="GOAE660396"/>
    <s v="ccs025 "/>
    <s v="09.04.2016 16:48 "/>
    <s v="18.04.2016 10:00"/>
    <s v="18.04.2016 15:00"/>
    <x v="9"/>
    <n v="77"/>
    <n v="214"/>
    <m/>
    <m/>
    <s v="Out of Warranty"/>
    <m/>
  </r>
  <r>
    <n v="16"/>
    <s v="'300F01081 "/>
    <s v="BOOMA MILKS"/>
    <s v="TIRUPPUR"/>
    <s v="TS 07 120 HN"/>
    <x v="8"/>
    <s v="GOIE661504"/>
    <s v="ccs018 "/>
    <s v="05.02.2016 13:17 "/>
    <s v="06.02.2016 10:00"/>
    <s v="08.02.2016 12:00"/>
    <x v="8"/>
    <n v="50"/>
    <n v="71"/>
    <m/>
    <m/>
    <s v="Warranty Commissioning"/>
    <m/>
  </r>
  <r>
    <n v="17"/>
    <s v="'300F01076 "/>
    <s v="COTTON CITY CLOTHING"/>
    <s v="TIRUPUR"/>
    <s v="TS 07 120 HN"/>
    <x v="8"/>
    <s v="GNEE660009"/>
    <s v="ccs025 "/>
    <s v="04.02.2016 19:40 "/>
    <s v="05.02.2016 10:00"/>
    <s v="07.02.2016 14:00"/>
    <x v="8"/>
    <n v="52"/>
    <n v="66"/>
    <m/>
    <m/>
    <s v="Out of Warranty"/>
    <m/>
  </r>
  <r>
    <n v="21"/>
    <s v="'300F00999 "/>
    <s v="MAA ENGINEER"/>
    <s v="COIMBATORE"/>
    <s v="TS 07 120 HN"/>
    <x v="8"/>
    <s v="GOCE660680"/>
    <s v="ccs028 "/>
    <s v="11.01.2016 09:18 "/>
    <s v="11.01.2016 12:00"/>
    <s v="11.01.2016 16:00"/>
    <x v="8"/>
    <n v="4"/>
    <n v="7"/>
    <m/>
    <m/>
    <s v="Out of Warranty"/>
    <m/>
  </r>
  <r>
    <n v="22"/>
    <s v="'300F00943 "/>
    <s v="NOYYAL CETP"/>
    <s v="TIRUPPUR"/>
    <s v="RAC PACKAGE TS07 HN 220L"/>
    <x v="8"/>
    <s v="CLCE660784"/>
    <s v="ccs014 "/>
    <s v="28.12.2015 13:03 "/>
    <s v="29.12.2015 10:00"/>
    <s v="30.12.2015 17:00"/>
    <x v="8"/>
    <n v="31"/>
    <n v="52"/>
    <m/>
    <m/>
    <s v="Out of Warranty"/>
    <m/>
  </r>
  <r>
    <n v="23"/>
    <s v="'300F00941 "/>
    <s v="TRIYA COT"/>
    <s v="TIRUPPUR"/>
    <s v="TS 07 120 HN"/>
    <x v="8"/>
    <s v="CMAE660522"/>
    <s v="ccs015 "/>
    <s v="26.12.2015 12:38 "/>
    <s v="28.12.2015 09:00"/>
    <s v="28.12.2015 12:00"/>
    <x v="8"/>
    <n v="3"/>
    <n v="47"/>
    <m/>
    <m/>
    <s v="Out of Warranty"/>
    <m/>
  </r>
  <r>
    <n v="25"/>
    <s v="'300F00911 "/>
    <s v="CHANDRU CHANBER"/>
    <s v="THADAKAM"/>
    <s v="TS 07 120 HN"/>
    <x v="8"/>
    <s v="GOCE660722"/>
    <s v="ccs025 "/>
    <s v="17.12.2015 15:00 "/>
    <s v="18.12.2015 10:00"/>
    <s v="18.12.2015 12:00"/>
    <x v="8"/>
    <n v="2"/>
    <n v="21"/>
    <m/>
    <m/>
    <s v="Warranty Maintenance"/>
    <m/>
  </r>
  <r>
    <n v="28"/>
    <s v="'300F00866 "/>
    <s v="SRI PERIYANACHI AMMAN TEXTILES"/>
    <s v="ANNUR"/>
    <s v="TS 07 120 HN"/>
    <x v="8"/>
    <s v="GOCE660723"/>
    <s v="ccs021 "/>
    <s v="03.12.2015 08:58 "/>
    <s v="03.12.2015 12:00"/>
    <s v="04.12.2015 13:00"/>
    <x v="8"/>
    <n v="25"/>
    <n v="28"/>
    <m/>
    <m/>
    <s v="Warranty Failure"/>
    <m/>
  </r>
  <r>
    <n v="34"/>
    <s v="'300F00738 "/>
    <s v="ATHAMMAL SPINNERS"/>
    <s v="COIMBATORE"/>
    <s v="TS 07 120 HN"/>
    <x v="8"/>
    <s v="GOAE660396"/>
    <s v="ccs021 "/>
    <s v="27.10.2015 16:29 "/>
    <s v="28.10.2015 10:00"/>
    <s v="29.10.2015 12:00"/>
    <x v="8"/>
    <n v="26"/>
    <n v="44"/>
    <m/>
    <m/>
    <s v="Out of Warranty"/>
    <m/>
  </r>
  <r>
    <n v="37"/>
    <s v="'300F00717 "/>
    <s v="SARA INDUSTRIES"/>
    <s v="COIMBATORE"/>
    <s v="RAC PACKAGE TS07 HN 220L"/>
    <x v="8"/>
    <s v="CKKE660203"/>
    <s v="ccs019 "/>
    <s v="20.10.2015 11:46 "/>
    <s v="21.10.2015 09:00"/>
    <s v="23.10.2015 12:00"/>
    <x v="8"/>
    <n v="48"/>
    <n v="72"/>
    <m/>
    <m/>
    <s v="Out of Warranty"/>
    <m/>
  </r>
  <r>
    <n v="47"/>
    <s v="'300F00553 "/>
    <s v="COTTON CITY CLOTHING"/>
    <s v="TIRUPUR"/>
    <s v="TS 07 120 HN"/>
    <x v="8"/>
    <s v="GNEE660009"/>
    <s v="ccs028 "/>
    <s v="18.09.2015 09:31 "/>
    <s v="18.09.2015 12:00"/>
    <s v="18.09.2015 14:00"/>
    <x v="8"/>
    <n v="2"/>
    <n v="4"/>
    <m/>
    <m/>
    <s v="Out of Warranty"/>
    <m/>
  </r>
  <r>
    <n v="53"/>
    <s v="'300F00404 "/>
    <s v="SRI VISHNU COLOURS"/>
    <s v="TIRUPUR"/>
    <s v="TS 07 120 HN"/>
    <x v="8"/>
    <s v="GOKE660237"/>
    <s v="ccs015 "/>
    <s v="13.08.2015 10:07 "/>
    <s v="13.08.2015 16:00"/>
    <s v="14.08.2015 15:00"/>
    <x v="8"/>
    <n v="23"/>
    <n v="29"/>
    <m/>
    <m/>
    <s v="Warranty Failure"/>
    <m/>
  </r>
  <r>
    <n v="58"/>
    <s v="'300F00313 "/>
    <s v="UNIQUE ROOF PVT LTD"/>
    <s v="COIMBATORE"/>
    <s v="RAC PACKAGE TS07 HN 220L"/>
    <x v="8"/>
    <s v="AKEE660061"/>
    <s v="ccs019 "/>
    <s v="13.07.2015 13:19 "/>
    <s v="14.07.2015 10:00"/>
    <s v="14.07.2015 12:30"/>
    <x v="8"/>
    <n v="3"/>
    <n v="23"/>
    <m/>
    <m/>
    <s v="Out of Warranty"/>
    <m/>
  </r>
  <r>
    <n v="64"/>
    <s v="'300F00258 "/>
    <s v="ELVEE AUTO ENTERPRISES"/>
    <s v="COIMBATORE"/>
    <s v="TS 07"/>
    <x v="8"/>
    <n v="20415"/>
    <s v="ccs025 "/>
    <s v="30.06.2015 11:04 "/>
    <s v="01.07.2015 10:00"/>
    <s v="02.07.2015 12:00"/>
    <x v="8"/>
    <n v="26"/>
    <n v="49"/>
    <m/>
    <m/>
    <s v="Out of Warranty"/>
    <m/>
  </r>
  <r>
    <n v="67"/>
    <s v="'300F00130 "/>
    <s v="LAKSHMI KNIT WEAR"/>
    <s v="TIRUPUR"/>
    <s v="TS 07 120 HN"/>
    <x v="8"/>
    <s v="GOAE660395"/>
    <s v="ccs021 "/>
    <s v="20.05.2015 09:29 "/>
    <s v="20.05.2015 13:00"/>
    <s v="20.05.2015 15:00"/>
    <x v="8"/>
    <n v="2"/>
    <n v="6"/>
    <m/>
    <m/>
    <s v="Warranty Maintenance"/>
    <m/>
  </r>
  <r>
    <n v="68"/>
    <s v="'300F00116 "/>
    <s v="SABARI AQUA FORMS"/>
    <s v="UDUMALAPET"/>
    <s v="TS07HN"/>
    <x v="8"/>
    <s v="D300F00116"/>
    <s v="ccs019 "/>
    <s v="16.05.2015 09:51 "/>
    <s v="18.05.2015 10:00"/>
    <s v="19.05.2015 12:00"/>
    <x v="8"/>
    <n v="26"/>
    <n v="74"/>
    <m/>
    <m/>
    <s v="Out of Warranty"/>
    <m/>
  </r>
  <r>
    <n v="75"/>
    <s v="'300E00939 "/>
    <s v="FTIN DRAFT"/>
    <s v="COIMABTORE"/>
    <s v="RAC PACKAGE TS07 HN 220L"/>
    <x v="8"/>
    <s v="CJHE661474"/>
    <s v="ccs021 "/>
    <s v="05.03.2015 14:12 "/>
    <s v="06.03.2015 10:00"/>
    <s v="06.03.2015 13:00"/>
    <x v="8"/>
    <n v="3"/>
    <n v="23"/>
    <m/>
    <m/>
    <s v="Out of Warranty"/>
    <m/>
  </r>
  <r>
    <n v="79"/>
    <s v="'300E00911 "/>
    <s v="N MAHALINGAM COMPANY"/>
    <s v="COIMBATORE"/>
    <s v="ts 07"/>
    <x v="8"/>
    <s v="D300E00911"/>
    <s v="ccs025 "/>
    <s v="26.02.2015 08:59 "/>
    <s v="26.02.2015 12:00"/>
    <s v="27.02.2015 10:00"/>
    <x v="8"/>
    <n v="22"/>
    <n v="25"/>
    <m/>
    <m/>
    <s v="Out of Warranty"/>
    <m/>
  </r>
  <r>
    <n v="80"/>
    <s v="'300E00904 "/>
    <s v="VINWIN PRINTER"/>
    <s v="Tirupur"/>
    <s v="TS 07 120 HN"/>
    <x v="8"/>
    <s v="GOKE660176"/>
    <s v="ccs015 "/>
    <s v="24.02.2015 09:35 "/>
    <s v="24.02.2015 16:00"/>
    <s v="25.02.2015 12:00"/>
    <x v="8"/>
    <n v="20"/>
    <n v="26"/>
    <m/>
    <m/>
    <s v="Warranty Commissioning"/>
    <m/>
  </r>
  <r>
    <n v="83"/>
    <s v="'300E00869 "/>
    <s v="COTTON CITY CLOTHING"/>
    <s v="TIRUPUR"/>
    <s v="TS 07 120 HN"/>
    <x v="8"/>
    <s v="GNEE660009"/>
    <s v="ccs021 "/>
    <s v="16.02.2015 09:19 "/>
    <s v="16.02.2015 13:00"/>
    <s v="16.02.2015 15:00"/>
    <x v="10"/>
    <n v="2"/>
    <n v="6"/>
    <s v="35119E029-18.03.2015"/>
    <n v="3.5119000000000001E+33"/>
    <s v="Warranty Failure"/>
    <m/>
  </r>
  <r>
    <n v="101"/>
    <s v="'300E00404 "/>
    <s v="COTTON BUDS INC"/>
    <s v="TIRUPUR"/>
    <s v="TS 07 120 HN"/>
    <x v="8"/>
    <s v="CNBE660538"/>
    <s v="ccs014 "/>
    <s v="28.08.2014 10:11 "/>
    <s v="28.08.2014 14:00"/>
    <s v="01.09.2014 14:00"/>
    <x v="10"/>
    <n v="43"/>
    <n v="100"/>
    <m/>
    <m/>
    <s v="Warranty Failure"/>
    <m/>
  </r>
  <r>
    <n v="106"/>
    <s v="'300E00296 "/>
    <s v="AERO AUTOS"/>
    <s v="TIRUPUR"/>
    <s v="TS 07 120 HN"/>
    <x v="8"/>
    <s v="CMIE661397"/>
    <s v="ccs019 "/>
    <s v="18.07.2014 11:25 "/>
    <s v="19.07.2014 09:00"/>
    <s v="19.07.2014 10:00"/>
    <x v="10"/>
    <n v="1"/>
    <n v="23"/>
    <m/>
    <m/>
    <m/>
    <m/>
  </r>
  <r>
    <n v="109"/>
    <s v="'300E00252 "/>
    <s v="PROCESS EQUIPMENT ENTERPRISES"/>
    <s v="COIMBATORE"/>
    <s v="RAC PACKAGE TS07 HN 220L"/>
    <x v="8"/>
    <s v="CHLE660238"/>
    <s v="ccs021 "/>
    <s v="04.07.2014 16:00 "/>
    <s v="05.07.2014 10:00"/>
    <s v="05.07.2014 21:00"/>
    <x v="10"/>
    <n v="6"/>
    <n v="29"/>
    <m/>
    <m/>
    <s v="Out of Warranty"/>
    <m/>
  </r>
  <r>
    <n v="113"/>
    <s v="'300E00182 "/>
    <s v="CAR WORLD"/>
    <s v="THIRUPUR"/>
    <s v="TS 07 120 HN"/>
    <x v="8"/>
    <s v="CMBE660642"/>
    <s v="ccs021 "/>
    <s v="09.06.2014 14:22 "/>
    <s v="10.06.2014 10:00"/>
    <s v="10.06.2014 11:30"/>
    <x v="10"/>
    <n v="2"/>
    <n v="21"/>
    <m/>
    <m/>
    <s v="Out of Warranty"/>
    <m/>
  </r>
  <r>
    <n v="120"/>
    <s v="'300E00128 "/>
    <s v="JRP EXPORTS"/>
    <s v="TIRUPPUR"/>
    <s v="RAC PACKAGE TS07 HN 220L"/>
    <x v="8"/>
    <s v="CLAE660435"/>
    <s v="ccs003 "/>
    <s v="20.05.2014 15:35 "/>
    <s v="21.05.2014 09:00"/>
    <s v="21.05.2014 11:00"/>
    <x v="10"/>
    <n v="2"/>
    <n v="19"/>
    <m/>
    <m/>
    <s v="Out of Warranty"/>
    <m/>
  </r>
  <r>
    <n v="140"/>
    <s v="'300D0627 "/>
    <s v="SRI HARI TEXTILE"/>
    <s v="UDMALPET"/>
    <s v="TS 07 120 HN"/>
    <x v="8"/>
    <s v="CMFE661055"/>
    <s v="ccs005 "/>
    <s v="24.10.2013 11:49 "/>
    <s v="25.10.2013 10:00"/>
    <s v="25.10.2013 13:00"/>
    <x v="2"/>
    <n v="3"/>
    <n v="25"/>
    <m/>
    <m/>
    <s v="Warranty Commissioning"/>
    <m/>
  </r>
  <r>
    <n v="142"/>
    <s v="'300D0613 "/>
    <s v="ANBU KNIT FINISHERS"/>
    <s v="TIRUPPUR"/>
    <s v="TS07120"/>
    <x v="8"/>
    <n v="34790"/>
    <s v="ccs005 "/>
    <s v="16.10.2013 10:19 "/>
    <s v="16.10.2013 15:00"/>
    <s v="16.10.2013 18:00"/>
    <x v="2"/>
    <n v="3"/>
    <n v="8"/>
    <m/>
    <m/>
    <s v="Out of Warranty"/>
    <m/>
  </r>
  <r>
    <n v="149"/>
    <s v="'300D0377 "/>
    <s v="SRI KARIKALIAMMAN TEXTILES"/>
    <s v="ANNUR"/>
    <s v="RAC PACKAGE TS07 HN 220L"/>
    <x v="8"/>
    <s v="CHAE660061"/>
    <s v="ccs015 "/>
    <s v="27.07.2013 08:17 "/>
    <s v="27.07.2013 16:00"/>
    <s v="27.07.2013 17:00"/>
    <x v="2"/>
    <n v="1"/>
    <n v="9"/>
    <m/>
    <m/>
    <s v="Out of Warranty"/>
    <m/>
  </r>
  <r>
    <n v="155"/>
    <s v="'300D0180 "/>
    <s v="TRAYACOT"/>
    <s v="TIRUPUR"/>
    <s v="RAC PACKAGE TS07 HN 220L"/>
    <x v="8"/>
    <s v="CLCE660753"/>
    <s v="ccs005 "/>
    <s v="27.05.2013 16:12 "/>
    <s v="28.05.2013 10:00"/>
    <s v="28.05.2013 14:00"/>
    <x v="2"/>
    <n v="4"/>
    <n v="22"/>
    <m/>
    <m/>
    <s v="Out of Warranty"/>
    <m/>
  </r>
  <r>
    <n v="157"/>
    <s v="'300D0062 "/>
    <s v="TSK GARMENT"/>
    <s v="TIRUPPUR"/>
    <s v="TS07120"/>
    <x v="8"/>
    <s v="D300D0062"/>
    <s v="ccs004 "/>
    <s v="23.04.2013 15:43 "/>
    <s v="24.04.2013 10:00"/>
    <s v="29.04.2013 10:30"/>
    <x v="2"/>
    <n v="76"/>
    <n v="139"/>
    <m/>
    <m/>
    <s v="Out of Warranty"/>
    <m/>
  </r>
  <r>
    <n v="162"/>
    <s v="'300C0965 "/>
    <s v="DSP GARMENTS"/>
    <s v="TIRUPUR"/>
    <s v="RAC PACKAGE TS07 HN 220L"/>
    <x v="8"/>
    <s v="CLDE660935"/>
    <s v="ccs005 "/>
    <s v="04.03.2013 16:59 "/>
    <s v="04.03.2013 17:00"/>
    <s v="04.03.2013 19:00"/>
    <x v="2"/>
    <n v="2"/>
    <n v="2"/>
    <m/>
    <m/>
    <s v="Out of Warranty"/>
    <m/>
  </r>
  <r>
    <n v="166"/>
    <s v="'300C0883 "/>
    <s v="KRR AUTOS"/>
    <s v="TIRUPPUR"/>
    <s v="TS 07 120 HN"/>
    <x v="8"/>
    <s v="CLGE661258"/>
    <s v="ccs015 "/>
    <s v="01.02.2013 11:38 "/>
    <s v="02.02.2013 10:00"/>
    <s v="02.02.2013 11:00"/>
    <x v="7"/>
    <n v="1"/>
    <n v="23"/>
    <m/>
    <m/>
    <s v="Warranty Commissioning"/>
    <m/>
  </r>
  <r>
    <n v="167"/>
    <s v="'300C0882 "/>
    <s v="VENKATESWARA STEELS AND SPRINGS INDIA PVT LTD"/>
    <s v="COIMBATORE"/>
    <s v="TS 07 120 HN"/>
    <x v="8"/>
    <s v="CMJE660011"/>
    <s v="ccs005 "/>
    <s v="31.01.2013 16:26 "/>
    <s v="01.02.2013 10:00"/>
    <s v="01.02.2013 11:00"/>
    <x v="7"/>
    <n v="1"/>
    <n v="19"/>
    <m/>
    <m/>
    <s v="Warranty Commissioning"/>
    <m/>
  </r>
  <r>
    <n v="169"/>
    <s v="'300C0855 "/>
    <s v="UNIVERSAL CARBONS"/>
    <s v="PALLADAM"/>
    <s v="RAC PACKAGE TS07 NS 220L"/>
    <x v="8"/>
    <s v="CJGE661357"/>
    <s v="ccs005 "/>
    <s v="19.01.2013 15:58 "/>
    <s v="21.01.2013 10:00"/>
    <s v="23.01.2013 10:00"/>
    <x v="7"/>
    <n v="11"/>
    <n v="90"/>
    <m/>
    <m/>
    <s v="Out of Warranty"/>
    <m/>
  </r>
  <r>
    <n v="170"/>
    <s v="'300C0783 "/>
    <s v="VENKATESWARA STEELS AND SPRING INDIA PVT LTD"/>
    <s v="COIMBATORE"/>
    <s v="RAC PACKAGE TS07 NS 220L"/>
    <x v="8"/>
    <s v="CJEE661112"/>
    <s v="ccs005 "/>
    <s v="19.12.2012 11:36 "/>
    <s v="19.12.2012 15:00"/>
    <s v="20.12.2012 12:00"/>
    <x v="7"/>
    <n v="21"/>
    <n v="24"/>
    <m/>
    <m/>
    <s v="Out of Warranty"/>
    <m/>
  </r>
  <r>
    <n v="180"/>
    <s v="'300C0621 "/>
    <s v="BKS TEXTILES PVT LTD"/>
    <s v="PALLADAM"/>
    <s v="RAC PACKAGE TS07 HN 220L"/>
    <x v="8"/>
    <s v="CIHE661001"/>
    <s v="ccs005 "/>
    <s v="15.10.2012 12:34 "/>
    <s v="15.10.2012 15:00"/>
    <s v="15.10.2012 16:00"/>
    <x v="7"/>
    <n v="1"/>
    <n v="3"/>
    <m/>
    <m/>
    <s v="Out of Warranty"/>
    <m/>
  </r>
  <r>
    <n v="182"/>
    <s v="'300C0580 "/>
    <s v="SRI RAJA GANAPATHY SPINNERS"/>
    <s v="COIMBATORE"/>
    <s v="RAC PACKAGE TS07 HN 220L"/>
    <x v="8"/>
    <s v="CHLE660237"/>
    <s v="ccs005 "/>
    <s v="03.10.2012 16:44 "/>
    <s v="04.10.2012 10:00"/>
    <s v="04.10.2012 12:00"/>
    <x v="7"/>
    <n v="2"/>
    <n v="19"/>
    <m/>
    <m/>
    <s v="Out of Warranty"/>
    <m/>
  </r>
  <r>
    <n v="185"/>
    <s v="'300C0505 "/>
    <s v="SABARI AGRO FORM"/>
    <s v="UDUMELPET"/>
    <s v="RAC PACKAGE TS07 NS 220L"/>
    <x v="8"/>
    <s v="CJEE661108"/>
    <s v="ccs015 "/>
    <s v="06.09.2012 10:55 "/>
    <s v="06.09.2012 18:00"/>
    <s v="07.09.2012 10:00"/>
    <x v="7"/>
    <n v="16"/>
    <n v="23"/>
    <m/>
    <m/>
    <s v="Warranty Maintenance"/>
    <m/>
  </r>
  <r>
    <n v="189"/>
    <s v="'300C0445 "/>
    <s v="UNIQUE ROOF PVT LTD"/>
    <s v="COIMBATORE"/>
    <s v="TS 07 120 HN"/>
    <x v="8"/>
    <s v="AKEE660061"/>
    <s v="ccs003 "/>
    <s v="17.08.2012 17:44 "/>
    <s v="18.08.2012 10:00"/>
    <s v="18.08.2012 13:00"/>
    <x v="7"/>
    <n v="3"/>
    <n v="19"/>
    <m/>
    <m/>
    <s v="Out of Warranty"/>
    <m/>
  </r>
  <r>
    <n v="193"/>
    <s v="'300C0427 "/>
    <s v="UDHYAM PASSIONS"/>
    <s v="TIRUPUR"/>
    <s v="TS07120 NS"/>
    <x v="8"/>
    <s v="D300C0427"/>
    <s v="ccs015 "/>
    <s v="13.08.2012 15:15 "/>
    <s v="14.08.2012 10:00"/>
    <s v="14.08.2012 11:00"/>
    <x v="7"/>
    <n v="1"/>
    <n v="20"/>
    <m/>
    <m/>
    <s v="Out of Warranty"/>
    <m/>
  </r>
  <r>
    <n v="194"/>
    <s v="'300C0420 "/>
    <s v="GEETHALAYA EXPORTS"/>
    <s v="TIRUPPUR"/>
    <s v="TS 07 NS 220L"/>
    <x v="8"/>
    <s v="CJCE660730"/>
    <s v="ccs014 "/>
    <s v="10.08.2012 10:58 "/>
    <s v="11.08.2012 10:00"/>
    <s v="14.08.2012 11:00"/>
    <x v="7"/>
    <n v="73"/>
    <n v="96"/>
    <m/>
    <m/>
    <s v="Out of Warranty"/>
    <m/>
  </r>
  <r>
    <n v="198"/>
    <s v="'300C0396 "/>
    <s v="PEE AAR GEE INDUSTRIES"/>
    <s v="KARUR"/>
    <s v="TS 07 NS 220L"/>
    <x v="8"/>
    <s v="CJCE660728"/>
    <s v="ccs005 "/>
    <s v="04.08.2012 10:17 "/>
    <s v="04.08.2012 14:00"/>
    <s v="14.08.2012 11:00"/>
    <x v="7"/>
    <n v="237"/>
    <n v="241"/>
    <m/>
    <m/>
    <s v="Out of Warranty"/>
    <m/>
  </r>
  <r>
    <n v="203"/>
    <s v="'300C0286 "/>
    <s v="GEETHA TEX"/>
    <s v="ERODE"/>
    <s v="TS 07 NS 220L"/>
    <x v="8"/>
    <s v="CJEE661022"/>
    <s v="ccs005 "/>
    <s v="02.07.2012 20:46 "/>
    <s v="03.07.2012 10:00"/>
    <s v="10.07.2012 11:00"/>
    <x v="7"/>
    <n v="169"/>
    <n v="182"/>
    <m/>
    <m/>
    <s v="Out of Warranty"/>
    <m/>
  </r>
  <r>
    <n v="221"/>
    <s v="'300C0019 "/>
    <s v="SAHUWALA ROLLER FLOUR MILLS PVT LTD"/>
    <s v="KOVILPALAYAM"/>
    <s v="TS07120"/>
    <x v="8"/>
    <s v="CHIT260598"/>
    <s v="ccs004 "/>
    <s v="05.04.2012 10:07 "/>
    <s v="05.04.2012 10:15"/>
    <s v="05.04.2012 13:00"/>
    <x v="7"/>
    <n v="3"/>
    <n v="3"/>
    <m/>
    <m/>
    <s v="Out of Warranty"/>
    <m/>
  </r>
  <r>
    <n v="223"/>
    <s v="'300C0007 "/>
    <s v="MUTAMIL INDUSTRIES"/>
    <s v="PALANI"/>
    <s v="TS07120"/>
    <x v="8"/>
    <s v="D300C0007"/>
    <s v="ccs005 "/>
    <s v="02.04.2012 15:22 "/>
    <s v="03.04.2012 10:00"/>
    <s v="03.04.2012 12:00"/>
    <x v="7"/>
    <n v="2"/>
    <n v="21"/>
    <m/>
    <m/>
    <s v="Out of Warranty"/>
    <m/>
  </r>
  <r>
    <n v="225"/>
    <s v="'300B1184 "/>
    <s v="SWARNARAJ ENGG WORKS"/>
    <s v="COIMBATORE"/>
    <s v="TS 07 NS 220L"/>
    <x v="8"/>
    <s v="CJDE660921"/>
    <s v="ccs005 "/>
    <s v="31.03.2012 15:54 "/>
    <s v="02.04.2012 10:00"/>
    <s v="02.04.2012 12:00"/>
    <x v="7"/>
    <n v="2"/>
    <n v="44"/>
    <m/>
    <m/>
    <s v="Out of Warranty"/>
    <m/>
  </r>
  <r>
    <n v="236"/>
    <s v="'300B1018 "/>
    <s v="LAKSHMI COTS AGENCIES AND SERVICES PVT LTD"/>
    <s v="POLLACHI"/>
    <s v="TS 07 120 HN"/>
    <x v="8"/>
    <s v="CKDE660941"/>
    <s v="ccs005 "/>
    <s v="13.02.2012 14:54 "/>
    <s v="14.02.2012 10:00"/>
    <s v="14.02.2012 15:00"/>
    <x v="1"/>
    <n v="5"/>
    <n v="24"/>
    <m/>
    <m/>
    <s v="Warranty Maintenance"/>
    <m/>
  </r>
  <r>
    <n v="244"/>
    <s v="'300B0899 "/>
    <s v="SHREE COTTON MILLS"/>
    <s v="TIRUPPUR"/>
    <s v="TS 07 NS 220L"/>
    <x v="8"/>
    <s v="CJFE661133"/>
    <s v="ccs003 "/>
    <s v="07.01.2012 11:12 "/>
    <s v="09.01.2012 10:00"/>
    <s v="12.01.2012 12:00"/>
    <x v="1"/>
    <n v="56"/>
    <n v="121"/>
    <m/>
    <m/>
    <s v="Out of Warranty"/>
    <m/>
  </r>
  <r>
    <n v="246"/>
    <s v="'300B0878 "/>
    <s v="ABILASHA JEWELLERS"/>
    <s v="COIMBATORE"/>
    <s v="TS 07 120 HN"/>
    <x v="8"/>
    <s v="CKIE661660"/>
    <s v="ccs005 "/>
    <s v="30.12.2011 12:35 "/>
    <s v="30.12.2011 15:00"/>
    <s v="31.12.2011 13:00"/>
    <x v="1"/>
    <n v="22"/>
    <n v="24"/>
    <m/>
    <m/>
    <s v="Warranty Commissioning"/>
    <m/>
  </r>
  <r>
    <n v="251"/>
    <s v="'300B0779 "/>
    <s v="MARSAL FOWLER ENGINEERIS INDIA PVT LTD"/>
    <s v="COIMBATORE"/>
    <s v="TS07120"/>
    <x v="8"/>
    <n v="30916"/>
    <s v="ccs005 "/>
    <s v="05.12.2011 12:01 "/>
    <s v="05.12.2011 15:00"/>
    <s v="06.12.2011 17:00"/>
    <x v="1"/>
    <n v="26"/>
    <n v="29"/>
    <m/>
    <m/>
    <s v="Out of Warranty"/>
    <m/>
  </r>
  <r>
    <n v="253"/>
    <s v="'300B0767 "/>
    <s v="ABHILASHA JEWELERS"/>
    <s v="COMIBATORE"/>
    <s v="TS 07 NS 220L"/>
    <x v="8"/>
    <s v="CJEE661023"/>
    <s v="ccs005 "/>
    <s v="02.12.2011 11:41 "/>
    <s v="02.12.2011 13:00"/>
    <s v="30.12.2011 12:00"/>
    <x v="1"/>
    <n v="671"/>
    <n v="672"/>
    <s v="3511AB015-02.12.2011"/>
    <s v="3511AB015"/>
    <s v="Out of Warranty"/>
    <m/>
  </r>
  <r>
    <n v="256"/>
    <s v="'300B0690 "/>
    <s v="ARUNACHALA WEAVING MILLS"/>
    <s v="COIMBATORE"/>
    <s v="TS 07 120 HN"/>
    <x v="8"/>
    <s v="CIEE660641"/>
    <s v="ccs004 "/>
    <s v="10.11.2011 11:43 "/>
    <s v="10.11.2011 13:00"/>
    <s v="14.11.2011 10:00"/>
    <x v="1"/>
    <n v="93"/>
    <n v="94"/>
    <m/>
    <m/>
    <s v="Out of Warranty"/>
    <m/>
  </r>
  <r>
    <n v="259"/>
    <s v="'300B0572 "/>
    <s v="V CONTROL"/>
    <s v="COIMBATORE"/>
    <s v="TS 07 120 HN"/>
    <x v="8"/>
    <s v="CHDE660308"/>
    <s v="ccs005 "/>
    <s v="24.09.2011 15:22 "/>
    <s v="24.09.2011 17:00"/>
    <s v="26.09.2011 16:00"/>
    <x v="1"/>
    <n v="47"/>
    <n v="49"/>
    <m/>
    <m/>
    <s v="Out of Warranty"/>
    <m/>
  </r>
  <r>
    <n v="261"/>
    <s v="'300B0458 "/>
    <s v="PEEARRGEE INDUSTRIES"/>
    <s v="KARUR"/>
    <s v="TS 07 NS 220L"/>
    <x v="8"/>
    <s v="CJCE660728"/>
    <s v="ccs014 "/>
    <s v="20.08.2011 17:06 "/>
    <s v="24.08.2011 10:00"/>
    <s v="26.08.2011 18:00"/>
    <x v="1"/>
    <n v="56"/>
    <n v="145"/>
    <s v="3511AB011-20.08.2011"/>
    <s v="3511AB011"/>
    <m/>
    <m/>
  </r>
  <r>
    <n v="262"/>
    <s v="'300B0439 "/>
    <s v="PEEAARGEE INDUSTRIES"/>
    <s v="KARUR"/>
    <s v="TS 07 NS 220L"/>
    <x v="8"/>
    <s v="CJCE660728"/>
    <s v="ccs007 "/>
    <s v="16.08.2011 10:19 "/>
    <s v="16.08.2011 10:15"/>
    <s v="18.08.2011 18:00"/>
    <x v="1"/>
    <n v="53"/>
    <n v="56"/>
    <s v="3511AB010-16.08.2011"/>
    <s v="3511AB010"/>
    <s v="Warranty Failure"/>
    <m/>
  </r>
  <r>
    <n v="265"/>
    <s v="'300B0415 "/>
    <s v="AIR TECH COACH BUILDERS"/>
    <s v="KARUR"/>
    <s v="TS07120"/>
    <x v="8"/>
    <s v="CJGE661298"/>
    <s v="ccs014 "/>
    <s v="08.08.2011 14:41 "/>
    <s v="09.08.2011 09:00"/>
    <s v="10.08.2011 16:00"/>
    <x v="1"/>
    <n v="31"/>
    <n v="49"/>
    <m/>
    <m/>
    <s v="Out of Warranty"/>
    <m/>
  </r>
  <r>
    <n v="267"/>
    <s v="'300B0399 "/>
    <s v="SHEETHA APPERALS"/>
    <s v="THIRUPPUR"/>
    <s v="TS 07 120 HN"/>
    <x v="8"/>
    <s v="CKDE660976"/>
    <s v="ccs005 "/>
    <s v="02.08.2011 11:11 "/>
    <s v="02.08.2011 11:15"/>
    <s v="02.08.2011 14:00"/>
    <x v="1"/>
    <n v="3"/>
    <n v="3"/>
    <m/>
    <m/>
    <s v="Warranty Commissioning"/>
    <m/>
  </r>
  <r>
    <n v="272"/>
    <s v="'300B0347 "/>
    <s v="METHA ZITTERS"/>
    <s v="TIRUPPUR"/>
    <s v="TS 07 120 HN"/>
    <x v="8"/>
    <s v="CKDE660885"/>
    <s v="ccs014 "/>
    <s v="19.07.2011 11:05 "/>
    <s v="19.07.2011 11:00"/>
    <s v="19.07.2011 12:00"/>
    <x v="1"/>
    <n v="1"/>
    <n v="1"/>
    <m/>
    <m/>
    <s v="Warranty Commissioning"/>
    <m/>
  </r>
  <r>
    <n v="276"/>
    <s v="'300B0309 "/>
    <s v="ABHI SHREY WEAS"/>
    <s v="ERODE"/>
    <s v="TS 07 120 HN"/>
    <x v="8"/>
    <s v="CKCE660723"/>
    <s v="ccs001 "/>
    <s v="09.07.2011 12:05 "/>
    <s v="09.07.2011 12:30"/>
    <s v="09.07.2011 14:00"/>
    <x v="1"/>
    <n v="2"/>
    <n v="2"/>
    <m/>
    <m/>
    <s v="Warranty Commissioning"/>
    <m/>
  </r>
  <r>
    <n v="282"/>
    <s v="'300B0233 "/>
    <s v="LAKSHMI RANGA MILL"/>
    <s v="UDUMULPET"/>
    <s v="TS 07 120 HN"/>
    <x v="8"/>
    <s v="CKKE660158"/>
    <s v="ccs004 "/>
    <s v="18.06.2011 15:34 "/>
    <s v="18.06.2011 16:00"/>
    <s v="18.06.2011 18:00"/>
    <x v="1"/>
    <n v="2"/>
    <n v="2"/>
    <m/>
    <m/>
    <s v="Warranty Commissioning"/>
    <m/>
  </r>
  <r>
    <n v="283"/>
    <s v="'300B0230 "/>
    <s v="VENKATESHWARA BLUE METALS"/>
    <s v="COIMBATORE"/>
    <s v="TS 07 120 HN"/>
    <x v="8"/>
    <s v="CKKE660196"/>
    <s v="ccs007 "/>
    <s v="17.06.2011 12:31 "/>
    <s v="17.06.2011 12:45"/>
    <s v="17.06.2011 17:00"/>
    <x v="1"/>
    <n v="5"/>
    <n v="4"/>
    <m/>
    <m/>
    <s v="Warranty Commissioning"/>
    <m/>
  </r>
  <r>
    <n v="284"/>
    <s v="'300B0228 "/>
    <s v="UNIVERSAL CARBONS"/>
    <s v="PALLADAM"/>
    <s v="TS 07 NS 220L"/>
    <x v="8"/>
    <s v="CJGE661357"/>
    <s v="ccs003 "/>
    <s v="16.06.2011 16:25 "/>
    <s v="17.06.2011 10:00"/>
    <s v="18.06.2011 13:00"/>
    <x v="1"/>
    <n v="27"/>
    <n v="45"/>
    <m/>
    <m/>
    <s v="Warranty Failure"/>
    <m/>
  </r>
  <r>
    <n v="291"/>
    <s v="'300B0175 "/>
    <s v="TOPTEX PRINTING UNIT"/>
    <s v="TIRUPUR"/>
    <s v="TS 07 120 HN"/>
    <x v="8"/>
    <s v="CJIE661502"/>
    <s v="ccs001 "/>
    <s v="31.05.2011 09:58 "/>
    <s v="31.05.2011 10:15"/>
    <s v="31.05.2011 13:00"/>
    <x v="1"/>
    <n v="3"/>
    <n v="3"/>
    <m/>
    <m/>
    <s v="Warranty Commissioning"/>
    <m/>
  </r>
  <r>
    <n v="292"/>
    <s v="'300B0164 "/>
    <s v="KARTHIKEYAN PRINTING MILLS"/>
    <s v="ERODE"/>
    <s v="TS 07 120 HN"/>
    <x v="8"/>
    <s v="CKLE660301"/>
    <s v="ccs003 "/>
    <s v="28.05.2011 11:42 "/>
    <s v="28.05.2011 12:00"/>
    <s v="28.05.2011 14:30"/>
    <x v="1"/>
    <n v="3"/>
    <n v="3"/>
    <m/>
    <m/>
    <s v="Warranty Commissioning"/>
    <m/>
  </r>
  <r>
    <n v="309"/>
    <s v="'300A1117 "/>
    <s v="NANDHU UV PRINTING"/>
    <s v="SIVAKASI"/>
    <s v="TS 07 NS 220L"/>
    <x v="8"/>
    <s v="CJFE661139"/>
    <s v="ccs001 "/>
    <s v="16.03.2011 11:40 "/>
    <s v="16.03.2011 11:45"/>
    <s v="16.03.2011 20:00"/>
    <x v="1"/>
    <n v="8"/>
    <n v="8"/>
    <m/>
    <m/>
    <s v="Warranty Commissioning"/>
    <m/>
  </r>
  <r>
    <n v="310"/>
    <s v="'300A1108 "/>
    <s v="GEETHALAYA EXPORTS"/>
    <s v="TIRUPPUR"/>
    <s v="TS 07 NS 220L"/>
    <x v="8"/>
    <s v="CJCE660730"/>
    <s v="ccs002 "/>
    <s v="15.03.2011 10:07 "/>
    <s v="15.03.2011 10:30"/>
    <s v="22.03.2011 12:00"/>
    <x v="1"/>
    <n v="170"/>
    <n v="170"/>
    <s v="3511AA044-15.03.2011"/>
    <s v="3511AA044"/>
    <s v="Warranty Maintenance"/>
    <m/>
  </r>
  <r>
    <n v="312"/>
    <s v="'300A1075 "/>
    <s v="DIVYA SPINNING MILLS PVT LTD"/>
    <s v="GOBICHETTIPALAYAM"/>
    <s v="TS 07 120 HN"/>
    <x v="8"/>
    <s v="CJDE660852"/>
    <s v="ccs007 "/>
    <s v="03.03.2011 12:46 "/>
    <s v="04.03.2011 09:00"/>
    <s v="04.03.2011 11:00"/>
    <x v="1"/>
    <n v="2"/>
    <n v="22"/>
    <m/>
    <m/>
    <s v="Warranty Maintenance"/>
    <m/>
  </r>
  <r>
    <n v="314"/>
    <s v="'300A1070 "/>
    <s v="TOPTEX FABRICS"/>
    <s v="TIRUPPUR"/>
    <s v="TS 07 NS 220L"/>
    <x v="8"/>
    <s v="CJEE660989"/>
    <s v="ccs003 "/>
    <s v="02.03.2011 15:10 "/>
    <s v="02.03.2011 15:15"/>
    <s v="15.03.2011 13:00"/>
    <x v="1"/>
    <n v="310"/>
    <n v="310"/>
    <s v="3511AA042-07.03.2011"/>
    <s v="3511AA042"/>
    <s v="Warranty Failure"/>
    <m/>
  </r>
  <r>
    <n v="316"/>
    <s v="'300A1032 "/>
    <s v="GS HITECH AUTOMATIONS INDIA PVT LTD"/>
    <s v="COIMBATORE"/>
    <s v="TS07120"/>
    <x v="8"/>
    <s v="CJKE660136"/>
    <s v="ccs003 "/>
    <s v="22.02.2011 10:40 "/>
    <s v="22.02.2011 16:00"/>
    <s v="23.02.2011 14:00"/>
    <x v="1"/>
    <n v="22"/>
    <n v="27"/>
    <m/>
    <m/>
    <s v="Out of Warranty"/>
    <m/>
  </r>
  <r>
    <n v="327"/>
    <s v="'300A0873 "/>
    <s v="SRI SARAVANA FABS"/>
    <s v="COIMBATORE"/>
    <s v="TS07120"/>
    <x v="8"/>
    <n v="32710"/>
    <s v="ccs003 "/>
    <s v="20.01.2011 09:38 "/>
    <s v="20.01.2011 12:00"/>
    <s v="24.01.2011 11:30"/>
    <x v="11"/>
    <n v="96"/>
    <n v="98"/>
    <m/>
    <m/>
    <s v="Out of Warranty"/>
    <m/>
  </r>
  <r>
    <n v="332"/>
    <s v="'300A0807 "/>
    <s v="L&amp;T"/>
    <s v="MALUMICHAMPATTI"/>
    <s v="TS 07 120 HN"/>
    <x v="8"/>
    <s v="CJIE661572"/>
    <s v="ccs004 "/>
    <s v="05.01.2011 12:54 "/>
    <s v="06.01.2011 10:00"/>
    <s v="11.01.2011 15:00"/>
    <x v="11"/>
    <n v="9"/>
    <n v="146"/>
    <m/>
    <m/>
    <s v="Warranty Commissioning"/>
    <m/>
  </r>
  <r>
    <n v="337"/>
    <s v="'300A0748 "/>
    <s v="INDIAN COTTON SYSTHETICS PVT LTD"/>
    <s v="COIMBATORE"/>
    <s v="TS 07120"/>
    <x v="8"/>
    <n v="31477"/>
    <s v="ccs007 "/>
    <s v="18.12.2010 10:16 "/>
    <s v="18.12.2010 11:00"/>
    <s v="18.12.2010 12:30"/>
    <x v="11"/>
    <n v="2"/>
    <n v="2"/>
    <m/>
    <m/>
    <s v="Out of Warranty"/>
    <m/>
  </r>
  <r>
    <n v="340"/>
    <s v="'300A0639 "/>
    <s v="GEETHALAYA EXPORTS"/>
    <s v="TIRUPPUR"/>
    <s v="TS 07 NS 220L"/>
    <x v="8"/>
    <s v="CJCE660730"/>
    <s v="ccs007 "/>
    <s v="26.11.2010 14:58 "/>
    <s v="26.11.2010 15:00"/>
    <s v="30.11.2010 13:00"/>
    <x v="11"/>
    <n v="94"/>
    <n v="94"/>
    <s v="3511AA030-26.11.2010"/>
    <s v="3511AA030"/>
    <s v="Warranty Failure"/>
    <m/>
  </r>
  <r>
    <n v="344"/>
    <s v="'300A0633 "/>
    <s v="ARUNACHALA WEAVING MILLS"/>
    <s v="COIMBATORE"/>
    <s v="TS 07 120 HN"/>
    <x v="8"/>
    <s v="CJGE661301"/>
    <s v="ccs007 "/>
    <s v="26.11.2010 10:30 "/>
    <s v="26.11.2010 12:00"/>
    <s v="26.11.2010 13:00"/>
    <x v="11"/>
    <n v="2"/>
    <n v="2"/>
    <m/>
    <m/>
    <s v="Warranty Commissioning"/>
    <m/>
  </r>
  <r>
    <n v="345"/>
    <s v="'300A0624 "/>
    <s v="CAG EQUIPMENTS PVT LTD"/>
    <s v="COIMBATORE"/>
    <s v="TS 07120"/>
    <x v="8"/>
    <n v="16353"/>
    <s v="ccs007 "/>
    <s v="22.11.2010 11:55 "/>
    <s v="22.11.2010 12:00"/>
    <s v="23.11.2010 15:00"/>
    <x v="11"/>
    <n v="25"/>
    <n v="27"/>
    <m/>
    <m/>
    <s v="Out of Warranty"/>
    <m/>
  </r>
  <r>
    <n v="348"/>
    <s v="'300A0509 "/>
    <s v="PYARILAL FOAMS PVT LTD"/>
    <s v="PALAKAD"/>
    <s v="TS 07 NS 220L"/>
    <x v="8"/>
    <s v="CJCE660737"/>
    <s v="ccs007 "/>
    <s v="14.10.2010 17:35 "/>
    <s v="14.10.2010 17:45"/>
    <s v="18.10.2010 18:00"/>
    <x v="11"/>
    <n v="80"/>
    <n v="96"/>
    <s v="3511AA019-14.10.2010"/>
    <s v="3511AA019"/>
    <s v="Warranty Failure"/>
    <m/>
  </r>
  <r>
    <n v="349"/>
    <s v="'300A0498 "/>
    <s v="GES HIGHTECH AUTOMOTIVE INDIA PVT LTD"/>
    <s v="SARAVANAMPATTI"/>
    <s v="TS07120"/>
    <x v="8"/>
    <s v="CJKE660136"/>
    <s v="ccs004 "/>
    <s v="13.10.2010 09:58 "/>
    <s v="13.10.2010 10:00"/>
    <s v="15.10.2010 16:00"/>
    <x v="11"/>
    <n v="54"/>
    <n v="54"/>
    <m/>
    <m/>
    <s v="Warranty Commissioning"/>
    <m/>
  </r>
  <r>
    <n v="364"/>
    <s v="'300A0169 "/>
    <s v="VENUS SIZING MILLS"/>
    <s v="ERODE"/>
    <s v="TS 07 120 HN"/>
    <x v="8"/>
    <s v="CJAE660389"/>
    <s v="ccs002 "/>
    <s v="29.05.2010 11:37 "/>
    <s v="29.05.2010 11:45"/>
    <s v="29.05.2010 14:00"/>
    <x v="11"/>
    <n v="2"/>
    <n v="2"/>
    <m/>
    <m/>
    <s v="Warranty Commissioning"/>
    <m/>
  </r>
  <r>
    <n v="369"/>
    <s v="'300A0151 "/>
    <s v="TAMILNADU CO-OPERATIVE TEXTILE PROCESSING MILL LTD"/>
    <s v="Erode"/>
    <s v="TS 07 120 HN"/>
    <x v="8"/>
    <s v="CJBE660552"/>
    <s v="ccs007 "/>
    <s v="22.05.2010 12:22 "/>
    <s v="22.05.2010 12:30"/>
    <s v="26.05.2010 14:00"/>
    <x v="11"/>
    <n v="98"/>
    <n v="98"/>
    <m/>
    <m/>
    <s v="Warranty Commissioning"/>
    <m/>
  </r>
  <r>
    <n v="374"/>
    <s v="'300A0132 "/>
    <s v="ARUNCHALA WEAVING MILLS"/>
    <s v="coimbatore"/>
    <s v="TS 07 120 HN"/>
    <x v="8"/>
    <s v="CJAE660496"/>
    <s v="ccs007 "/>
    <s v="17.05.2010 14:00 "/>
    <s v="17.05.2010 14:00"/>
    <s v="17.05.2010 18:00"/>
    <x v="11"/>
    <n v="4"/>
    <n v="4"/>
    <m/>
    <m/>
    <s v="Warranty Commissioning"/>
    <m/>
  </r>
  <r>
    <n v="377"/>
    <s v="'300A0116 "/>
    <s v="SUN PRINT"/>
    <s v="Tiruppur"/>
    <s v="TS 07 120 HN"/>
    <x v="8"/>
    <s v="CJLE660260"/>
    <s v="ccs003 "/>
    <s v="11.05.2010 13:01 "/>
    <s v="11.05.2010 13:15"/>
    <s v="25.05.2010 15:00"/>
    <x v="11"/>
    <n v="338"/>
    <n v="338"/>
    <s v="3511CA008-30.07.2010"/>
    <s v="3511CA008"/>
    <s v="Warranty Failure"/>
    <m/>
  </r>
  <r>
    <n v="378"/>
    <s v="'300A0114 "/>
    <s v="LABONI COLLECTIONS"/>
    <s v="TruppurZ"/>
    <s v="TS 07 120 HN"/>
    <x v="8"/>
    <s v="CJAE660462"/>
    <s v="ccs007 "/>
    <s v="10.05.2010 15:20 "/>
    <s v="10.05.2010 15:45"/>
    <s v="10.05.2010 18:00"/>
    <x v="11"/>
    <n v="2"/>
    <n v="3"/>
    <m/>
    <m/>
    <s v="Warranty Commissioning"/>
    <m/>
  </r>
  <r>
    <n v="381"/>
    <s v="'300A0106 "/>
    <s v="NAMBISAN DIARY PVT LTD"/>
    <s v="Erode"/>
    <s v="TS 07 120"/>
    <x v="8"/>
    <s v="CJLE660381"/>
    <s v="ccs001 "/>
    <s v="06.05.2010 14:22 "/>
    <s v="07.05.2010 09:00"/>
    <s v="07.05.2010 12:00"/>
    <x v="11"/>
    <n v="3"/>
    <n v="22"/>
    <m/>
    <m/>
    <s v="Warranty Commissioning"/>
    <m/>
  </r>
  <r>
    <n v="382"/>
    <s v="'300A0073 "/>
    <s v="KARUNYA UNIVERSITY"/>
    <s v="coimbatore"/>
    <s v="TS 07 120 HN"/>
    <x v="8"/>
    <s v="CJKE660181"/>
    <s v="ccs007 "/>
    <s v="22.04.2010 15:42 "/>
    <s v="22.04.2010 15:45"/>
    <s v="22.04.2010 18:00"/>
    <x v="11"/>
    <n v="2"/>
    <n v="2"/>
    <m/>
    <m/>
    <s v="Warranty Commissioning"/>
    <m/>
  </r>
  <r>
    <n v="386"/>
    <s v="'300A0052 "/>
    <s v="THOMSON INDUSTRIES"/>
    <s v="Tirupur"/>
    <s v="TS07"/>
    <x v="8"/>
    <s v="D300A0052"/>
    <s v="ccs001 "/>
    <s v="15.04.2010 15:24 "/>
    <s v="16.04.2010 09:00"/>
    <s v="23.04.2010 11:30"/>
    <x v="11"/>
    <n v="171"/>
    <n v="188"/>
    <m/>
    <m/>
    <s v="Out of Warranty"/>
    <m/>
  </r>
  <r>
    <n v="395"/>
    <s v="'300A0002 "/>
    <s v="CLIPTON EXPORTS"/>
    <s v="TIRUPPUR"/>
    <s v="TS 07 120 HN"/>
    <x v="8"/>
    <s v="CJLE660260"/>
    <s v="ccs007 "/>
    <s v="01.04.2010 14:47 "/>
    <s v="01.04.2010 15:00"/>
    <s v="02.04.2010 16:30"/>
    <x v="11"/>
    <n v="26"/>
    <n v="26"/>
    <m/>
    <m/>
    <s v="Warranty Commissioning"/>
    <m/>
  </r>
  <r>
    <n v="396"/>
    <s v="'30091240 "/>
    <s v="SRI HARIDA INDUSTRIES"/>
    <s v="Coimbatore"/>
    <s v="TS07120"/>
    <x v="8"/>
    <s v="D30091240"/>
    <s v="ccs001 "/>
    <s v="29.03.2010 12:45 "/>
    <s v="29.03.2010 13:00"/>
    <s v="29.03.2010 13:00"/>
    <x v="11"/>
    <n v="0"/>
    <n v="0"/>
    <m/>
    <m/>
    <s v="Out of Warranty"/>
    <m/>
  </r>
  <r>
    <n v="398"/>
    <s v="'30091236 "/>
    <s v="SYDNEY APPARELS"/>
    <s v="TIRUPUR"/>
    <s v="TS 07 120 HN"/>
    <x v="8"/>
    <s v="CJLE660259"/>
    <s v="ccs005 "/>
    <s v="27.03.2010 13:19 "/>
    <s v="27.03.2010 13:30"/>
    <s v="27.03.2010 16:00"/>
    <x v="11"/>
    <n v="3"/>
    <n v="3"/>
    <m/>
    <m/>
    <s v="Warranty Commissioning"/>
    <m/>
  </r>
  <r>
    <n v="399"/>
    <s v="'30091230 "/>
    <s v="GOLDEN BLEACHING COMPANY"/>
    <s v="Tirupur"/>
    <s v="TS 07 120 HN"/>
    <x v="8"/>
    <s v="CJLE660282"/>
    <s v="ccs001 "/>
    <s v="26.03.2010 11:31 "/>
    <s v="26.03.2010 11:45"/>
    <s v="26.03.2010 14:00"/>
    <x v="11"/>
    <n v="2"/>
    <n v="2"/>
    <m/>
    <m/>
    <s v="Warranty Commissioning"/>
    <m/>
  </r>
  <r>
    <n v="400"/>
    <s v="'30091222 "/>
    <s v="SRI GANESH AND COMPANY"/>
    <s v="Tiruppur"/>
    <s v="TS 07 120 HN"/>
    <x v="8"/>
    <s v="CJKE660160"/>
    <s v="ccs007 "/>
    <s v="24.03.2010 12:25 "/>
    <s v="24.03.2010 13:00"/>
    <s v="24.03.2010 17:00"/>
    <x v="11"/>
    <n v="5"/>
    <n v="5"/>
    <m/>
    <m/>
    <s v="Warranty Commissioning"/>
    <m/>
  </r>
  <r>
    <n v="406"/>
    <s v="'30091194 "/>
    <s v="THOMPSON INDUSTRIES"/>
    <s v="UDUMALPET"/>
    <s v="TS 07 120 HN"/>
    <x v="8"/>
    <s v="CJLE660293"/>
    <s v="ccs005 "/>
    <s v="18.03.2010 10:08 "/>
    <s v="18.03.2010 10:15"/>
    <s v="18.03.2010 12:00"/>
    <x v="11"/>
    <n v="2"/>
    <n v="2"/>
    <m/>
    <m/>
    <s v="Warranty Commissioning"/>
    <m/>
  </r>
  <r>
    <n v="409"/>
    <s v="'30091175 "/>
    <s v="GOLSHA GARMENTS"/>
    <s v="Tiruppur"/>
    <s v="TS 07 120 HN"/>
    <x v="8"/>
    <s v="CJJE660064"/>
    <s v="ccs007 "/>
    <s v="13.03.2010 12:33 "/>
    <s v="13.03.2010 12:45"/>
    <s v="13.03.2010 14:00"/>
    <x v="11"/>
    <n v="1"/>
    <n v="1"/>
    <m/>
    <m/>
    <s v="Warranty Commissioning"/>
    <m/>
  </r>
  <r>
    <n v="410"/>
    <s v="'30091171 "/>
    <s v="AR HATCHERIES"/>
    <s v="palladam"/>
    <s v="TS 07 120 HN"/>
    <x v="8"/>
    <s v="CJKE660257"/>
    <s v="ccs007 "/>
    <s v="11.03.2010 15:16 "/>
    <s v="11.03.2010 15:30"/>
    <s v="11.03.2010 18:00"/>
    <x v="11"/>
    <n v="3"/>
    <n v="3"/>
    <m/>
    <m/>
    <s v="Warranty Commissioning"/>
    <m/>
  </r>
  <r>
    <n v="411"/>
    <s v="'30091165 "/>
    <s v="THE SOUTH INDIA COTTON ASSOCIATION"/>
    <s v="COIMBATORE"/>
    <s v="TS 07 120 HN"/>
    <x v="8"/>
    <s v="CJKE660176"/>
    <s v="ccs004 "/>
    <s v="10.03.2010 12:42 "/>
    <s v="10.03.2010 12:45"/>
    <s v="10.03.2010 16:00"/>
    <x v="11"/>
    <n v="3"/>
    <n v="3"/>
    <m/>
    <m/>
    <s v="Warranty Commissioning"/>
    <m/>
  </r>
  <r>
    <n v="415"/>
    <s v="'30091147 "/>
    <s v="SIVASAI SPINNERS"/>
    <s v="Coimbatore"/>
    <s v="TS 07 120 HN"/>
    <x v="8"/>
    <s v="CILE660229"/>
    <s v="ccs007 "/>
    <s v="06.03.2010 13:11 "/>
    <s v="06.03.2010 13:15"/>
    <s v="08.03.2010 13:00"/>
    <x v="11"/>
    <n v="48"/>
    <n v="48"/>
    <m/>
    <m/>
    <s v="Out of Warranty"/>
    <m/>
  </r>
  <r>
    <n v="418"/>
    <s v="'30091127 "/>
    <s v="SUN PRINTS"/>
    <s v="TIRUPPUR"/>
    <s v="TS 07 120 HN"/>
    <x v="8"/>
    <s v="CJKE660245"/>
    <s v="ccs004 "/>
    <s v="02.03.2010 15:38 "/>
    <s v="02.03.2010 15:45"/>
    <s v="02.03.2010 18:00"/>
    <x v="11"/>
    <n v="2"/>
    <n v="2"/>
    <m/>
    <m/>
    <s v="Warranty Commissioning"/>
    <m/>
  </r>
  <r>
    <n v="422"/>
    <s v="'30091109 "/>
    <s v="KG PLASTICS"/>
    <s v="Coimbatore"/>
    <s v="TS 07 120 HN"/>
    <x v="8"/>
    <s v="CJJE660117"/>
    <s v="ccs007 "/>
    <s v="24.02.2010 14:23 "/>
    <s v="24.02.2010 14:30"/>
    <s v="24.02.2010 17:00"/>
    <x v="11"/>
    <n v="3"/>
    <n v="3"/>
    <m/>
    <m/>
    <s v="Warranty Commissioning"/>
    <m/>
  </r>
  <r>
    <n v="427"/>
    <s v="'30091086 "/>
    <s v="MAHE KNITS"/>
    <s v="TIRUPPUR"/>
    <s v="TS 07 120 HN"/>
    <x v="8"/>
    <s v="CJJE660102"/>
    <s v="ccs002 "/>
    <s v="17.02.2010 16:30 "/>
    <s v="17.02.2010 16:45"/>
    <s v="17.02.2010 18:00"/>
    <x v="4"/>
    <n v="1"/>
    <n v="1"/>
    <m/>
    <m/>
    <s v="Warranty Commissioning"/>
    <m/>
  </r>
  <r>
    <n v="443"/>
    <s v="'30091013 "/>
    <s v="ACLER SANKAR AND CO OPTIC PVT LTD"/>
    <s v="Coimbatore"/>
    <s v="TS 07 120 HN"/>
    <x v="8"/>
    <s v="CIIE661137"/>
    <s v="ccs007 "/>
    <s v="28.01.2010 16:27 "/>
    <s v="28.01.2010 16:30"/>
    <s v="28.01.2010 19:00"/>
    <x v="4"/>
    <n v="3"/>
    <n v="3"/>
    <m/>
    <m/>
    <s v="Warranty Commissioning"/>
    <m/>
  </r>
  <r>
    <n v="444"/>
    <s v="'30091008 "/>
    <s v="SHABILLA SHOES"/>
    <s v="Coimbatore"/>
    <s v="TS07120"/>
    <x v="8"/>
    <s v="CIGE660904"/>
    <s v="ccs004 "/>
    <s v="28.01.2010 12:43 "/>
    <s v="28.01.2010 13:00"/>
    <s v="28.01.2010 15:00"/>
    <x v="4"/>
    <n v="2"/>
    <n v="2"/>
    <m/>
    <m/>
    <s v="Warranty Commissioning"/>
    <m/>
  </r>
  <r>
    <n v="449"/>
    <s v="'30090998 "/>
    <s v="KINSEY KNIT INTERNATIONAL"/>
    <s v="AVINASHI"/>
    <s v="TS 07 120 HN"/>
    <x v="8"/>
    <s v="CIIE661140"/>
    <s v="ccs002 "/>
    <s v="23.01.2010 16:14 "/>
    <s v="23.01.2010 16:30"/>
    <s v="23.01.2010 18:00"/>
    <x v="4"/>
    <n v="2"/>
    <n v="2"/>
    <m/>
    <m/>
    <s v="Warranty Commissioning"/>
    <m/>
  </r>
  <r>
    <n v="459"/>
    <s v="'30090925 "/>
    <s v="NERWIN GARMENTS"/>
    <s v="TIRUPPUR"/>
    <s v="TS07120"/>
    <x v="8"/>
    <s v="CIHE661074"/>
    <s v="ccs002 "/>
    <s v="06.01.2010 14:42 "/>
    <s v="06.01.2010 15:00"/>
    <s v="06.01.2010 17:00"/>
    <x v="4"/>
    <n v="2"/>
    <n v="2"/>
    <m/>
    <m/>
    <s v="Warranty Commissioning"/>
    <m/>
  </r>
  <r>
    <n v="467"/>
    <s v="'30090870 "/>
    <s v="SHARP KNIT FASHIONS"/>
    <s v="Tirupur"/>
    <s v="TS 07 120 HN"/>
    <x v="8"/>
    <s v="CIHE660970"/>
    <s v="ccs001 "/>
    <s v="18.12.2009 16:14 "/>
    <s v="18.12.2009 16:15"/>
    <s v="18.12.2009 18:00"/>
    <x v="4"/>
    <n v="2"/>
    <n v="2"/>
    <m/>
    <m/>
    <s v="Warranty Commissioning"/>
    <m/>
  </r>
  <r>
    <n v="469"/>
    <s v="'30090850 "/>
    <s v="MS LABELS"/>
    <s v="TIRUPPUR"/>
    <s v="TS07120"/>
    <x v="8"/>
    <n v="33524"/>
    <s v="ccs007 "/>
    <s v="11.12.2009 15:43 "/>
    <s v="11.12.2009 15:45"/>
    <s v="11.12.2009 17:00"/>
    <x v="4"/>
    <n v="1"/>
    <n v="1"/>
    <m/>
    <m/>
    <s v="Out of Warranty"/>
    <m/>
  </r>
  <r>
    <n v="470"/>
    <s v="'30090837 "/>
    <s v="GANAPATHY PROCESS"/>
    <s v="TIRUPPUR"/>
    <s v="TS 07 120 HN"/>
    <x v="8"/>
    <s v="CIHE661002"/>
    <s v="ccs004 "/>
    <s v="09.12.2009 12:55 "/>
    <s v="09.12.2009 13:00"/>
    <s v="09.12.2009 15:00"/>
    <x v="4"/>
    <n v="2"/>
    <n v="2"/>
    <m/>
    <m/>
    <s v="Warranty Commissioning"/>
    <m/>
  </r>
  <r>
    <n v="474"/>
    <s v="'30090810 "/>
    <s v="BKS TEXTILES PVT LTD"/>
    <s v="Tirupur"/>
    <s v="TS 07 120 HN"/>
    <x v="8"/>
    <s v="CIHE661001"/>
    <s v="ccs001 "/>
    <s v="03.12.2009 12:01 "/>
    <s v="03.12.2009 12:15"/>
    <s v="03.12.2009 16:00"/>
    <x v="4"/>
    <n v="4"/>
    <n v="4"/>
    <m/>
    <m/>
    <s v="Warranty Commissioning"/>
    <m/>
  </r>
  <r>
    <n v="476"/>
    <s v="'30090805 "/>
    <s v="SAPPHIRE CLOTHING COMPANY"/>
    <s v="TIRUPPUR"/>
    <s v="TS 07 120 HN"/>
    <x v="8"/>
    <s v="CIHE661030"/>
    <s v="ccs007 "/>
    <s v="30.11.2009 14:59 "/>
    <s v="30.11.2009 15:00"/>
    <s v="01.12.2009 09:00"/>
    <x v="4"/>
    <n v="18"/>
    <n v="18"/>
    <m/>
    <m/>
    <s v="Warranty Commissioning"/>
    <m/>
  </r>
  <r>
    <n v="478"/>
    <s v="'30090799 "/>
    <s v="MS LABELS"/>
    <s v="Tiruppur"/>
    <s v="TS 07 120 HN"/>
    <x v="8"/>
    <s v="CIHE660989"/>
    <s v="ccs003 "/>
    <s v="28.11.2009 14:54 "/>
    <s v="28.11.2009 15:15"/>
    <s v="28.11.2009 17:00"/>
    <x v="4"/>
    <n v="2"/>
    <n v="2"/>
    <m/>
    <m/>
    <s v="Warranty Commissioning"/>
    <m/>
  </r>
  <r>
    <n v="479"/>
    <s v="'30090791 "/>
    <s v="SRI VISHNU SAKTHI TEXTILES"/>
    <s v="Coimbatore"/>
    <s v="TS 07 120 HN"/>
    <x v="8"/>
    <s v="CIGE660944"/>
    <s v="ccs007 "/>
    <s v="25.11.2009 17:02 "/>
    <s v="25.11.2009 17:15"/>
    <s v="05.12.2009 13:00"/>
    <x v="4"/>
    <n v="236"/>
    <n v="236"/>
    <m/>
    <m/>
    <s v="Warranty Commissioning"/>
    <m/>
  </r>
  <r>
    <n v="483"/>
    <s v="'30090753 "/>
    <s v="TOP KNIT FASHION"/>
    <s v="TIRUPPUR"/>
    <s v="TS 07 120 HN"/>
    <x v="8"/>
    <s v="CIHE660991"/>
    <s v="ccs002 "/>
    <s v="16.11.2009 12:14 "/>
    <s v="16.11.2009 12:30"/>
    <s v="16.11.2009 15:00"/>
    <x v="4"/>
    <n v="3"/>
    <n v="3"/>
    <m/>
    <m/>
    <s v="Warranty Commissioning"/>
    <m/>
  </r>
  <r>
    <n v="489"/>
    <s v="'30090736 "/>
    <s v="JAI VARSHNI COTTON MILLS"/>
    <s v="COIMBATORE"/>
    <s v="TS 07 120 HN"/>
    <x v="8"/>
    <s v="CIFE660819"/>
    <s v="ccs003 "/>
    <s v="09.11.2009 18:09 "/>
    <s v="09.11.2009 18:15"/>
    <s v="10.11.2009 11:00"/>
    <x v="4"/>
    <n v="17"/>
    <n v="17"/>
    <s v="3511C9004-28.11.2009"/>
    <s v="3511C9004"/>
    <s v="Warranty Failure"/>
    <m/>
  </r>
  <r>
    <n v="490"/>
    <s v="'30090731 "/>
    <s v="ROOTS INDUSTRIES LTD"/>
    <s v="Coimbatore"/>
    <s v="TS 07 120 HN"/>
    <x v="8"/>
    <s v="CIGE660953"/>
    <s v="ccs007 "/>
    <s v="09.11.2009 10:10 "/>
    <s v="09.11.2009 10:30"/>
    <s v="09.11.2009 14:00"/>
    <x v="4"/>
    <n v="4"/>
    <n v="4"/>
    <m/>
    <m/>
    <s v="Warranty Commissioning"/>
    <m/>
  </r>
  <r>
    <n v="497"/>
    <s v="'30090707 "/>
    <s v="JAIVARSHINI COTTON MILLS"/>
    <s v="Coimbatore"/>
    <s v="TS 07 120 HN"/>
    <x v="8"/>
    <s v="CIFE660819"/>
    <s v="ccs001 "/>
    <s v="04.11.2009 11:17 "/>
    <s v="04.11.2009 11:20"/>
    <s v="04.11.2009 14:00"/>
    <x v="4"/>
    <n v="3"/>
    <n v="3"/>
    <m/>
    <m/>
    <s v="Warranty Commissioning"/>
    <m/>
  </r>
  <r>
    <n v="501"/>
    <s v="'30090679 "/>
    <s v="SUPER BB TEXTILES"/>
    <s v="TIRUPPUR"/>
    <s v="TS 07 120 HN"/>
    <x v="8"/>
    <s v="CIGE660901"/>
    <s v="ccs007 "/>
    <s v="27.10.2009 15:34 "/>
    <s v="27.10.2009 15:45"/>
    <s v="27.10.2009 17:00"/>
    <x v="4"/>
    <n v="1"/>
    <n v="1"/>
    <m/>
    <m/>
    <s v="Warranty Commissioning"/>
    <m/>
  </r>
  <r>
    <n v="503"/>
    <s v="'30090668 "/>
    <s v="ANGELS BUTTONS"/>
    <s v="Tiruppur"/>
    <s v="TS 07 120 HN"/>
    <x v="8"/>
    <s v="CIGE660877"/>
    <s v="ccs007 "/>
    <s v="23.10.2009 15:27 "/>
    <s v="23.10.2009 15:30"/>
    <s v="23.10.2009 17:30"/>
    <x v="4"/>
    <n v="2"/>
    <n v="2"/>
    <m/>
    <m/>
    <s v="Warranty Commissioning"/>
    <m/>
  </r>
  <r>
    <n v="505"/>
    <s v="'30090655 "/>
    <s v="SSS TRADERS"/>
    <s v="TIRUPPUR"/>
    <s v="TS 07 120 HN"/>
    <x v="8"/>
    <s v="CIFE660730"/>
    <s v="ccs004 "/>
    <s v="15.10.2009 15:14 "/>
    <s v="15.10.2009 15:30"/>
    <s v="15.10.2009 16:30"/>
    <x v="4"/>
    <n v="1"/>
    <n v="1"/>
    <m/>
    <m/>
    <s v="Warranty Commissioning"/>
    <m/>
  </r>
  <r>
    <n v="514"/>
    <s v="'30090600 "/>
    <s v="V TEX"/>
    <s v="Tirupur"/>
    <s v="TS 07 120 HN"/>
    <x v="8"/>
    <s v="AIFE660054"/>
    <s v="ccs001 "/>
    <s v="24.09.2009 15:11 "/>
    <s v="24.09.2009 15:30"/>
    <s v="26.09.2009 17:30"/>
    <x v="4"/>
    <n v="50"/>
    <n v="50"/>
    <m/>
    <m/>
    <s v="Warranty Commissioning"/>
    <m/>
  </r>
  <r>
    <n v="516"/>
    <s v="'30090593 "/>
    <s v="SUVITHA TEXTILES"/>
    <s v="Coimbatore"/>
    <s v="TS 07 120 HN"/>
    <x v="8"/>
    <s v="CIEE660649"/>
    <s v="ccs001 "/>
    <s v="21.09.2009 15:57 "/>
    <s v="21.09.2009 16:15"/>
    <s v="21.09.2009 21:00"/>
    <x v="4"/>
    <n v="5"/>
    <n v="5"/>
    <m/>
    <m/>
    <s v="Warranty Commissioning"/>
    <m/>
  </r>
  <r>
    <n v="519"/>
    <s v="'30090581 "/>
    <s v="OHM KNIT FASHION"/>
    <s v="Tirupur"/>
    <s v="TS 07 120 HN"/>
    <x v="8"/>
    <s v="CIFE660742"/>
    <s v="ccs001 "/>
    <s v="18.09.2009 11:32 "/>
    <s v="18.09.2009 11:45"/>
    <s v="18.09.2009 13:00"/>
    <x v="4"/>
    <n v="1"/>
    <n v="1"/>
    <m/>
    <m/>
    <s v="Warranty Commissioning"/>
    <m/>
  </r>
  <r>
    <n v="531"/>
    <s v="'30090360 "/>
    <s v="SUKI GARMENTS FOOTWEAR"/>
    <s v="Tiruppur"/>
    <s v="TS 07 120 HN"/>
    <x v="8"/>
    <s v="CIJE660017"/>
    <s v="ccs007 "/>
    <s v="17.07.2009 17:47 "/>
    <s v="18.07.2009 10:00"/>
    <s v="21.07.2009 18:00"/>
    <x v="4"/>
    <n v="80"/>
    <n v="96"/>
    <m/>
    <m/>
    <s v="Warranty Failure"/>
    <m/>
  </r>
  <r>
    <n v="542"/>
    <s v="'30081219 "/>
    <s v="VIVID FASHION"/>
    <s v="TIRUPPUR"/>
    <s v="TS07120H-220L"/>
    <x v="8"/>
    <n v="31933"/>
    <s v="ccs002 "/>
    <s v="17.03.2009 12:34 "/>
    <s v="17.03.2009 12:45"/>
    <s v="25.03.2009 17:00"/>
    <x v="4"/>
    <n v="196"/>
    <n v="196"/>
    <m/>
    <m/>
    <s v="Out of Warranty"/>
    <m/>
  </r>
  <r>
    <n v="544"/>
    <s v="'30081176 "/>
    <s v="KSD FASHION"/>
    <s v="Tirupur"/>
    <s v="TS07120"/>
    <x v="8"/>
    <s v="CIKE660142"/>
    <s v="ccs001 "/>
    <s v="04.03.2009 12:29 "/>
    <s v="04.03.2009 12:35"/>
    <s v="04.03.2009 18:00"/>
    <x v="4"/>
    <n v="6"/>
    <n v="6"/>
    <m/>
    <m/>
    <s v="Warranty Commissioning"/>
    <m/>
  </r>
  <r>
    <n v="545"/>
    <s v="'30081175 "/>
    <s v="VARSHINI EXPORTS"/>
    <s v="Tirupur"/>
    <s v="TS 07 120 HN"/>
    <x v="8"/>
    <s v="CIJE660061"/>
    <s v="ccs001 "/>
    <s v="04.03.2009 12:27 "/>
    <s v="04.03.2009 12:30"/>
    <s v="04.03.2009 14:00"/>
    <x v="4"/>
    <n v="2"/>
    <n v="2"/>
    <m/>
    <m/>
    <s v="Warranty Commissioning"/>
    <m/>
  </r>
  <r>
    <n v="547"/>
    <s v="'30081146 "/>
    <s v="ADITYA CREATIONS"/>
    <s v="TIRUPPUR"/>
    <s v="TS 07 120 HN"/>
    <x v="8"/>
    <s v="CHJE660060"/>
    <s v="ccs002 "/>
    <s v="20.02.2009 16:18 "/>
    <s v="20.02.2009 16:45"/>
    <s v="21.02.2009 18:00"/>
    <x v="4"/>
    <n v="25"/>
    <n v="26"/>
    <m/>
    <m/>
    <s v="Warranty Commissioning"/>
    <m/>
  </r>
  <r>
    <n v="562"/>
    <s v="'30081001 "/>
    <s v="RM SCREEN PRINTING"/>
    <s v="Tirupur"/>
    <s v="TS 07 120 HN"/>
    <x v="8"/>
    <s v="CHIE660792"/>
    <s v="ccs001 "/>
    <s v="08.01.2009 11:28 "/>
    <s v="08.01.2009 11:15"/>
    <s v="08.01.2009 13:00"/>
    <x v="5"/>
    <n v="2"/>
    <n v="2"/>
    <m/>
    <m/>
    <s v="Warranty Commissioning"/>
    <m/>
  </r>
  <r>
    <n v="563"/>
    <s v="'30080987 "/>
    <s v="RMS DYING"/>
    <s v="TIRUPPUR"/>
    <s v="TS 07 120 HN"/>
    <x v="8"/>
    <n v="34915"/>
    <s v="ccs002 "/>
    <s v="03.01.2009 14:52 "/>
    <s v="03.01.2009 14:45"/>
    <s v="10.01.2009 13:00"/>
    <x v="5"/>
    <n v="166"/>
    <n v="166"/>
    <m/>
    <m/>
    <s v="Out of Warranty"/>
    <m/>
  </r>
  <r>
    <n v="568"/>
    <s v="'30080933 "/>
    <s v="SRI BRINDA KNITTING FINISHER"/>
    <s v="TIRUPPUR"/>
    <s v="TS 07 120 HN"/>
    <x v="8"/>
    <s v="CHIE660788"/>
    <s v="ccs004 "/>
    <s v="20.12.2008 12:38 "/>
    <s v="20.12.2008 12:30"/>
    <s v="20.12.2008 15:00"/>
    <x v="5"/>
    <n v="3"/>
    <n v="2"/>
    <m/>
    <m/>
    <s v="Warranty Commissioning"/>
    <m/>
  </r>
  <r>
    <n v="569"/>
    <s v="'30080924 "/>
    <s v="MSK PVT LTD"/>
    <s v="Puliyampatti"/>
    <s v="TS 07120"/>
    <x v="8"/>
    <n v="33412"/>
    <s v="ccs007 "/>
    <s v="18.12.2008 11:34 "/>
    <s v="18.12.2008 11:30"/>
    <s v="19.12.2008 16:00"/>
    <x v="5"/>
    <n v="29"/>
    <n v="28"/>
    <m/>
    <m/>
    <s v="Out of Warranty"/>
    <m/>
  </r>
  <r>
    <n v="575"/>
    <s v="'30080877 "/>
    <s v="AMIRTHAM BLEEZERS"/>
    <s v="Tiruppur"/>
    <s v="TS 07 120 HN"/>
    <x v="8"/>
    <s v="CHDE660311"/>
    <s v="ccs007 "/>
    <s v="02.12.2008 15:34 "/>
    <s v="02.12.2008 16:00"/>
    <s v="02.12.2008 17:00"/>
    <x v="5"/>
    <n v="1"/>
    <n v="1"/>
    <m/>
    <m/>
    <s v="Warranty Commissioning"/>
    <m/>
  </r>
  <r>
    <n v="577"/>
    <s v="'30080859 "/>
    <s v="SRI HARI KNITTING"/>
    <s v="TIRUPPUR"/>
    <s v="TS 07 120 HN"/>
    <x v="8"/>
    <s v="CHHE660724"/>
    <s v="ccs002 "/>
    <s v="26.11.2008 17:06 "/>
    <s v="26.11.2008 17:00"/>
    <s v="27.11.2008 18:30"/>
    <x v="5"/>
    <n v="26"/>
    <n v="25"/>
    <m/>
    <m/>
    <s v="Warranty Commissioning"/>
    <m/>
  </r>
  <r>
    <n v="583"/>
    <s v="'30080803 "/>
    <s v="SOURIYA"/>
    <s v="COIMBATORE"/>
    <s v="TS07120"/>
    <x v="8"/>
    <n v="34642"/>
    <s v="ccs007 "/>
    <s v="12.11.2008 16:46 "/>
    <s v="12.11.2008 16:45"/>
    <s v="12.11.2008 19:00"/>
    <x v="5"/>
    <n v="2"/>
    <n v="2"/>
    <m/>
    <m/>
    <s v="Annual Maintenance contract"/>
    <m/>
  </r>
  <r>
    <n v="586"/>
    <s v="'30080772 "/>
    <s v="AUTO PRINT MACHINERY MANUFACTURING PVT LTD"/>
    <s v="Coimbatore"/>
    <s v="TS07120"/>
    <x v="8"/>
    <n v="32499"/>
    <s v="ccs007 "/>
    <s v="05.11.2008 17:14 "/>
    <s v="06.11.2008 10:00"/>
    <s v="12.11.2008 15:00"/>
    <x v="5"/>
    <n v="149"/>
    <n v="166"/>
    <m/>
    <m/>
    <s v="Out of Warranty"/>
    <m/>
  </r>
  <r>
    <n v="589"/>
    <s v="'30080711 "/>
    <s v="EXCEL SOURCEING COMPANY"/>
    <s v="Tiruppur"/>
    <s v="TS 07 120 HN"/>
    <x v="8"/>
    <s v="CHCE660276"/>
    <s v="ccs007 "/>
    <s v="18.10.2008 12:07 "/>
    <s v="18.10.2008 15:00"/>
    <s v="31.10.2008 11:00"/>
    <x v="5"/>
    <n v="308"/>
    <n v="311"/>
    <m/>
    <m/>
    <s v="Warranty Failure"/>
    <m/>
  </r>
  <r>
    <n v="592"/>
    <s v="'30080697 "/>
    <s v="VC EXPORTS"/>
    <s v="TIRUPPUR"/>
    <s v="TS 07120"/>
    <x v="8"/>
    <n v="33738"/>
    <s v="ccs007 "/>
    <s v="15.10.2008 10:19 "/>
    <s v="15.10.2008 10:30"/>
    <s v="16.10.2008 16:00"/>
    <x v="5"/>
    <n v="28"/>
    <n v="30"/>
    <m/>
    <m/>
    <s v="Out of Warranty"/>
    <m/>
  </r>
  <r>
    <n v="602"/>
    <s v="'30080626 "/>
    <s v="DOLLAR APPREALS"/>
    <s v="TIRUPPUR"/>
    <s v="TS 07 120 HN"/>
    <x v="8"/>
    <s v="CHEE660465"/>
    <s v="ccs007 "/>
    <s v="25.09.2008 15:57 "/>
    <s v="25.09.2008 16:00"/>
    <s v="25.09.2008 18:00"/>
    <x v="5"/>
    <n v="2"/>
    <n v="2"/>
    <m/>
    <m/>
    <s v="Warranty Commissioning"/>
    <m/>
  </r>
  <r>
    <n v="607"/>
    <s v="'30080600 "/>
    <s v="NEWMAN FASHION"/>
    <s v="TIRUPPUR"/>
    <s v="TS 07 120 HN"/>
    <x v="8"/>
    <s v="CHEE660490"/>
    <s v="ccs005 "/>
    <s v="20.09.2008 16:22 "/>
    <s v="20.09.2008 16:30"/>
    <s v="20.09.2008 18:00"/>
    <x v="5"/>
    <n v="2"/>
    <n v="2"/>
    <m/>
    <m/>
    <s v="Warranty Commissioning"/>
    <m/>
  </r>
  <r>
    <n v="608"/>
    <s v="'30080593 "/>
    <s v="SOURIAU"/>
    <s v="Coimbatore"/>
    <s v="TS07120"/>
    <x v="8"/>
    <n v="34642"/>
    <s v="ccs007 "/>
    <s v="18.09.2008 17:36 "/>
    <s v="18.09.2008 17:45"/>
    <s v="18.09.2008 20:00"/>
    <x v="5"/>
    <n v="2"/>
    <n v="2"/>
    <m/>
    <m/>
    <s v="Annual Maintenance contract"/>
    <m/>
  </r>
  <r>
    <n v="613"/>
    <s v="'30080554 "/>
    <s v="MUNGAL EXPORTS"/>
    <s v="Tirupur"/>
    <s v="TS 07 120 HN"/>
    <x v="8"/>
    <s v="CHDE660292"/>
    <s v="ccs001 "/>
    <s v="08.09.2008 12:41 "/>
    <s v="08.09.2008 12:45"/>
    <s v="08.09.2008 15:00"/>
    <x v="5"/>
    <n v="2"/>
    <n v="2"/>
    <m/>
    <m/>
    <s v="Warranty Commissioning"/>
    <m/>
  </r>
  <r>
    <n v="618"/>
    <s v="'30080531 "/>
    <s v="SRI RAM BHARAT CHEMICAL AND DETERGENT PRODUCTS"/>
    <s v="erode"/>
    <s v="TS 07 120 HN"/>
    <x v="8"/>
    <s v="CHCE660203"/>
    <s v="ccs007 "/>
    <s v="01.09.2008 16:08 "/>
    <s v="01.09.2008 16:00"/>
    <s v="01.09.2008 17:00"/>
    <x v="5"/>
    <n v="1"/>
    <n v="1"/>
    <m/>
    <m/>
    <s v="Warranty Commissioning"/>
    <m/>
  </r>
  <r>
    <n v="619"/>
    <s v="'30080530 "/>
    <s v="SRI RAM BHARAT CHEMICAL AND DETERGENT PRODUCTS"/>
    <s v="erode"/>
    <s v="TS 07 120 HN"/>
    <x v="8"/>
    <s v="CHCE660195"/>
    <s v="ccs007 "/>
    <s v="01.09.2008 16:08 "/>
    <s v="01.09.2008 16:00"/>
    <s v="01.09.2008 20:00"/>
    <x v="5"/>
    <n v="4"/>
    <n v="4"/>
    <m/>
    <m/>
    <s v="Warranty Commissioning"/>
    <m/>
  </r>
  <r>
    <n v="630"/>
    <s v="'30080273 "/>
    <s v="SOURIAU CONNECTION TECHNOLAGIS INDIA P LTD"/>
    <s v="coimbatore"/>
    <s v="TS 07 120 HN"/>
    <x v="8"/>
    <n v="34642"/>
    <n v="19254"/>
    <s v="27.06.2008 11:52 "/>
    <s v="30.06.2008 15:00"/>
    <s v="30.06.2008 18:00"/>
    <x v="5"/>
    <n v="78"/>
    <n v="78"/>
    <s v="3513C8101-15.07.2008"/>
    <s v="3513C8101"/>
    <s v="Warranty Failure"/>
    <m/>
  </r>
  <r>
    <n v="631"/>
    <s v="'30080198 "/>
    <s v="MPM TEXTILES"/>
    <s v="KANGEYAM"/>
    <s v="TS 07 120 HN"/>
    <x v="8"/>
    <n v="33853"/>
    <s v="ccs007 "/>
    <s v="09.06.2008 11:56 "/>
    <s v="09.06.2008 13:00"/>
    <s v="19.06.2008 16:30"/>
    <x v="5"/>
    <n v="223"/>
    <n v="245"/>
    <m/>
    <m/>
    <s v="Out of Warranty"/>
    <m/>
  </r>
  <r>
    <n v="632"/>
    <s v="'30080101 "/>
    <s v="PEPS INDUSTRIES LTD"/>
    <s v="Coimbatore"/>
    <s v="TS 07120"/>
    <x v="8"/>
    <s v="CHBT260131"/>
    <s v="ccs007 "/>
    <s v="17.05.2008 10:48 "/>
    <s v="22.05.2008 09:30"/>
    <s v="31.05.2008 19:00"/>
    <x v="5"/>
    <n v="-1"/>
    <n v="344"/>
    <m/>
    <m/>
    <s v="Warranty Commissioning"/>
    <m/>
  </r>
  <r>
    <n v="645"/>
    <s v="'30075265 "/>
    <s v="NS POLY INDUSTRIES--CITY"/>
    <s v="Tirupur"/>
    <s v="TS 07 120 HN"/>
    <x v="8"/>
    <n v="33425"/>
    <s v="ccs001 "/>
    <s v="10.01.2008 10:48 "/>
    <s v="10.01.2008 11:00"/>
    <s v="22.01.2008 13:00"/>
    <x v="3"/>
    <n v="27"/>
    <n v="290"/>
    <m/>
    <m/>
    <s v="Out of Warranty"/>
    <m/>
  </r>
  <r>
    <n v="654"/>
    <s v="'30075095 "/>
    <s v="KNITCO FASHION"/>
    <s v="Tirupur"/>
    <s v="TS 07 HN 220L"/>
    <x v="8"/>
    <n v="35183"/>
    <s v="ccs001 "/>
    <s v="08.12.2007 12:08 "/>
    <s v="08.12.2007 12:15"/>
    <s v="08.12.2007 14:30"/>
    <x v="3"/>
    <n v="2"/>
    <n v="2"/>
    <m/>
    <m/>
    <s v="Warranty Commissioning"/>
    <m/>
  </r>
  <r>
    <n v="658"/>
    <s v="'30075061 "/>
    <s v="SUN RISE FAB FINISHERS--CITY"/>
    <s v="Tiruppur"/>
    <s v="TS 07 HN 220L"/>
    <x v="8"/>
    <n v="34790"/>
    <s v="ccs004 "/>
    <s v="04.12.2007 11:46 "/>
    <s v="04.12.2007 11:45"/>
    <s v="04.12.2007 13:30"/>
    <x v="3"/>
    <n v="2"/>
    <n v="2"/>
    <m/>
    <m/>
    <m/>
    <m/>
  </r>
  <r>
    <n v="661"/>
    <s v="'30075034 "/>
    <s v="WILL POWER PROCESS--CITY"/>
    <s v="Tirupur"/>
    <s v="TS 07 HN 220L"/>
    <x v="8"/>
    <n v="33897"/>
    <s v="ccs001 "/>
    <s v="28.11.2007 16:49 "/>
    <s v="28.11.2007 17:00"/>
    <s v="01.12.2007 15:00"/>
    <x v="3"/>
    <n v="70"/>
    <n v="70"/>
    <m/>
    <m/>
    <m/>
    <m/>
  </r>
  <r>
    <n v="671"/>
    <s v="'30074827 "/>
    <s v="SAKTHI SUGAR LTD--C"/>
    <s v="Pollachi"/>
    <s v="TS07"/>
    <x v="8"/>
    <s v="848E"/>
    <s v="ccs003 "/>
    <s v="11.10.2007 16:17 "/>
    <s v="12.10.2007 10:00"/>
    <s v="26.10.2007 12:30"/>
    <x v="3"/>
    <n v="339"/>
    <n v="356"/>
    <m/>
    <m/>
    <m/>
    <m/>
  </r>
  <r>
    <n v="673"/>
    <s v="'30074825 "/>
    <s v="SAKTHI SUGAR LTD--C"/>
    <s v="Pollachi"/>
    <s v="TS07120"/>
    <x v="8"/>
    <n v="844"/>
    <s v="ccs003 "/>
    <s v="11.10.2007 16:16 "/>
    <s v="12.10.2007 10:00"/>
    <s v="17.10.2007 13:00"/>
    <x v="3"/>
    <n v="123"/>
    <n v="141"/>
    <m/>
    <m/>
    <m/>
    <m/>
  </r>
  <r>
    <n v="675"/>
    <s v="'30074802 "/>
    <s v="SILK ART--CITY"/>
    <s v="Avinashi"/>
    <s v="TS 07 HN 220L"/>
    <x v="8"/>
    <n v="34793"/>
    <s v="ccs003 "/>
    <s v="06.10.2007 11:00 "/>
    <s v="06.10.2007 11:15"/>
    <s v="06.10.2007 14:00"/>
    <x v="3"/>
    <n v="3"/>
    <n v="3"/>
    <m/>
    <m/>
    <m/>
    <m/>
  </r>
  <r>
    <n v="683"/>
    <s v="'30074661 "/>
    <s v="KNIFE ROOF CLOTHING COMPANY--CITY"/>
    <s v="Tiruppur"/>
    <s v="TS 07 HN 220L"/>
    <x v="8"/>
    <n v="33866"/>
    <s v="ccs003 "/>
    <s v="05.09.2007 16:00 "/>
    <s v="05.09.2007 16:15"/>
    <s v="20.09.2007 12:00"/>
    <x v="3"/>
    <n v="356"/>
    <n v="356"/>
    <s v="3511C7111-14.09.2007"/>
    <s v="3511C7111"/>
    <m/>
    <m/>
  </r>
  <r>
    <n v="686"/>
    <s v="'30074658 "/>
    <s v="TOP LIGHT LABEL--CITY"/>
    <s v="Tiruppur"/>
    <s v="TS 07 HN 220L"/>
    <x v="8"/>
    <n v="32970"/>
    <s v="ccs003 "/>
    <s v="05.09.2007 15:43 "/>
    <s v="05.09.2007 16:00"/>
    <s v="22.09.2007 11:30"/>
    <x v="3"/>
    <n v="404"/>
    <n v="404"/>
    <s v="3511C7108-14.09.2007"/>
    <s v="3511C7108"/>
    <m/>
    <m/>
  </r>
  <r>
    <n v="687"/>
    <s v="'30074657 "/>
    <s v="NOKIA COMPACTING--CITY"/>
    <s v="Tiruppur"/>
    <s v="TS 07 HN 220L"/>
    <x v="8"/>
    <n v="34236"/>
    <s v="ccs003 "/>
    <s v="05.09.2007 15:29 "/>
    <s v="05.09.2007 15:45"/>
    <s v="20.09.2007 13:30"/>
    <x v="3"/>
    <n v="358"/>
    <n v="358"/>
    <s v="3511C7107-14.09.2007"/>
    <s v="3511C7107"/>
    <m/>
    <m/>
  </r>
  <r>
    <n v="692"/>
    <s v="'30074642 "/>
    <s v="GANGA SPINNERS--CITY"/>
    <s v="PALANI"/>
    <s v="TS 07 HN 220L"/>
    <x v="8"/>
    <n v="33534"/>
    <s v="ccs003 "/>
    <s v="04.09.2007 13:52 "/>
    <s v="04.09.2007 14:15"/>
    <s v="04.09.2007 17:00"/>
    <x v="3"/>
    <n v="3"/>
    <n v="3"/>
    <m/>
    <m/>
    <m/>
    <m/>
  </r>
  <r>
    <n v="693"/>
    <s v="'30074640 "/>
    <s v="SWARNARAJ ENGINEERING WORKS--CITY"/>
    <s v="Coimbatore"/>
    <s v="TS 07 HN 220L"/>
    <x v="8"/>
    <n v="34548"/>
    <s v="ccs005 "/>
    <s v="03.09.2007 17:52 "/>
    <s v="03.09.2007 18:00"/>
    <s v="08.09.2007 11:30"/>
    <x v="3"/>
    <n v="114"/>
    <n v="114"/>
    <m/>
    <m/>
    <m/>
    <m/>
  </r>
  <r>
    <n v="700"/>
    <s v="'30074536 "/>
    <s v="RAJA RATNA MILLS -- C"/>
    <s v="Coimbatore"/>
    <s v="TS 07120"/>
    <x v="8"/>
    <n v="14776"/>
    <s v="ccs005 "/>
    <s v="06.08.2007 12:51 "/>
    <s v="06.08.2007 14:00"/>
    <s v="01.09.2007 12:00"/>
    <x v="3"/>
    <n v="290"/>
    <n v="623"/>
    <m/>
    <m/>
    <m/>
    <m/>
  </r>
  <r>
    <n v="710"/>
    <s v="'30074089 "/>
    <s v="GANGA SPINNERS--CITY"/>
    <s v="PalaniTK"/>
    <s v="TS07120H-220L"/>
    <x v="8"/>
    <s v="D30074089"/>
    <s v="ccs001 "/>
    <s v="23.04.2007 11:54 "/>
    <s v="23.04.2007 12:00"/>
    <s v="16.05.2007 10:30"/>
    <x v="3"/>
    <n v="551"/>
    <n v="551"/>
    <m/>
    <m/>
    <m/>
    <m/>
  </r>
  <r>
    <n v="714"/>
    <s v="'30063949 "/>
    <s v="MASSKO HI TECH KNITTERS -- C"/>
    <s v="Tiruppur"/>
    <s v="TS 07120"/>
    <x v="8"/>
    <n v="34471"/>
    <s v="ccs003 "/>
    <s v="19.03.2007 20:05 "/>
    <s v="24.03.2007 09:00"/>
    <s v="24.03.2007 12:00"/>
    <x v="3"/>
    <n v="98"/>
    <n v="112"/>
    <m/>
    <m/>
    <m/>
    <m/>
  </r>
  <r>
    <n v="719"/>
    <s v="'30063718 "/>
    <s v="TAFE REACH LTD"/>
    <s v="Erode"/>
    <s v="TS 07 HN 220L"/>
    <x v="8"/>
    <n v="34194"/>
    <s v="ccs001 "/>
    <s v="27.01.2007 14:37 "/>
    <s v="27.01.2007 14:35"/>
    <s v="29.01.2007 13:30"/>
    <x v="12"/>
    <n v="47"/>
    <n v="47"/>
    <m/>
    <m/>
    <m/>
    <m/>
  </r>
  <r>
    <n v="721"/>
    <s v="'30063534 "/>
    <s v="SAI KNIT COMPACTORS"/>
    <s v="Tirupur"/>
    <s v="TS07120"/>
    <x v="8"/>
    <n v="33184"/>
    <s v="ccs001 "/>
    <s v="09.12.2006 12:47 "/>
    <s v="09.12.2006 13:00"/>
    <s v="15.12.2006 13:00"/>
    <x v="12"/>
    <n v="0"/>
    <n v="144"/>
    <m/>
    <m/>
    <m/>
    <m/>
  </r>
  <r>
    <n v="723"/>
    <s v="'30063498 "/>
    <s v="AMMAN APPARELS"/>
    <s v="Tiruppur"/>
    <s v="TS 07 HN 220L"/>
    <x v="8"/>
    <n v="33982"/>
    <s v="ccs001 "/>
    <s v="04.12.2006 21:18 "/>
    <s v="05.12.2006 09:00"/>
    <s v="06.12.2006 12:00"/>
    <x v="12"/>
    <n v="0"/>
    <n v="39"/>
    <m/>
    <m/>
    <m/>
    <m/>
  </r>
  <r>
    <n v="727"/>
    <s v="'30063346 "/>
    <s v="MSK TEX -- C"/>
    <s v="Puliampatti"/>
    <s v="TS 07 HN 220L"/>
    <x v="8"/>
    <n v="33412"/>
    <s v="ccs001 "/>
    <s v="04.11.2006 14:22 "/>
    <s v="07.11.2006 09:00"/>
    <s v="15.11.2006 15:00"/>
    <x v="12"/>
    <n v="0"/>
    <n v="265"/>
    <m/>
    <m/>
    <m/>
    <m/>
  </r>
  <r>
    <n v="730"/>
    <s v="'30063176 "/>
    <s v="CEDICOM ELECTRONICS--CITY"/>
    <s v="Palkad"/>
    <s v="TS07120"/>
    <x v="8"/>
    <n v="32829"/>
    <s v="ccs001 "/>
    <s v="27.09.2006 16:26 "/>
    <s v="27.09.2006 16:30"/>
    <s v="27.09.2006 20:00"/>
    <x v="12"/>
    <n v="0"/>
    <n v="4"/>
    <m/>
    <m/>
    <m/>
    <m/>
  </r>
  <r>
    <n v="731"/>
    <s v="'30063175 "/>
    <s v="SRI VELAVAN &amp; CO--C"/>
    <s v="Tirpur"/>
    <s v="TS 07 HN 220L"/>
    <x v="8"/>
    <n v="33769"/>
    <s v="ccs001 "/>
    <s v="27.09.2006 16:23 "/>
    <s v="27.09.2006 16:30"/>
    <s v="27.09.2006 17:30"/>
    <x v="12"/>
    <n v="0"/>
    <n v="1"/>
    <m/>
    <m/>
    <m/>
    <m/>
  </r>
  <r>
    <n v="732"/>
    <s v="'30063143 "/>
    <s v="SRI SARAVANA FABS"/>
    <s v="Coimbatore"/>
    <s v="TS 07 HN 220L"/>
    <x v="8"/>
    <n v="32710"/>
    <s v="ccs001 "/>
    <s v="19.09.2006 09:38 "/>
    <s v="20.09.2006 09:30"/>
    <s v="22.09.2006 14:00"/>
    <x v="12"/>
    <n v="0"/>
    <n v="76"/>
    <m/>
    <m/>
    <m/>
    <m/>
  </r>
  <r>
    <n v="735"/>
    <s v="'30062788 "/>
    <s v="M.S.K PVT LTD -- CITY"/>
    <s v="Puliampatti"/>
    <s v="TS 07"/>
    <x v="8"/>
    <n v="33412"/>
    <s v="ccs001 "/>
    <s v="15.07.2006 16:15 "/>
    <s v="15.07.2006 16:30"/>
    <s v="15.07.2006 19:00"/>
    <x v="12"/>
    <n v="0"/>
    <n v="3"/>
    <m/>
    <m/>
    <m/>
    <m/>
  </r>
  <r>
    <n v="748"/>
    <s v="'30051845 "/>
    <s v="AGUSTAN TEXTILES COLORS LTD"/>
    <s v="Palaghat"/>
    <s v="TS 07"/>
    <x v="8"/>
    <n v="48316"/>
    <s v="ccs001 "/>
    <s v="15.02.2006 15:17 "/>
    <s v="15.02.2006 15:30"/>
    <s v="16.02.2006 14:30"/>
    <x v="0"/>
    <n v="0"/>
    <n v="23"/>
    <m/>
    <m/>
    <m/>
    <m/>
  </r>
  <r>
    <n v="754"/>
    <s v="'30051494 "/>
    <s v="JAYAM WAVING MILLS PVT LTD"/>
    <s v="Coimbatore"/>
    <s v="TS 07"/>
    <x v="8"/>
    <n v="93599"/>
    <s v="ccs001 "/>
    <s v="13.12.2005 11:43 "/>
    <s v="13.12.2005 12:00"/>
    <s v="15.12.2005 16:00"/>
    <x v="0"/>
    <n v="0"/>
    <n v="52"/>
    <m/>
    <m/>
    <m/>
    <m/>
  </r>
  <r>
    <n v="763"/>
    <s v="'30051438 "/>
    <s v="ANINAYA FABRICS--CITY"/>
    <s v="Tirupur"/>
    <s v="TS 07"/>
    <x v="8"/>
    <n v="33099"/>
    <s v="ccs001 "/>
    <s v="03.12.2005 12:57 "/>
    <s v="03.12.2005 13:00"/>
    <s v="03.12.2005 17:00"/>
    <x v="0"/>
    <n v="0"/>
    <n v="4"/>
    <m/>
    <m/>
    <m/>
    <m/>
  </r>
  <r>
    <n v="767"/>
    <s v="'30050422 "/>
    <s v="SWETHA TEXTILES--CITY"/>
    <s v="Coimbatore"/>
    <s v="TS 07"/>
    <x v="8"/>
    <n v="31440"/>
    <s v="E00001 "/>
    <s v="04.06.2005 12:35 "/>
    <s v="04.06.2005 12:45"/>
    <s v="06.06.2005 14:30"/>
    <x v="0"/>
    <n v="0"/>
    <n v="50"/>
    <m/>
    <m/>
    <m/>
    <m/>
  </r>
  <r>
    <n v="782"/>
    <s v="'30050161 "/>
    <s v="VIVID FASHIONS--CITY"/>
    <s v="Tirupur"/>
    <s v="TS 07"/>
    <x v="8"/>
    <n v="31933"/>
    <s v="E00001 "/>
    <s v="29.04.2005 11:13 "/>
    <s v="29.04.2005 11:30"/>
    <s v="29.04.2005 12:30"/>
    <x v="0"/>
    <n v="0"/>
    <n v="1"/>
    <m/>
    <m/>
    <m/>
    <m/>
  </r>
  <r>
    <n v="792"/>
    <s v="'30050126 "/>
    <s v="SANTHOSH COMPACTING--CITY"/>
    <s v="Tirupur"/>
    <s v="TS 07"/>
    <x v="8"/>
    <n v="31383"/>
    <s v="E00001 "/>
    <s v="23.04.2005 11:42 "/>
    <s v="23.04.2005 12:00"/>
    <s v="23.04.2005 13:15"/>
    <x v="0"/>
    <n v="0"/>
    <n v="2"/>
    <m/>
    <m/>
    <m/>
    <m/>
  </r>
  <r>
    <n v="800"/>
    <s v="'30050044 "/>
    <s v="GD WHEILERS--CITY"/>
    <s v="Podanur"/>
    <s v="TS 07"/>
    <x v="8"/>
    <n v="32500"/>
    <s v="E00001 "/>
    <s v="06.04.2005 13:07 "/>
    <s v="06.04.2005 13:15"/>
    <s v="07.04.2005 15:00"/>
    <x v="0"/>
    <n v="0"/>
    <n v="26"/>
    <m/>
    <m/>
    <m/>
    <m/>
  </r>
  <r>
    <n v="823"/>
    <s v="'3004003930 "/>
    <s v="RAGAM EXPORTS--CITY"/>
    <s v="Tirupur"/>
    <s v="TS 07"/>
    <x v="8"/>
    <n v="32438"/>
    <s v="E00001 "/>
    <s v="24.03.2005 14:25 "/>
    <s v="24.03.2005 14:45"/>
    <s v="24.03.2005 16:00"/>
    <x v="0"/>
    <n v="0"/>
    <n v="2"/>
    <m/>
    <m/>
    <m/>
    <m/>
  </r>
  <r>
    <n v="826"/>
    <s v="'3004003926 "/>
    <s v="VIVID FASHIONS--CITY"/>
    <s v="Tirupur"/>
    <s v="TS 07"/>
    <x v="8"/>
    <n v="31933"/>
    <s v="E00001 "/>
    <s v="24.03.2005 11:08 "/>
    <s v="24.03.2005 11:15"/>
    <s v="24.03.2005 15:00"/>
    <x v="0"/>
    <n v="0"/>
    <n v="4"/>
    <m/>
    <m/>
    <m/>
    <m/>
  </r>
  <r>
    <n v="832"/>
    <s v="'3004003902 "/>
    <s v="SAMGEETHA MILLS--CITY"/>
    <s v="Coimbatore"/>
    <s v="TS 07"/>
    <x v="8"/>
    <n v="32037"/>
    <s v="E00001 "/>
    <s v="21.03.2005 10:38 "/>
    <s v="21.03.2005 10:45"/>
    <s v="21.03.2005 15:00"/>
    <x v="0"/>
    <n v="0"/>
    <n v="4"/>
    <m/>
    <m/>
    <m/>
    <m/>
  </r>
  <r>
    <n v="835"/>
    <s v="'3004003894 "/>
    <s v="ARAVIND TEXTILES PROCESS--CITY"/>
    <s v="Tirupur"/>
    <s v="TS 07"/>
    <x v="8"/>
    <n v="30950"/>
    <s v="E00001 "/>
    <s v="18.03.2005 11:40 "/>
    <s v="18.03.2005 12:00"/>
    <s v="18.03.2005 13:00"/>
    <x v="0"/>
    <n v="0"/>
    <n v="1"/>
    <m/>
    <m/>
    <m/>
    <m/>
  </r>
  <r>
    <n v="850"/>
    <s v="'3004003825 "/>
    <s v="TUBE TEX COMPACTING--CITY"/>
    <s v="Tirupur"/>
    <s v="TS 07"/>
    <x v="8"/>
    <n v="30257"/>
    <s v="E00001 "/>
    <s v="09.03.2005 12:06 "/>
    <s v="09.03.2005 12:30"/>
    <s v="09.03.2005 14:00"/>
    <x v="0"/>
    <n v="0"/>
    <n v="2"/>
    <m/>
    <m/>
    <m/>
    <m/>
  </r>
  <r>
    <n v="859"/>
    <s v="'3004003794 "/>
    <s v="SARA ELGI--CITY"/>
    <s v="Kurichy"/>
    <s v="TS 07"/>
    <x v="8"/>
    <n v="31835"/>
    <s v="E00001 "/>
    <s v="03.03.2005 12:54 "/>
    <s v="03.03.2005 13:15"/>
    <s v="04.03.2005 18:00"/>
    <x v="0"/>
    <n v="0"/>
    <n v="29"/>
    <m/>
    <m/>
    <m/>
    <m/>
  </r>
  <r>
    <n v="876"/>
    <s v="'3004003717 "/>
    <s v="BANUREKA GARMENTS--CITY"/>
    <s v="Tirupur"/>
    <s v="TS 07"/>
    <x v="8"/>
    <n v="30509"/>
    <s v="E00001 "/>
    <s v="22.02.2005 11:17 "/>
    <s v="22.02.2005 11:30"/>
    <s v="22.02.2005 13:30"/>
    <x v="0"/>
    <n v="0"/>
    <n v="2"/>
    <m/>
    <m/>
    <m/>
    <m/>
  </r>
  <r>
    <n v="877"/>
    <s v="'3004003716 "/>
    <s v="COLOUR LAND PROCESS--CITY"/>
    <s v="Tirupur"/>
    <s v="TS 07"/>
    <x v="8"/>
    <n v="32350"/>
    <s v="E00001 "/>
    <s v="22.02.2005 11:16 "/>
    <s v="22.02.2005 11:30"/>
    <s v="22.02.2005 12:30"/>
    <x v="0"/>
    <n v="0"/>
    <n v="1"/>
    <m/>
    <m/>
    <m/>
    <m/>
  </r>
  <r>
    <n v="902"/>
    <s v="'3004003624 "/>
    <s v="SLN COFFEE PVT LTD--CITY"/>
    <s v="Coimbatore"/>
    <s v="TS 07"/>
    <x v="8"/>
    <n v="32301"/>
    <s v="E00001 "/>
    <s v="08.02.2005 14:55 "/>
    <s v="08.02.2005 15:00"/>
    <s v="08.02.2005 18:00"/>
    <x v="6"/>
    <n v="0"/>
    <n v="3"/>
    <m/>
    <m/>
    <m/>
    <m/>
  </r>
  <r>
    <n v="904"/>
    <s v="'3004003615 "/>
    <s v="SRI ANJENEYA GARMENTS--CITY"/>
    <s v="Tirupur"/>
    <s v="TS 07"/>
    <x v="8"/>
    <n v="32195"/>
    <s v="E00001 "/>
    <s v="07.02.2005 17:07 "/>
    <s v="07.02.2005 17:15"/>
    <s v="07.02.2005 19:00"/>
    <x v="6"/>
    <n v="0"/>
    <n v="2"/>
    <m/>
    <m/>
    <m/>
    <m/>
  </r>
  <r>
    <n v="905"/>
    <s v="'3004003608 "/>
    <s v="TUBE TEX COMPACTING--CITY"/>
    <s v="Tirupur"/>
    <s v="TS 07"/>
    <x v="8"/>
    <n v="30257"/>
    <s v="E00001 "/>
    <s v="05.02.2005 16:16 "/>
    <s v="05.02.2005 16:30"/>
    <s v="05.02.2005 18:30"/>
    <x v="6"/>
    <n v="0"/>
    <n v="2"/>
    <m/>
    <m/>
    <m/>
    <m/>
  </r>
  <r>
    <n v="913"/>
    <s v="'3004003580 "/>
    <s v="SRI ANJENEYA EXPORTS--CITY"/>
    <s v="Tirupur"/>
    <s v="TS 07"/>
    <x v="8"/>
    <n v="32195"/>
    <s v="E00001 "/>
    <s v="01.02.2005 12:08 "/>
    <s v="01.02.2005 12:15"/>
    <s v="01.02.2005 14:15"/>
    <x v="6"/>
    <n v="0"/>
    <n v="2"/>
    <m/>
    <m/>
    <m/>
    <m/>
  </r>
  <r>
    <n v="915"/>
    <s v="'3004003569 "/>
    <s v="SRG APPARELS PVT LTD--CITY"/>
    <s v="Tirupur"/>
    <s v="TS 07"/>
    <x v="8"/>
    <n v="30336"/>
    <s v="E00001 "/>
    <s v="31.01.2005 11:12 "/>
    <s v="31.01.2005 11:30"/>
    <s v="31.01.2005 15:00"/>
    <x v="6"/>
    <n v="0"/>
    <n v="4"/>
    <m/>
    <m/>
    <m/>
    <m/>
  </r>
  <r>
    <n v="919"/>
    <s v="'3004003527 "/>
    <s v="BIJU MODERN RICE MILL--CITY"/>
    <s v="Palakad"/>
    <s v="TS 07"/>
    <x v="8"/>
    <n v="32228"/>
    <s v="E00001 "/>
    <s v="22.01.2005 10:50 "/>
    <s v="22.01.2005 11:00"/>
    <s v="22.01.2005 12:45"/>
    <x v="6"/>
    <n v="0"/>
    <n v="2"/>
    <m/>
    <m/>
    <m/>
    <m/>
  </r>
  <r>
    <n v="942"/>
    <s v="'304003416 "/>
    <s v="FINE CRAFT ENGINNEERING--CITY"/>
    <s v="Coimbatore"/>
    <s v="TS 07"/>
    <x v="8"/>
    <n v="32224"/>
    <s v="E00001 "/>
    <s v="01.01.2005 12:30 "/>
    <s v="01.01.2005 12:45"/>
    <s v="03.01.2005 14:00"/>
    <x v="6"/>
    <n v="0"/>
    <n v="49"/>
    <m/>
    <m/>
    <m/>
    <m/>
  </r>
  <r>
    <n v="949"/>
    <s v="'304003376 "/>
    <s v="SRI ANJEENAYA EXPORTS - CITY"/>
    <s v="Tirupur"/>
    <s v="TS 07"/>
    <x v="8"/>
    <n v="32195"/>
    <s v="E00001 "/>
    <s v="27.12.2004 12:36 "/>
    <s v="27.12.2004 12:45"/>
    <s v="27.12.2004 16:00"/>
    <x v="6"/>
    <n v="0"/>
    <n v="3"/>
    <m/>
    <m/>
    <m/>
    <m/>
  </r>
  <r>
    <n v="953"/>
    <s v="'304003336 "/>
    <s v="KANISHKA GARMENTS--CITY"/>
    <s v="Tirupur"/>
    <s v="TS 07"/>
    <x v="8"/>
    <n v="315"/>
    <s v="E00001 "/>
    <s v="20.12.2004 16:08 "/>
    <s v="20.12.2004 16:15"/>
    <s v="20.12.2004 20:30"/>
    <x v="6"/>
    <n v="0"/>
    <n v="4"/>
    <m/>
    <m/>
    <m/>
    <m/>
  </r>
  <r>
    <n v="955"/>
    <s v="'304003328 "/>
    <s v="TOP TEXT FABRICS - CITY"/>
    <s v="Tirupur"/>
    <s v="TS 07"/>
    <x v="8"/>
    <n v="30735"/>
    <s v="E00001 "/>
    <s v="18.12.2004 11:21 "/>
    <s v="18.12.2004 11:45"/>
    <s v="18.12.2004 18:00"/>
    <x v="6"/>
    <n v="0"/>
    <n v="7"/>
    <m/>
    <m/>
    <m/>
    <m/>
  </r>
  <r>
    <n v="963"/>
    <s v="'304003283 "/>
    <s v="JACK WEAVING--CITY"/>
    <s v="Coimbatore"/>
    <s v="TS 07"/>
    <x v="8"/>
    <n v="30983"/>
    <s v="E00001 "/>
    <s v="11.12.2004 14:45 "/>
    <s v="11.12.2004 15:00"/>
    <s v="11.12.2004 17:00"/>
    <x v="6"/>
    <n v="0"/>
    <n v="2"/>
    <m/>
    <m/>
    <m/>
    <m/>
  </r>
  <r>
    <n v="977"/>
    <s v="'304003171 "/>
    <s v="PADMA TRADING CO--CITY"/>
    <s v="Erode"/>
    <s v="TS 07"/>
    <x v="8"/>
    <n v="32029"/>
    <s v="E00001 "/>
    <s v="24.11.2004 11:09 "/>
    <s v="24.11.2004 11:15"/>
    <s v="24.11.2004 14:00"/>
    <x v="6"/>
    <n v="0"/>
    <n v="3"/>
    <m/>
    <m/>
    <m/>
    <m/>
  </r>
  <r>
    <n v="986"/>
    <s v="'304003114 "/>
    <s v="CROWN LABELS--CITY"/>
    <s v="Tirupur"/>
    <s v="TS07"/>
    <x v="8"/>
    <n v="30614"/>
    <s v="E00001 "/>
    <s v="15.11.2004 12:44 "/>
    <s v="15.11.2004 13:00"/>
    <s v="15.11.2004 13:45"/>
    <x v="6"/>
    <n v="0"/>
    <n v="1"/>
    <m/>
    <m/>
    <m/>
    <m/>
  </r>
  <r>
    <n v="990"/>
    <s v="'304003081 "/>
    <s v="CROWN LABELS--CITY"/>
    <s v="Tirupur"/>
    <s v="TS07"/>
    <x v="8"/>
    <n v="30614"/>
    <s v="E00001 "/>
    <s v="06.11.2004 11:46 "/>
    <s v="06.11.2004 12:00"/>
    <s v="06.11.2004 14:30"/>
    <x v="6"/>
    <n v="0"/>
    <n v="3"/>
    <m/>
    <m/>
    <m/>
    <m/>
  </r>
  <r>
    <n v="1009"/>
    <s v="'300F00651 "/>
    <s v="VS HARUNIYA FABRICS"/>
    <s v="ERODE"/>
    <s v="TS 07 120 HN"/>
    <x v="8"/>
    <s v="GNIE660499"/>
    <s v="ccs019 "/>
    <s v="05.10.2015 11:51 "/>
    <s v="10.10.2015 00:00"/>
    <s v="10.10.2015 01:00"/>
    <x v="8"/>
    <n v="72"/>
    <n v="109"/>
    <m/>
    <m/>
    <s v="Out of Warranty"/>
    <m/>
  </r>
  <r>
    <n v="1012"/>
    <s v="'300F00508 "/>
    <s v="HUMMEL CONNECTOR SYSTEMS"/>
    <s v="NEELAMBUR COIMBATORE"/>
    <s v="TS 07 120 HN"/>
    <x v="8"/>
    <s v="CMCE660713"/>
    <s v="ccs015 "/>
    <s v="14.09.2015 13:54 "/>
    <s v="15.09.2015 09:00"/>
    <s v="16.09.2015 14:00"/>
    <x v="8"/>
    <n v="29"/>
    <n v="48"/>
    <m/>
    <m/>
    <s v="Out of Warranty"/>
    <m/>
  </r>
  <r>
    <n v="1013"/>
    <s v="'300F00446 "/>
    <s v="PAULSAMY MATCHES"/>
    <s v="VIRUDHUNAGAR"/>
    <s v="TS 07 120 HN"/>
    <x v="8"/>
    <s v="CLFE661151"/>
    <s v="ccs014 "/>
    <s v="26.08.2015 12:55 "/>
    <s v="02.09.2015 11:00"/>
    <s v="31.08.2015 12:00"/>
    <x v="8"/>
    <n v="98"/>
    <n v="119"/>
    <m/>
    <m/>
    <s v="Out of Warranty"/>
    <m/>
  </r>
  <r>
    <n v="1020"/>
    <s v="'300F00233 "/>
    <s v="SAI SIVA INDUSTRIES"/>
    <s v="DINDIGUL"/>
    <s v="TS 07 120 HN"/>
    <x v="8"/>
    <s v="GOJE660094"/>
    <s v="ccs021 "/>
    <s v="22.06.2015 09:52 "/>
    <s v="22.06.2015 14:00"/>
    <s v="24.06.2015 11:00"/>
    <x v="8"/>
    <n v="2"/>
    <n v="49"/>
    <m/>
    <m/>
    <s v="Warranty Commissioning"/>
    <m/>
  </r>
  <r>
    <n v="1029"/>
    <s v="'300F00121 "/>
    <s v="SRI VENKATACHALAPATHY TEXTILES"/>
    <s v="COIMBATORE"/>
    <s v="RAC PACKAGE TS07 HN 220L"/>
    <x v="8"/>
    <n v="32696"/>
    <s v="ccs019 "/>
    <s v="18.05.2015 10:24 "/>
    <s v="19.05.2015 09:00"/>
    <s v="20.05.2015 16:30"/>
    <x v="8"/>
    <n v="32"/>
    <n v="54"/>
    <m/>
    <m/>
    <s v="Out of Warranty"/>
    <m/>
  </r>
  <r>
    <n v="1045"/>
    <s v="'300E00710 "/>
    <s v="THIRUPATHI AGENCIES"/>
    <s v="Theni"/>
    <s v="TS 07 120 HN"/>
    <x v="8"/>
    <s v="GNGE660179"/>
    <s v="S00014 "/>
    <s v="22.12.2014 10:54 "/>
    <s v="27.12.2014 10:00"/>
    <s v="27.12.2014 12:00"/>
    <x v="10"/>
    <n v="46"/>
    <n v="121"/>
    <m/>
    <m/>
    <s v="Warranty Commissioning"/>
    <m/>
  </r>
  <r>
    <n v="1054"/>
    <s v="'300E00467 "/>
    <s v="SHURYA MOTORS"/>
    <s v="MADURAI"/>
    <s v="TS 07 120 HN"/>
    <x v="8"/>
    <s v="CNAE660397"/>
    <s v="ccs019 "/>
    <s v="19.09.2014 13:54 "/>
    <s v="19.09.2014 14:00"/>
    <s v="19.09.2014 15:00"/>
    <x v="10"/>
    <n v="1"/>
    <n v="1"/>
    <m/>
    <m/>
    <s v="Warranty Maintenance"/>
    <m/>
  </r>
  <r>
    <n v="1058"/>
    <s v="'300E00318 "/>
    <s v="CTP FOOD PRODUCTS"/>
    <s v="VANDIYUR"/>
    <s v="RAC PACKAGE TS07 HN 220L"/>
    <x v="8"/>
    <s v="CHIE660830"/>
    <s v="ccs014 "/>
    <s v="25.07.2014 17:23 "/>
    <s v="26.07.2014 10:00"/>
    <s v="28.07.2014 13:00"/>
    <x v="10"/>
    <n v="51"/>
    <n v="68"/>
    <m/>
    <m/>
    <s v="Out of Warranty"/>
    <m/>
  </r>
  <r>
    <n v="1063"/>
    <s v="'300E00144 "/>
    <s v="SHURYA MOTORS"/>
    <s v="MADURAI"/>
    <s v="TS 07 120 HN"/>
    <x v="8"/>
    <s v="CNAE660397"/>
    <s v="ccs018 "/>
    <s v="27.05.2014 20:19 "/>
    <s v="27.05.2014 20:30"/>
    <s v="27.05.2014 22:00"/>
    <x v="10"/>
    <n v="2"/>
    <n v="2"/>
    <m/>
    <m/>
    <s v="Warranty Commissioning"/>
    <m/>
  </r>
  <r>
    <n v="1087"/>
    <s v="'300C0958 "/>
    <s v="SPIC STATIONS"/>
    <s v="TIRUPPUR"/>
    <s v="TS07120"/>
    <x v="8"/>
    <s v="D300C0958"/>
    <s v="ccs005 "/>
    <s v="01.03.2013 11:40 "/>
    <s v="01.03.2013 15:00"/>
    <s v="02.03.2013 16:00"/>
    <x v="2"/>
    <n v="25"/>
    <n v="28"/>
    <m/>
    <m/>
    <s v="Out of Warranty"/>
    <m/>
  </r>
  <r>
    <n v="1088"/>
    <s v="'300C0955 "/>
    <s v="SRI SARAVANA FABS"/>
    <s v="COIMBATORE"/>
    <s v="TS 07"/>
    <x v="8"/>
    <n v="32710"/>
    <s v="ccs007 "/>
    <s v="01.03.2013 09:15 "/>
    <s v="01.03.2013 10:00"/>
    <s v="01.03.2013 14:00"/>
    <x v="2"/>
    <n v="2"/>
    <n v="5"/>
    <m/>
    <m/>
    <s v="Out of Warranty"/>
    <m/>
  </r>
  <r>
    <n v="1093"/>
    <s v="'300C0619 "/>
    <s v="SARADHA MOTORS"/>
    <s v="TRICHY"/>
    <s v="TS 07 120 HN"/>
    <x v="8"/>
    <s v="CLFE661181"/>
    <s v="ccs005 "/>
    <s v="13.10.2012 10:30 "/>
    <s v="13.10.2012 10:45"/>
    <s v="13.10.2012 12:00"/>
    <x v="7"/>
    <n v="1"/>
    <n v="1"/>
    <m/>
    <m/>
    <s v="Warranty Commissioning"/>
    <m/>
  </r>
  <r>
    <n v="1094"/>
    <s v="'300C0592 "/>
    <s v="SARADHA MOTORS"/>
    <s v="TRICHY"/>
    <s v="RAC PACKAGE TS07 NS 220L"/>
    <x v="8"/>
    <s v="CJDE660925"/>
    <s v="ccs005 "/>
    <s v="06.10.2012 12:22 "/>
    <s v="08.10.2012 10:00"/>
    <s v="13.10.2012 12:00"/>
    <x v="7"/>
    <n v="122"/>
    <n v="168"/>
    <m/>
    <m/>
    <m/>
    <m/>
  </r>
  <r>
    <n v="1099"/>
    <s v="'300C0484 "/>
    <s v="SABIN CAR SERVICE STATION"/>
    <s v="RAMNAD"/>
    <s v="RAC PACKAGE TS07 HN 220L"/>
    <x v="8"/>
    <s v="CLBE660552"/>
    <s v="ccs004 "/>
    <s v="31.08.2012 11:08 "/>
    <s v="31.08.2012 11:15"/>
    <s v="01.09.2012 15:00"/>
    <x v="7"/>
    <n v="28"/>
    <n v="28"/>
    <m/>
    <m/>
    <s v="Warranty Commissioning"/>
    <m/>
  </r>
  <r>
    <n v="1102"/>
    <s v="'300C0457 "/>
    <s v="SARADHA MOTORS"/>
    <s v="TRICHY"/>
    <s v="RAC PACKAGE TS07 NS 220L"/>
    <x v="8"/>
    <s v="CJDE660925"/>
    <s v="ccs005 "/>
    <s v="22.08.2012 15:08 "/>
    <s v="23.08.2012 10:00"/>
    <s v="25.08.2012 01:00"/>
    <x v="7"/>
    <n v="39"/>
    <n v="58"/>
    <m/>
    <m/>
    <s v="Out of Warranty"/>
    <m/>
  </r>
  <r>
    <n v="1104"/>
    <s v="'300C0452 "/>
    <s v="JOSEPH D BEN"/>
    <s v="MADURAI"/>
    <s v="TS 07 120 HN"/>
    <x v="8"/>
    <s v="CLAE660538"/>
    <s v="ccs015 "/>
    <s v="20.08.2012 12:14 "/>
    <s v="21.08.2012 10:00"/>
    <s v="21.08.2012 12:15"/>
    <x v="7"/>
    <n v="2"/>
    <n v="24"/>
    <m/>
    <m/>
    <s v="Warranty Commissioning"/>
    <m/>
  </r>
  <r>
    <n v="1105"/>
    <s v="'300C0446 "/>
    <s v="SARADHA MOTORS"/>
    <s v="TRICHY"/>
    <s v="TS 07 NS 220L"/>
    <x v="8"/>
    <s v="CJDE660925"/>
    <s v="ccs003 "/>
    <s v="17.08.2012 19:02 "/>
    <s v="18.08.2012 10:00"/>
    <s v="19.08.2012 01:00"/>
    <x v="7"/>
    <n v="15"/>
    <n v="30"/>
    <m/>
    <m/>
    <s v="Out of Warranty"/>
    <m/>
  </r>
  <r>
    <n v="1111"/>
    <s v="'300C0281 "/>
    <s v="SURYABALA HYUNDAI"/>
    <s v="POLLACHI"/>
    <s v="TS 07 120 HN"/>
    <x v="8"/>
    <s v="CKDE660843"/>
    <s v="ccs005 "/>
    <s v="02.07.2012 15:28 "/>
    <s v="04.07.2012 10:30"/>
    <s v="05.07.2012 11:00"/>
    <x v="7"/>
    <n v="49"/>
    <n v="68"/>
    <m/>
    <m/>
    <s v="Warranty Maintenance"/>
    <m/>
  </r>
  <r>
    <n v="1124"/>
    <s v="'300C0080 "/>
    <s v="SARADHA MOTORS"/>
    <s v="TRICHY"/>
    <s v="TS 07 NS 220L"/>
    <x v="8"/>
    <s v="CJDE660925"/>
    <s v="ccs015 "/>
    <s v="24.04.2012 11:45 "/>
    <s v="25.04.2012 10:00"/>
    <s v="25.04.2012 17:00"/>
    <x v="7"/>
    <n v="7"/>
    <n v="29"/>
    <m/>
    <m/>
    <s v="Out of Warranty"/>
    <m/>
  </r>
  <r>
    <n v="1125"/>
    <s v="'300C0048 "/>
    <s v="TT AUTO FUELS"/>
    <s v="TIRUPPUR"/>
    <s v="TS07120"/>
    <x v="8"/>
    <n v="21956"/>
    <s v="ccs002 "/>
    <s v="12.04.2012 17:26 "/>
    <s v="13.04.2012 09:00"/>
    <s v="16.04.2012 16:00"/>
    <x v="7"/>
    <n v="79"/>
    <n v="95"/>
    <m/>
    <m/>
    <s v="Out of Warranty"/>
    <m/>
  </r>
  <r>
    <n v="1132"/>
    <s v="'300B1158 "/>
    <s v="SRI MURUGAN TEXTILES"/>
    <s v="PALLADAM"/>
    <s v="TS 07 120 HN"/>
    <x v="8"/>
    <s v="CKBE660647"/>
    <s v="ccs005 "/>
    <s v="23.03.2012 11:38 "/>
    <s v="23.03.2012 16:00"/>
    <s v="26.03.2012 13:00"/>
    <x v="7"/>
    <n v="69"/>
    <n v="73"/>
    <m/>
    <m/>
    <s v="Out of Warranty"/>
    <m/>
  </r>
  <r>
    <n v="1138"/>
    <s v="'300B1086 "/>
    <s v="CTP COTTAGE INDUSTRIES"/>
    <s v="MADURAI"/>
    <s v="TS 07 120 HN"/>
    <x v="8"/>
    <s v="CHIE660830"/>
    <s v="ccs005 "/>
    <s v="02.03.2012 18:13 "/>
    <s v="05.03.2012 10:00"/>
    <s v="05.03.2012 12:00"/>
    <x v="7"/>
    <n v="2"/>
    <n v="66"/>
    <m/>
    <m/>
    <s v="Out of Warranty"/>
    <m/>
  </r>
  <r>
    <n v="1147"/>
    <s v="'300B0869 "/>
    <s v="KSOP FILLING STATION"/>
    <s v="DINDIGUL"/>
    <s v="TS 07 120 HN"/>
    <x v="8"/>
    <s v="CKFE661305"/>
    <s v="ccs005 "/>
    <s v="27.12.2011 14:25 "/>
    <s v="27.12.2011 17:00"/>
    <s v="30.12.2011 12:00"/>
    <x v="1"/>
    <n v="67"/>
    <n v="70"/>
    <m/>
    <m/>
    <s v="Warranty Maintenance"/>
    <m/>
  </r>
  <r>
    <n v="1155"/>
    <s v="'300B0628 "/>
    <s v="SCHUTTE MEYER IMPEX PVT LTD"/>
    <s v="COIMBATORE"/>
    <s v="TS 07 120 HN"/>
    <x v="8"/>
    <s v="CHAE660041"/>
    <s v="ccs005 "/>
    <s v="12.10.2011 17:04 "/>
    <s v="13.10.2011 10:00"/>
    <s v="14.10.2011 12:30"/>
    <x v="1"/>
    <n v="27"/>
    <n v="43"/>
    <m/>
    <m/>
    <s v="Out of Warranty"/>
    <m/>
  </r>
  <r>
    <n v="1183"/>
    <s v="'300B0270 "/>
    <s v="JASHMIN CONCRETE PVT LTD"/>
    <s v="DINDUGUL"/>
    <s v="TS 07 120 HN"/>
    <x v="8"/>
    <s v="CKBE660599"/>
    <s v="ccs003 "/>
    <s v="28.06.2011 14:44 "/>
    <s v="28.06.2011 15:00"/>
    <s v="28.06.2011 17:30"/>
    <x v="1"/>
    <n v="3"/>
    <n v="3"/>
    <m/>
    <m/>
    <s v="Warranty Commissioning"/>
    <m/>
  </r>
  <r>
    <n v="1185"/>
    <s v="'300B0235 "/>
    <s v="RAJARAM FLOUR MILLS"/>
    <s v="MADURAI"/>
    <s v="TS 07 120 HN"/>
    <x v="8"/>
    <s v="CKAE660478"/>
    <s v="ccs002 "/>
    <s v="20.06.2011 11:34 "/>
    <s v="20.06.2011 11:45"/>
    <s v="21.06.2011 17:00"/>
    <x v="1"/>
    <n v="22"/>
    <n v="29"/>
    <m/>
    <m/>
    <s v="Warranty Commissioning"/>
    <m/>
  </r>
  <r>
    <n v="1191"/>
    <s v="'300B0076 "/>
    <s v="TIRUMURUGAN TRADERS"/>
    <s v="COIMBATORE"/>
    <s v="TS07120"/>
    <x v="8"/>
    <n v="23472"/>
    <s v="ccs003 "/>
    <s v="27.04.2011 17:25 "/>
    <s v="02.05.2011 09:30"/>
    <s v="03.05.2011 13:00"/>
    <x v="1"/>
    <n v="123"/>
    <n v="140"/>
    <m/>
    <m/>
    <s v="Out of Warranty"/>
    <m/>
  </r>
  <r>
    <n v="1206"/>
    <s v="'300A0869 "/>
    <s v="SRI AMMAN POLYMERS"/>
    <s v="COIMBATORE"/>
    <s v="TS07120"/>
    <x v="8"/>
    <s v="D300A0869"/>
    <s v="ccs003 "/>
    <s v="19.01.2011 14:07 "/>
    <s v="20.01.2011 09:00"/>
    <s v="24.01.2011 11:00"/>
    <x v="11"/>
    <n v="98"/>
    <n v="117"/>
    <m/>
    <m/>
    <s v="Out of Warranty"/>
    <m/>
  </r>
  <r>
    <n v="1212"/>
    <s v="'300A0671 "/>
    <s v="TRICHY FABRICATORS PVT LTD"/>
    <s v="TANJAVUR"/>
    <s v="TS 07 NS 220L"/>
    <x v="8"/>
    <s v="CJCE660735"/>
    <s v="ccs002 "/>
    <s v="03.12.2010 14:17 "/>
    <s v="13.12.2010 10:00"/>
    <s v="28.12.2010 17:00"/>
    <x v="11"/>
    <n v="420"/>
    <n v="603"/>
    <m/>
    <m/>
    <s v="Warranty Failure"/>
    <m/>
  </r>
  <r>
    <n v="1271"/>
    <s v="'30080796 "/>
    <s v="INDIAN OIL CORPORATION LTD"/>
    <s v="Kapalur"/>
    <s v="TS07120"/>
    <x v="8"/>
    <s v="D30080796"/>
    <s v="ccs001 "/>
    <s v="10.11.2008 16:22 "/>
    <s v="11.11.2008 09:00"/>
    <s v="10.11.2008 19:00"/>
    <x v="5"/>
    <n v="3"/>
    <n v="3"/>
    <m/>
    <m/>
    <s v="Out of Warranty"/>
    <m/>
  </r>
  <r>
    <n v="1272"/>
    <s v="'30080764 "/>
    <s v="SRI MURUGAN SPINNING MILLS"/>
    <s v="Madurai"/>
    <s v="TS07120"/>
    <x v="8"/>
    <n v="849"/>
    <s v="ccs001 "/>
    <s v="04.11.2008 15:19 "/>
    <s v="05.11.2008 09:00"/>
    <s v="07.11.2008 12:00"/>
    <x v="5"/>
    <n v="51"/>
    <n v="69"/>
    <m/>
    <m/>
    <s v="Out of Warranty"/>
    <m/>
  </r>
  <r>
    <n v="1290"/>
    <s v="'30080509 "/>
    <s v="SRI DHAVAM INDUSTRIES"/>
    <s v="rajpalyam"/>
    <s v="TS 07 120 HN"/>
    <x v="8"/>
    <s v="CHAE660009"/>
    <s v="ccs003 "/>
    <s v="26.08.2008 15:12 "/>
    <s v="26.08.2008 15:15"/>
    <s v="26.08.2008 18:00"/>
    <x v="5"/>
    <n v="3"/>
    <n v="3"/>
    <m/>
    <m/>
    <s v="Warranty Failure"/>
    <m/>
  </r>
  <r>
    <n v="1307"/>
    <s v="'30080108 "/>
    <s v="SHANMUGA POLYMERS"/>
    <s v="Puddukottai"/>
    <s v="TS 07 120 HN"/>
    <x v="8"/>
    <s v="CHAE660066"/>
    <s v="ccs004 "/>
    <s v="20.05.2008 10:30 "/>
    <s v="20.05.2008 10:30"/>
    <s v="20.05.2008 13:30"/>
    <x v="5"/>
    <n v="3"/>
    <n v="3"/>
    <m/>
    <m/>
    <s v="Warranty Commissioning"/>
    <m/>
  </r>
  <r>
    <n v="1312"/>
    <s v="'30075662 "/>
    <s v="SOUTH GANGA WATERS TECHNOLOGIES PVT LTD"/>
    <s v="Ramnad"/>
    <s v="TS07120"/>
    <x v="8"/>
    <n v="34639"/>
    <s v="ccs003 "/>
    <s v="26.03.2008 14:14 "/>
    <s v="03.04.2008 10:00"/>
    <s v="10.04.2008 19:00"/>
    <x v="5"/>
    <n v="346"/>
    <n v="365"/>
    <m/>
    <m/>
    <s v="Out of Warranty"/>
    <m/>
  </r>
  <r>
    <n v="1313"/>
    <s v="'30075565 "/>
    <s v="SARAVANA FABS"/>
    <s v="Coimbatore"/>
    <s v="TS07120"/>
    <x v="8"/>
    <n v="32712"/>
    <s v="ccs003 "/>
    <s v="10.03.2008 16:27 "/>
    <s v="11.03.2008 10:15"/>
    <s v="11.03.2008 13:00"/>
    <x v="5"/>
    <n v="3"/>
    <n v="21"/>
    <m/>
    <m/>
    <s v="Out of Warranty"/>
    <m/>
  </r>
  <r>
    <n v="1340"/>
    <s v="'30074292 "/>
    <s v="KARPAGAMBAL MILLS LTD--SREE"/>
    <s v="Coimbatore"/>
    <s v="TS07120"/>
    <x v="8"/>
    <n v="33815"/>
    <s v="ccs003 "/>
    <s v="15.06.2007 17:19 "/>
    <s v="16.06.2007 10:00"/>
    <s v="18.06.2007 17:00"/>
    <x v="3"/>
    <n v="56"/>
    <n v="72"/>
    <m/>
    <m/>
    <m/>
    <m/>
  </r>
  <r>
    <n v="1347"/>
    <s v="'30074108 "/>
    <s v="RAMON TARMET LTD"/>
    <s v="Trichy"/>
    <s v="TS 07120"/>
    <x v="8"/>
    <s v="D30074108"/>
    <s v="ccs004 "/>
    <s v="28.04.2007 19:42 "/>
    <s v="30.04.2007 09:00"/>
    <s v="16.05.2007 15:00"/>
    <x v="3"/>
    <n v="427"/>
    <n v="427"/>
    <m/>
    <m/>
    <m/>
    <m/>
  </r>
  <r>
    <n v="1362"/>
    <s v="'30063612 "/>
    <s v="PSG COLLEGE OF TECHNOLOGY -- C"/>
    <s v="Coimbatore"/>
    <s v="TS07120"/>
    <x v="8"/>
    <n v="91461"/>
    <s v="ccs001 "/>
    <s v="27.12.2006 10:58 "/>
    <s v="28.12.2006 09:00"/>
    <s v="28.12.2006 12:00"/>
    <x v="12"/>
    <n v="25"/>
    <n v="25"/>
    <m/>
    <m/>
    <m/>
    <m/>
  </r>
  <r>
    <n v="1364"/>
    <s v="'30063384 "/>
    <s v="JAYAM TEXTILES--C"/>
    <s v="Madurai"/>
    <s v="TS 07 HN 220L"/>
    <x v="8"/>
    <n v="33253"/>
    <s v="ccs001 "/>
    <s v="13.11.2006 17:16 "/>
    <s v="13.11.2006 17:30"/>
    <s v="14.11.2006 20:30"/>
    <x v="12"/>
    <n v="0"/>
    <n v="27"/>
    <m/>
    <m/>
    <m/>
    <m/>
  </r>
  <r>
    <n v="1370"/>
    <s v="'30063139 "/>
    <s v="SREE LAKSHMI MODERN RICE MILL--SREE"/>
    <s v="Pudukottai"/>
    <s v="TS 07 HN 220L"/>
    <x v="8"/>
    <n v="33845"/>
    <s v="ccs001 "/>
    <s v="18.09.2006 12:10 "/>
    <s v="18.09.2006 12:30"/>
    <s v="20.09.2006 16:30"/>
    <x v="12"/>
    <n v="0"/>
    <n v="52"/>
    <m/>
    <m/>
    <m/>
    <m/>
  </r>
  <r>
    <n v="1371"/>
    <s v="'30063120 "/>
    <s v="SHANMUGA POLYMERS--SREE"/>
    <s v="Pudukottai"/>
    <s v="TS 07 HN 220L"/>
    <x v="8"/>
    <n v="33886"/>
    <s v="ccs001 "/>
    <s v="14.09.2006 11:43 "/>
    <s v="14.09.2006 12:00"/>
    <s v="14.09.2006 17:30"/>
    <x v="12"/>
    <n v="0"/>
    <n v="6"/>
    <m/>
    <m/>
    <m/>
    <m/>
  </r>
  <r>
    <n v="1379"/>
    <s v="'30062754 "/>
    <s v="BEAUTIFUL PRODUCTS --"/>
    <s v="Tuticorin"/>
    <s v="TS 07"/>
    <x v="8"/>
    <n v="32658"/>
    <s v="ccs001 "/>
    <s v="11.07.2006 15:26 "/>
    <s v="11.07.2006 16:00"/>
    <s v="19.09.2006 15:30"/>
    <x v="12"/>
    <n v="0"/>
    <n v="1680"/>
    <m/>
    <m/>
    <m/>
    <m/>
  </r>
  <r>
    <n v="1382"/>
    <s v="'30062741 "/>
    <s v="SREE SARAVANA FABS -- SREE"/>
    <s v="Coimbatore"/>
    <s v="TS 07"/>
    <x v="8"/>
    <s v="D30062741"/>
    <s v="ccs001 "/>
    <s v="10.07.2006 16:35 "/>
    <s v="10.07.2006 16:45"/>
    <s v="15.07.2006 12:00"/>
    <x v="12"/>
    <n v="0"/>
    <n v="115"/>
    <m/>
    <m/>
    <m/>
    <m/>
  </r>
  <r>
    <n v="1390"/>
    <s v="'30062513 "/>
    <s v="GANGA PARAMESHWARI SPINNING MILLS--SREE"/>
    <s v="Madurai"/>
    <s v="TS 07"/>
    <x v="8"/>
    <n v="33157"/>
    <s v="ccs001 "/>
    <s v="08.06.2006 15:05 "/>
    <s v="09.06.2006 09:00"/>
    <s v="09.06.2006 18:00"/>
    <x v="12"/>
    <n v="0"/>
    <n v="27"/>
    <m/>
    <m/>
    <m/>
    <m/>
  </r>
  <r>
    <n v="1403"/>
    <s v="'30052013 "/>
    <s v="USHA ENGINEERING WORKS--SREE"/>
    <s v="Coimbatore-31"/>
    <s v="TS 07"/>
    <x v="8"/>
    <n v="33026"/>
    <s v="ccs001 "/>
    <s v="21.03.2006 12:13 "/>
    <s v="21.03.2006 12:30"/>
    <s v="22.03.2006 13:45"/>
    <x v="12"/>
    <n v="0"/>
    <n v="26"/>
    <m/>
    <m/>
    <m/>
    <m/>
  </r>
  <r>
    <n v="1419"/>
    <m/>
    <s v="Cotton Blossom (India) Pvt Ltd, SF.No:189, TEKIC, Tea nagar, Sidco, Mudalipalayam,Tirupur"/>
    <s v="Tirupur"/>
    <s v="TS07/220"/>
    <x v="8"/>
    <n v="48421"/>
    <m/>
    <m/>
    <m/>
    <m/>
    <x v="13"/>
    <m/>
    <m/>
    <m/>
    <m/>
    <m/>
    <s v="0421-2374459"/>
  </r>
  <r>
    <n v="1426"/>
    <m/>
    <s v="Shri Meenatchi Process, 241/1, Uppilliyan Kadu, Indu Process Compound, Park School, Chinnakarai, Tirupur"/>
    <s v="Tirupur"/>
    <s v="TS07/220"/>
    <x v="8"/>
    <n v="48851"/>
    <m/>
    <m/>
    <m/>
    <m/>
    <x v="13"/>
    <m/>
    <m/>
    <m/>
    <m/>
    <m/>
    <n v="9842208492"/>
  </r>
  <r>
    <n v="1427"/>
    <m/>
    <s v="Ajantha Laycut, 10-A, Somu Layout, Perichipalayam, Tirupur"/>
    <s v="Tirupur"/>
    <s v="TS07/220"/>
    <x v="8"/>
    <n v="48866"/>
    <m/>
    <m/>
    <m/>
    <m/>
    <x v="13"/>
    <m/>
    <m/>
    <m/>
    <m/>
    <m/>
    <n v="9965788007"/>
  </r>
  <r>
    <n v="1431"/>
    <m/>
    <s v="Bannari Amman Educational Trust, 1212, Trichy Road, Coimbatoe"/>
    <s v="Coimbatore"/>
    <s v="TS07/220"/>
    <x v="8"/>
    <n v="49024"/>
    <m/>
    <m/>
    <m/>
    <m/>
    <x v="13"/>
    <m/>
    <m/>
    <m/>
    <m/>
    <m/>
    <m/>
  </r>
  <r>
    <n v="1432"/>
    <m/>
    <s v="Bannari Amman Educational Trust, 1212, Trichy Road, Coimbatoe"/>
    <s v="Coimbatore"/>
    <s v="TS07/220"/>
    <x v="8"/>
    <n v="49024"/>
    <m/>
    <m/>
    <m/>
    <m/>
    <x v="13"/>
    <m/>
    <m/>
    <m/>
    <m/>
    <m/>
    <m/>
  </r>
  <r>
    <n v="1433"/>
    <m/>
    <s v="Modern Cable Corporation, 202, Addis Street, Ist Floor, Greay Town, Cbe"/>
    <s v="Greay Town"/>
    <s v="TS07/220"/>
    <x v="8"/>
    <n v="49103"/>
    <m/>
    <m/>
    <m/>
    <m/>
    <x v="13"/>
    <m/>
    <m/>
    <m/>
    <m/>
    <m/>
    <n v="4394904"/>
  </r>
  <r>
    <n v="1434"/>
    <m/>
    <s v="Murugan Tex, SF.No:31, KRE Layout, College Road, Tirupur"/>
    <s v="Tirupur"/>
    <s v="TS07/220"/>
    <x v="8"/>
    <n v="49154"/>
    <m/>
    <m/>
    <m/>
    <m/>
    <x v="13"/>
    <m/>
    <m/>
    <m/>
    <m/>
    <m/>
    <m/>
  </r>
  <r>
    <n v="1438"/>
    <m/>
    <s v="Golf Fashion Knits Pvt Ltd, No:4/22-C, MGR Nagar, 4th Street, P.N.Road, Tirupur"/>
    <s v="Tirupur"/>
    <s v="TS07/220"/>
    <x v="8"/>
    <n v="49265"/>
    <m/>
    <m/>
    <m/>
    <m/>
    <x v="13"/>
    <m/>
    <m/>
    <m/>
    <m/>
    <m/>
    <m/>
  </r>
  <r>
    <n v="1439"/>
    <m/>
    <s v="Rainbow, 2/17, Ulavar Santhai Road, New Bustand, Pitchampalayam, Tirupur"/>
    <s v="Tirupur"/>
    <s v="TS07/220"/>
    <x v="8"/>
    <n v="49301"/>
    <m/>
    <m/>
    <m/>
    <m/>
    <x v="13"/>
    <m/>
    <m/>
    <m/>
    <m/>
    <m/>
    <n v="9363147536"/>
  </r>
  <r>
    <n v="1441"/>
    <m/>
    <s v="Nilgiriss Tyres, 129-A, Karamadai Road, Mettupalayam Cbe"/>
    <s v="Mettupalayam"/>
    <s v="TS07/220"/>
    <x v="8"/>
    <n v="49403"/>
    <m/>
    <m/>
    <m/>
    <m/>
    <x v="13"/>
    <m/>
    <m/>
    <m/>
    <m/>
    <m/>
    <m/>
  </r>
  <r>
    <n v="1443"/>
    <m/>
    <s v="Infinity Style, No3J-1, Karupparayan KovilStreet, Periyar Colony, Avinashi Road, Tirupur"/>
    <s v="Tirupur"/>
    <s v="TS07/220"/>
    <x v="8"/>
    <n v="49437"/>
    <m/>
    <m/>
    <m/>
    <m/>
    <x v="13"/>
    <m/>
    <m/>
    <m/>
    <m/>
    <m/>
    <s v="0421-4336277"/>
  </r>
  <r>
    <n v="1444"/>
    <m/>
    <s v="Fortune Clothing, D.No:3/704-B, Sri Venkatachalapathy Garden, Sathya Colony Extn, Mannarai, Tirupur"/>
    <s v="Tirupur"/>
    <s v="TS07/220"/>
    <x v="8"/>
    <n v="49440"/>
    <m/>
    <m/>
    <m/>
    <m/>
    <x v="13"/>
    <m/>
    <m/>
    <m/>
    <m/>
    <m/>
    <m/>
  </r>
  <r>
    <n v="1448"/>
    <m/>
    <s v="Esan Tradings, 409, Palladam Road, Tirupur"/>
    <s v="Tirupur"/>
    <s v="TS07/220"/>
    <x v="8"/>
    <n v="49843"/>
    <m/>
    <m/>
    <m/>
    <m/>
    <x v="13"/>
    <m/>
    <m/>
    <m/>
    <m/>
    <m/>
    <s v="0421-4322855"/>
  </r>
  <r>
    <n v="1451"/>
    <m/>
    <s v="Vishvam Knits, 338, R.Muthusamy Bros Industrial Complex, Palladam Road, Tirupur"/>
    <s v="Tirupur"/>
    <s v="TS07/220"/>
    <x v="8"/>
    <n v="50003"/>
    <m/>
    <m/>
    <m/>
    <m/>
    <x v="13"/>
    <m/>
    <m/>
    <m/>
    <m/>
    <m/>
    <n v="9994718888"/>
  </r>
  <r>
    <n v="1452"/>
    <m/>
    <s v="M.G.Fashions, No:143,Puducolony, 15 Velampalayam,Tirupur"/>
    <s v="Tirupur"/>
    <s v="TS07/220"/>
    <x v="8"/>
    <n v="500096"/>
    <m/>
    <m/>
    <m/>
    <m/>
    <x v="13"/>
    <m/>
    <m/>
    <m/>
    <m/>
    <m/>
    <n v="9894720830"/>
  </r>
  <r>
    <n v="1454"/>
    <m/>
    <s v="Apindhra Tex, 46/47, Malligai Nagar, College Road, Tirupur"/>
    <s v="Tirupur"/>
    <s v="TS07/220"/>
    <x v="8"/>
    <n v="50198"/>
    <m/>
    <m/>
    <m/>
    <m/>
    <x v="13"/>
    <m/>
    <m/>
    <m/>
    <m/>
    <m/>
    <s v="0421-2249238"/>
  </r>
  <r>
    <n v="1460"/>
    <m/>
    <s v="Power Engineering Source, 8/2, Avinashi Road, Opp:KMCH, Civil Aerodrome Post, Coimbatore-14"/>
    <s v="Cbe"/>
    <s v="TS07/220"/>
    <x v="8"/>
    <n v="50664"/>
    <m/>
    <m/>
    <m/>
    <m/>
    <x v="13"/>
    <m/>
    <m/>
    <m/>
    <m/>
    <m/>
    <n v="9786610546"/>
  </r>
  <r>
    <n v="1463"/>
    <m/>
    <s v="GS Garments, 7/5D, Bharathi Nagar, Goyndanayakanpalayam, Tirupur"/>
    <s v="Tirupur"/>
    <s v="TS07/220"/>
    <x v="8"/>
    <n v="50789"/>
    <m/>
    <m/>
    <m/>
    <m/>
    <x v="13"/>
    <m/>
    <m/>
    <m/>
    <m/>
    <m/>
    <m/>
  </r>
  <r>
    <n v="1473"/>
    <m/>
    <s v="Cosimo International, SF.No:32, Allwin Building, Chellam Nagar, Iduvampalayam Tirupur"/>
    <s v="Tirupur"/>
    <s v="TS07/220"/>
    <x v="8"/>
    <n v="51047"/>
    <m/>
    <m/>
    <m/>
    <m/>
    <x v="13"/>
    <m/>
    <m/>
    <m/>
    <m/>
    <m/>
    <s v="0421-2260900"/>
  </r>
  <r>
    <n v="1480"/>
    <m/>
    <s v="RM Screen Printing, Thattan Thottam, Sirupooluvapatti, Tirupur"/>
    <s v="Tirupur"/>
    <s v="TS07/220"/>
    <x v="8"/>
    <n v="51384"/>
    <m/>
    <m/>
    <m/>
    <m/>
    <x v="13"/>
    <m/>
    <m/>
    <m/>
    <m/>
    <m/>
    <n v="9486978260"/>
  </r>
  <r>
    <n v="1481"/>
    <m/>
    <s v="Sri Jaya Knits, No:4/31-B, Arisikkarar Thottam, MahaliammanKovil Back Side, Veerapandi, Tirupur"/>
    <s v="Tirupur"/>
    <s v="TS07/220"/>
    <x v="8"/>
    <n v="51385"/>
    <m/>
    <m/>
    <m/>
    <m/>
    <x v="13"/>
    <m/>
    <m/>
    <m/>
    <m/>
    <m/>
    <n v="9942845351"/>
  </r>
  <r>
    <n v="1490"/>
    <m/>
    <s v="DSP Garments, No:65, Lakshmi Nagar, 50 Feet Road, Tirupur"/>
    <s v="Tirupur"/>
    <s v="TS07/220"/>
    <x v="8"/>
    <n v="51779"/>
    <m/>
    <m/>
    <m/>
    <m/>
    <x v="13"/>
    <m/>
    <m/>
    <m/>
    <m/>
    <m/>
    <n v="9865404995"/>
  </r>
  <r>
    <n v="1491"/>
    <m/>
    <s v="Bright Fashinons, 3/512//3H, Balasamuthiram, KMC School Road, Perumanallur, Tirupur"/>
    <s v="Tirupur"/>
    <s v="TS07/220"/>
    <x v="8"/>
    <n v="51859"/>
    <m/>
    <m/>
    <m/>
    <m/>
    <x v="13"/>
    <m/>
    <m/>
    <m/>
    <m/>
    <m/>
    <n v="9843542135"/>
  </r>
  <r>
    <n v="1492"/>
    <m/>
    <s v="Shobha Electricals, 239-240, Patel Road, Ram Nagar, Coimbatore"/>
    <s v="Cbe"/>
    <s v="TS07/220"/>
    <x v="8"/>
    <n v="51919"/>
    <m/>
    <m/>
    <m/>
    <m/>
    <x v="13"/>
    <m/>
    <m/>
    <m/>
    <m/>
    <m/>
    <m/>
  </r>
  <r>
    <n v="1497"/>
    <m/>
    <s v="Thirukkumaran Poly Packs, 11/22-B, Bunglow Street, KNP Puram, Odakkadu, Tirupur"/>
    <s v="Tirupur"/>
    <s v="TS07/220"/>
    <x v="8"/>
    <n v="52904"/>
    <m/>
    <m/>
    <m/>
    <m/>
    <x v="13"/>
    <m/>
    <m/>
    <m/>
    <m/>
    <m/>
    <m/>
  </r>
  <r>
    <n v="1504"/>
    <m/>
    <s v="Sri Selvi Weld Mesh, SF.No:241/1, Ramasamy Gr Thottam, Pannikkampatti, Palladam"/>
    <s v="Palladam"/>
    <s v="TS07/220"/>
    <x v="8"/>
    <n v="52349"/>
    <m/>
    <m/>
    <m/>
    <m/>
    <x v="13"/>
    <m/>
    <m/>
    <m/>
    <m/>
    <m/>
    <m/>
  </r>
  <r>
    <n v="1511"/>
    <m/>
    <s v="Sumy Apparels, No:43, MGR Nagar, 5th Street, P.N.Road, Tirupur"/>
    <s v="Tirupur"/>
    <s v="TS07/220"/>
    <x v="8"/>
    <n v="52635"/>
    <m/>
    <m/>
    <m/>
    <m/>
    <x v="13"/>
    <m/>
    <m/>
    <m/>
    <m/>
    <m/>
    <s v="0421-4338431"/>
  </r>
  <r>
    <n v="1513"/>
    <m/>
    <s v="Adhi Vinayakar Enterprises, 199-201, Venkatasamy Road, New Siddhapudur, Cbe"/>
    <s v="Cbe"/>
    <s v="TS07/220"/>
    <x v="8"/>
    <n v="52638"/>
    <m/>
    <m/>
    <m/>
    <m/>
    <x v="13"/>
    <m/>
    <m/>
    <m/>
    <m/>
    <m/>
    <n v="9842215181"/>
  </r>
  <r>
    <n v="1515"/>
    <m/>
    <s v="Tirupur Pandit Hosiery Millss Pvt ltd, KNP Colony, Cherangadu, Dharapuram Road, Tirupur"/>
    <s v="Tirupur"/>
    <s v="TS07/220"/>
    <x v="8"/>
    <n v="52648"/>
    <m/>
    <m/>
    <m/>
    <m/>
    <x v="13"/>
    <m/>
    <m/>
    <m/>
    <m/>
    <m/>
    <s v="0421-2420442"/>
  </r>
  <r>
    <n v="1523"/>
    <m/>
    <s v="Sulochana Cotton Spinning Mills P Ltd, Chitthampalayam Post, Palladam Tk"/>
    <s v="Palladam"/>
    <s v="TS07/220"/>
    <x v="8"/>
    <n v="52864"/>
    <m/>
    <m/>
    <m/>
    <m/>
    <x v="13"/>
    <m/>
    <m/>
    <m/>
    <m/>
    <m/>
    <n v="9789484030"/>
  </r>
  <r>
    <n v="1528"/>
    <m/>
    <s v="Sri Valsa Exports Global Clothing, No:49/84, MG Pudur, 2nd Street, Tirupur"/>
    <s v="Tirupur"/>
    <s v="TS07/220"/>
    <x v="8"/>
    <n v="53093"/>
    <m/>
    <m/>
    <m/>
    <m/>
    <x v="13"/>
    <m/>
    <m/>
    <m/>
    <m/>
    <m/>
    <s v="0421-4321156"/>
  </r>
  <r>
    <n v="1533"/>
    <m/>
    <s v="Morpho Knitwear, No:68, Karuvampalayam Extn 2nd Street, Behind Diamond Theatre Tirupur"/>
    <s v="Tirupur"/>
    <s v="TS07/220"/>
    <x v="8"/>
    <n v="53254"/>
    <m/>
    <m/>
    <m/>
    <m/>
    <x v="13"/>
    <m/>
    <m/>
    <m/>
    <m/>
    <m/>
    <s v="0421-45228383"/>
  </r>
  <r>
    <n v="1535"/>
    <m/>
    <s v="Sri Narayanaa Labels, No:71/6, Kamakshi Nagar, Periandipalayam, Iduvampalayam Tirupur"/>
    <s v="Tirupur"/>
    <s v="TS07/220"/>
    <x v="8"/>
    <n v="53386"/>
    <m/>
    <m/>
    <m/>
    <m/>
    <x v="13"/>
    <m/>
    <m/>
    <m/>
    <m/>
    <m/>
    <n v="9994229977"/>
  </r>
  <r>
    <n v="1537"/>
    <m/>
    <s v="ARK Textiles, 10/79-B, Sengoda Gounden Pudur Arasur, Cbe"/>
    <s v="Arasure"/>
    <s v="TS07/220"/>
    <x v="8"/>
    <n v="33905"/>
    <m/>
    <m/>
    <m/>
    <m/>
    <x v="13"/>
    <m/>
    <m/>
    <m/>
    <m/>
    <m/>
    <n v="9787199977"/>
  </r>
  <r>
    <n v="1544"/>
    <m/>
    <s v="Design Workshop, 29, Bungalow Street, Avinashi Road, Tirupur"/>
    <s v="Tirupur"/>
    <s v="TS07/220"/>
    <x v="8"/>
    <n v="53765"/>
    <m/>
    <m/>
    <m/>
    <m/>
    <x v="13"/>
    <m/>
    <m/>
    <m/>
    <m/>
    <m/>
    <m/>
  </r>
  <r>
    <n v="1546"/>
    <m/>
    <s v="Thiruveethiyar Corporation, 51/2, Seerapalayam Road, Karunasamy Goundenpalayam, Coimbatore"/>
    <s v="Cbe"/>
    <s v="TS07/220"/>
    <x v="8"/>
    <n v="53768"/>
    <m/>
    <m/>
    <m/>
    <m/>
    <x v="13"/>
    <m/>
    <m/>
    <m/>
    <m/>
    <m/>
    <m/>
  </r>
  <r>
    <n v="1551"/>
    <m/>
    <s v="Bannari Amman Educational Trust, 1212, Trichy Road, Coimbatoe"/>
    <s v="Coimbatore"/>
    <s v="TS07/220"/>
    <x v="8"/>
    <n v="540540"/>
    <m/>
    <m/>
    <m/>
    <m/>
    <x v="13"/>
    <m/>
    <m/>
    <m/>
    <m/>
    <m/>
    <m/>
  </r>
  <r>
    <n v="1552"/>
    <m/>
    <s v="EmperorEnterprises, 282/451, K.G.Complex, Ist Floor, Ram Nagar, 1 Way Corner, Avinashi Road, Tirupur"/>
    <s v="Tirupur"/>
    <s v="TS07/220"/>
    <x v="8"/>
    <n v="54068"/>
    <m/>
    <m/>
    <m/>
    <m/>
    <x v="13"/>
    <m/>
    <m/>
    <m/>
    <m/>
    <m/>
    <n v="9442231166"/>
  </r>
  <r>
    <n v="1555"/>
    <m/>
    <s v="Amirtham Textile Mills, SF No:97/1, Sallimedu Thottam, Kullegoundenpudur, Andipalayam, Tirpur"/>
    <s v="Tirupur"/>
    <s v="TS07/220"/>
    <x v="8"/>
    <n v="54107"/>
    <m/>
    <m/>
    <m/>
    <m/>
    <x v="13"/>
    <m/>
    <m/>
    <m/>
    <m/>
    <m/>
    <n v="9943223833"/>
  </r>
  <r>
    <n v="1566"/>
    <m/>
    <s v="Entice Garments, No:2,Nallur,Tirupur"/>
    <s v="Tirupur"/>
    <s v="TS07/220"/>
    <x v="8"/>
    <n v="54528"/>
    <m/>
    <m/>
    <m/>
    <m/>
    <x v="13"/>
    <m/>
    <m/>
    <m/>
    <m/>
    <m/>
    <s v="0421-6544464"/>
  </r>
  <r>
    <n v="1569"/>
    <m/>
    <s v="Suriya Industries,No:75,NVB Layout, Tirupur"/>
    <s v="Tirupur"/>
    <s v="TS07/220"/>
    <x v="8"/>
    <n v="54619"/>
    <m/>
    <m/>
    <m/>
    <m/>
    <x v="13"/>
    <m/>
    <m/>
    <m/>
    <m/>
    <m/>
    <n v="9443727651"/>
  </r>
  <r>
    <n v="1583"/>
    <m/>
    <s v="Supreme Industries, 1/142, Stalin Chinnaiyan Thottam, Kannampalayam Road Cbe"/>
    <s v="Kannampalayam"/>
    <s v="TS07/220"/>
    <x v="8"/>
    <n v="29585"/>
    <m/>
    <m/>
    <m/>
    <m/>
    <x v="13"/>
    <m/>
    <m/>
    <m/>
    <m/>
    <m/>
    <m/>
  </r>
  <r>
    <n v="1598"/>
    <m/>
    <s v="Tecnicrafts Industries, SF No:186/4, Private Industrial Estate, South, Sidco, Cbe"/>
    <s v="Sidco"/>
    <s v="TS07/220"/>
    <x v="8"/>
    <n v="43943"/>
    <m/>
    <m/>
    <m/>
    <m/>
    <x v="13"/>
    <m/>
    <m/>
    <m/>
    <m/>
    <m/>
    <n v="9842869948"/>
  </r>
  <r>
    <n v="1600"/>
    <m/>
    <s v="KVS Engineering, 171(2), Ist Street, Gandhi Nagar, Sundarapuram, Coimbatore"/>
    <s v="Sundarapuram"/>
    <s v="TS07/220"/>
    <x v="8"/>
    <n v="44174"/>
    <m/>
    <m/>
    <m/>
    <m/>
    <x v="13"/>
    <m/>
    <m/>
    <m/>
    <m/>
    <m/>
    <m/>
  </r>
  <r>
    <n v="1609"/>
    <m/>
    <s v="Allwin Mills, SF.No:314, Sankaramanallur Village, Kolumam, Udumalpet"/>
    <s v="Udumalpet"/>
    <s v="TS07/220"/>
    <x v="8"/>
    <n v="44860"/>
    <m/>
    <m/>
    <m/>
    <m/>
    <x v="13"/>
    <m/>
    <m/>
    <m/>
    <m/>
    <m/>
    <n v="8508190884"/>
  </r>
  <r>
    <n v="1610"/>
    <m/>
    <s v="Shri Kumar Extrusion Industries, A-15, Venkatachalam Pillai Street, Gandhi Nagar, Udumalpet"/>
    <s v="Udumalpet"/>
    <s v="TS07/220"/>
    <x v="8"/>
    <n v="45014"/>
    <m/>
    <m/>
    <m/>
    <m/>
    <x v="13"/>
    <m/>
    <m/>
    <m/>
    <m/>
    <m/>
    <n v="9585821212"/>
  </r>
  <r>
    <n v="1614"/>
    <m/>
    <s v="Dytech Corporation, 154, Sidco Industrial Estate, Malumicham Patti, Cbe"/>
    <s v="Malumachampatti"/>
    <s v="TS07/220"/>
    <x v="8"/>
    <n v="45354"/>
    <m/>
    <m/>
    <m/>
    <m/>
    <x v="13"/>
    <m/>
    <m/>
    <m/>
    <m/>
    <m/>
    <n v="9942956004"/>
  </r>
  <r>
    <n v="1618"/>
    <m/>
    <s v="Electro Power Controls, 22-A, RR Samy Lane, Anupparpalayam, Coimbatore"/>
    <s v="Coimbatore"/>
    <s v="TS07/220"/>
    <x v="8"/>
    <n v="45532"/>
    <m/>
    <m/>
    <m/>
    <m/>
    <x v="13"/>
    <m/>
    <m/>
    <m/>
    <m/>
    <m/>
    <n v="9842231914"/>
  </r>
  <r>
    <n v="1623"/>
    <m/>
    <s v="Kovai Marketing, 1-12, Thondamuthur Main Road, Rangasamy Nagar, Sundapalayam, Coimbatore"/>
    <s v="Sundapalayam"/>
    <s v="TS07/220"/>
    <x v="8"/>
    <n v="31170"/>
    <m/>
    <m/>
    <m/>
    <m/>
    <x v="13"/>
    <m/>
    <m/>
    <m/>
    <m/>
    <m/>
    <n v="9042578558"/>
  </r>
  <r>
    <n v="1633"/>
    <m/>
    <s v="Green Kings Doors &amp; Windows, 1/252, Kovil Palayam Via, Sulakkal, Pollachi"/>
    <s v="Sulakkal"/>
    <s v="TS07/220"/>
    <x v="8"/>
    <n v="47007"/>
    <m/>
    <m/>
    <m/>
    <m/>
    <x v="13"/>
    <m/>
    <m/>
    <m/>
    <m/>
    <m/>
    <n v="9788112574"/>
  </r>
  <r>
    <n v="1635"/>
    <m/>
    <s v="Modern Windoor, 425, Mundivaadan Thottam, Sundakkamuthur, Cbe"/>
    <s v="Sundakkamuthur"/>
    <s v="TS07/220"/>
    <x v="8"/>
    <n v="31652"/>
    <m/>
    <m/>
    <m/>
    <m/>
    <x v="13"/>
    <m/>
    <m/>
    <m/>
    <m/>
    <m/>
    <n v="9047005118"/>
  </r>
  <r>
    <n v="1641"/>
    <m/>
    <s v="Pressana Flour Mills Pvt Ltd, SF No:106/2, Sowripalayam Privu, Ramanathapuram, Coimbatore"/>
    <s v="Cbe"/>
    <s v="TS07/220"/>
    <x v="8"/>
    <n v="47750"/>
    <m/>
    <m/>
    <m/>
    <m/>
    <x v="13"/>
    <m/>
    <m/>
    <m/>
    <m/>
    <m/>
    <n v="8526142317"/>
  </r>
  <r>
    <n v="1644"/>
    <m/>
    <s v="Jayachandran Industries P Ltd, 219/2A1, Telungupalayam Road, Masagounden Chetti Palayam, Cbe"/>
    <s v="Masagounden Chettipalayam"/>
    <s v="TS07/220"/>
    <x v="8"/>
    <n v="47995"/>
    <m/>
    <m/>
    <m/>
    <m/>
    <x v="13"/>
    <m/>
    <m/>
    <m/>
    <m/>
    <m/>
    <n v="7708338800"/>
  </r>
  <r>
    <n v="1645"/>
    <m/>
    <s v="Jayachandran Industries P Ltd, 219/2A1, Telungupalayam Road, Masagounden Chetti Palayam, Cbe"/>
    <s v="Masagounden Chettipalayam"/>
    <s v="TS07/220"/>
    <x v="8"/>
    <n v="47995"/>
    <m/>
    <m/>
    <m/>
    <m/>
    <x v="13"/>
    <m/>
    <m/>
    <m/>
    <m/>
    <m/>
    <n v="7708338800"/>
  </r>
  <r>
    <n v="1647"/>
    <m/>
    <s v="A.K. Enterprises                         "/>
    <s v="Coimbatore"/>
    <s v="TS 07 120H/220L"/>
    <x v="8"/>
    <m/>
    <m/>
    <m/>
    <m/>
    <m/>
    <x v="13"/>
    <m/>
    <m/>
    <m/>
    <m/>
    <m/>
    <m/>
  </r>
  <r>
    <n v="1665"/>
    <m/>
    <s v="ASTRAA APPARELS"/>
    <s v="Tirupur"/>
    <s v="TS07 120HN/220L"/>
    <x v="8"/>
    <m/>
    <m/>
    <m/>
    <m/>
    <m/>
    <x v="13"/>
    <m/>
    <m/>
    <m/>
    <m/>
    <m/>
    <m/>
  </r>
  <r>
    <n v="1666"/>
    <m/>
    <s v="AUTOSERVICE"/>
    <s v="Coimbatore"/>
    <s v="TS 07 120HN/220L"/>
    <x v="8"/>
    <m/>
    <m/>
    <m/>
    <m/>
    <m/>
    <x v="13"/>
    <m/>
    <m/>
    <m/>
    <m/>
    <m/>
    <m/>
  </r>
  <r>
    <n v="1674"/>
    <m/>
    <s v="Classic Equipments"/>
    <s v="Cbe"/>
    <s v="TS 07 120H/220L"/>
    <x v="8"/>
    <m/>
    <m/>
    <m/>
    <m/>
    <m/>
    <x v="13"/>
    <m/>
    <m/>
    <m/>
    <m/>
    <m/>
    <m/>
  </r>
  <r>
    <n v="1675"/>
    <m/>
    <s v="Classic Equipments"/>
    <s v="Coimbatore"/>
    <s v="TS 07 120HN/220L"/>
    <x v="8"/>
    <m/>
    <m/>
    <m/>
    <m/>
    <m/>
    <x v="13"/>
    <m/>
    <m/>
    <m/>
    <m/>
    <m/>
    <m/>
  </r>
  <r>
    <n v="1678"/>
    <m/>
    <s v="D.R.SPINNING MILLS"/>
    <s v="Udumalpet"/>
    <s v="TS 07 220L"/>
    <x v="8"/>
    <m/>
    <m/>
    <m/>
    <m/>
    <m/>
    <x v="13"/>
    <m/>
    <m/>
    <m/>
    <m/>
    <m/>
    <m/>
  </r>
  <r>
    <n v="1694"/>
    <m/>
    <s v="Janatha Super Bazar"/>
    <s v="Kerala"/>
    <s v="TS 07 120H/220L"/>
    <x v="8"/>
    <m/>
    <m/>
    <m/>
    <m/>
    <m/>
    <x v="13"/>
    <m/>
    <m/>
    <m/>
    <m/>
    <m/>
    <m/>
  </r>
  <r>
    <n v="1700"/>
    <m/>
    <s v="Kirubakaran - Thanjavur"/>
    <s v="Thanjavur"/>
    <s v="TS 07 120HN/220L"/>
    <x v="8"/>
    <m/>
    <m/>
    <m/>
    <m/>
    <m/>
    <x v="13"/>
    <m/>
    <m/>
    <m/>
    <m/>
    <m/>
    <m/>
  </r>
  <r>
    <n v="1717"/>
    <m/>
    <s v="Mr. Sridhar (BPCL Dealer)"/>
    <s v="Sivagangai"/>
    <s v="TS 07 220L"/>
    <x v="8"/>
    <m/>
    <m/>
    <m/>
    <m/>
    <m/>
    <x v="13"/>
    <m/>
    <m/>
    <m/>
    <m/>
    <m/>
    <m/>
  </r>
  <r>
    <n v="1720"/>
    <m/>
    <s v="P.S Haruniya Fabrics"/>
    <s v="Erode"/>
    <s v="TS 07 120HN/220L"/>
    <x v="8"/>
    <m/>
    <m/>
    <m/>
    <m/>
    <m/>
    <x v="13"/>
    <m/>
    <m/>
    <m/>
    <m/>
    <m/>
    <m/>
  </r>
  <r>
    <n v="1722"/>
    <m/>
    <s v="Perfect Engineering &amp; Equipments"/>
    <s v="Cbe"/>
    <s v="TS 07 120HN/220L"/>
    <x v="8"/>
    <m/>
    <m/>
    <m/>
    <m/>
    <m/>
    <x v="13"/>
    <m/>
    <m/>
    <m/>
    <m/>
    <m/>
    <m/>
  </r>
  <r>
    <n v="1737"/>
    <m/>
    <s v="Sara Packaging "/>
    <s v="Madurai"/>
    <s v="TS 07 120HN/220L"/>
    <x v="8"/>
    <m/>
    <m/>
    <m/>
    <m/>
    <m/>
    <x v="13"/>
    <m/>
    <m/>
    <m/>
    <m/>
    <m/>
    <m/>
  </r>
  <r>
    <n v="1738"/>
    <m/>
    <s v="SATHIYAJOTHI FUEELS"/>
    <s v="COIMBATORE"/>
    <s v="TS 07 220L"/>
    <x v="8"/>
    <m/>
    <m/>
    <m/>
    <m/>
    <m/>
    <x v="13"/>
    <m/>
    <m/>
    <m/>
    <m/>
    <m/>
    <m/>
  </r>
  <r>
    <n v="1745"/>
    <m/>
    <s v="SINGH TYRES - MRF "/>
    <s v="Sankarankoil"/>
    <s v="TS07 220L, ELRD20, ADV"/>
    <x v="8"/>
    <m/>
    <m/>
    <m/>
    <m/>
    <m/>
    <x v="13"/>
    <m/>
    <m/>
    <m/>
    <m/>
    <m/>
    <m/>
  </r>
  <r>
    <n v="1748"/>
    <m/>
    <s v="Siva Traders"/>
    <s v="Dindigul"/>
    <s v="TS 07 120HN/220L"/>
    <x v="8"/>
    <m/>
    <m/>
    <m/>
    <m/>
    <m/>
    <x v="13"/>
    <m/>
    <m/>
    <m/>
    <m/>
    <m/>
    <m/>
  </r>
  <r>
    <n v="1754"/>
    <m/>
    <s v="Sre Balaji Spinners"/>
    <s v="Mathampatti,Coimbatoer"/>
    <s v="TS 07 220L"/>
    <x v="8"/>
    <m/>
    <m/>
    <m/>
    <m/>
    <m/>
    <x v="13"/>
    <m/>
    <m/>
    <m/>
    <m/>
    <m/>
    <m/>
  </r>
  <r>
    <n v="1768"/>
    <m/>
    <s v="Sri Murugan Water Service &amp; Vulganising"/>
    <s v="Perambalur Dt"/>
    <s v="TS 07, LL03, GP50, PU4, Tyre Changer Std, Oil"/>
    <x v="8"/>
    <m/>
    <m/>
    <m/>
    <m/>
    <m/>
    <x v="13"/>
    <m/>
    <m/>
    <m/>
    <m/>
    <m/>
    <m/>
  </r>
  <r>
    <n v="1771"/>
    <m/>
    <s v="Sri Vari Traders"/>
    <s v="Pollachi"/>
    <s v="TS 07 120H/220L"/>
    <x v="8"/>
    <m/>
    <m/>
    <m/>
    <m/>
    <m/>
    <x v="13"/>
    <m/>
    <m/>
    <m/>
    <m/>
    <m/>
    <m/>
  </r>
  <r>
    <n v="1772"/>
    <m/>
    <s v="SRI VENKATESHWARA TYRES"/>
    <s v="Krishnagiri"/>
    <s v="TS 07 120HN/220L"/>
    <x v="8"/>
    <m/>
    <m/>
    <m/>
    <m/>
    <m/>
    <x v="13"/>
    <m/>
    <m/>
    <m/>
    <m/>
    <m/>
    <m/>
  </r>
  <r>
    <n v="1777"/>
    <m/>
    <s v="Surya Motors"/>
    <s v="Madurai"/>
    <s v="TS 07 120H/220L"/>
    <x v="8"/>
    <m/>
    <m/>
    <m/>
    <m/>
    <m/>
    <x v="13"/>
    <m/>
    <m/>
    <m/>
    <m/>
    <m/>
    <m/>
  </r>
  <r>
    <n v="1779"/>
    <m/>
    <s v="Tirupathi Agencies"/>
    <s v="Theni"/>
    <s v="TS 07 120HN/220L"/>
    <x v="8"/>
    <m/>
    <m/>
    <m/>
    <m/>
    <m/>
    <x v="13"/>
    <m/>
    <m/>
    <m/>
    <m/>
    <m/>
    <m/>
  </r>
  <r>
    <n v="1783"/>
    <m/>
    <s v="Unitech machines"/>
    <s v="Cbe"/>
    <s v="TS 07 120HN/220L"/>
    <x v="8"/>
    <m/>
    <m/>
    <m/>
    <m/>
    <m/>
    <x v="13"/>
    <m/>
    <m/>
    <m/>
    <m/>
    <m/>
    <m/>
  </r>
  <r>
    <n v="1784"/>
    <m/>
    <s v="Unitech machines"/>
    <s v="Coimbatore"/>
    <s v="TS 07 220L"/>
    <x v="8"/>
    <m/>
    <m/>
    <m/>
    <m/>
    <m/>
    <x v="13"/>
    <m/>
    <m/>
    <m/>
    <m/>
    <m/>
    <m/>
  </r>
  <r>
    <n v="1785"/>
    <m/>
    <s v="Unitech machines"/>
    <s v="Cbe"/>
    <s v="TS 07 120HN/220L"/>
    <x v="8"/>
    <m/>
    <m/>
    <m/>
    <m/>
    <m/>
    <x v="13"/>
    <m/>
    <m/>
    <m/>
    <m/>
    <m/>
    <m/>
  </r>
  <r>
    <n v="1786"/>
    <m/>
    <s v="Vaanavil Car Craft"/>
    <s v="Chithambaram"/>
    <s v="TS 07 120H / 220L"/>
    <x v="8"/>
    <m/>
    <m/>
    <m/>
    <m/>
    <m/>
    <x v="13"/>
    <m/>
    <m/>
    <m/>
    <m/>
    <m/>
    <m/>
  </r>
  <r>
    <n v="1789"/>
    <m/>
    <s v="VENKATACHALAM.V"/>
    <s v="THALAVADI"/>
    <s v="TS07 120HN/220L"/>
    <x v="8"/>
    <m/>
    <m/>
    <m/>
    <m/>
    <m/>
    <x v="13"/>
    <m/>
    <m/>
    <m/>
    <m/>
    <m/>
    <m/>
  </r>
  <r>
    <n v="2"/>
    <s v="'300G00157 "/>
    <s v="SUBIKSHA KNIT COMPACTORAS"/>
    <s v="TIRUPPUR"/>
    <s v="RAC PACKAGE TS10 HN 500L"/>
    <x v="9"/>
    <s v="CJGE671257"/>
    <s v="ccs021 "/>
    <s v="17.05.2016 13:22 "/>
    <s v="18.05.2016 10:00"/>
    <s v="20.05.2016 00:00"/>
    <x v="9"/>
    <n v="38"/>
    <n v="59"/>
    <m/>
    <m/>
    <s v="Out of Warranty"/>
    <m/>
  </r>
  <r>
    <n v="12"/>
    <s v="'300F01234 "/>
    <s v="TETRA KINITS"/>
    <s v="TIRUPUR"/>
    <s v="TS 10 120 HN"/>
    <x v="9"/>
    <s v="CMKE670100"/>
    <s v="ccs015 "/>
    <s v="16.03.2016 12:48 "/>
    <s v="17.03.2016 09:00"/>
    <s v="17.03.2016 13:00"/>
    <x v="9"/>
    <n v="4"/>
    <n v="24"/>
    <m/>
    <m/>
    <s v="Out of Warranty"/>
    <m/>
  </r>
  <r>
    <n v="18"/>
    <s v="'300F01047 "/>
    <s v="SREE SIVA MURUGAN SIZING MILLS"/>
    <s v="THIRUPUR"/>
    <s v="TS 10 120 HN"/>
    <x v="9"/>
    <s v="GOFE670654"/>
    <s v="ccs021 "/>
    <s v="25.01.2016 11:39 "/>
    <s v="25.01.2016 15:00"/>
    <s v="26.01.2016 12:00"/>
    <x v="8"/>
    <n v="21"/>
    <n v="24"/>
    <m/>
    <m/>
    <s v="Warranty Commissioning"/>
    <m/>
  </r>
  <r>
    <n v="20"/>
    <s v="'300F01011 "/>
    <s v="HARI INDUSTRIES"/>
    <s v="COIMBATORE"/>
    <s v="RAC PACKAGE TS10 HN 500L"/>
    <x v="9"/>
    <s v="ALAE670057"/>
    <s v="ccs019 "/>
    <s v="13.01.2016 16:52 "/>
    <s v="14.01.2016 10:00"/>
    <s v="15.01.2016 00:00"/>
    <x v="8"/>
    <n v="14"/>
    <n v="31"/>
    <m/>
    <m/>
    <s v="Out of Warranty"/>
    <m/>
  </r>
  <r>
    <n v="27"/>
    <s v="'300F00885 "/>
    <s v="RADIYANT KNIT FASHION PVT LTD"/>
    <s v="TIRUPUR"/>
    <s v="TS 10 120 HN"/>
    <x v="9"/>
    <s v="GOAE670240"/>
    <s v="ccs019 "/>
    <s v="09.12.2015 16:42 "/>
    <s v="10.12.2015 10:00"/>
    <s v="10.12.2015 12:00"/>
    <x v="8"/>
    <n v="2"/>
    <n v="19"/>
    <m/>
    <m/>
    <s v="Out of Warranty"/>
    <m/>
  </r>
  <r>
    <n v="30"/>
    <s v="'300F00837 "/>
    <s v="KARTHIGAI TEXTILE MILLS"/>
    <s v="TIRUPPUR"/>
    <s v="RAC PACKAGE TS10 HN 500L"/>
    <x v="9"/>
    <s v="CIDE670363"/>
    <s v="ccs025 "/>
    <s v="25.11.2015 17:48 "/>
    <s v="26.11.2015 10:00"/>
    <s v="27.11.2015 12:00"/>
    <x v="8"/>
    <n v="26"/>
    <n v="42"/>
    <m/>
    <m/>
    <s v="Out of Warranty"/>
    <m/>
  </r>
  <r>
    <n v="31"/>
    <s v="'300F00830 "/>
    <s v="DHANDAPANI STEEL PVT LTD"/>
    <s v="PERUNDURAI"/>
    <s v="TS 10 120 HN"/>
    <x v="9"/>
    <s v="GOFE670653"/>
    <s v="ccs025 "/>
    <s v="25.11.2015 10:00 "/>
    <s v="01.12.2015 10:00"/>
    <s v="29.11.2015 00:00"/>
    <x v="8"/>
    <n v="85"/>
    <n v="86"/>
    <m/>
    <m/>
    <s v="Warranty Commissioning"/>
    <m/>
  </r>
  <r>
    <n v="42"/>
    <s v="'300F00661 "/>
    <s v="VC PRINTOGRAPH"/>
    <s v="TIRUPPUR"/>
    <s v="TS 10 120 HN"/>
    <x v="9"/>
    <s v="CMIE671066"/>
    <s v="ccs014 "/>
    <s v="06.10.2015 19:50 "/>
    <s v="07.10.2015 10:00"/>
    <s v="07.10.2015 13:00"/>
    <x v="8"/>
    <n v="3"/>
    <n v="17"/>
    <m/>
    <m/>
    <s v="Out of Warranty"/>
    <m/>
  </r>
  <r>
    <n v="46"/>
    <s v="'300F00626 "/>
    <s v="LARA KNIT WEAR"/>
    <s v="TIRUPUR"/>
    <s v="TS 10 120 HN"/>
    <x v="9"/>
    <s v="GNHE670263"/>
    <s v="ccs015 "/>
    <s v="26.09.2015 09:59 "/>
    <s v="26.09.2015 16:00"/>
    <s v="28.09.2015 14:00"/>
    <x v="8"/>
    <n v="46"/>
    <n v="52"/>
    <m/>
    <m/>
    <s v="Out of Warranty"/>
    <m/>
  </r>
  <r>
    <n v="48"/>
    <s v="'300F00480 "/>
    <s v="SYNDICATE IMPEX"/>
    <s v="TIRUPUR"/>
    <s v="TS 10 120 HN"/>
    <x v="9"/>
    <s v="GNFE670129"/>
    <s v="ccs019 "/>
    <s v="08.09.2015 16:57 "/>
    <s v="09.09.2015 10:00"/>
    <s v="10.09.2015 12:00"/>
    <x v="8"/>
    <n v="26"/>
    <n v="43"/>
    <m/>
    <m/>
    <s v="Out of Warranty"/>
    <m/>
  </r>
  <r>
    <n v="52"/>
    <s v="'300F00425 "/>
    <s v="KUMARAN TYRES"/>
    <s v="COIMABTORE"/>
    <s v="RAC PACKAGE TS10 HN 500L"/>
    <x v="9"/>
    <s v="CJKE670145"/>
    <s v="ccs025 "/>
    <s v="22.08.2015 15:40 "/>
    <s v="24.08.2015 10:00"/>
    <s v="24.08.2015 15:00"/>
    <x v="8"/>
    <n v="5"/>
    <n v="47"/>
    <m/>
    <m/>
    <s v="Out of Warranty"/>
    <m/>
  </r>
  <r>
    <n v="57"/>
    <s v="'300F00338 "/>
    <s v="PRITHVI INNER WEAR"/>
    <s v="TIRUPPUR"/>
    <s v="TS 10 120 HN"/>
    <x v="9"/>
    <s v="GOCE670416"/>
    <s v="ccs015 "/>
    <s v="23.07.2015 11:41 "/>
    <s v="24.07.2015 08:00"/>
    <s v="24.07.2015 12:00"/>
    <x v="8"/>
    <n v="4"/>
    <n v="24"/>
    <m/>
    <m/>
    <s v="Warranty Commissioning"/>
    <m/>
  </r>
  <r>
    <n v="63"/>
    <s v="'300F00263 "/>
    <s v="SKY WEAVES"/>
    <s v="PALLADAM"/>
    <s v="TS10"/>
    <x v="9"/>
    <n v="1084"/>
    <s v="ccs014 "/>
    <s v="30.06.2015 14:50 "/>
    <s v="01.07.2015 10:00"/>
    <s v="01.07.2015 12:00"/>
    <x v="8"/>
    <n v="2"/>
    <n v="21"/>
    <m/>
    <m/>
    <s v="Out of Warranty"/>
    <m/>
  </r>
  <r>
    <n v="66"/>
    <s v="'300F00215 "/>
    <s v="SYNDICATE IMPEX"/>
    <s v="TIRUPUR"/>
    <s v="TS 10 120 HN"/>
    <x v="9"/>
    <s v="GNFE670129"/>
    <s v="ccs014 "/>
    <s v="17.06.2015 09:57 "/>
    <s v="17.06.2015 14:00"/>
    <s v="17.06.2015 16:00"/>
    <x v="8"/>
    <n v="2"/>
    <n v="6"/>
    <m/>
    <m/>
    <s v="Warranty Failure"/>
    <m/>
  </r>
  <r>
    <n v="70"/>
    <s v="'300F00025 "/>
    <s v="SRI SELVANAYAKI AMMAN TEXTILES"/>
    <s v="ANNUR"/>
    <s v="RAC PACKAGE TS10 HN 500L"/>
    <x v="9"/>
    <s v="CLJE670017"/>
    <s v="ccs014 "/>
    <s v="13.04.2015 09:02 "/>
    <s v="13.04.2015 08:00"/>
    <s v="13.04.2015 16:00"/>
    <x v="8"/>
    <n v="2"/>
    <n v="7"/>
    <m/>
    <m/>
    <s v="Out of Warranty"/>
    <m/>
  </r>
  <r>
    <n v="71"/>
    <s v="'300F00002 "/>
    <s v="SRS MINNING WORKS"/>
    <s v="KULITHALAI"/>
    <s v="TS 10 120 HN"/>
    <x v="9"/>
    <s v="GNIE670409"/>
    <s v="ccs028 "/>
    <s v="01.04.2015 15:58 "/>
    <s v="02.04.2015 10:00"/>
    <s v="02.04.2015 13:30"/>
    <x v="8"/>
    <n v="4"/>
    <n v="22"/>
    <m/>
    <m/>
    <s v="Warranty Commissioning"/>
    <m/>
  </r>
  <r>
    <n v="72"/>
    <s v="'300E01027 "/>
    <s v="ESSENTIAL APPAREL"/>
    <s v="THIRUPPUR"/>
    <s v="TS 10 120 HN"/>
    <x v="9"/>
    <s v="GOLE670180"/>
    <s v="ccs021 "/>
    <s v="31.03.2015 09:38 "/>
    <s v="31.03.2015 13:00"/>
    <s v="31.03.2015 15:00"/>
    <x v="8"/>
    <n v="2"/>
    <n v="5"/>
    <m/>
    <m/>
    <s v="Warranty Maintenance"/>
    <m/>
  </r>
  <r>
    <n v="73"/>
    <s v="'300E00975 "/>
    <s v="TETRA KINITS"/>
    <s v="TIRUPUR"/>
    <s v="TS 10 120 HN"/>
    <x v="9"/>
    <s v="CMKE670100"/>
    <s v="ccs021 "/>
    <s v="18.03.2015 11:46 "/>
    <s v="19.03.2015 10:00"/>
    <s v="19.03.2015 13:00"/>
    <x v="8"/>
    <n v="3"/>
    <n v="25"/>
    <m/>
    <m/>
    <s v="Out of Warranty"/>
    <m/>
  </r>
  <r>
    <n v="86"/>
    <s v="'300E00831 "/>
    <s v="SYNDICATE IMPEX"/>
    <s v="TIRUPUR"/>
    <s v="TS 10 120 HN"/>
    <x v="9"/>
    <s v="GNFE670129"/>
    <s v="ccs014 "/>
    <s v="09.02.2015 10:27 "/>
    <s v="10.02.2015 11:00"/>
    <s v="10.02.2015 13:00"/>
    <x v="10"/>
    <n v="2"/>
    <n v="27"/>
    <m/>
    <m/>
    <s v="Warranty Maintenance"/>
    <m/>
  </r>
  <r>
    <n v="89"/>
    <s v="'300E00784 "/>
    <s v="KARTHIKA SPICES"/>
    <s v="COIMABTORE"/>
    <s v="TS10 120 HT 420L"/>
    <x v="9"/>
    <s v="CJDM760056"/>
    <s v="ccs025 "/>
    <s v="22.01.2015 12:58 "/>
    <s v="22.01.2015 16:00"/>
    <s v="22.01.2015 20:00"/>
    <x v="10"/>
    <n v="4"/>
    <n v="7"/>
    <m/>
    <m/>
    <s v="Out of Warranty"/>
    <m/>
  </r>
  <r>
    <n v="90"/>
    <s v="'300E00783 "/>
    <s v="VENEXA TECHNO ENTERPRISES"/>
    <s v="COIMBATORE"/>
    <s v="TS 10 120 HN"/>
    <x v="9"/>
    <s v="GNFE670120"/>
    <s v="ccs021 "/>
    <s v="22.01.2015 10:04 "/>
    <s v="23.01.2015 10:00"/>
    <s v="23.01.2015 12:00"/>
    <x v="10"/>
    <n v="2"/>
    <n v="26"/>
    <m/>
    <m/>
    <s v="Warranty Maintenance"/>
    <m/>
  </r>
  <r>
    <n v="92"/>
    <s v="'300E00655 "/>
    <s v="VC PRINTOGRAPH"/>
    <s v="THIRUPPUR"/>
    <s v="TS10"/>
    <x v="9"/>
    <s v="D300E00655"/>
    <s v="ccs021 "/>
    <s v="05.12.2014 11:56 "/>
    <s v="06.12.2014 10:00"/>
    <s v="06.12.2014 12:00"/>
    <x v="10"/>
    <n v="2"/>
    <n v="24"/>
    <m/>
    <m/>
    <s v="Out of Warranty"/>
    <m/>
  </r>
  <r>
    <n v="97"/>
    <s v="'300E00593 "/>
    <s v="RAM&amp;SONS PROCESS UNIT"/>
    <s v="ERODE"/>
    <s v="TS 10 120 HN"/>
    <x v="9"/>
    <s v="CLIE671197"/>
    <s v="ccs019 "/>
    <s v="13.11.2014 12:03 "/>
    <s v="14.11.2014 10:00"/>
    <s v="14.11.2014 12:00"/>
    <x v="10"/>
    <n v="2"/>
    <n v="24"/>
    <m/>
    <m/>
    <s v="Out of Warranty"/>
    <m/>
  </r>
  <r>
    <n v="103"/>
    <s v="'300E00360 "/>
    <s v="SANDFITS FOUNDRIES PVT LTD"/>
    <s v="SULUR"/>
    <s v="RAC PACKAGE TS10 HN 500L"/>
    <x v="9"/>
    <s v="CJCE670566"/>
    <s v="ccs003 "/>
    <s v="13.08.2014 17:25 "/>
    <s v="14.08.2014 09:00"/>
    <s v="19.08.2014 10:00"/>
    <x v="10"/>
    <n v="56"/>
    <n v="137"/>
    <m/>
    <m/>
    <s v="Out of Warranty"/>
    <m/>
  </r>
  <r>
    <n v="110"/>
    <s v="'300E00226 "/>
    <s v="KERALA ROADWAYS"/>
    <s v="COIMABTORE"/>
    <s v="TS 10 120 HN"/>
    <x v="9"/>
    <s v="CMBE670464"/>
    <s v="ccs003 "/>
    <s v="25.06.2014 13:52 "/>
    <s v="25.06.2014 16:00"/>
    <s v="26.06.2014 12:00"/>
    <x v="10"/>
    <n v="20"/>
    <n v="22"/>
    <m/>
    <m/>
    <s v="Out of Warranty"/>
    <m/>
  </r>
  <r>
    <n v="111"/>
    <s v="'300E00206 "/>
    <s v="CAPTIAL KNIT"/>
    <s v="THIRUPPUR"/>
    <s v="TS10"/>
    <x v="9"/>
    <s v="D300E00206"/>
    <s v="ccs021 "/>
    <s v="18.06.2014 17:38 "/>
    <s v="19.06.2014 10:00"/>
    <s v="19.06.2014 12:00"/>
    <x v="10"/>
    <n v="2"/>
    <n v="18"/>
    <m/>
    <m/>
    <s v="Out of Warranty"/>
    <m/>
  </r>
  <r>
    <n v="121"/>
    <s v="'300E00095 "/>
    <s v="EMIRATES CEMENT"/>
    <s v="WALAIYAR"/>
    <s v="TS 10 120 HN"/>
    <x v="9"/>
    <s v="CNLE670181"/>
    <s v="C00002 "/>
    <s v="09.05.2014 13:17 "/>
    <s v="09.05.2014 13:30"/>
    <s v="09.05.2014 16:00"/>
    <x v="10"/>
    <n v="3"/>
    <n v="3"/>
    <m/>
    <m/>
    <s v="Warranty Commissioning"/>
    <m/>
  </r>
  <r>
    <n v="134"/>
    <s v="'300D0851 "/>
    <s v="THIRUKKUMARAN TEXTILES"/>
    <s v="COIMBATORE"/>
    <s v="TS 10 120 HN"/>
    <x v="9"/>
    <s v="CMEE670755"/>
    <s v="ccs018 "/>
    <s v="20.01.2014 17:41 "/>
    <s v="21.01.2014 10:00"/>
    <s v="21.01.2014 12:00"/>
    <x v="2"/>
    <n v="2"/>
    <n v="18"/>
    <m/>
    <m/>
    <s v="Warranty Failure"/>
    <m/>
  </r>
  <r>
    <n v="137"/>
    <s v="'300D0796 "/>
    <s v="SRI VINAYAGA FASHION"/>
    <s v="tirupur"/>
    <s v="TS 10 120 HN"/>
    <x v="9"/>
    <s v="CMIE671026"/>
    <s v="ccs019 "/>
    <s v="23.12.2013 15:39 "/>
    <s v="24.12.2013 10:00"/>
    <s v="24.12.2013 15:00"/>
    <x v="2"/>
    <n v="5"/>
    <n v="23"/>
    <m/>
    <m/>
    <s v="Warranty Commissioning"/>
    <m/>
  </r>
  <r>
    <n v="147"/>
    <s v="'300D0454 "/>
    <s v="SHASHTI PRINTING FACTORY"/>
    <s v="TIRUPUR"/>
    <s v="TS 10 120"/>
    <x v="9"/>
    <s v="CMCE450010"/>
    <s v="ccs007 "/>
    <s v="23.08.2013 12:51 "/>
    <s v="24.08.2013 10:00"/>
    <s v="24.08.2013 10:30"/>
    <x v="2"/>
    <n v="1"/>
    <n v="22"/>
    <m/>
    <m/>
    <s v="Warranty Failure"/>
    <m/>
  </r>
  <r>
    <n v="159"/>
    <s v="'300C1026 "/>
    <s v="VELAN EXPORTS"/>
    <s v="Tiruppur"/>
    <s v="TS 10 120 HN"/>
    <x v="9"/>
    <s v="CMJE670037"/>
    <s v="ccs005 "/>
    <s v="27.03.2013 14:14 "/>
    <s v="28.03.2013 10:00"/>
    <s v="28.03.2013 11:00"/>
    <x v="2"/>
    <n v="1"/>
    <n v="21"/>
    <m/>
    <m/>
    <s v="Warranty Commissioning"/>
    <m/>
  </r>
  <r>
    <n v="161"/>
    <s v="'300C0996 "/>
    <s v="TTL LAB"/>
    <s v="TIRUPPUR"/>
    <s v="TS10"/>
    <x v="9"/>
    <s v="D300C0996"/>
    <s v="ccs005 "/>
    <s v="12.03.2013 20:21 "/>
    <s v="13.03.2013 10:00"/>
    <s v="13.03.2013 11:00"/>
    <x v="2"/>
    <n v="1"/>
    <n v="15"/>
    <m/>
    <m/>
    <s v="Out of Warranty"/>
    <m/>
  </r>
  <r>
    <n v="163"/>
    <s v="'300C0954 "/>
    <s v="CONFAB PUMPS"/>
    <s v="COIMBATORE"/>
    <s v="RAC PACKAGE TS10 HN 500L"/>
    <x v="9"/>
    <s v="CJJE670029"/>
    <s v="ccs005 "/>
    <s v="28.02.2013 11:52 "/>
    <s v="28.02.2013 15:00"/>
    <s v="01.03.2013 13:00"/>
    <x v="2"/>
    <n v="22"/>
    <n v="25"/>
    <m/>
    <m/>
    <s v="Out of Warranty"/>
    <m/>
  </r>
  <r>
    <n v="168"/>
    <s v="'300C0867 "/>
    <s v="EM CONTROLS"/>
    <s v="COIMBATORE"/>
    <s v="RAC PACKAGE TS10 HN 500L"/>
    <x v="9"/>
    <s v="CIFE670590"/>
    <s v="ccs015 "/>
    <s v="28.01.2013 13:19 "/>
    <s v="29.01.2013 10:00"/>
    <s v="29.01.2013 11:00"/>
    <x v="7"/>
    <n v="1"/>
    <n v="22"/>
    <m/>
    <m/>
    <s v="Out of Warranty"/>
    <m/>
  </r>
  <r>
    <n v="172"/>
    <s v="'300C0742 "/>
    <s v="SRI SELVANAYAKI AMMAN TEXTILES"/>
    <s v="COIMBATORE"/>
    <s v="RAC PACKAGE TS10 HN 500L"/>
    <x v="9"/>
    <s v="CLJE670017"/>
    <s v="ccs007 "/>
    <s v="05.12.2012 15:16 "/>
    <s v="06.12.2012 10:00"/>
    <s v="07.12.2012 10:00"/>
    <x v="7"/>
    <n v="24"/>
    <n v="43"/>
    <m/>
    <m/>
    <s v="Out of Warranty"/>
    <m/>
  </r>
  <r>
    <n v="178"/>
    <s v="'300C0642 "/>
    <s v="SRI VENKATESWARA MODERN RICE MILL"/>
    <s v="PALLADAM"/>
    <s v="TS10"/>
    <x v="9"/>
    <s v="D300C0642"/>
    <s v="ccs005 "/>
    <s v="26.10.2012 18:04 "/>
    <s v="27.10.2012 10:00"/>
    <s v="27.10.2012 12:00"/>
    <x v="7"/>
    <n v="2"/>
    <n v="18"/>
    <m/>
    <m/>
    <s v="Out of Warranty"/>
    <m/>
  </r>
  <r>
    <n v="179"/>
    <s v="'300C0624 "/>
    <s v="HI CARE LATEX PVT LTD"/>
    <s v="COIMBATORE"/>
    <s v="RAC PACKAGE TS10 HN 500L"/>
    <x v="9"/>
    <s v="CKDE670788"/>
    <s v="ccs014 "/>
    <s v="16.10.2012 10:46 "/>
    <s v="16.10.2012 13:00"/>
    <s v="17.10.2012 12:00"/>
    <x v="7"/>
    <n v="23"/>
    <n v="25"/>
    <m/>
    <m/>
    <s v="Out of Warranty"/>
    <m/>
  </r>
  <r>
    <n v="190"/>
    <s v="'300C0437 "/>
    <s v="RENIASANCE RTW ASIA PVT LTD"/>
    <s v="TIRUPUR"/>
    <s v="TS 10 120 HN"/>
    <x v="9"/>
    <s v="CLKE670175"/>
    <s v="ccs005 "/>
    <s v="16.08.2012 11:15 "/>
    <s v="16.08.2012 16:00"/>
    <s v="16.08.2012 17:00"/>
    <x v="7"/>
    <n v="1"/>
    <n v="6"/>
    <m/>
    <m/>
    <s v="Warranty Failure"/>
    <m/>
  </r>
  <r>
    <n v="196"/>
    <s v="'300C0413 "/>
    <s v="THIRUMALAI TEXTILES"/>
    <s v="POLLACHI"/>
    <s v="TS 10 120 HN"/>
    <x v="9"/>
    <s v="CLDE670715"/>
    <s v="C00002 "/>
    <s v="08.08.2012 13:39 "/>
    <s v="08.08.2012 14:00"/>
    <s v="08.08.2012 17:00"/>
    <x v="7"/>
    <n v="3"/>
    <n v="3"/>
    <m/>
    <m/>
    <s v="Warranty Commissioning"/>
    <m/>
  </r>
  <r>
    <n v="211"/>
    <s v="'300C0182 "/>
    <s v="ROYAL GLASS CENTER"/>
    <s v="KASARAGOD"/>
    <s v="TS 10 120 HN"/>
    <x v="9"/>
    <s v="CLAE670427"/>
    <s v="ccs004 "/>
    <s v="29.05.2012 11:17 "/>
    <s v="29.05.2012 11:30"/>
    <s v="29.05.2012 13:30"/>
    <x v="7"/>
    <n v="2"/>
    <n v="2"/>
    <m/>
    <m/>
    <s v="Warranty Commissioning"/>
    <m/>
  </r>
  <r>
    <n v="229"/>
    <s v="'300B1087 "/>
    <s v="AK KNIT CLOTHING"/>
    <s v="TIRUPPUR"/>
    <s v="TS 10 120 HN"/>
    <x v="9"/>
    <s v="CKDE670743"/>
    <s v="ccs004 "/>
    <s v="03.03.2012 10:54 "/>
    <s v="03.03.2012 11:00"/>
    <s v="05.03.2012 16:30"/>
    <x v="7"/>
    <n v="54"/>
    <n v="54"/>
    <m/>
    <m/>
    <s v="Out of Warranty"/>
    <m/>
  </r>
  <r>
    <n v="230"/>
    <s v="'300B1082 "/>
    <s v="OXA KNIT WEAR"/>
    <s v="TIRUPUR"/>
    <s v="TS 10 120 HN"/>
    <x v="9"/>
    <s v="CLKE670170"/>
    <s v="C00002 "/>
    <s v="02.03.2012 14:13 "/>
    <s v="05.03.2012 15:00"/>
    <s v="05.03.2012 10:00"/>
    <x v="7"/>
    <n v="68"/>
    <n v="68"/>
    <m/>
    <m/>
    <s v="Warranty Commissioning"/>
    <m/>
  </r>
  <r>
    <n v="237"/>
    <s v="'300B1006 "/>
    <s v="HIMACHAL ENVIRONMENTAL ENGINEERING PVT LTD"/>
    <s v="PALAKAD"/>
    <s v="TS 10 120 HN"/>
    <x v="9"/>
    <s v="CJIE671523"/>
    <s v="ccs005 "/>
    <s v="10.02.2012 15:42 "/>
    <s v="14.02.2012 10:00"/>
    <s v="14.02.2012 17:00"/>
    <x v="1"/>
    <n v="7"/>
    <n v="97"/>
    <m/>
    <m/>
    <s v="Out of Warranty"/>
    <m/>
  </r>
  <r>
    <n v="240"/>
    <s v="'300B0988 "/>
    <s v="RESHMI INDUSTRIES INDIA PVT LTD"/>
    <s v="COIMBATORE"/>
    <s v="TS10"/>
    <x v="9"/>
    <s v="D300B0988"/>
    <s v="ccs015 "/>
    <s v="04.02.2012 16:30 "/>
    <s v="06.02.2012 10:00"/>
    <s v="07.02.2012 10:00"/>
    <x v="1"/>
    <n v="24"/>
    <n v="65"/>
    <m/>
    <m/>
    <s v="Out of Warranty"/>
    <m/>
  </r>
  <r>
    <n v="247"/>
    <s v="'300B0864 "/>
    <s v="SRI DRG VINYLS INDUSTRIES"/>
    <s v="PERUNDURAI"/>
    <s v="TS10 120"/>
    <x v="9"/>
    <s v="CJLE690260"/>
    <s v="ccs005 "/>
    <s v="26.12.2011 17:55 "/>
    <s v="27.12.2011 10:00"/>
    <s v="27.12.2011 15:00"/>
    <x v="1"/>
    <n v="5"/>
    <n v="21"/>
    <m/>
    <m/>
    <s v="Out of Warranty"/>
    <m/>
  </r>
  <r>
    <n v="268"/>
    <s v="'300B0384 "/>
    <s v="AK KNIT CLOTHING"/>
    <s v="TIRUPPUR"/>
    <s v="TS 10 120 HN"/>
    <x v="9"/>
    <s v="CKDE670743"/>
    <s v="ccs014 "/>
    <s v="29.07.2011 13:03 "/>
    <s v="29.07.2011 13:00"/>
    <s v="29.07.2011 14:00"/>
    <x v="1"/>
    <n v="1"/>
    <n v="1"/>
    <m/>
    <m/>
    <s v="Warranty Commissioning"/>
    <m/>
  </r>
  <r>
    <n v="277"/>
    <s v="'300B0285 "/>
    <s v="ORANGE CONS"/>
    <s v="PALLADAM"/>
    <s v="TS 10 120 HN"/>
    <x v="9"/>
    <s v="CKBE670507"/>
    <s v="ccs001 "/>
    <s v="04.07.2011 11:51 "/>
    <s v="04.07.2011 11:50"/>
    <s v="04.07.2011 13:00"/>
    <x v="1"/>
    <n v="1"/>
    <n v="1"/>
    <m/>
    <m/>
    <s v="Warranty Commissioning"/>
    <m/>
  </r>
  <r>
    <n v="278"/>
    <s v="'300B0282 "/>
    <s v="RAMYA KNIT PRINTING"/>
    <s v="TIRUPUR"/>
    <s v="TS 10 120 HN"/>
    <x v="9"/>
    <s v="CKAE670367"/>
    <s v="ccs001 "/>
    <s v="02.07.2011 11:09 "/>
    <s v="02.07.2011 11:15"/>
    <s v="02.07.2011 15:00"/>
    <x v="1"/>
    <n v="4"/>
    <n v="4"/>
    <m/>
    <m/>
    <s v="Warranty Failure"/>
    <m/>
  </r>
  <r>
    <n v="280"/>
    <s v="'300B0250 "/>
    <s v="HIMACHAL ENVIRONMENTAL ENGINEERING PVT LTD"/>
    <s v="PALAKAD"/>
    <s v="TS 10 120 HN"/>
    <x v="9"/>
    <s v="CJIE671526"/>
    <s v="ccs001 "/>
    <s v="24.06.2011 11:51 "/>
    <s v="24.06.2011 12:00"/>
    <s v="24.06.2011 14:00"/>
    <x v="1"/>
    <n v="2"/>
    <n v="2"/>
    <m/>
    <m/>
    <s v="Warranty Commissioning"/>
    <m/>
  </r>
  <r>
    <n v="286"/>
    <s v="'300B0210 "/>
    <s v="SRI ANDAVAR ENGINEERING WORKS"/>
    <s v="ERODE"/>
    <s v="TS 10 120 HN"/>
    <x v="9"/>
    <s v="CKCE670617"/>
    <s v="ccs002 "/>
    <s v="11.06.2011 12:22 "/>
    <s v="11.06.2011 12:30"/>
    <s v="11.06.2011 15:00"/>
    <x v="1"/>
    <n v="3"/>
    <n v="3"/>
    <m/>
    <m/>
    <s v="Warranty Commissioning"/>
    <m/>
  </r>
  <r>
    <n v="290"/>
    <s v="'300B0180 "/>
    <s v="DHIVYA KNIT FABS"/>
    <s v="TIRUPPUR"/>
    <s v="TS 10 120 HN"/>
    <x v="9"/>
    <s v="CKBE670535"/>
    <s v="ccs002 "/>
    <s v="01.06.2011 12:11 "/>
    <s v="01.06.2011 12:30"/>
    <s v="01.06.2011 15:00"/>
    <x v="1"/>
    <n v="3"/>
    <n v="3"/>
    <m/>
    <m/>
    <s v="Warranty Commissioning"/>
    <m/>
  </r>
  <r>
    <n v="293"/>
    <s v="'300B0153 "/>
    <s v="VAISHNAVI AUTO SERVICE"/>
    <s v="ERODE"/>
    <s v="TS 10 120 HN"/>
    <x v="9"/>
    <s v="CKAE670455"/>
    <s v="ccs003 "/>
    <s v="25.05.2011 12:39 "/>
    <s v="25.05.2011 13:00"/>
    <s v="25.05.2011 15:00"/>
    <x v="1"/>
    <n v="2"/>
    <n v="2"/>
    <m/>
    <m/>
    <s v="Warranty Commissioning"/>
    <m/>
  </r>
  <r>
    <n v="298"/>
    <s v="'300B0104 "/>
    <s v="ARC PARCEL SERVICE"/>
    <s v="COIMBATORE"/>
    <s v="TS 10 120 HN"/>
    <x v="9"/>
    <s v="CKAE670379"/>
    <s v="ccs001 "/>
    <s v="10.05.2011 12:42 "/>
    <s v="10.05.2011 13:00"/>
    <s v="11.05.2011 12:00"/>
    <x v="1"/>
    <n v="23"/>
    <n v="23"/>
    <m/>
    <m/>
    <s v="Warranty Failure"/>
    <m/>
  </r>
  <r>
    <n v="300"/>
    <s v="'300B0093 "/>
    <s v="SRI NIKITA SIZING MILLS"/>
    <s v="SOMMANUR"/>
    <s v="TS 10 120 HN"/>
    <x v="9"/>
    <s v="CJFE671049"/>
    <s v="ccs003 "/>
    <s v="05.05.2011 10:52 "/>
    <s v="05.05.2011 12:00"/>
    <s v="06.05.2011 14:00"/>
    <x v="1"/>
    <n v="26"/>
    <n v="27"/>
    <m/>
    <m/>
    <s v="Warranty Failure"/>
    <m/>
  </r>
  <r>
    <n v="302"/>
    <s v="'300B0068 "/>
    <s v="ARC PARCEL SEVICE PVT LTD"/>
    <s v="COIMBATORE"/>
    <s v="TS 10 120 HN"/>
    <x v="9"/>
    <s v="CKAE670379"/>
    <s v="ccs003 "/>
    <s v="26.04.2011 15:35 "/>
    <s v="27.04.2011 10:00"/>
    <s v="03.05.2011 17:30"/>
    <x v="1"/>
    <n v="152"/>
    <n v="170"/>
    <m/>
    <m/>
    <s v="Warranty Commissioning"/>
    <m/>
  </r>
  <r>
    <n v="305"/>
    <s v="'300B0012 "/>
    <s v="UK TEXTILES"/>
    <s v="TIRUPPUR"/>
    <s v="TS10 120"/>
    <x v="9"/>
    <s v="CJKE670063"/>
    <s v="ccs007 "/>
    <s v="05.04.2011 18:32 "/>
    <s v="05.04.2011 18:45"/>
    <s v="07.04.2011 13:00"/>
    <x v="1"/>
    <n v="28"/>
    <n v="42"/>
    <m/>
    <m/>
    <s v="Warranty Failure"/>
    <m/>
  </r>
  <r>
    <n v="306"/>
    <s v="'300A1168 "/>
    <s v="SEKAR ENGINEERING WORKS"/>
    <s v="COIMBATORE"/>
    <s v="TS 10 120"/>
    <x v="9"/>
    <s v="CKJE450001"/>
    <s v="ccs003 "/>
    <s v="30.03.2011 17:32 "/>
    <s v="30.03.2011 17:45"/>
    <s v="30.03.2011 21:00"/>
    <x v="1"/>
    <n v="3"/>
    <n v="3"/>
    <m/>
    <m/>
    <s v="Warranty Commissioning"/>
    <m/>
  </r>
  <r>
    <n v="311"/>
    <s v="'300A1107 "/>
    <s v="DP TEXTILES"/>
    <s v="UDUMELPET"/>
    <s v="TS 10 120"/>
    <x v="9"/>
    <s v="CJIE450039"/>
    <s v="ccs001 "/>
    <s v="14.03.2011 10:15 "/>
    <s v="14.03.2011 10:30"/>
    <s v="17.03.2011 13:00"/>
    <x v="1"/>
    <n v="75"/>
    <n v="75"/>
    <s v="3511AA043-15.03.2011"/>
    <s v="3511AA043"/>
    <s v="Warranty Failure"/>
    <m/>
  </r>
  <r>
    <n v="315"/>
    <s v="'300A1036 "/>
    <s v="TS EXPORTS"/>
    <s v="TIRUPUR"/>
    <s v="TS10 120"/>
    <x v="9"/>
    <s v="D300A1036"/>
    <s v="ccs003 "/>
    <s v="23.02.2011 10:02 "/>
    <s v="23.02.2011 15:00"/>
    <s v="01.03.2011 12:00"/>
    <x v="1"/>
    <n v="73"/>
    <n v="146"/>
    <m/>
    <m/>
    <s v="Out of Warranty"/>
    <m/>
  </r>
  <r>
    <n v="328"/>
    <s v="'300A0868 "/>
    <s v="WELCOM COATS"/>
    <s v="COIMBATORE"/>
    <s v="TS 10 120 HN"/>
    <x v="9"/>
    <s v="CJFE671018"/>
    <s v="ccs002 "/>
    <s v="19.01.2011 11:56 "/>
    <s v="19.01.2011 14:00"/>
    <s v="19.01.2011 19:00"/>
    <x v="11"/>
    <n v="5"/>
    <n v="7"/>
    <m/>
    <m/>
    <s v="Warranty Commissioning"/>
    <m/>
  </r>
  <r>
    <n v="339"/>
    <s v="'300A0724 "/>
    <s v="CIRCOT"/>
    <s v="COIMBATORE"/>
    <s v="TS 10 120 HN"/>
    <x v="9"/>
    <s v="CJLE670246"/>
    <s v="ccs007 "/>
    <s v="10.12.2010 17:03 "/>
    <s v="13.12.2010 11:00"/>
    <s v="16.12.2010 13:00"/>
    <x v="11"/>
    <n v="75"/>
    <n v="140"/>
    <m/>
    <m/>
    <s v="Warranty Maintenance"/>
    <m/>
  </r>
  <r>
    <n v="350"/>
    <s v="'300A0467 "/>
    <s v="MICO INDUSTRIES"/>
    <s v="COIMBATORE"/>
    <s v="TS 10 120 HN"/>
    <x v="9"/>
    <s v="CJEE670844"/>
    <s v="ccs002 "/>
    <s v="30.09.2010 08:53 "/>
    <s v="30.09.2010 10:00"/>
    <s v="08.10.2010 13:00"/>
    <x v="11"/>
    <n v="195"/>
    <n v="196"/>
    <m/>
    <m/>
    <s v="Warranty Commissioning"/>
    <m/>
  </r>
  <r>
    <n v="351"/>
    <s v="'300A0383 "/>
    <s v="FATIMA MILLS"/>
    <s v="Coimbatore"/>
    <s v="TS10120"/>
    <x v="9"/>
    <s v="D300A0383"/>
    <s v="ccs005 "/>
    <s v="28.08.2010 11:47 "/>
    <s v="28.08.2010 13:00"/>
    <s v="03.09.2010 11:00"/>
    <x v="11"/>
    <n v="142"/>
    <n v="143"/>
    <m/>
    <m/>
    <s v="Out of Warranty"/>
    <m/>
  </r>
  <r>
    <n v="356"/>
    <s v="'300A0260 "/>
    <s v="PRICOL PACKAGING PVT LTD"/>
    <s v="COIMBATORE"/>
    <s v="TS10120"/>
    <x v="9"/>
    <n v="44558"/>
    <s v="ccs007 "/>
    <s v="06.07.2010 15:32 "/>
    <s v="07.07.2010 10:00"/>
    <s v="07.07.2010 18:00"/>
    <x v="11"/>
    <n v="9"/>
    <n v="26"/>
    <m/>
    <m/>
    <s v="Out of Warranty"/>
    <m/>
  </r>
  <r>
    <n v="359"/>
    <s v="'300A0225 "/>
    <s v="EURO COT TEXTILES"/>
    <s v="Palladam"/>
    <s v="TS 10 120 HN"/>
    <x v="9"/>
    <s v="CHHE670596"/>
    <s v="ccs007 "/>
    <s v="19.06.2010 14:54 "/>
    <s v="21.06.2010 10:00"/>
    <s v="26.06.2010 12:00"/>
    <x v="11"/>
    <n v="122"/>
    <n v="165"/>
    <m/>
    <m/>
    <s v="Out of Warranty"/>
    <m/>
  </r>
  <r>
    <n v="360"/>
    <s v="'300A0199 "/>
    <s v="SUNLAND AUTO SIZING"/>
    <s v="Coimbatore"/>
    <s v="TS 10 120 HN"/>
    <x v="9"/>
    <s v="CJAE670364"/>
    <s v="ccs007 "/>
    <s v="10.06.2010 12:11 "/>
    <s v="10.06.2010 12:30"/>
    <s v="10.06.2010 14:00"/>
    <x v="11"/>
    <n v="2"/>
    <n v="2"/>
    <s v="3511CA003-21.06.2010"/>
    <s v="3511CA003"/>
    <s v="Warranty Failure"/>
    <m/>
  </r>
  <r>
    <n v="365"/>
    <s v="'300A0165 "/>
    <s v="IMAGE PRINTS"/>
    <s v="TIRUPPUR"/>
    <s v="TS 10 120 HN"/>
    <x v="9"/>
    <s v="CJBE670490"/>
    <s v="ccs007 "/>
    <s v="27.05.2010 15:42 "/>
    <s v="27.05.2010 16:00"/>
    <s v="27.05.2010 18:00"/>
    <x v="11"/>
    <n v="2"/>
    <n v="2"/>
    <m/>
    <m/>
    <s v="Warranty Commissioning"/>
    <m/>
  </r>
  <r>
    <n v="366"/>
    <s v="'300A0158 "/>
    <s v="ENCEE AROMATICS PVT LTD"/>
    <s v="Coimbatore"/>
    <s v="TS 10 120 HN"/>
    <x v="9"/>
    <s v="CJKE670138"/>
    <s v="ccs001 "/>
    <s v="26.05.2010 13:02 "/>
    <s v="27.05.2010 09:00"/>
    <s v="28.05.2010 15:00"/>
    <x v="11"/>
    <n v="30"/>
    <n v="50"/>
    <m/>
    <m/>
    <s v="Warranty Commissioning"/>
    <m/>
  </r>
  <r>
    <n v="368"/>
    <s v="'300A0156 "/>
    <s v="CIRCOT(ICR)"/>
    <s v="Coimbatore"/>
    <s v="TS 10 120 HN"/>
    <x v="9"/>
    <s v="CJLE670246"/>
    <s v="ccs001 "/>
    <s v="25.05.2010 10:56 "/>
    <s v="25.05.2010 11:00"/>
    <s v="27.05.2010 13:00"/>
    <x v="11"/>
    <n v="50"/>
    <n v="50"/>
    <m/>
    <m/>
    <s v="Warranty Failure"/>
    <m/>
  </r>
  <r>
    <n v="375"/>
    <s v="'300A0127 "/>
    <s v="NIRMAL PUMPS LTD"/>
    <s v="Coimbatore"/>
    <s v="TS 10 HN"/>
    <x v="9"/>
    <s v="CHKT270107"/>
    <s v="ccs001 "/>
    <s v="13.05.2010 16:24 "/>
    <s v="13.05.2010 16:45"/>
    <s v="21.05.2010 17:00"/>
    <x v="11"/>
    <n v="193"/>
    <n v="193"/>
    <s v="35119A005-08.06.2010"/>
    <s v="35119A005"/>
    <s v="Warranty Failure"/>
    <m/>
  </r>
  <r>
    <n v="391"/>
    <s v="'300A0024 "/>
    <s v="AERO DYEING"/>
    <s v="Erode"/>
    <s v="TS 10 120 HN"/>
    <x v="9"/>
    <s v="CJLE670291"/>
    <s v="ccs007 "/>
    <s v="08.04.2010 12:29 "/>
    <s v="08.04.2010 13:00"/>
    <s v="08.04.2010 15:00"/>
    <x v="11"/>
    <n v="2"/>
    <n v="3"/>
    <m/>
    <m/>
    <s v="Warranty Commissioning"/>
    <m/>
  </r>
  <r>
    <n v="392"/>
    <s v="'300A0022 "/>
    <s v="RENINSON CLOTHING COMPANY"/>
    <s v="Tiruppur"/>
    <s v="TS 10 120 HN"/>
    <x v="9"/>
    <s v="CJLE670260"/>
    <s v="ccs007 "/>
    <s v="07.04.2010 12:57 "/>
    <s v="07.04.2010 13:00"/>
    <s v="07.04.2010 14:30"/>
    <x v="11"/>
    <n v="2"/>
    <n v="2"/>
    <m/>
    <m/>
    <s v="Warranty Commissioning"/>
    <m/>
  </r>
  <r>
    <n v="401"/>
    <s v="'30091214 "/>
    <s v="THE DIRECTOR"/>
    <s v="COIMBATORE"/>
    <s v="TS 10 120 HN"/>
    <x v="9"/>
    <s v="CJLE670246"/>
    <s v="ccs005 "/>
    <s v="22.03.2010 18:17 "/>
    <s v="22.03.2010 18:30"/>
    <s v="24.03.2010 12:00"/>
    <x v="11"/>
    <n v="42"/>
    <n v="42"/>
    <m/>
    <m/>
    <s v="Warranty Commissioning"/>
    <m/>
  </r>
  <r>
    <n v="403"/>
    <s v="'30091209 "/>
    <s v="CIRCOT"/>
    <s v="Coimbatore"/>
    <s v="TS 10 120 HN"/>
    <x v="9"/>
    <s v="CJLE670246"/>
    <s v="ccs001 "/>
    <s v="20.03.2010 17:01 "/>
    <s v="20.03.2010 17:15"/>
    <s v="26.03.2010 12:00"/>
    <x v="11"/>
    <n v="139"/>
    <n v="139"/>
    <m/>
    <m/>
    <s v="Warranty Commissioning"/>
    <m/>
  </r>
  <r>
    <n v="404"/>
    <s v="'30091206 "/>
    <s v="GAICTY FASHIONS"/>
    <s v="Tiruppur"/>
    <s v="TS 10 120 HN"/>
    <x v="9"/>
    <s v="CJLE670203"/>
    <s v="ccs007 "/>
    <s v="19.03.2010 14:50 "/>
    <s v="19.03.2010 15:00"/>
    <s v="19.03.2010 16:30"/>
    <x v="11"/>
    <n v="2"/>
    <n v="2"/>
    <m/>
    <m/>
    <s v="Warranty Commissioning"/>
    <m/>
  </r>
  <r>
    <n v="407"/>
    <s v="'30091179 "/>
    <s v="LOYAL RETREADS"/>
    <s v="Karur"/>
    <s v="TS10 120"/>
    <x v="9"/>
    <s v="CIBE670331"/>
    <s v="ccs007 "/>
    <s v="15.03.2010 13:48 "/>
    <s v="15.03.2010 14:00"/>
    <s v="23.03.2010 17:00"/>
    <x v="11"/>
    <n v="194"/>
    <n v="195"/>
    <m/>
    <m/>
    <s v="Warranty Maintenance"/>
    <m/>
  </r>
  <r>
    <n v="413"/>
    <s v="'30091149 "/>
    <s v="TWIN EXPORTS"/>
    <s v="TIRUPPUR"/>
    <s v="TS10"/>
    <x v="9"/>
    <n v="31731"/>
    <s v="ccs007 "/>
    <s v="06.03.2010 14:35 "/>
    <s v="06.03.2010 14:45"/>
    <s v="08.03.2010 17:00"/>
    <x v="11"/>
    <n v="50"/>
    <n v="50"/>
    <m/>
    <m/>
    <s v="Out of Warranty"/>
    <m/>
  </r>
  <r>
    <n v="421"/>
    <s v="'30091111 "/>
    <s v="DHANAVARSHINI EXPORTS"/>
    <s v="Tiruppur"/>
    <s v="TS 10 120 HN"/>
    <x v="9"/>
    <s v="CJKE670146"/>
    <s v="ccs007 "/>
    <s v="25.02.2010 10:58 "/>
    <s v="25.02.2010 11:00"/>
    <s v="25.02.2010 13:00"/>
    <x v="11"/>
    <n v="2"/>
    <n v="2"/>
    <m/>
    <m/>
    <s v="Warranty Commissioning"/>
    <m/>
  </r>
  <r>
    <n v="423"/>
    <s v="'30091105 "/>
    <s v="APRANA COLORS"/>
    <s v="TIRUPPUR"/>
    <s v="TS 10 120"/>
    <x v="9"/>
    <s v="CJKE450006"/>
    <s v="ccs004 "/>
    <s v="23.02.2010 11:49 "/>
    <s v="23.02.2010 12:00"/>
    <s v="23.02.2010 13:30"/>
    <x v="11"/>
    <n v="2"/>
    <n v="2"/>
    <m/>
    <m/>
    <s v="Warranty Commissioning"/>
    <m/>
  </r>
  <r>
    <n v="424"/>
    <s v="'30091104 "/>
    <s v="FIBER INTERNATIONAL"/>
    <s v="TIRUPPUR"/>
    <s v="TS 10 120 HN"/>
    <x v="9"/>
    <s v="CJKE670129"/>
    <s v="ccs004 "/>
    <s v="23.02.2010 11:33 "/>
    <s v="23.02.2010 11:45"/>
    <s v="23.02.2010 12:30"/>
    <x v="11"/>
    <n v="1"/>
    <n v="1"/>
    <m/>
    <m/>
    <s v="Warranty Commissioning"/>
    <m/>
  </r>
  <r>
    <n v="426"/>
    <s v="'30091087 "/>
    <s v="VR SPINNING MILLS PVT LTD"/>
    <s v="Udumalpet"/>
    <s v="TS 10 120"/>
    <x v="9"/>
    <s v="CJJE450001"/>
    <s v="ccs005 "/>
    <s v="18.02.2010 10:15 "/>
    <s v="18.02.2010 10:15"/>
    <s v="19.02.2010 14:00"/>
    <x v="11"/>
    <n v="28"/>
    <n v="28"/>
    <m/>
    <m/>
    <s v="Warranty Commissioning"/>
    <m/>
  </r>
  <r>
    <n v="428"/>
    <s v="'30091081 "/>
    <s v="HI TECH TYRE RETREADING"/>
    <s v="Annur"/>
    <s v="TS 10 120 HN"/>
    <x v="9"/>
    <s v="CJKE670123"/>
    <s v="ccs007 "/>
    <s v="17.02.2010 14:15 "/>
    <s v="17.02.2010 14:30"/>
    <s v="17.02.2010 17:00"/>
    <x v="4"/>
    <n v="3"/>
    <n v="3"/>
    <m/>
    <m/>
    <s v="Warranty Commissioning"/>
    <m/>
  </r>
  <r>
    <n v="430"/>
    <s v="'30091074 "/>
    <s v="VETTUVAPALAYAM CE &amp; RO PLANT"/>
    <s v="TIRUPPUR"/>
    <s v="TS 10 120 HN"/>
    <x v="9"/>
    <s v="CJJE670023"/>
    <s v="ccs003 "/>
    <s v="13.02.2010 15:20 "/>
    <s v="13.02.2010 15:45"/>
    <s v="13.02.2010 16:30"/>
    <x v="4"/>
    <n v="1"/>
    <n v="1"/>
    <m/>
    <m/>
    <s v="Warranty Commissioning"/>
    <m/>
  </r>
  <r>
    <n v="436"/>
    <s v="'30091051 "/>
    <s v="PIPER INTERNATIONAL"/>
    <s v="TIRUPPUR"/>
    <s v="TS 10 120 HN"/>
    <x v="9"/>
    <s v="CIGE670668"/>
    <s v="ccs007 "/>
    <s v="05.02.2010 15:17 "/>
    <s v="05.02.2010 15:30"/>
    <s v="06.02.2010 18:00"/>
    <x v="4"/>
    <n v="27"/>
    <n v="27"/>
    <m/>
    <m/>
    <s v="Warranty Failure"/>
    <m/>
  </r>
  <r>
    <n v="437"/>
    <s v="'30091043 "/>
    <s v="FAIR AND FAIR GARMENTS"/>
    <s v="Tiruppur"/>
    <s v="TS 10 120 HN"/>
    <x v="9"/>
    <s v="CIIE670886"/>
    <s v="ccs007 "/>
    <s v="03.02.2010 15:24 "/>
    <s v="03.02.2010 15:30"/>
    <s v="03.02.2010 17:00"/>
    <x v="4"/>
    <n v="2"/>
    <n v="2"/>
    <m/>
    <m/>
    <s v="Warranty Commissioning"/>
    <m/>
  </r>
  <r>
    <n v="440"/>
    <s v="'30091029 "/>
    <s v="PIPER INTERNATIONAL"/>
    <s v="Tirupur"/>
    <s v="TS 10 120 HN"/>
    <x v="9"/>
    <s v="CIGE670662"/>
    <s v="ccs001 "/>
    <s v="01.02.2010 14:51 "/>
    <s v="01.02.2010 14:55"/>
    <s v="01.02.2010 17:00"/>
    <x v="4"/>
    <n v="2"/>
    <n v="2"/>
    <m/>
    <m/>
    <s v="Warranty Commissioning"/>
    <m/>
  </r>
  <r>
    <n v="445"/>
    <s v="'30091007 "/>
    <s v="ATLAS TEXTILE"/>
    <s v="TIRUPPUR"/>
    <s v="TS 10 120 HN"/>
    <x v="9"/>
    <s v="CJJE670023"/>
    <s v="ccs004 "/>
    <s v="28.01.2010 12:37 "/>
    <s v="28.01.2010 12:45"/>
    <s v="29.01.2010 14:00"/>
    <x v="4"/>
    <n v="25"/>
    <n v="25"/>
    <m/>
    <m/>
    <s v="Warranty Commissioning"/>
    <m/>
  </r>
  <r>
    <n v="446"/>
    <s v="'30091002 "/>
    <s v="SHABILLA SHOES"/>
    <s v="Coimbatore"/>
    <s v="TS10120HN"/>
    <x v="9"/>
    <s v="CIGE670694"/>
    <s v="ccs001 "/>
    <s v="27.01.2010 14:11 "/>
    <s v="27.01.2010 14:25"/>
    <s v="28.01.2010 17:45"/>
    <x v="4"/>
    <n v="28"/>
    <n v="28"/>
    <m/>
    <m/>
    <s v="Warranty Commissioning"/>
    <m/>
  </r>
  <r>
    <n v="457"/>
    <s v="'30090948 "/>
    <s v="SHANTHI GEARS"/>
    <s v="COIMBATORE"/>
    <s v="TS10120"/>
    <x v="9"/>
    <s v="D30090948"/>
    <s v="ccs005 "/>
    <s v="11.01.2010 12:13 "/>
    <s v="12.01.2010 10:00"/>
    <s v="30.01.2010 13:00"/>
    <x v="4"/>
    <n v="-1"/>
    <n v="457"/>
    <m/>
    <m/>
    <s v="Out of Warranty"/>
    <m/>
  </r>
  <r>
    <n v="460"/>
    <s v="'30090917 "/>
    <s v="KARTHIGAI TEXTILED MILLS"/>
    <s v="Tirupur"/>
    <s v="TS 10 120 HN"/>
    <x v="9"/>
    <s v="CIDE670363"/>
    <s v="ccs001 "/>
    <s v="04.01.2010 16:08 "/>
    <s v="04.01.2010 16:15"/>
    <s v="04.01.2010 18:00"/>
    <x v="4"/>
    <n v="2"/>
    <n v="2"/>
    <m/>
    <m/>
    <s v="Warranty Commissioning"/>
    <m/>
  </r>
  <r>
    <n v="461"/>
    <s v="'30090902 "/>
    <s v="SIVAGURU SPINNING MILLS PVT LTD"/>
    <s v="Coimbatore"/>
    <s v="TS 10 120 HN"/>
    <x v="9"/>
    <s v="CIIE670870"/>
    <s v="ccs007 "/>
    <s v="28.12.2009 17:19 "/>
    <s v="28.12.2009 17:15"/>
    <s v="29.12.2009 14:00"/>
    <x v="4"/>
    <n v="21"/>
    <n v="21"/>
    <m/>
    <m/>
    <s v="Warranty Commissioning"/>
    <m/>
  </r>
  <r>
    <n v="462"/>
    <s v="'30090900 "/>
    <s v="LAKSHMI PRECISION MACHINING CENTRE"/>
    <s v="Narasimmanackienpalayam"/>
    <s v="TS 10 120 HN"/>
    <x v="9"/>
    <n v="48181"/>
    <s v="ccs004 "/>
    <s v="28.12.2009 12:24 "/>
    <s v="28.12.2009 12:15"/>
    <s v="28.12.2009 16:00"/>
    <x v="4"/>
    <n v="4"/>
    <n v="4"/>
    <m/>
    <m/>
    <s v="Annual Maintenance contract"/>
    <m/>
  </r>
  <r>
    <n v="464"/>
    <s v="'30090895 "/>
    <s v="POORANI TEXTILES"/>
    <s v="Coimbatore"/>
    <s v="TS 10 120"/>
    <x v="9"/>
    <s v="CIHE450023"/>
    <s v="ccs005 "/>
    <s v="26.12.2009 10:09 "/>
    <s v="26.12.2009 10:00"/>
    <s v="26.12.2009 13:00"/>
    <x v="4"/>
    <n v="3"/>
    <n v="3"/>
    <m/>
    <m/>
    <s v="Warranty Commissioning"/>
    <m/>
  </r>
  <r>
    <n v="465"/>
    <s v="'30090884 "/>
    <s v="AR TEX"/>
    <s v="TIRUPPUR"/>
    <s v="TS 10 120"/>
    <x v="9"/>
    <s v="CIIE450025"/>
    <s v="ccs002 "/>
    <s v="23.12.2009 15:20 "/>
    <s v="23.12.2009 15:30"/>
    <s v="23.12.2009 17:00"/>
    <x v="4"/>
    <n v="2"/>
    <n v="2"/>
    <m/>
    <m/>
    <s v="Warranty Commissioning"/>
    <m/>
  </r>
  <r>
    <n v="482"/>
    <s v="'30090761 "/>
    <s v="CO INDIA"/>
    <s v="COIMBATORE"/>
    <s v="TS 10 120 HN"/>
    <x v="9"/>
    <s v="CIGE670722"/>
    <s v="ccs004 "/>
    <s v="17.11.2009 11:02 "/>
    <s v="17.11.2009 11:15"/>
    <s v="17.11.2009 13:00"/>
    <x v="4"/>
    <n v="2"/>
    <n v="2"/>
    <m/>
    <m/>
    <s v="Warranty Commissioning"/>
    <m/>
  </r>
  <r>
    <n v="487"/>
    <s v="'30090741 "/>
    <s v="ROYAL PRECISION SPINTECH"/>
    <s v="COIMBATORE"/>
    <s v="TS 10 120 HN"/>
    <x v="9"/>
    <s v="CIDE670373"/>
    <s v="ccs004 "/>
    <s v="10.11.2009 12:45 "/>
    <s v="10.11.2009 13:00"/>
    <s v="10.11.2009 14:00"/>
    <x v="4"/>
    <n v="1"/>
    <n v="1"/>
    <m/>
    <m/>
    <s v="Warranty Failure"/>
    <m/>
  </r>
  <r>
    <n v="491"/>
    <s v="'30090730 "/>
    <s v="SRI RAM TEX"/>
    <s v="Coimbatore"/>
    <s v="TS 10 120"/>
    <x v="9"/>
    <s v="CIGE450019"/>
    <s v="ccs007 "/>
    <s v="09.11.2009 10:09 "/>
    <s v="09.11.2009 10:15"/>
    <s v="09.11.2009 14:00"/>
    <x v="4"/>
    <n v="4"/>
    <n v="4"/>
    <m/>
    <m/>
    <s v="Warranty Commissioning"/>
    <m/>
  </r>
  <r>
    <n v="492"/>
    <s v="'30090729 "/>
    <s v="RVS BOTTLE CAPS"/>
    <s v="Coimbatore"/>
    <s v="TS10120"/>
    <x v="9"/>
    <n v="48459"/>
    <s v="ccs007 "/>
    <s v="09.11.2009 10:08 "/>
    <s v="09.11.2009 10:15"/>
    <s v="09.11.2009 16:00"/>
    <x v="4"/>
    <n v="6"/>
    <n v="6"/>
    <m/>
    <m/>
    <s v="Annual Maintenance contract"/>
    <m/>
  </r>
  <r>
    <n v="496"/>
    <s v="'30090716 "/>
    <s v="SRI THIRUMAGAL PROCESS"/>
    <s v="Tirupur"/>
    <s v="TS 10 120"/>
    <x v="9"/>
    <s v="CIGE450020"/>
    <s v="ccs001 "/>
    <s v="06.11.2009 11:33 "/>
    <s v="15.11.2009 10:00"/>
    <s v="16.11.2009 13:00"/>
    <x v="4"/>
    <n v="-1"/>
    <n v="241"/>
    <m/>
    <m/>
    <s v="Warranty Commissioning"/>
    <m/>
  </r>
  <r>
    <n v="500"/>
    <s v="'30090696 "/>
    <s v="NUVA MACHINE WORKS PVT LTD"/>
    <s v="Tirupur"/>
    <s v="TS 10 120 HN"/>
    <x v="9"/>
    <s v="CIGE670703"/>
    <s v="ccs007 "/>
    <s v="30.10.2009 15:33 "/>
    <s v="30.10.2009 15:45"/>
    <s v="30.10.2009 18:00"/>
    <x v="4"/>
    <n v="2"/>
    <n v="2"/>
    <m/>
    <m/>
    <s v="Warranty Commissioning"/>
    <m/>
  </r>
  <r>
    <n v="502"/>
    <s v="'30090675 "/>
    <s v="LOYAL RETREADS"/>
    <s v="Karur"/>
    <s v="TS10120"/>
    <x v="9"/>
    <s v="CIBE670331"/>
    <s v="ccs007 "/>
    <s v="26.10.2009 16:18 "/>
    <s v="27.10.2009 10:00"/>
    <s v="07.11.2009 14:00"/>
    <x v="4"/>
    <n v="268"/>
    <n v="286"/>
    <m/>
    <m/>
    <s v="Warranty Failure"/>
    <m/>
  </r>
  <r>
    <n v="515"/>
    <s v="'30090598 "/>
    <s v="PUPYS KNIT WEAR"/>
    <s v="Tirupur"/>
    <s v="TS 10 120 HN"/>
    <x v="9"/>
    <s v="CIFE670521"/>
    <s v="ccs001 "/>
    <s v="24.09.2009 11:23 "/>
    <s v="24.09.2009 11:30"/>
    <s v="24.09.2009 14:00"/>
    <x v="4"/>
    <n v="3"/>
    <n v="3"/>
    <m/>
    <m/>
    <s v="Warranty Commissioning"/>
    <m/>
  </r>
  <r>
    <n v="518"/>
    <s v="'30090582 "/>
    <s v="SRI DHANALAKSHMI EXPORTS"/>
    <s v="Tirupur"/>
    <s v="TS 10 120 HN"/>
    <x v="9"/>
    <s v="CIEE670491"/>
    <s v="ccs001 "/>
    <s v="18.09.2009 11:36 "/>
    <s v="18.09.2009 11:45"/>
    <s v="18.09.2009 16:00"/>
    <x v="4"/>
    <n v="4"/>
    <n v="4"/>
    <m/>
    <m/>
    <s v="Warranty Commissioning"/>
    <m/>
  </r>
  <r>
    <n v="534"/>
    <s v="'30090232 "/>
    <s v="ALAGENDIRAA EXPORTS PVT LTD"/>
    <s v="TIRUPPUR"/>
    <s v="TS 10 120 HN"/>
    <x v="9"/>
    <s v="CIBE670204"/>
    <s v="ccs002 "/>
    <s v="16.06.2009 17:53 "/>
    <s v="17.06.2009 10:00"/>
    <s v="18.06.2009 21:00"/>
    <x v="4"/>
    <n v="35"/>
    <n v="51"/>
    <m/>
    <m/>
    <s v="Warranty Commissioning"/>
    <m/>
  </r>
  <r>
    <n v="543"/>
    <s v="'30081215 "/>
    <s v="PONMUTHU MODERN RICE MILL"/>
    <s v="KODUMUDI"/>
    <s v="TS 10 120 HN"/>
    <x v="9"/>
    <s v="CHIE670639"/>
    <s v="ccs002 "/>
    <s v="16.03.2009 16:18 "/>
    <s v="16.03.2009 16:30"/>
    <s v="16.03.2009 19:00"/>
    <x v="4"/>
    <n v="3"/>
    <n v="3"/>
    <m/>
    <m/>
    <s v="Warranty Commissioning"/>
    <m/>
  </r>
  <r>
    <n v="548"/>
    <s v="'30081135 "/>
    <s v="SUMERO KNITS UNIT 1"/>
    <s v="Sathyamangalam"/>
    <s v="TS 10 120 HN"/>
    <x v="9"/>
    <s v="CHHE670618"/>
    <s v="ccs007 "/>
    <s v="18.02.2009 14:42 "/>
    <s v="18.02.2009 15:00"/>
    <s v="18.02.2009 18:00"/>
    <x v="4"/>
    <n v="3"/>
    <n v="3"/>
    <m/>
    <m/>
    <s v="Warranty Failure"/>
    <m/>
  </r>
  <r>
    <n v="550"/>
    <s v="'30081118 "/>
    <s v="MUTHUR MURUGAN MILLS LTD"/>
    <s v="Coimbatore"/>
    <s v="TS10120"/>
    <x v="9"/>
    <n v="15297"/>
    <s v="ccs001 "/>
    <s v="16.02.2009 11:50 "/>
    <s v="18.02.2009 09:00"/>
    <s v="19.02.2009 16:00"/>
    <x v="5"/>
    <n v="31"/>
    <n v="76"/>
    <m/>
    <m/>
    <s v="Out of Warranty"/>
    <m/>
  </r>
  <r>
    <n v="551"/>
    <s v="'30081103 "/>
    <s v="RMS DYEING"/>
    <s v="Tiruppur"/>
    <s v="TS10120"/>
    <x v="9"/>
    <n v="34915"/>
    <s v="ccs007 "/>
    <s v="09.02.2009 15:41 "/>
    <s v="09.02.2009 15:45"/>
    <s v="19.02.2009 12:00"/>
    <x v="5"/>
    <n v="236"/>
    <n v="236"/>
    <m/>
    <m/>
    <s v="Out of Warranty"/>
    <m/>
  </r>
  <r>
    <n v="561"/>
    <s v="'30081041 "/>
    <s v="RAGAM EXPORTS"/>
    <s v="Tirupur"/>
    <s v="TS 10 120"/>
    <x v="9"/>
    <s v="CIJE450001"/>
    <s v="ccs001 "/>
    <s v="21.01.2009 10:49 "/>
    <s v="21.01.2009 10:25"/>
    <s v="21.01.2009 13:00"/>
    <x v="5"/>
    <n v="3"/>
    <n v="2"/>
    <m/>
    <m/>
    <s v="Warranty Commissioning"/>
    <m/>
  </r>
  <r>
    <n v="565"/>
    <s v="'30080959 "/>
    <s v="SUMERU KNITS"/>
    <s v="SATHY"/>
    <s v="TS 10 120 HN"/>
    <x v="9"/>
    <s v="CHHE670618"/>
    <s v="ccs002 "/>
    <s v="27.12.2008 12:58 "/>
    <s v="27.12.2008 12:45"/>
    <s v="31.12.2008 18:00"/>
    <x v="5"/>
    <n v="101"/>
    <n v="101"/>
    <m/>
    <m/>
    <s v="Warranty Commissioning"/>
    <m/>
  </r>
  <r>
    <n v="571"/>
    <s v="'30080917 "/>
    <s v="RMS DYING"/>
    <s v="Tirupur"/>
    <s v="TS10120"/>
    <x v="9"/>
    <n v="34915"/>
    <s v="ccs001 "/>
    <s v="16.12.2008 11:17 "/>
    <s v="16.12.2008 11:15"/>
    <s v="17.12.2008 12:00"/>
    <x v="5"/>
    <n v="25"/>
    <n v="25"/>
    <m/>
    <m/>
    <s v="Out of Warranty"/>
    <m/>
  </r>
  <r>
    <n v="572"/>
    <s v="'30080895 "/>
    <s v="SARASWATHY BLEECING COMPANY"/>
    <s v="Tirupur"/>
    <s v="TS 10 120 HN"/>
    <x v="9"/>
    <s v="CHGE670471"/>
    <s v="ccs001 "/>
    <s v="08.12.2008 14:50 "/>
    <s v="08.12.2008 14:45"/>
    <s v="08.12.2008 16:40"/>
    <x v="5"/>
    <n v="2"/>
    <n v="2"/>
    <m/>
    <m/>
    <s v="Warranty Commissioning"/>
    <m/>
  </r>
  <r>
    <n v="576"/>
    <s v="'30080869 "/>
    <s v="ANGEL LABEL DIVISION"/>
    <s v="TIRUPPUR"/>
    <s v="TS 10 120 HN"/>
    <x v="9"/>
    <s v="CHHE670585"/>
    <s v="ccs002 "/>
    <s v="29.11.2008 15:40 "/>
    <s v="29.11.2008 16:00"/>
    <s v="01.12.2008 16:00"/>
    <x v="5"/>
    <n v="48"/>
    <n v="48"/>
    <m/>
    <m/>
    <s v="Warranty Commissioning"/>
    <m/>
  </r>
  <r>
    <n v="581"/>
    <s v="'30080823 "/>
    <s v="PEACOCK PROCESS"/>
    <s v="Tirupur"/>
    <s v="TS 10 120 HN"/>
    <x v="9"/>
    <s v="CHFE670363"/>
    <s v="ccs001 "/>
    <s v="18.11.2008 16:10 "/>
    <s v="18.11.2008 16:10"/>
    <s v="18.11.2008 18:00"/>
    <x v="5"/>
    <n v="2"/>
    <n v="2"/>
    <m/>
    <m/>
    <s v="Warranty Commissioning"/>
    <m/>
  </r>
  <r>
    <n v="584"/>
    <s v="'30080802 "/>
    <s v="LAKSHMI PRECISION MACHING CENTRE"/>
    <s v="Coimbatore"/>
    <s v="TS10120"/>
    <x v="9"/>
    <n v="48181"/>
    <s v="ccs007 "/>
    <s v="12.11.2008 16:45 "/>
    <s v="12.11.2008 16:45"/>
    <s v="12.11.2008 19:00"/>
    <x v="5"/>
    <n v="2"/>
    <n v="2"/>
    <m/>
    <m/>
    <s v="Annual Maintenance contract"/>
    <m/>
  </r>
  <r>
    <n v="585"/>
    <s v="'30080782 "/>
    <s v="FAIR N FLAIR GARMENTS"/>
    <s v="Tirupur"/>
    <s v="TS 10 120 HN"/>
    <x v="9"/>
    <s v="CHGE670521"/>
    <s v="ccs001 "/>
    <s v="07.11.2008 11:43 "/>
    <s v="07.11.2008 11:45"/>
    <s v="07.11.2008 12:45"/>
    <x v="5"/>
    <n v="1"/>
    <n v="1"/>
    <m/>
    <m/>
    <s v="Warranty Commissioning"/>
    <m/>
  </r>
  <r>
    <n v="615"/>
    <s v="'30080544 "/>
    <s v="LAKSHMI PRECISION MACHINERY CENTRE"/>
    <s v="Coimbatore"/>
    <s v="TS 10 120 HN"/>
    <x v="9"/>
    <n v="48181"/>
    <s v="ccs007 "/>
    <s v="04.09.2008 18:29 "/>
    <s v="04.09.2008 18:15"/>
    <s v="04.09.2008 20:00"/>
    <x v="5"/>
    <n v="2"/>
    <n v="2"/>
    <m/>
    <m/>
    <s v="Annual Maintenance contract"/>
    <m/>
  </r>
  <r>
    <n v="629"/>
    <s v="'30080298 "/>
    <s v="LAKSHMI PRECISSION MACHING CENTRE"/>
    <s v="Coimbatore"/>
    <s v="TS 10 120 HN"/>
    <x v="9"/>
    <n v="48181"/>
    <s v="ccs003 "/>
    <s v="04.07.2008 17:13 "/>
    <s v="04.07.2008 17:45"/>
    <s v="07.07.2008 12:00"/>
    <x v="5"/>
    <n v="67"/>
    <n v="67"/>
    <m/>
    <m/>
    <s v="Annual Maintenance contract"/>
    <m/>
  </r>
  <r>
    <n v="639"/>
    <s v="'30085753 "/>
    <s v="SRI PRIYALAKSHMI SPINNERS PVT LTD"/>
    <s v="Udumalpet"/>
    <s v="TS 10 120"/>
    <x v="9"/>
    <n v="82060"/>
    <s v="ccs004 "/>
    <s v="11.04.2008 18:03 "/>
    <s v="18.04.2008 10:00"/>
    <s v="07.05.2008 13:00"/>
    <x v="5"/>
    <n v="268"/>
    <n v="619"/>
    <m/>
    <m/>
    <s v="Out of Warranty"/>
    <m/>
  </r>
  <r>
    <n v="640"/>
    <s v="'30085752 "/>
    <s v="SRI PRIYALAKSHMI SPINNERS PVT LTD"/>
    <s v="Udumalpet"/>
    <s v="TS 10 120"/>
    <x v="9"/>
    <n v="82061"/>
    <s v="ccs004 "/>
    <s v="11.04.2008 18:03 "/>
    <s v="12.04.2008 09:00"/>
    <s v="24.05.2008 12:30"/>
    <x v="5"/>
    <n v="-1"/>
    <n v="1026"/>
    <s v="3513A7103-09.05.2008"/>
    <s v="3513A7103"/>
    <s v="Out of Warranty"/>
    <m/>
  </r>
  <r>
    <n v="641"/>
    <s v="'30085751 "/>
    <s v="SRI PRIYALAKSHMI SPINNERS PVT LTD"/>
    <s v="Udumalpet"/>
    <s v="TS 10 120"/>
    <x v="9"/>
    <n v="82062"/>
    <s v="ccs004 "/>
    <s v="11.04.2008 17:59 "/>
    <s v="12.04.2008 09:00"/>
    <s v="24.05.2008 16:30"/>
    <x v="5"/>
    <n v="-1"/>
    <n v="1031"/>
    <s v="3513A7102-09.05.2008"/>
    <s v="3513A7102"/>
    <s v="Out of Warranty"/>
    <m/>
  </r>
  <r>
    <n v="643"/>
    <s v="'30075535 "/>
    <s v="SARANYA EXPORTS"/>
    <s v="Coimbatore"/>
    <s v="TS10120H-500L"/>
    <x v="9"/>
    <n v="33"/>
    <s v="ccs001 "/>
    <s v="06.03.2008 11:33 "/>
    <s v="06.03.2008 11:35"/>
    <s v="17.03.2008 12:00"/>
    <x v="5"/>
    <n v="265"/>
    <n v="264"/>
    <m/>
    <m/>
    <s v="Out of Warranty"/>
    <m/>
  </r>
  <r>
    <n v="647"/>
    <s v="'30075163 "/>
    <s v="GURU KNIT FINISHERS--CITY"/>
    <s v="Tirupur"/>
    <s v="TS 10 HN 500L"/>
    <x v="9"/>
    <n v="48758"/>
    <s v="ccs004 "/>
    <s v="24.12.2007 12:25 "/>
    <s v="24.12.2007 12:30"/>
    <s v="24.12.2007 14:30"/>
    <x v="3"/>
    <n v="2"/>
    <n v="2"/>
    <m/>
    <m/>
    <s v="Out of Warranty"/>
    <m/>
  </r>
  <r>
    <n v="666"/>
    <s v="'30074980 "/>
    <s v="OSCAR PROCESS--CITY"/>
    <s v="Tirupur"/>
    <s v="TS 10 HN 500L"/>
    <x v="9"/>
    <n v="48542"/>
    <s v="ccs001 "/>
    <s v="20.11.2007 11:32 "/>
    <s v="20.11.2007 11:35"/>
    <s v="01.12.2007 12:00"/>
    <x v="3"/>
    <n v="264"/>
    <n v="264"/>
    <m/>
    <m/>
    <m/>
    <m/>
  </r>
  <r>
    <n v="667"/>
    <s v="'30074923 "/>
    <s v="PSR SPINNING MILLS -- C"/>
    <s v="COIMBATORE"/>
    <s v="TS 10 HN 500L"/>
    <x v="9"/>
    <n v="48337"/>
    <s v="ccs002 "/>
    <s v="02.11.2007 18:08 "/>
    <s v="03.11.2007 09:00"/>
    <s v="17.11.2007 18:00"/>
    <x v="3"/>
    <n v="345"/>
    <n v="360"/>
    <m/>
    <m/>
    <m/>
    <m/>
  </r>
  <r>
    <n v="674"/>
    <s v="'30074807 "/>
    <s v="RBR GARMENTS PVT LTD---CITY"/>
    <s v="Coimbatore"/>
    <s v="TS 10 HN 500L"/>
    <x v="9"/>
    <n v="48744"/>
    <s v="ccs001 "/>
    <s v="08.10.2007 11:26 "/>
    <s v="08.10.2007 11:30"/>
    <s v="08.10.2007 15:30"/>
    <x v="3"/>
    <n v="4"/>
    <n v="4"/>
    <m/>
    <m/>
    <m/>
    <m/>
  </r>
  <r>
    <n v="680"/>
    <s v="'30074765 "/>
    <s v="SRI RAM FASHION--CITY"/>
    <s v="Tiruppur"/>
    <s v="TS10120"/>
    <x v="9"/>
    <n v="82475"/>
    <s v="ccs003 "/>
    <s v="28.09.2007 16:11 "/>
    <s v="28.09.2007 16:30"/>
    <s v="28.09.2007 19:00"/>
    <x v="3"/>
    <n v="3"/>
    <n v="3"/>
    <m/>
    <m/>
    <m/>
    <m/>
  </r>
  <r>
    <n v="681"/>
    <s v="'30074764 "/>
    <s v="SRI RAM FASHION--CITY"/>
    <s v="Tiruppur"/>
    <s v="TS10120"/>
    <x v="9"/>
    <n v="82477"/>
    <s v="ccs003 "/>
    <s v="28.09.2007 16:11 "/>
    <s v="28.09.2007 16:30"/>
    <s v="28.09.2007 19:00"/>
    <x v="3"/>
    <n v="3"/>
    <n v="3"/>
    <m/>
    <m/>
    <m/>
    <m/>
  </r>
  <r>
    <n v="684"/>
    <s v="'30074660 "/>
    <s v="SAKTHI COMPATING--CITY"/>
    <s v="Tiruppur"/>
    <s v="TS 10 HN 500L"/>
    <x v="9"/>
    <n v="47825"/>
    <s v="ccs003 "/>
    <s v="05.09.2007 15:48 "/>
    <s v="05.09.2007 16:15"/>
    <s v="24.09.2007 11:30"/>
    <x v="3"/>
    <n v="452"/>
    <n v="452"/>
    <s v="3511C7110-14.09.2007"/>
    <s v="3511C7110"/>
    <m/>
    <m/>
  </r>
  <r>
    <n v="689"/>
    <s v="'30074645 "/>
    <s v="ESHWARA TEXTILES--CITY"/>
    <s v="Coimbatore"/>
    <s v="TS 10 HN 420L"/>
    <x v="9"/>
    <n v="48489"/>
    <s v="ccs003 "/>
    <s v="04.09.2007 14:04 "/>
    <s v="04.09.2007 14:30"/>
    <s v="04.09.2007 16:00"/>
    <x v="3"/>
    <n v="2"/>
    <n v="2"/>
    <m/>
    <m/>
    <m/>
    <m/>
  </r>
  <r>
    <n v="694"/>
    <s v="'30074639 "/>
    <s v="GANGOTHRI TEXTILES LTD--CITY"/>
    <s v="Palladam"/>
    <s v="TS 10 HN 500L"/>
    <x v="9"/>
    <n v="48520"/>
    <s v="ccs005 "/>
    <s v="03.09.2007 17:21 "/>
    <s v="03.09.2007 17:30"/>
    <s v="21.09.2007 14:00"/>
    <x v="3"/>
    <n v="429"/>
    <n v="429"/>
    <m/>
    <m/>
    <m/>
    <m/>
  </r>
  <r>
    <n v="695"/>
    <s v="'30074628 "/>
    <s v="LRG TECHNOLOGY PVT LTD--CITY"/>
    <s v="Tiruppur"/>
    <s v="TS10 120"/>
    <x v="9"/>
    <n v="17588"/>
    <s v="ccs003 "/>
    <s v="31.08.2007 15:44 "/>
    <s v="31.08.2007 16:00"/>
    <s v="03.10.2007 12:00"/>
    <x v="3"/>
    <n v="788"/>
    <n v="788"/>
    <s v="3511C7112-14.09.2007"/>
    <s v="3511C7112"/>
    <m/>
    <m/>
  </r>
  <r>
    <n v="703"/>
    <s v="'30074228 "/>
    <s v="VS ENGINEERING--CITY"/>
    <s v="Coimbatore"/>
    <s v="TS10 120"/>
    <x v="9"/>
    <n v="60549"/>
    <s v="ccs001 "/>
    <s v="30.05.2007 10:42 "/>
    <s v="30.05.2007 10:45"/>
    <s v="01.06.2007 15:00"/>
    <x v="3"/>
    <n v="52"/>
    <n v="52"/>
    <m/>
    <m/>
    <m/>
    <m/>
  </r>
  <r>
    <n v="706"/>
    <s v="'30074190 "/>
    <s v="AARTHI A1 TRADER"/>
    <s v="Karur"/>
    <s v="TS10"/>
    <x v="9"/>
    <n v="47818"/>
    <s v="ccs003 "/>
    <s v="21.05.2007 19:00 "/>
    <s v="22.05.2007 09:00"/>
    <s v="26.05.2007 09:30"/>
    <x v="3"/>
    <n v="111"/>
    <n v="110"/>
    <m/>
    <m/>
    <m/>
    <m/>
  </r>
  <r>
    <n v="715"/>
    <s v="'30063870 "/>
    <s v="TOP TECH INDUSTRIES--CITY"/>
    <s v="Cinnavedampatty"/>
    <s v="TS10120H-220L"/>
    <x v="9"/>
    <s v="D30063870"/>
    <s v="ccs001 "/>
    <s v="03.03.2007 10:56 "/>
    <s v="03.03.2007 11:00"/>
    <s v="10.03.2007 16:30"/>
    <x v="3"/>
    <n v="174"/>
    <n v="174"/>
    <m/>
    <m/>
    <m/>
    <m/>
  </r>
  <r>
    <n v="729"/>
    <s v="'30063230 "/>
    <s v="CHAAYA INDUSTRIES LTD -- CITY"/>
    <s v="Palakkad"/>
    <s v="TS 10 HN 420L"/>
    <x v="9"/>
    <n v="47508"/>
    <s v="ccs001 "/>
    <s v="09.10.2006 18:14 "/>
    <s v="09.10.2006 18:30"/>
    <s v="09.10.2006 20:45"/>
    <x v="12"/>
    <n v="0"/>
    <n v="3"/>
    <m/>
    <m/>
    <m/>
    <m/>
  </r>
  <r>
    <n v="734"/>
    <s v="'30062791 "/>
    <s v="SHKTHI TECH--CITY"/>
    <s v="Coimbatore"/>
    <s v="TS 10"/>
    <x v="9"/>
    <n v="46942"/>
    <s v="ccs001 "/>
    <s v="17.07.2006 14:46 "/>
    <s v="17.07.2006 15:00"/>
    <s v="24.07.2006 13:30"/>
    <x v="12"/>
    <n v="0"/>
    <n v="167"/>
    <m/>
    <m/>
    <m/>
    <m/>
  </r>
  <r>
    <n v="738"/>
    <s v="'30062785 "/>
    <s v="DHANAM PROCESS -- CITY"/>
    <s v="Tripur"/>
    <s v="TS 10"/>
    <x v="9"/>
    <n v="41881"/>
    <s v="ccs001 "/>
    <s v="15.07.2006 16:08 "/>
    <s v="15.07.2006 16:15"/>
    <s v="15.07.2006 18:30"/>
    <x v="12"/>
    <n v="0"/>
    <n v="2"/>
    <m/>
    <m/>
    <m/>
    <m/>
  </r>
  <r>
    <n v="739"/>
    <s v="'30062771 "/>
    <s v="MILMA DAIRY MILK"/>
    <s v="Palakad"/>
    <s v="TS 10"/>
    <x v="9"/>
    <n v="82134"/>
    <s v="ccs001 "/>
    <s v="14.07.2006 10:12 "/>
    <s v="14.07.2006 10:30"/>
    <s v="14.07.2006 16:30"/>
    <x v="12"/>
    <n v="0"/>
    <n v="6"/>
    <m/>
    <m/>
    <m/>
    <m/>
  </r>
  <r>
    <n v="740"/>
    <s v="'30062753 "/>
    <s v="DAILY THANTHI -- CITY"/>
    <s v="Coimbatore"/>
    <s v="TS 10"/>
    <x v="9"/>
    <s v="D30062753"/>
    <s v="ccs001 "/>
    <s v="11.07.2006 15:15 "/>
    <s v="11.07.2006 15:30"/>
    <s v="14.07.2006 13:00"/>
    <x v="12"/>
    <n v="0"/>
    <n v="70"/>
    <m/>
    <m/>
    <m/>
    <m/>
  </r>
  <r>
    <n v="743"/>
    <s v="'30062309 "/>
    <s v="PARTNER COATS--CITY"/>
    <s v="Coimbatore"/>
    <s v="TS 10"/>
    <x v="9"/>
    <n v="46775"/>
    <s v="ccs001 "/>
    <s v="12.05.2006 11:47 "/>
    <s v="12.05.2006 12:00"/>
    <s v="12.05.2006 14:15"/>
    <x v="12"/>
    <n v="0"/>
    <n v="2"/>
    <m/>
    <m/>
    <m/>
    <m/>
  </r>
  <r>
    <n v="746"/>
    <s v="'30052045 "/>
    <s v="ROBO DYING"/>
    <s v="Tirupur"/>
    <s v="TS 10"/>
    <x v="9"/>
    <n v="46772"/>
    <s v="ccs001 "/>
    <s v="25.03.2006 14:24 "/>
    <s v="26.03.2006 09:00"/>
    <s v="27.03.2006 14:00"/>
    <x v="12"/>
    <n v="0"/>
    <n v="48"/>
    <m/>
    <m/>
    <m/>
    <m/>
  </r>
  <r>
    <n v="753"/>
    <s v="'30051497 "/>
    <s v="AADITHYA TEXTILE PROCESS"/>
    <s v="Tirupur"/>
    <s v="TS 10"/>
    <x v="9"/>
    <n v="46433"/>
    <s v="ccs001 "/>
    <s v="13.12.2005 16:54 "/>
    <s v="13.12.2005 17:00"/>
    <s v="14.12.2005 16:00"/>
    <x v="0"/>
    <n v="0"/>
    <n v="23"/>
    <m/>
    <m/>
    <m/>
    <m/>
  </r>
  <r>
    <n v="755"/>
    <s v="'30051493 "/>
    <s v="DESIGN PRINTING-CITY"/>
    <s v="Tirupur"/>
    <s v="TS 10"/>
    <x v="9"/>
    <n v="46321"/>
    <s v="ccs001 "/>
    <s v="13.12.2005 11:41 "/>
    <s v="13.12.2005 11:45"/>
    <s v="13.12.2005 13:30"/>
    <x v="0"/>
    <n v="0"/>
    <n v="2"/>
    <m/>
    <m/>
    <m/>
    <m/>
  </r>
  <r>
    <n v="760"/>
    <s v="'30051481 "/>
    <s v="SCATS---CITY"/>
    <s v="Tiruppur"/>
    <s v="TS 10"/>
    <x v="9"/>
    <n v="43257"/>
    <s v="ccs001 "/>
    <s v="10.12.2005 12:55 "/>
    <s v="10.12.2005 13:00"/>
    <s v="10.12.2005 15:00"/>
    <x v="0"/>
    <n v="0"/>
    <n v="2"/>
    <m/>
    <m/>
    <m/>
    <m/>
  </r>
  <r>
    <n v="762"/>
    <s v="'30051478 "/>
    <s v="ABHIRAMI ELECTRONICS PVT LTD---CITY"/>
    <s v="Coimbatore"/>
    <s v="TS 10"/>
    <x v="9"/>
    <n v="4634"/>
    <s v="ccs001 "/>
    <s v="10.12.2005 11:50 "/>
    <s v="10.12.2005 12:00"/>
    <s v="10.12.2005 16:00"/>
    <x v="0"/>
    <n v="0"/>
    <n v="4"/>
    <m/>
    <m/>
    <m/>
    <m/>
  </r>
  <r>
    <n v="764"/>
    <s v="'30051437 "/>
    <s v="C.VARI FABRICS---CITY"/>
    <s v="Tiruppur"/>
    <s v="TS 10"/>
    <x v="9"/>
    <n v="41137"/>
    <s v="ccs001 "/>
    <s v="03.12.2005 12:38 "/>
    <s v="03.12.2005 12:45"/>
    <s v="03.12.2005 14:30"/>
    <x v="0"/>
    <n v="0"/>
    <n v="2"/>
    <m/>
    <m/>
    <m/>
    <m/>
  </r>
  <r>
    <n v="769"/>
    <s v="'30050216 "/>
    <s v="EPG MILLS--CITY"/>
    <s v="Tirupur"/>
    <s v="TS 10"/>
    <x v="9"/>
    <n v="3226"/>
    <s v="E00001 "/>
    <s v="09.05.2005 15:39 "/>
    <s v="09.05.2005 16:00"/>
    <s v="09.05.2005 18:30"/>
    <x v="0"/>
    <n v="0"/>
    <n v="3"/>
    <m/>
    <m/>
    <m/>
    <m/>
  </r>
  <r>
    <n v="772"/>
    <s v="'30050209 "/>
    <s v="REVIVAL CLOTHING--CITY"/>
    <s v="Tirupur"/>
    <s v="TS 10"/>
    <x v="9"/>
    <n v="30764"/>
    <s v="E00001 "/>
    <s v="09.05.2005 11:31 "/>
    <s v="09.05.2005 11:45"/>
    <s v="09.05.2005 14:00"/>
    <x v="0"/>
    <n v="0"/>
    <n v="2"/>
    <m/>
    <m/>
    <m/>
    <m/>
  </r>
  <r>
    <n v="774"/>
    <s v="'30050196 "/>
    <s v="AG EQUIPMENTS PVT LTD--CITY"/>
    <s v="Coimbatore"/>
    <s v="TS 10"/>
    <x v="9"/>
    <n v="40395"/>
    <s v="E00001 "/>
    <s v="06.05.2005 11:10 "/>
    <s v="06.05.2005 11:30"/>
    <s v="07.05.2005 14:00"/>
    <x v="0"/>
    <n v="0"/>
    <n v="27"/>
    <m/>
    <m/>
    <m/>
    <m/>
  </r>
  <r>
    <n v="779"/>
    <s v="'30050177 "/>
    <s v="SRI SENTHUR MURUGAN TEXTILES--CITY"/>
    <s v="Coimbatore"/>
    <s v="TS 10"/>
    <x v="9"/>
    <n v="45278"/>
    <s v="E00001 "/>
    <s v="02.05.2005 16:14 "/>
    <s v="02.05.2005 16:30"/>
    <s v="02.05.2005 19:00"/>
    <x v="0"/>
    <n v="0"/>
    <n v="3"/>
    <m/>
    <m/>
    <m/>
    <m/>
  </r>
  <r>
    <n v="780"/>
    <s v="'30050172 "/>
    <s v="BEEPATH CASTINGS PVT LTD--CITY"/>
    <s v="Palakad"/>
    <s v="TS 10"/>
    <x v="9"/>
    <n v="44580"/>
    <s v="E00001 "/>
    <s v="30.04.2005 13:55 "/>
    <s v="30.04.2005 14:15"/>
    <s v="30.04.2005 16:00"/>
    <x v="0"/>
    <n v="0"/>
    <n v="2"/>
    <m/>
    <m/>
    <m/>
    <m/>
  </r>
  <r>
    <n v="783"/>
    <s v="'30050160 "/>
    <s v="UNIFRON TEXTILES PROCESS--CITY"/>
    <s v="Erode"/>
    <s v="TS 10"/>
    <x v="9"/>
    <n v="40835"/>
    <s v="E00001 "/>
    <s v="29.04.2005 10:31 "/>
    <s v="29.04.2005 10:45"/>
    <s v="30.04.2005 18:00"/>
    <x v="0"/>
    <n v="0"/>
    <n v="31"/>
    <m/>
    <m/>
    <m/>
    <m/>
  </r>
  <r>
    <n v="784"/>
    <s v="'30050152 "/>
    <s v="VIGNESH METAL PROCESS--CITY"/>
    <s v="Coimbatore"/>
    <s v="TS 10"/>
    <x v="9"/>
    <n v="45272"/>
    <s v="E00001 "/>
    <s v="28.04.2005 14:34 "/>
    <s v="28.04.2005 14:45"/>
    <s v="28.04.2005 19:00"/>
    <x v="0"/>
    <n v="0"/>
    <n v="4"/>
    <m/>
    <m/>
    <m/>
    <m/>
  </r>
  <r>
    <n v="785"/>
    <s v="'30050151 "/>
    <s v="KRISHNA TEXTILES--CITY"/>
    <s v="Coimbatore"/>
    <s v="TS 10"/>
    <x v="9"/>
    <n v="44828"/>
    <s v="E00001 "/>
    <s v="28.04.2005 14:31 "/>
    <s v="28.04.2005 15:00"/>
    <s v="28.04.2005 17:00"/>
    <x v="0"/>
    <n v="0"/>
    <n v="2"/>
    <m/>
    <m/>
    <m/>
    <m/>
  </r>
  <r>
    <n v="787"/>
    <s v="'30050149 "/>
    <s v="SRI SENTHUR MURUGAN TEXTILES PVT LTD-CITY"/>
    <s v="Coimbatore"/>
    <s v="TS 10"/>
    <x v="9"/>
    <n v="45278"/>
    <s v="E00001 "/>
    <s v="28.04.2005 14:05 "/>
    <s v="28.04.2005 14:15"/>
    <s v="28.04.2005 16:30"/>
    <x v="0"/>
    <n v="0"/>
    <n v="2"/>
    <m/>
    <m/>
    <m/>
    <m/>
  </r>
  <r>
    <n v="791"/>
    <s v="'30050127 "/>
    <s v="DOLLAR APPARELS--CITY"/>
    <s v="Tirupur"/>
    <s v="TS 10"/>
    <x v="9"/>
    <s v="D30050127"/>
    <s v="E00001 "/>
    <s v="25.04.2005 10:36 "/>
    <s v="25.04.2005 10:45"/>
    <s v="25.04.2005 12:00"/>
    <x v="0"/>
    <n v="0"/>
    <n v="1"/>
    <m/>
    <m/>
    <m/>
    <m/>
  </r>
  <r>
    <n v="793"/>
    <s v="'30050110 "/>
    <s v="BIJU MODERN RICE MILL--CITY"/>
    <s v="Palakad"/>
    <s v="TS 10"/>
    <x v="9"/>
    <n v="44570"/>
    <s v="E00001 "/>
    <s v="21.04.2005 14:43 "/>
    <s v="21.04.2005 15:00"/>
    <s v="21.04.2005 16:30"/>
    <x v="0"/>
    <n v="0"/>
    <n v="2"/>
    <m/>
    <m/>
    <m/>
    <m/>
  </r>
  <r>
    <n v="794"/>
    <s v="'30050098 "/>
    <s v="FRONTIER NITTER"/>
    <s v="PALLADAM"/>
    <s v="TS 10"/>
    <x v="9"/>
    <n v="43270"/>
    <s v="E00001 "/>
    <s v="19.04.2005 12:13 "/>
    <s v="19.04.2005 12:15"/>
    <s v="19.04.2005 13:30"/>
    <x v="0"/>
    <n v="0"/>
    <n v="1"/>
    <m/>
    <m/>
    <m/>
    <m/>
  </r>
  <r>
    <n v="798"/>
    <s v="'30050075 "/>
    <s v="BIRAV KNITS - CITY"/>
    <s v="Tirupur"/>
    <s v="TS 10"/>
    <x v="9"/>
    <n v="292904"/>
    <s v="E00001 "/>
    <s v="12.04.2005 11:34 "/>
    <s v="12.04.2005 11:45"/>
    <s v="12.04.2005 17:30"/>
    <x v="0"/>
    <n v="0"/>
    <n v="6"/>
    <m/>
    <m/>
    <m/>
    <m/>
  </r>
  <r>
    <n v="802"/>
    <s v="'30050035 "/>
    <s v="STALLIN GARMENTS--CITY"/>
    <s v="Tirupur"/>
    <s v="TS 10"/>
    <x v="9"/>
    <n v="42747"/>
    <s v="E00001 "/>
    <s v="05.04.2005 16:34 "/>
    <s v="05.04.2005 16:45"/>
    <s v="05.04.2005 18:00"/>
    <x v="0"/>
    <n v="0"/>
    <n v="1"/>
    <m/>
    <m/>
    <m/>
    <m/>
  </r>
  <r>
    <n v="810"/>
    <s v="'30050013 "/>
    <s v="KAILAI SIVASAKTHY SPINNING MILLS--CITY"/>
    <s v="Coimbatore"/>
    <s v="TS 10"/>
    <x v="9"/>
    <n v="44595"/>
    <s v="E00001 "/>
    <s v="02.04.2005 15:01 "/>
    <s v="02.04.2005 15:15"/>
    <s v="02.04.2005 17:00"/>
    <x v="0"/>
    <n v="0"/>
    <n v="2"/>
    <m/>
    <m/>
    <m/>
    <m/>
  </r>
  <r>
    <n v="811"/>
    <s v="'30050012 "/>
    <s v="SRI KRISHNA TEXTILES--CITY"/>
    <s v="Coimbatore"/>
    <s v="TS 10"/>
    <x v="9"/>
    <n v="44828"/>
    <s v="E00001 "/>
    <s v="02.04.2005 14:59 "/>
    <s v="02.04.2005 15:15"/>
    <s v="02.04.2005 18:00"/>
    <x v="0"/>
    <n v="0"/>
    <n v="3"/>
    <m/>
    <m/>
    <m/>
    <m/>
  </r>
  <r>
    <n v="814"/>
    <s v="'3004003954 "/>
    <s v="VAIBAV PROCESSING MILLS PVT LTD--CITY"/>
    <s v="Erode"/>
    <s v="TS 10"/>
    <x v="9"/>
    <n v="45038"/>
    <s v="E00001 "/>
    <s v="29.03.2005 12:33 "/>
    <s v="29.03.2005 12:45"/>
    <s v="29.03.2005 13:45"/>
    <x v="0"/>
    <n v="0"/>
    <n v="1"/>
    <m/>
    <m/>
    <m/>
    <m/>
  </r>
  <r>
    <n v="827"/>
    <s v="'3004003925 "/>
    <s v="RAVI HOISERIES--CITY"/>
    <s v="Tirupur"/>
    <s v="TS 10"/>
    <x v="9"/>
    <n v="81581"/>
    <s v="E00001 "/>
    <s v="24.03.2005 11:06 "/>
    <s v="24.03.2005 11:15"/>
    <s v="24.03.2005 13:00"/>
    <x v="0"/>
    <n v="0"/>
    <n v="2"/>
    <m/>
    <m/>
    <m/>
    <m/>
  </r>
  <r>
    <n v="838"/>
    <s v="'3004003878 "/>
    <s v="SCORTS CLOTHING PVT LTD--CITY"/>
    <s v="Tirupur"/>
    <s v="TS 10"/>
    <x v="9"/>
    <n v="43400"/>
    <s v="E00001 "/>
    <s v="16.03.2005 11:41 "/>
    <s v="16.03.2005 12:00"/>
    <s v="19.03.2005 12:00"/>
    <x v="0"/>
    <n v="0"/>
    <n v="72"/>
    <m/>
    <m/>
    <m/>
    <m/>
  </r>
  <r>
    <n v="845"/>
    <s v="'3004003845 "/>
    <s v="MS DYING--CITY"/>
    <s v="Tirupur"/>
    <s v="TS 10"/>
    <x v="9"/>
    <n v="28978"/>
    <s v="E00001 "/>
    <s v="11.03.2005 14:47 "/>
    <s v="11.03.2005 15:00"/>
    <s v="11.03.2005 17:30"/>
    <x v="0"/>
    <n v="0"/>
    <n v="3"/>
    <m/>
    <m/>
    <m/>
    <m/>
  </r>
  <r>
    <n v="852"/>
    <s v="'3004003821 "/>
    <s v="LUX HOISERIS--CITY"/>
    <s v="Tirupur"/>
    <s v="TS 10"/>
    <x v="9"/>
    <n v="44385"/>
    <s v="E00001 "/>
    <s v="08.03.2005 11:35 "/>
    <s v="08.03.2005 11:45"/>
    <s v="08.03.2005 20:00"/>
    <x v="0"/>
    <n v="0"/>
    <n v="8"/>
    <m/>
    <m/>
    <m/>
    <m/>
  </r>
  <r>
    <n v="854"/>
    <s v="'3004003819 "/>
    <s v="RK KNITS--CITY"/>
    <s v="Tirupur"/>
    <s v="TS 10"/>
    <x v="9"/>
    <n v="43891"/>
    <s v="E00001 "/>
    <s v="08.03.2005 11:31 "/>
    <s v="08.03.2005 11:45"/>
    <s v="08.03.2005 15:00"/>
    <x v="0"/>
    <n v="0"/>
    <n v="3"/>
    <m/>
    <m/>
    <m/>
    <m/>
  </r>
  <r>
    <n v="856"/>
    <s v="'3004003815 "/>
    <s v="KG &amp; SONS--CITY"/>
    <s v="Tirupur"/>
    <s v="TS 10"/>
    <x v="9"/>
    <n v="35041"/>
    <s v="E00001 "/>
    <s v="07.03.2005 11:44 "/>
    <s v="07.03.2005 12:00"/>
    <s v="07.03.2005 16:00"/>
    <x v="0"/>
    <n v="0"/>
    <n v="4"/>
    <m/>
    <m/>
    <m/>
    <m/>
  </r>
  <r>
    <n v="863"/>
    <s v="'3004003779 "/>
    <s v="RK KNITS--CITY"/>
    <s v="Tirupur"/>
    <s v="TS 10"/>
    <x v="9"/>
    <n v="81598"/>
    <s v="E00001 "/>
    <s v="01.03.2005 16:22 "/>
    <s v="01.03.2005 16:30"/>
    <s v="01.03.2005 17:30"/>
    <x v="0"/>
    <n v="0"/>
    <n v="1"/>
    <m/>
    <m/>
    <m/>
    <m/>
  </r>
  <r>
    <n v="865"/>
    <s v="'3004003761 "/>
    <s v="SRI KRISHNA TEXTILES--CITY"/>
    <s v="Coimbatore"/>
    <s v="TS 10"/>
    <x v="9"/>
    <n v="44878"/>
    <s v="E00001 "/>
    <s v="28.02.2005 14:16 "/>
    <s v="28.02.2005 14:30"/>
    <s v="01.03.2005 18:00"/>
    <x v="0"/>
    <n v="0"/>
    <n v="28"/>
    <m/>
    <m/>
    <m/>
    <m/>
  </r>
  <r>
    <n v="866"/>
    <s v="'3004003752 "/>
    <s v="LAKSHMI SIZER"/>
    <s v="TIRUPPUR"/>
    <s v="TS 10"/>
    <x v="9"/>
    <n v="41150"/>
    <s v="E00001 "/>
    <s v="26.02.2005 16:31 "/>
    <s v="26.02.2005 16:45"/>
    <s v="26.02.2005 18:45"/>
    <x v="0"/>
    <n v="0"/>
    <n v="2"/>
    <m/>
    <m/>
    <m/>
    <m/>
  </r>
  <r>
    <n v="870"/>
    <s v="'3004003746 "/>
    <s v="FINE FIT GARMENTS--CITY"/>
    <s v="Tirupur"/>
    <s v="TS 10"/>
    <x v="9"/>
    <n v="28973"/>
    <s v="E00001 "/>
    <s v="25.02.2005 12:47 "/>
    <s v="25.02.2005 13:00"/>
    <s v="25.02.2005 20:00"/>
    <x v="0"/>
    <n v="0"/>
    <n v="7"/>
    <m/>
    <m/>
    <m/>
    <m/>
  </r>
  <r>
    <n v="875"/>
    <s v="'3004003720 "/>
    <s v="CLASSIC KNITS--CITY"/>
    <s v="Tirupur"/>
    <s v="TS 10"/>
    <x v="9"/>
    <n v="24224"/>
    <s v="E00001 "/>
    <s v="22.02.2005 15:41 "/>
    <s v="22.02.2005 15:50"/>
    <s v="22.02.2005 21:00"/>
    <x v="0"/>
    <n v="0"/>
    <n v="5"/>
    <m/>
    <m/>
    <m/>
    <m/>
  </r>
  <r>
    <n v="882"/>
    <s v="'3004003695 "/>
    <s v="SUL KNITTING MILLS--CITY"/>
    <s v="Tirupur"/>
    <s v="TS 10"/>
    <x v="9"/>
    <n v="44785"/>
    <s v="E00001 "/>
    <s v="17.02.2005 11:52 "/>
    <s v="17.02.2005 12:00"/>
    <s v="17.02.2005 17:00"/>
    <x v="6"/>
    <n v="0"/>
    <n v="5"/>
    <m/>
    <m/>
    <m/>
    <m/>
  </r>
  <r>
    <n v="885"/>
    <s v="'3004003692 "/>
    <s v="DESIGN PROCESS-CITY"/>
    <s v="Tirupur"/>
    <s v="TS 10"/>
    <x v="9"/>
    <n v="41146"/>
    <s v="E00001 "/>
    <s v="17.02.2005 11:47 "/>
    <s v="17.02.2005 12:00"/>
    <s v="17.02.2005 14:30"/>
    <x v="6"/>
    <n v="0"/>
    <n v="3"/>
    <m/>
    <m/>
    <m/>
    <m/>
  </r>
  <r>
    <n v="888"/>
    <s v="'3004003675 "/>
    <s v="AMIRTHA FASHION--CITY"/>
    <s v="Palladam Road, Tirupur"/>
    <s v="TS 10"/>
    <x v="9"/>
    <n v="562"/>
    <s v="E00001 "/>
    <s v="16.02.2005 11:43 "/>
    <s v="16.02.2005 12:00"/>
    <s v="16.02.2005 13:30"/>
    <x v="6"/>
    <n v="0"/>
    <n v="2"/>
    <m/>
    <m/>
    <m/>
    <m/>
  </r>
  <r>
    <n v="890"/>
    <s v="'3004003666 "/>
    <s v="JAYABARATH PROCESSING MILLS-CITY"/>
    <s v="Tirupur"/>
    <s v="TS 10"/>
    <x v="9"/>
    <n v="23626"/>
    <s v="E00001 "/>
    <s v="15.02.2005 11:59 "/>
    <s v="15.02.2005 12:15"/>
    <s v="15.02.2005 17:30"/>
    <x v="6"/>
    <n v="0"/>
    <n v="6"/>
    <m/>
    <m/>
    <m/>
    <m/>
  </r>
  <r>
    <n v="895"/>
    <s v="'3004003647 "/>
    <s v="SRIVARI FABRICS--CITY"/>
    <s v="Tirupur"/>
    <s v="TS 10"/>
    <x v="9"/>
    <n v="41137"/>
    <s v="E00001 "/>
    <s v="11.02.2005 15:17 "/>
    <s v="11.02.2005 15:30"/>
    <s v="11.02.2005 16:45"/>
    <x v="6"/>
    <n v="0"/>
    <n v="1"/>
    <m/>
    <m/>
    <m/>
    <m/>
  </r>
  <r>
    <n v="912"/>
    <s v="'3004003582 "/>
    <s v="SCOTTS PVT LTD--CITY"/>
    <s v="Tirupur"/>
    <s v="TS 10"/>
    <x v="9"/>
    <n v="43257"/>
    <s v="E00001 "/>
    <s v="01.02.2005 16:01 "/>
    <s v="01.02.2005 16:15"/>
    <s v="01.02.2005 17:45"/>
    <x v="6"/>
    <n v="0"/>
    <n v="2"/>
    <m/>
    <m/>
    <m/>
    <m/>
  </r>
  <r>
    <n v="920"/>
    <s v="'3004003526 "/>
    <s v="BIJU MODERN RICE MILLS--CITY"/>
    <s v="Palaghat"/>
    <s v="TS 10"/>
    <x v="9"/>
    <n v="44570"/>
    <s v="E00001 "/>
    <s v="22.01.2005 10:45 "/>
    <s v="22.01.2005 11:00"/>
    <s v="22.01.2005 12:45"/>
    <x v="6"/>
    <n v="0"/>
    <n v="2"/>
    <m/>
    <m/>
    <m/>
    <m/>
  </r>
  <r>
    <n v="921"/>
    <s v="'3004003496 "/>
    <s v="TUBE TEX--CITY"/>
    <s v="Tirupur"/>
    <s v="TS 10"/>
    <x v="9"/>
    <n v="30986"/>
    <s v="E00001 "/>
    <s v="18.01.2005 16:36 "/>
    <s v="18.01.2005 16:45"/>
    <s v="18.01.2005 18:00"/>
    <x v="6"/>
    <n v="0"/>
    <n v="1"/>
    <m/>
    <m/>
    <m/>
    <m/>
  </r>
  <r>
    <n v="925"/>
    <s v="'304003483 "/>
    <s v="SPECTRUM CNC MACHINERS PVT LTD"/>
    <s v="Coimbatore"/>
    <s v="TS 10"/>
    <x v="9"/>
    <n v="43079"/>
    <s v="E00001 "/>
    <s v="13.01.2005 13:23 "/>
    <s v="13.01.2005 14:00"/>
    <s v="15.01.2005 14:00"/>
    <x v="6"/>
    <n v="0"/>
    <n v="49"/>
    <m/>
    <m/>
    <m/>
    <m/>
  </r>
  <r>
    <n v="926"/>
    <s v="'304003476 "/>
    <s v="SOWDESHWARI AMMAN SPINNERS LTD-CITY"/>
    <s v="Coimbatore"/>
    <s v="TS 10"/>
    <x v="9"/>
    <n v="27164"/>
    <s v="E00001 "/>
    <s v="12.01.2005 11:25 "/>
    <s v="12.01.2005 11:45"/>
    <s v="12.01.2005 18:00"/>
    <x v="6"/>
    <n v="0"/>
    <n v="7"/>
    <m/>
    <m/>
    <m/>
    <m/>
  </r>
  <r>
    <n v="929"/>
    <s v="'304003470 "/>
    <s v="ASHWIN RAM SPINNING MILLS--CITY"/>
    <s v="Coimbatore"/>
    <s v="TS 10"/>
    <x v="9"/>
    <n v="42546"/>
    <s v="E00001 "/>
    <s v="11.01.2005 12:34 "/>
    <s v="11.01.2005 12:45"/>
    <s v="11.01.2005 16:00"/>
    <x v="6"/>
    <n v="0"/>
    <n v="3"/>
    <m/>
    <m/>
    <m/>
    <m/>
  </r>
  <r>
    <n v="930"/>
    <s v="'304003466 "/>
    <s v="RENICENCE CREATIONS--CITY"/>
    <s v="Tirupur"/>
    <s v="TS 10"/>
    <x v="9"/>
    <n v="31121"/>
    <s v="E00001 "/>
    <s v="10.01.2005 13:14 "/>
    <s v="10.01.2005 13:30"/>
    <s v="10.01.2005 19:30"/>
    <x v="6"/>
    <n v="0"/>
    <n v="6"/>
    <m/>
    <m/>
    <m/>
    <m/>
  </r>
  <r>
    <n v="931"/>
    <s v="'304003465 "/>
    <s v="RENICENCE CREATIONS--CITY"/>
    <s v="Tirupur"/>
    <s v="TS 10"/>
    <x v="9"/>
    <n v="30764"/>
    <s v="E00001 "/>
    <s v="10.01.2005 13:12 "/>
    <s v="10.01.2005 13:30"/>
    <s v="10.01.2005 19:30"/>
    <x v="6"/>
    <n v="0"/>
    <n v="6"/>
    <m/>
    <m/>
    <m/>
    <m/>
  </r>
  <r>
    <n v="934"/>
    <s v="'304003457 "/>
    <s v="KAILAI SIVASAKTHY SPINNERS--CITY"/>
    <s v="Coimbatore"/>
    <s v="TS 10"/>
    <x v="9"/>
    <n v="44959"/>
    <s v="E00001 "/>
    <s v="10.01.2005 11:54 "/>
    <s v="10.01.2005 12:00"/>
    <s v="10.01.2005 14:30"/>
    <x v="6"/>
    <n v="0"/>
    <n v="3"/>
    <m/>
    <m/>
    <m/>
    <m/>
  </r>
  <r>
    <n v="937"/>
    <s v="'304003450 "/>
    <s v="KAIRALI STEELS &amp; ALLOYES"/>
    <s v="Palakad"/>
    <s v="TS 10"/>
    <x v="9"/>
    <n v="43813"/>
    <s v="E00001 "/>
    <s v="07.01.2005 12:25 "/>
    <s v="07.01.2005 13:00"/>
    <s v="10.01.2005 03:00"/>
    <x v="6"/>
    <n v="0"/>
    <n v="63"/>
    <m/>
    <m/>
    <m/>
    <m/>
  </r>
  <r>
    <n v="945"/>
    <s v="'304003392 "/>
    <s v="KARPAGAM INDUSTRIES PVT LTD--CITY"/>
    <s v="Coimbatore"/>
    <s v="TS 10"/>
    <x v="9"/>
    <n v="44342"/>
    <s v="E00001 "/>
    <s v="28.12.2004 15:12 "/>
    <s v="28.12.2004 15:15"/>
    <s v="30.12.2004 16:00"/>
    <x v="6"/>
    <n v="0"/>
    <n v="49"/>
    <m/>
    <m/>
    <m/>
    <m/>
  </r>
  <r>
    <n v="952"/>
    <s v="'304003359 "/>
    <s v="FINE COTS INDUSTRIES - CITY"/>
    <s v="Coimbatore"/>
    <s v="TS 10"/>
    <x v="9"/>
    <n v="34876"/>
    <s v="E00001 "/>
    <s v="23.12.2004 14:35 "/>
    <s v="23.12.2004 14:40"/>
    <s v="23.12.2004 18:00"/>
    <x v="6"/>
    <n v="0"/>
    <n v="3"/>
    <m/>
    <m/>
    <m/>
    <m/>
  </r>
  <r>
    <n v="961"/>
    <s v="'304003303 "/>
    <s v="JUBITAR MANUFACTURING WORKS--CITY"/>
    <s v="Coimbatore"/>
    <s v="TS 10"/>
    <x v="9"/>
    <n v="43185"/>
    <s v="E00001 "/>
    <s v="14.12.2004 17:15 "/>
    <s v="14.12.2004 17:20"/>
    <s v="15.12.2004 10:00"/>
    <x v="6"/>
    <n v="0"/>
    <n v="17"/>
    <m/>
    <m/>
    <m/>
    <m/>
  </r>
  <r>
    <n v="971"/>
    <s v="'304003215 "/>
    <s v="BHARATH TEXTILE PROCESSING--CITY"/>
    <s v="Erode"/>
    <s v="TS 10"/>
    <x v="9"/>
    <n v="80263"/>
    <s v="E00001 "/>
    <s v="01.12.2004 11:30 "/>
    <s v="01.12.2004 11:45"/>
    <s v="01.12.2004 21:00"/>
    <x v="6"/>
    <n v="0"/>
    <n v="9"/>
    <m/>
    <m/>
    <m/>
    <m/>
  </r>
  <r>
    <n v="973"/>
    <s v="'304003176 "/>
    <s v="ROOPA PROCESSING--CITY"/>
    <s v="Tirupur"/>
    <s v="TS 10"/>
    <x v="9"/>
    <n v="19677"/>
    <s v="E00001 "/>
    <s v="24.11.2004 16:34 "/>
    <s v="24.11.2004 17:00"/>
    <s v="24.11.2004 20:00"/>
    <x v="6"/>
    <n v="0"/>
    <n v="3"/>
    <m/>
    <m/>
    <m/>
    <m/>
  </r>
  <r>
    <n v="975"/>
    <s v="'304003173 "/>
    <s v="GANGOTHRI TEXTILES--CITY"/>
    <s v="Coimbatore"/>
    <s v="TS 10"/>
    <x v="9"/>
    <n v="19209"/>
    <s v="E00001 "/>
    <s v="24.11.2004 14:46 "/>
    <s v="24.11.2004 15:00"/>
    <s v="24.11.2004 16:00"/>
    <x v="6"/>
    <n v="0"/>
    <n v="1"/>
    <m/>
    <m/>
    <m/>
    <m/>
  </r>
  <r>
    <n v="976"/>
    <s v="'304003172 "/>
    <s v="KARPAGAM INDUSTERIAL PVT LTD-CITY"/>
    <s v="Coimbatore"/>
    <s v="TS 10"/>
    <x v="9"/>
    <n v="44342"/>
    <s v="E00001 "/>
    <s v="24.11.2004 14:42 "/>
    <s v="24.11.2004 15:15"/>
    <s v="24.11.2004 18:00"/>
    <x v="6"/>
    <n v="0"/>
    <n v="3"/>
    <m/>
    <m/>
    <m/>
    <m/>
  </r>
  <r>
    <n v="978"/>
    <s v="'304003164 "/>
    <s v="SAMAJ ACE KNITS--CITY"/>
    <s v="Tirupur"/>
    <s v="TS 10"/>
    <x v="9"/>
    <n v="35740"/>
    <s v="E00001 "/>
    <s v="23.11.2004 11:23 "/>
    <s v="23.11.2004 11:30"/>
    <s v="23.11.2004 16:45"/>
    <x v="6"/>
    <n v="0"/>
    <n v="5"/>
    <m/>
    <m/>
    <m/>
    <m/>
  </r>
  <r>
    <n v="980"/>
    <s v="'304003141 "/>
    <s v="ALVERNIA KNITS--CITY"/>
    <s v="Tirupur"/>
    <s v="TS10120"/>
    <x v="9"/>
    <n v="42102"/>
    <s v="E00001 "/>
    <s v="19.11.2004 10:47 "/>
    <s v="19.11.2004 11:00"/>
    <s v="19.11.2004 12:45"/>
    <x v="6"/>
    <n v="0"/>
    <n v="2"/>
    <m/>
    <m/>
    <m/>
    <m/>
  </r>
  <r>
    <n v="982"/>
    <s v="'304003131 "/>
    <s v="FRONTIER KNITS-CITY"/>
    <s v="Coimbatore"/>
    <s v="TS10"/>
    <x v="9"/>
    <n v="43270"/>
    <s v="E00001 "/>
    <s v="18.11.2004 11:40 "/>
    <s v="18.11.2004 12:00"/>
    <s v="20.11.2004 10:00"/>
    <x v="6"/>
    <n v="0"/>
    <n v="46"/>
    <m/>
    <m/>
    <m/>
    <m/>
  </r>
  <r>
    <n v="991"/>
    <s v="'304003080 "/>
    <s v="ALVERNIA KNITS--CITY"/>
    <s v="Tirupur"/>
    <s v="TS10"/>
    <x v="9"/>
    <n v="42102"/>
    <s v="E00001 "/>
    <s v="06.11.2004 11:44 "/>
    <s v="06.11.2004 12:00"/>
    <s v="06.11.2004 14:30"/>
    <x v="6"/>
    <n v="0"/>
    <n v="3"/>
    <m/>
    <m/>
    <m/>
    <m/>
  </r>
  <r>
    <n v="995"/>
    <s v="'300G00114 "/>
    <s v="KOWSELYAA TEXTILE MILL"/>
    <s v="COIMBATORE"/>
    <s v="TS 10 120 HN"/>
    <x v="9"/>
    <s v="GOLE670221"/>
    <s v="ccs021 "/>
    <s v="03.05.2016 10:40 "/>
    <s v="03.05.2016 15:00"/>
    <s v="06.05.2016 10:00"/>
    <x v="9"/>
    <n v="67"/>
    <n v="71"/>
    <m/>
    <m/>
    <s v="Out of Warranty"/>
    <m/>
  </r>
  <r>
    <n v="996"/>
    <s v="'300G00057 "/>
    <s v="S&amp;T ENGINEERS"/>
    <s v="COIMBATORE"/>
    <s v="TS 10 120 HN"/>
    <x v="9"/>
    <s v="GPAE670301"/>
    <s v="ccs028 "/>
    <s v="16.04.2016 12:18 "/>
    <s v="18.04.2016 10:00"/>
    <s v="18.04.2016 15:00"/>
    <x v="9"/>
    <n v="5"/>
    <n v="51"/>
    <m/>
    <m/>
    <s v="Warranty Commissioning"/>
    <m/>
  </r>
  <r>
    <n v="998"/>
    <s v="'300F01289 "/>
    <s v="SUNDARAM MOTORS"/>
    <s v="COIMBATORE"/>
    <s v="TS 10 120 HN"/>
    <x v="9"/>
    <s v="CMKE670114"/>
    <s v="ccs021 "/>
    <s v="31.03.2016 14:19 "/>
    <s v="01.04.2016 10:00"/>
    <s v="01.04.2016 12:00"/>
    <x v="9"/>
    <n v="2"/>
    <n v="22"/>
    <m/>
    <m/>
    <s v="Out of Warranty"/>
    <m/>
  </r>
  <r>
    <n v="1001"/>
    <s v="'300F01200 "/>
    <s v="LG BALAKRISHNAN &amp; BROS LTD"/>
    <s v="COIMBATORE"/>
    <s v="TS10"/>
    <x v="9"/>
    <n v="25007"/>
    <s v="ccs019 "/>
    <s v="07.03.2016 15:27 "/>
    <s v="08.03.2016 10:00"/>
    <s v="20.04.2016 00:00"/>
    <x v="9"/>
    <n v="1022"/>
    <n v="1041"/>
    <m/>
    <m/>
    <s v="Annual Maintenance contract"/>
    <m/>
  </r>
  <r>
    <n v="1004"/>
    <s v="'300F00956 "/>
    <s v="SRI SAKTHIVEL IMPEX"/>
    <s v="SOMANUR"/>
    <s v="TS 10 120 HN"/>
    <x v="9"/>
    <s v="COJE670002"/>
    <s v="ccs025 "/>
    <s v="30.12.2015 11:06 "/>
    <s v="30.12.2015 11:30"/>
    <s v="31.12.2015 13:00"/>
    <x v="8"/>
    <n v="26"/>
    <n v="26"/>
    <m/>
    <m/>
    <s v="Out of Warranty"/>
    <m/>
  </r>
  <r>
    <n v="1007"/>
    <s v="'300F00742 "/>
    <s v="SRT TRANS CARS"/>
    <s v="COIMBATORE"/>
    <s v="TS10"/>
    <x v="9"/>
    <s v="D300F00742"/>
    <s v="ccs019 "/>
    <s v="30.10.2015 09:46 "/>
    <s v="30.10.2015 10:00"/>
    <s v="30.10.2015 12:00"/>
    <x v="8"/>
    <n v="2"/>
    <n v="2"/>
    <m/>
    <m/>
    <s v="Out of Warranty"/>
    <m/>
  </r>
  <r>
    <n v="1019"/>
    <s v="'300F00274 "/>
    <s v="AKSHAYA FORD"/>
    <s v="MADURAI"/>
    <s v="TS10120"/>
    <x v="9"/>
    <s v="D300F00274"/>
    <s v="ccs021 "/>
    <s v="02.07.2015 09:36 "/>
    <s v="02.07.2015 14:00"/>
    <s v="17.07.2015 11:00"/>
    <x v="8"/>
    <n v="276"/>
    <n v="361"/>
    <m/>
    <m/>
    <s v="Out of Warranty"/>
    <m/>
  </r>
  <r>
    <n v="1022"/>
    <s v="'300F00209 "/>
    <s v="LG BALAKRISHNAN &amp; BROS"/>
    <s v="CBE"/>
    <s v="TS 10 OF EP420L"/>
    <x v="9"/>
    <s v="CNHE670594"/>
    <s v="ccs019 "/>
    <s v="15.06.2015 15:43 "/>
    <s v="16.06.2015 10:00"/>
    <s v="16.06.2015 14:00"/>
    <x v="8"/>
    <n v="4"/>
    <n v="22"/>
    <m/>
    <m/>
    <s v="Warranty Maintenance"/>
    <m/>
  </r>
  <r>
    <n v="1023"/>
    <s v="'300F00197 "/>
    <s v="KOWSELYAA TEXTILE MILL"/>
    <s v="COIMBATORE"/>
    <s v="TS 10 120 HN"/>
    <x v="9"/>
    <s v="GOLE670221"/>
    <s v="ccs021 "/>
    <s v="10.06.2015 14:16 "/>
    <s v="11.06.2015 10:00"/>
    <s v="11.06.2015 13:00"/>
    <x v="8"/>
    <n v="3"/>
    <n v="23"/>
    <m/>
    <m/>
    <s v="Warranty Commissioning"/>
    <m/>
  </r>
  <r>
    <n v="1025"/>
    <s v="'300F00190 "/>
    <s v="SRI KRISHNA RETREADING"/>
    <s v="TRICHY"/>
    <s v="TS 10 120HN"/>
    <x v="9"/>
    <n v="21767"/>
    <s v="ccs019 "/>
    <s v="09.06.2015 09:12 "/>
    <s v="05.07.2015 05:00"/>
    <s v="05.07.2015 15:00"/>
    <x v="8"/>
    <n v="624"/>
    <n v="630"/>
    <m/>
    <m/>
    <s v="Out of Warranty"/>
    <m/>
  </r>
  <r>
    <n v="1031"/>
    <s v="'300E01001 "/>
    <s v="SOLAIMALAI MOTOR"/>
    <s v="SIVAKASI"/>
    <s v="TS 10 120 HN"/>
    <x v="9"/>
    <s v="CNBE670401"/>
    <s v="ccs021 "/>
    <s v="23.03.2015 18:52 "/>
    <s v="24.03.2015 15:00"/>
    <s v="24.03.2015 13:00"/>
    <x v="8"/>
    <n v="3"/>
    <n v="18"/>
    <m/>
    <m/>
    <s v="Out of Warranty"/>
    <m/>
  </r>
  <r>
    <n v="1036"/>
    <s v="'300E00909 "/>
    <s v="BANNARI AMMAN INSTITUTE OF TECHNOLOGY"/>
    <s v="SATHIYAMANGALAM"/>
    <s v="Ts 10"/>
    <x v="9"/>
    <s v="D300E00909"/>
    <s v="ccs025 "/>
    <s v="25.02.2015 15:44 "/>
    <s v="04.03.2015 10:00"/>
    <s v="04.03.2015 12:00"/>
    <x v="8"/>
    <n v="29"/>
    <n v="164"/>
    <m/>
    <m/>
    <s v="Out of Warranty"/>
    <m/>
  </r>
  <r>
    <n v="1040"/>
    <s v="'300E00795 "/>
    <s v="ATS ELGI"/>
    <s v="KURICHY"/>
    <s v="RAC UNIT TS10 HN SPARE"/>
    <x v="9"/>
    <s v="ANIT270016"/>
    <s v="ccs015 "/>
    <s v="28.01.2015 10:14 "/>
    <s v="28.01.2015 16:00"/>
    <s v="28.01.2015 18:00"/>
    <x v="10"/>
    <n v="2"/>
    <n v="8"/>
    <m/>
    <m/>
    <s v="Warranty Maintenance"/>
    <m/>
  </r>
  <r>
    <n v="1047"/>
    <s v="'300E00635 "/>
    <s v="SRI NEELA TEX"/>
    <s v="TIRUPUR"/>
    <s v="TS 10 120 HN"/>
    <x v="9"/>
    <s v="GNHE670282"/>
    <s v="S00014 "/>
    <s v="29.11.2014 10:14 "/>
    <s v="05.12.2014 00:00"/>
    <s v="05.12.2014 01:00"/>
    <x v="10"/>
    <n v="48"/>
    <n v="135"/>
    <m/>
    <m/>
    <m/>
    <m/>
  </r>
  <r>
    <n v="1049"/>
    <s v="'300E00580 "/>
    <s v="PUGOS TECHNOLOGIES"/>
    <s v="COIMBATORE"/>
    <s v="RAC PACKAGE TS10 HN 500L"/>
    <x v="9"/>
    <s v="AIBE670025"/>
    <s v="ccs018 "/>
    <s v="06.11.2014 15:17 "/>
    <s v="06.11.2014 16:00"/>
    <s v="07.11.2014 14:00"/>
    <x v="10"/>
    <n v="22"/>
    <n v="23"/>
    <m/>
    <m/>
    <s v="Out of Warranty"/>
    <m/>
  </r>
  <r>
    <n v="1053"/>
    <s v="'300E00515 "/>
    <s v="CHERAN BEAUTYCARE PRODUCTS"/>
    <s v="COIMBATORE"/>
    <s v="TS 10 120 HN"/>
    <x v="9"/>
    <s v="CMDE680089"/>
    <s v="ccs014 "/>
    <s v="11.10.2014 13:00 "/>
    <s v="13.10.2014 10:00"/>
    <s v="13.10.2014 12:00"/>
    <x v="10"/>
    <n v="2"/>
    <n v="47"/>
    <m/>
    <m/>
    <s v="Out of Warranty"/>
    <m/>
  </r>
  <r>
    <n v="1059"/>
    <s v="'300E00306 "/>
    <s v="LG BALAKRISHNAN &amp; BROS LTD"/>
    <s v="COIMBATORE"/>
    <s v="TS10"/>
    <x v="9"/>
    <n v="25007"/>
    <s v="ccs003 "/>
    <s v="22.07.2014 10:21 "/>
    <s v="15.08.2014 00:00"/>
    <s v="15.08.2014 01:00"/>
    <x v="10"/>
    <n v="559"/>
    <n v="567"/>
    <m/>
    <m/>
    <s v="Out of Warranty"/>
    <m/>
  </r>
  <r>
    <n v="1060"/>
    <s v="'300E00292 "/>
    <s v="SJB AUTOMOBILES"/>
    <s v="COIMBATORE"/>
    <s v="TS 10 120 HN"/>
    <x v="9"/>
    <s v="CMBE670490"/>
    <s v="ccs003 "/>
    <s v="17.07.2014 14:11 "/>
    <s v="18.07.2014 09:00"/>
    <s v="18.07.2014 14:00"/>
    <x v="10"/>
    <n v="5"/>
    <n v="24"/>
    <m/>
    <m/>
    <s v="Out of Warranty"/>
    <m/>
  </r>
  <r>
    <n v="1065"/>
    <s v="'300D1004 "/>
    <s v="SILVER SPRING SPINNERS"/>
    <s v="SRIVILLIPUTHUR"/>
    <s v="TS10 120"/>
    <x v="9"/>
    <n v="173"/>
    <s v="ccs015 "/>
    <s v="12.03.2014 11:27 "/>
    <s v="13.03.2014 10:00"/>
    <s v="22.03.2014 00:00"/>
    <x v="10"/>
    <n v="206"/>
    <n v="229"/>
    <m/>
    <m/>
    <s v="Out of Warranty"/>
    <m/>
  </r>
  <r>
    <n v="1066"/>
    <s v="'300D0997 "/>
    <s v="NEEDLE INDUSTRIES LTD"/>
    <s v="THE NILGIRIS"/>
    <s v="TS10"/>
    <x v="9"/>
    <n v="39552"/>
    <s v="ccs005 "/>
    <s v="10.03.2014 14:23 "/>
    <s v="11.03.2014 10:00"/>
    <s v="11.03.2014 13:00"/>
    <x v="10"/>
    <n v="3"/>
    <n v="23"/>
    <m/>
    <m/>
    <s v="Out of Warranty"/>
    <m/>
  </r>
  <r>
    <n v="1067"/>
    <s v="'300D0974 "/>
    <s v="KERALA ROADWAYS LTD"/>
    <s v="COIMBATORE"/>
    <s v="TS 10 120 HN"/>
    <x v="9"/>
    <s v="CMBE670464"/>
    <s v="ccs015 "/>
    <s v="03.03.2014 09:26 "/>
    <s v="03.03.2014 16:00"/>
    <s v="03.03.2014 17:00"/>
    <x v="10"/>
    <n v="1"/>
    <n v="8"/>
    <m/>
    <m/>
    <s v="Out of Warranty"/>
    <m/>
  </r>
  <r>
    <n v="1070"/>
    <s v="'300D0841 "/>
    <s v="CHERAN BEAUTYCARE PRODUCTS"/>
    <s v="COIMBATORE"/>
    <s v="TS 10 120 HN"/>
    <x v="9"/>
    <s v="CMDE680089"/>
    <s v="ccs014 "/>
    <s v="10.01.2014 15:26 "/>
    <s v="11.01.2014 10:00"/>
    <s v="14.01.2014 12:00"/>
    <x v="2"/>
    <n v="74"/>
    <n v="93"/>
    <m/>
    <m/>
    <s v="Warranty Failure"/>
    <m/>
  </r>
  <r>
    <n v="1074"/>
    <s v="'300D0502 "/>
    <s v="BALAJI ENGINEERING SERVICES"/>
    <s v="KOVILPALAYAM"/>
    <s v="RAC PACKAGE TS10 HN 500L"/>
    <x v="9"/>
    <s v="CKLE670278"/>
    <s v="ccs004 "/>
    <s v="05.09.2013 16:53 "/>
    <s v="06.09.2013 10:00"/>
    <s v="06.09.2013 15:00"/>
    <x v="2"/>
    <n v="5"/>
    <n v="22"/>
    <m/>
    <m/>
    <s v="Out of Warranty"/>
    <m/>
  </r>
  <r>
    <n v="1079"/>
    <s v="'300D0158 "/>
    <s v="RAHUL SPINNNIG MILLS"/>
    <s v="RAJAPALAYAM"/>
    <s v="TS10120"/>
    <x v="9"/>
    <s v="D300D0158"/>
    <s v="ccs007 "/>
    <s v="21.05.2013 10:24 "/>
    <s v="21.05.2013 11:00"/>
    <s v="23.05.2013 11:00"/>
    <x v="2"/>
    <n v="44"/>
    <n v="49"/>
    <m/>
    <m/>
    <s v="Out of Warranty"/>
    <m/>
  </r>
  <r>
    <n v="1081"/>
    <s v="'300D0138 "/>
    <s v="RAGHUL SPINNING MILLS"/>
    <s v="RAJAPALAYAM"/>
    <s v="TS10120"/>
    <x v="9"/>
    <s v="D300D0138"/>
    <s v="ccs007 "/>
    <s v="17.05.2013 12:33 "/>
    <s v="17.05.2013 15:00"/>
    <s v="20.06.2013 14:00"/>
    <x v="2"/>
    <n v="752"/>
    <n v="817"/>
    <m/>
    <m/>
    <s v="Out of Warranty"/>
    <m/>
  </r>
  <r>
    <n v="1091"/>
    <s v="'300C0800 "/>
    <s v="LAKSHMI NARASIMA TEXTILES"/>
    <s v="PALLADAM"/>
    <s v="TS10"/>
    <x v="9"/>
    <n v="19132"/>
    <s v="ccs005 "/>
    <s v="24.12.2012 09:46 "/>
    <s v="24.12.2012 15:00"/>
    <s v="24.12.2012 16:00"/>
    <x v="7"/>
    <n v="1"/>
    <n v="6"/>
    <m/>
    <m/>
    <s v="Out of Warranty"/>
    <m/>
  </r>
  <r>
    <n v="1098"/>
    <s v="'300C0498 "/>
    <s v="SIVA AUTOMOBILES"/>
    <s v="TRICHY"/>
    <s v="RAC PACKAGE TS10 HN 500L"/>
    <x v="9"/>
    <s v="CKDE670772"/>
    <s v="ccs007 "/>
    <s v="05.09.2012 12:32 "/>
    <s v="05.09.2012 13:00"/>
    <s v="06.09.2012 13:00"/>
    <x v="7"/>
    <n v="4"/>
    <n v="24"/>
    <m/>
    <m/>
    <s v="Out of Warranty"/>
    <m/>
  </r>
  <r>
    <n v="1100"/>
    <s v="'300C0474 "/>
    <s v="PRASANTH TEXTILES"/>
    <s v="COIMBATORE"/>
    <s v="TS10"/>
    <x v="9"/>
    <n v="35356"/>
    <s v="ccs005 "/>
    <s v="28.08.2012 10:04 "/>
    <s v="28.08.2012 16:00"/>
    <s v="04.09.2012 14:00"/>
    <x v="7"/>
    <n v="143"/>
    <n v="172"/>
    <m/>
    <m/>
    <s v="Out of Warranty"/>
    <m/>
  </r>
  <r>
    <n v="1110"/>
    <s v="'300C0282 "/>
    <s v="PARTHIPAN MODERN RICE MILLS"/>
    <s v="TRICHY"/>
    <s v="TS10"/>
    <x v="9"/>
    <n v="7052"/>
    <s v="ccs005 "/>
    <s v="02.07.2012 17:44 "/>
    <s v="03.07.2012 10:00"/>
    <s v="04.07.2012 18:00"/>
    <x v="7"/>
    <n v="32"/>
    <n v="48"/>
    <m/>
    <m/>
    <s v="Out of Warranty"/>
    <m/>
  </r>
  <r>
    <n v="1113"/>
    <s v="'300C0269 "/>
    <s v="LAKSHMI INDUSTRIES"/>
    <s v="DINDUGAL"/>
    <s v="TS 10 120 H"/>
    <x v="9"/>
    <n v="45659"/>
    <s v="ccs014 "/>
    <s v="28.06.2012 11:23 "/>
    <s v="29.06.2012 10:00"/>
    <s v="29.06.2012 14:00"/>
    <x v="7"/>
    <n v="4"/>
    <n v="27"/>
    <m/>
    <m/>
    <s v="Out of Warranty"/>
    <m/>
  </r>
  <r>
    <n v="1114"/>
    <s v="'300C0260 "/>
    <s v="RVS WHOLE SALE SERVICE"/>
    <s v="COIMBATORE"/>
    <s v="TS10 120"/>
    <x v="9"/>
    <s v="D300C0260"/>
    <s v="ccs015 "/>
    <s v="26.06.2012 09:51 "/>
    <s v="27.06.2012 10:00"/>
    <s v="27.06.2012 11:00"/>
    <x v="7"/>
    <n v="1"/>
    <n v="25"/>
    <m/>
    <m/>
    <s v="Out of Warranty"/>
    <m/>
  </r>
  <r>
    <n v="1116"/>
    <s v="'300C0242 "/>
    <s v="SUNDEEP TEXTILES"/>
    <s v="TIRUPPUR"/>
    <s v="TS10"/>
    <x v="9"/>
    <n v="81580"/>
    <s v="ccs005 "/>
    <s v="18.06.2012 09:48 "/>
    <s v="18.06.2012 15:00"/>
    <s v="18.06.2012 17:00"/>
    <x v="7"/>
    <n v="2"/>
    <n v="7"/>
    <m/>
    <m/>
    <s v="Out of Warranty"/>
    <m/>
  </r>
  <r>
    <n v="1118"/>
    <s v="'300C0220 "/>
    <s v="BILTEK STEEL INDIA PVT LTD"/>
    <s v="Coimbatore"/>
    <s v="TS 10 120 HN"/>
    <x v="9"/>
    <s v="CIJE670019"/>
    <s v="S00014 "/>
    <s v="11.06.2012 13:19 "/>
    <s v="16.06.2012 11:00"/>
    <s v="19.06.2012 15:00"/>
    <x v="7"/>
    <n v="193"/>
    <n v="194"/>
    <m/>
    <m/>
    <s v="Out of Warranty"/>
    <m/>
  </r>
  <r>
    <n v="1121"/>
    <s v="'300C0132 "/>
    <s v="RAJA AUTO AGENCIES"/>
    <s v="COIMBATORE"/>
    <s v="TS 10 120 HN"/>
    <x v="9"/>
    <s v="CKEE670931"/>
    <s v="ccs003 "/>
    <s v="10.05.2012 14:21 "/>
    <s v="11.05.2012 10:00"/>
    <s v="11.05.2012 12:00"/>
    <x v="7"/>
    <n v="2"/>
    <n v="22"/>
    <m/>
    <m/>
    <s v="Out of Warranty"/>
    <m/>
  </r>
  <r>
    <n v="1134"/>
    <s v="'300B1141 "/>
    <s v="ACT INDIA LTD"/>
    <s v="TRICHY"/>
    <s v="TS 10 120 HN"/>
    <x v="9"/>
    <s v="CKFE671054"/>
    <s v="ccs005 "/>
    <s v="17.03.2012 15:55 "/>
    <s v="17.03.2012 16:00"/>
    <s v="18.03.2012 08:00"/>
    <x v="7"/>
    <n v="16"/>
    <n v="16"/>
    <m/>
    <m/>
    <s v="Warranty Commissioning"/>
    <m/>
  </r>
  <r>
    <n v="1140"/>
    <s v="'300B1077 "/>
    <s v="GURUDEV MOTORS"/>
    <s v="TRICHY"/>
    <s v="TS10 120"/>
    <x v="9"/>
    <s v="CKDT260036"/>
    <s v="ccs015 "/>
    <s v="01.03.2012 09:11 "/>
    <s v="02.03.2012 10:00"/>
    <s v="05.03.2012 17:00"/>
    <x v="7"/>
    <n v="79"/>
    <n v="104"/>
    <m/>
    <m/>
    <s v="Out of Warranty"/>
    <m/>
  </r>
  <r>
    <n v="1144"/>
    <s v="'300B0948 "/>
    <s v="ARN MOTORS"/>
    <s v="TRICHY"/>
    <s v="TS 10 120 HN"/>
    <x v="9"/>
    <s v="CKFE671044"/>
    <s v="ccs015 "/>
    <s v="28.01.2012 11:28 "/>
    <s v="30.01.2012 10:00"/>
    <s v="31.01.2012 14:00"/>
    <x v="1"/>
    <n v="28"/>
    <n v="75"/>
    <m/>
    <m/>
    <s v="Warranty Failure"/>
    <m/>
  </r>
  <r>
    <n v="1146"/>
    <s v="'300B0871 "/>
    <s v="ARJUNA NATURAL EXTRACTS"/>
    <s v="KARUMATHAMPATTY"/>
    <s v="TS10120"/>
    <x v="9"/>
    <n v="41432"/>
    <s v="ccs002 "/>
    <s v="29.12.2011 12:21 "/>
    <s v="30.12.2011 09:00"/>
    <s v="06.01.2012 11:00"/>
    <x v="1"/>
    <n v="126"/>
    <n v="191"/>
    <m/>
    <m/>
    <s v="Out of Warranty"/>
    <m/>
  </r>
  <r>
    <n v="1151"/>
    <s v="'300B0745 "/>
    <s v="SMI FORCE"/>
    <s v="TRICHY"/>
    <s v="TS 10 120 HN"/>
    <x v="9"/>
    <s v="CKFE671094"/>
    <s v="ccs005 "/>
    <s v="26.11.2011 15:33 "/>
    <s v="26.11.2011 15:45"/>
    <s v="26.11.2011 18:00"/>
    <x v="1"/>
    <n v="2"/>
    <n v="2"/>
    <m/>
    <m/>
    <s v="Warranty Commissioning"/>
    <m/>
  </r>
  <r>
    <n v="1153"/>
    <s v="'300B0676 "/>
    <s v="MUE ARUMUGA PERUMAL AND SONS"/>
    <s v="VIRUDHUNAGAR"/>
    <s v="TS 10 120 HN"/>
    <x v="9"/>
    <s v="CKFE671095"/>
    <s v="ccs005 "/>
    <s v="05.11.2011 11:41 "/>
    <s v="05.11.2011 11:45"/>
    <s v="05.11.2011 15:00"/>
    <x v="1"/>
    <n v="3"/>
    <n v="3"/>
    <m/>
    <m/>
    <s v="Warranty Commissioning"/>
    <m/>
  </r>
  <r>
    <n v="1156"/>
    <s v="'300B0591 "/>
    <s v="GT AUTOMOTIVE PVT LTD"/>
    <s v="KARUR"/>
    <s v="TS 10 120 HN"/>
    <x v="9"/>
    <s v="DJGE671159"/>
    <s v="ccs004 "/>
    <s v="30.09.2011 09:58 "/>
    <s v="30.09.2011 10:00"/>
    <s v="01.10.2011 16:00"/>
    <x v="1"/>
    <n v="30"/>
    <n v="30"/>
    <m/>
    <m/>
    <s v="Out of Warranty"/>
    <m/>
  </r>
  <r>
    <n v="1157"/>
    <s v="'300B0573 "/>
    <s v="SSPE COTTONMILLS PVT LTD"/>
    <s v="PERUNDURAI"/>
    <s v="TS 10 120"/>
    <x v="9"/>
    <s v="CKBE450008"/>
    <s v="ccs003 "/>
    <s v="24.09.2011 16:42 "/>
    <s v="26.09.2011 09:00"/>
    <s v="26.09.2011 11:00"/>
    <x v="1"/>
    <n v="2"/>
    <n v="42"/>
    <m/>
    <m/>
    <s v="Warranty Failure"/>
    <m/>
  </r>
  <r>
    <n v="1160"/>
    <s v="'300B0497 "/>
    <s v="VST SERVICE STATION"/>
    <s v="TRICHY"/>
    <s v="TS 10 120 HN"/>
    <x v="9"/>
    <s v="CKEE670870"/>
    <s v="ccs005 "/>
    <s v="02.09.2011 15:04 "/>
    <s v="02.09.2011 15:00"/>
    <s v="02.09.2011 16:00"/>
    <x v="1"/>
    <n v="1"/>
    <n v="1"/>
    <m/>
    <m/>
    <s v="Warranty Failure"/>
    <m/>
  </r>
  <r>
    <n v="1168"/>
    <s v="'300B0481 "/>
    <s v="SIVA AUTOMOBILES"/>
    <s v="TRICHY"/>
    <s v="TS 10 120 HN"/>
    <x v="9"/>
    <s v="CKDE670772"/>
    <s v="ccs014 "/>
    <s v="29.08.2011 09:58 "/>
    <s v="29.08.2011 10:00"/>
    <s v="29.08.2011 12:00"/>
    <x v="1"/>
    <n v="2"/>
    <n v="2"/>
    <m/>
    <m/>
    <s v="Warranty Commissioning"/>
    <m/>
  </r>
  <r>
    <n v="1170"/>
    <s v="'300B0447 "/>
    <s v="VST MOTORS"/>
    <s v="TRICHY"/>
    <s v="TS 10 120 HN"/>
    <x v="9"/>
    <s v="CKEE670870"/>
    <s v="ccs003 "/>
    <s v="18.08.2011 10:46 "/>
    <s v="18.08.2011 11:00"/>
    <s v="18.08.2011 12:00"/>
    <x v="1"/>
    <n v="1"/>
    <n v="1"/>
    <m/>
    <m/>
    <s v="Warranty Commissioning"/>
    <m/>
  </r>
  <r>
    <n v="1195"/>
    <s v="'300B0062 "/>
    <s v="ARASU HYUNDAI"/>
    <s v="TRICHY"/>
    <s v="TS10 120"/>
    <x v="9"/>
    <s v="D300B0062"/>
    <s v="ccs003 "/>
    <s v="23.04.2011 09:50 "/>
    <s v="23.04.2011 10:00"/>
    <s v="23.04.2011 13:00"/>
    <x v="1"/>
    <n v="3"/>
    <n v="3"/>
    <m/>
    <m/>
    <s v="Annual Maintenance contract"/>
    <m/>
  </r>
  <r>
    <n v="1199"/>
    <s v="'300B0048 "/>
    <s v="SAPTAGIRI POLY EXTRUCTIONS"/>
    <s v="MADURAI"/>
    <s v="TS 10 120 HN"/>
    <x v="9"/>
    <s v="CJHE671312"/>
    <s v="ccs007 "/>
    <s v="19.04.2011 14:30 "/>
    <s v="19.04.2011 15:00"/>
    <s v="19.04.2011 19:00"/>
    <x v="1"/>
    <n v="5"/>
    <n v="4"/>
    <m/>
    <m/>
    <s v="Warranty Failure"/>
    <m/>
  </r>
  <r>
    <n v="1200"/>
    <s v="'300B0039 "/>
    <s v="AKSHAYA FORD"/>
    <s v="MADURAI"/>
    <s v="TS10"/>
    <x v="9"/>
    <n v="46669"/>
    <s v="ccs005 "/>
    <s v="12.04.2011 16:21 "/>
    <s v="13.04.2011 10:00"/>
    <s v="15.04.2011 13:00"/>
    <x v="1"/>
    <n v="51"/>
    <n v="69"/>
    <m/>
    <m/>
    <s v="Out of Warranty"/>
    <m/>
  </r>
  <r>
    <n v="1207"/>
    <s v="'300A0856 "/>
    <s v="BLACK THUNDER"/>
    <s v="METTUPALAYAM"/>
    <s v="TS10120"/>
    <x v="9"/>
    <s v="D300A0856"/>
    <s v="ccs007 "/>
    <s v="14.01.2011 15:25 "/>
    <s v="17.01.2011 10:00"/>
    <s v="17.01.2011 16:00"/>
    <x v="11"/>
    <n v="7"/>
    <n v="73"/>
    <m/>
    <m/>
    <s v="Out of Warranty"/>
    <m/>
  </r>
  <r>
    <n v="1211"/>
    <s v="'300A0694 "/>
    <s v="AKSHAYA FORD"/>
    <s v="MADURAI"/>
    <s v="TS10120"/>
    <x v="9"/>
    <n v="32014"/>
    <s v="ccs002 "/>
    <s v="06.12.2010 15:16 "/>
    <s v="13.12.2010 10:00"/>
    <s v="10.12.2010 13:00"/>
    <x v="11"/>
    <n v="76"/>
    <n v="94"/>
    <m/>
    <m/>
    <s v="Annual Maintenance contract"/>
    <m/>
  </r>
  <r>
    <n v="1218"/>
    <s v="'300A0426 "/>
    <s v="SHANTHI SOCIAL SERVICE PETROL BUNK"/>
    <s v="COIMBATORE"/>
    <s v="TS 10 120 HN"/>
    <x v="9"/>
    <s v="CIEE670492"/>
    <s v="ccs005 "/>
    <s v="16.09.2010 18:15 "/>
    <s v="16.09.2010 18:15"/>
    <s v="24.09.2010 15:00"/>
    <x v="11"/>
    <n v="189"/>
    <n v="189"/>
    <s v="3511AA016-18.09.2010"/>
    <s v="3511AA016"/>
    <s v="Warranty Maintenance"/>
    <m/>
  </r>
  <r>
    <n v="1219"/>
    <s v="'300A0395 "/>
    <s v="SHANTHI SOCIAL SERVICE PETROL BUNK"/>
    <s v="Coimbatore"/>
    <s v="TS 10 120 HN"/>
    <x v="9"/>
    <s v="CIEE670492"/>
    <s v="ccs001 "/>
    <s v="02.09.2010 11:38 "/>
    <s v="02.09.2010 11:45"/>
    <s v="05.09.2010 15:00"/>
    <x v="11"/>
    <n v="75"/>
    <n v="75"/>
    <m/>
    <m/>
    <s v="Out of Warranty"/>
    <m/>
  </r>
  <r>
    <n v="1221"/>
    <s v="'300A0350 "/>
    <s v="CEAT WHEEL ALIGNMENT CENTER OM SAKTHY AGENCY"/>
    <s v="sankagiri"/>
    <s v="TS 10 120 HN"/>
    <x v="9"/>
    <s v="CHEE670348"/>
    <s v="ccs004 "/>
    <s v="17.08.2010 19:59 "/>
    <s v="18.08.2010 10:00"/>
    <s v="25.08.2010 10:00"/>
    <x v="11"/>
    <n v="168"/>
    <n v="182"/>
    <m/>
    <m/>
    <s v="Out of Warranty"/>
    <m/>
  </r>
  <r>
    <n v="1229"/>
    <s v="'300A0174 "/>
    <s v="VEDHANAYAGAM OIL COMPANY"/>
    <s v="Coimbatore"/>
    <s v="TS10120"/>
    <x v="9"/>
    <s v="D300A0174"/>
    <s v="ccs001 "/>
    <s v="31.05.2010 11:13 "/>
    <s v="31.05.2010 11:20"/>
    <s v="18.10.2010 10:30"/>
    <x v="11"/>
    <n v="3046"/>
    <n v="3359"/>
    <m/>
    <m/>
    <s v="Out of Warranty"/>
    <m/>
  </r>
  <r>
    <n v="1236"/>
    <s v="'30091176 "/>
    <s v="THIRUMAGAL MODERN RICE MILL"/>
    <s v="ERODE"/>
    <s v="TS 10 120 HN"/>
    <x v="9"/>
    <s v="CIDE670391"/>
    <s v="ccs004 "/>
    <s v="13.03.2010 12:56 "/>
    <s v="13.03.2010 13:00"/>
    <s v="18.03.2010 13:00"/>
    <x v="11"/>
    <n v="120"/>
    <n v="120"/>
    <m/>
    <m/>
    <s v="Warranty Failure"/>
    <m/>
  </r>
  <r>
    <n v="1238"/>
    <s v="'30091110 "/>
    <s v="PUPPYS PLASTICS"/>
    <s v="Tiruppur"/>
    <s v="TS10120"/>
    <x v="9"/>
    <n v="251"/>
    <s v="ccs007 "/>
    <s v="24.02.2010 15:41 "/>
    <s v="01.03.2010 10:00"/>
    <s v="01.03.2010 18:30"/>
    <x v="11"/>
    <n v="105"/>
    <n v="123"/>
    <m/>
    <m/>
    <s v="Out of Warranty"/>
    <m/>
  </r>
  <r>
    <n v="1241"/>
    <s v="'30090770 "/>
    <s v="CEAT LIMITED"/>
    <s v="Salem"/>
    <s v="TS 10 120 HN"/>
    <x v="9"/>
    <s v="CHEE670348"/>
    <s v="ccs004 "/>
    <s v="19.11.2009 14:40 "/>
    <s v="20.11.2009 10:00"/>
    <s v="26.11.2009 13:00"/>
    <x v="4"/>
    <n v="147"/>
    <n v="166"/>
    <m/>
    <m/>
    <s v="Warranty Failure"/>
    <m/>
  </r>
  <r>
    <n v="1243"/>
    <s v="'30090656 "/>
    <s v="UNIVERSAL HEAT EXCHANGERS LTD"/>
    <s v="coimbatore"/>
    <s v="TS 10 120 HN"/>
    <x v="9"/>
    <s v="CHHE670602"/>
    <s v="ccs004 "/>
    <s v="19.10.2009 09:37 "/>
    <s v="19.10.2009 10:00"/>
    <s v="19.10.2009 17:00"/>
    <x v="4"/>
    <n v="7"/>
    <n v="7"/>
    <m/>
    <m/>
    <s v="Out of Warranty"/>
    <m/>
  </r>
  <r>
    <n v="1250"/>
    <s v="'30090315 "/>
    <s v="PUGOS TECHNOLOGIES"/>
    <s v="Coimbatore"/>
    <s v="TS 10 120 HN"/>
    <x v="9"/>
    <s v="AIBE670025"/>
    <s v="ccs007 "/>
    <s v="06.07.2009 14:42 "/>
    <s v="07.07.2009 10:00"/>
    <s v="06.07.2009 16:45"/>
    <x v="4"/>
    <n v="-1"/>
    <n v="2"/>
    <m/>
    <m/>
    <s v="Warranty Maintenance"/>
    <m/>
  </r>
  <r>
    <n v="1253"/>
    <s v="'30090230 "/>
    <s v="SRINIVASA MODERN RICE MILL"/>
    <s v="Trichy"/>
    <s v="TS10120H-420L"/>
    <x v="9"/>
    <n v="47902"/>
    <s v="ccs001 "/>
    <s v="16.06.2009 11:26 "/>
    <s v="17.06.2009 09:00"/>
    <s v="26.06.2009 16:00"/>
    <x v="4"/>
    <n v="-1"/>
    <n v="245"/>
    <m/>
    <m/>
    <s v="Out of Warranty"/>
    <m/>
  </r>
  <r>
    <n v="1260"/>
    <s v="'30090032 "/>
    <s v="L.G.B. MOTOR HOUSE"/>
    <s v="COIMBATORE"/>
    <s v="TS10"/>
    <x v="9"/>
    <n v="2248"/>
    <s v="ccs004 "/>
    <s v="10.04.2009 10:36 "/>
    <s v="10.04.2009 10:00"/>
    <s v="15.04.2009 12:00"/>
    <x v="4"/>
    <n v="122"/>
    <n v="121"/>
    <m/>
    <m/>
    <s v="Out of Warranty"/>
    <m/>
  </r>
  <r>
    <n v="1264"/>
    <s v="'30081164 "/>
    <s v="SRI BALAKRISHNA RICE MILL"/>
    <s v="Kumbakonam"/>
    <s v="TS10120"/>
    <x v="9"/>
    <n v="8388"/>
    <s v="ccs005 "/>
    <s v="27.02.2009 08:55 "/>
    <s v="27.02.2009 11:00"/>
    <s v="03.03.2009 13:00"/>
    <x v="4"/>
    <n v="99"/>
    <n v="100"/>
    <m/>
    <m/>
    <s v="Out of Warranty"/>
    <m/>
  </r>
  <r>
    <n v="1281"/>
    <s v="'30080650 "/>
    <s v="NEELAM MODERN RICE MILL"/>
    <s v="PARAMAKUDI"/>
    <s v="TS10120"/>
    <x v="9"/>
    <s v="D30080650"/>
    <s v="ccs002 "/>
    <s v="03.10.2008 09:32 "/>
    <s v="03.10.2008 12:00"/>
    <s v="11.10.2008 10:00"/>
    <x v="5"/>
    <n v="190"/>
    <n v="192"/>
    <m/>
    <m/>
    <s v="Out of Warranty"/>
    <m/>
  </r>
  <r>
    <n v="1288"/>
    <s v="'30080514 "/>
    <s v="SELLAMMAL SPINNERS PVT LTD"/>
    <s v="Coimbatore"/>
    <s v="TS10120H-420L"/>
    <x v="9"/>
    <n v="42154"/>
    <s v="ccs005 "/>
    <s v="27.08.2008 19:05 "/>
    <s v="29.08.2008 10:00"/>
    <s v="01.09.2008 17:00"/>
    <x v="5"/>
    <n v="103"/>
    <n v="118"/>
    <m/>
    <m/>
    <s v="Out of Warranty"/>
    <m/>
  </r>
  <r>
    <n v="1317"/>
    <s v="'30075462 "/>
    <s v="JAI VENKATESWARAN SPINNERS"/>
    <s v="Madurai"/>
    <s v="TS10 120"/>
    <x v="9"/>
    <s v="D30075462"/>
    <s v="ccs003 "/>
    <s v="21.02.2008 14:30 "/>
    <s v="21.02.2008 15:00"/>
    <s v="04.03.2008 16:00"/>
    <x v="5"/>
    <n v="289"/>
    <n v="289"/>
    <m/>
    <m/>
    <s v="Out of Warranty"/>
    <m/>
  </r>
  <r>
    <n v="1327"/>
    <s v="'30075127 "/>
    <s v="VAITHIESWARA PAPER &amp; BOARD PVT LTD--C"/>
    <s v="Coimbatore"/>
    <s v="TS 10 HN 500L"/>
    <x v="9"/>
    <n v="48629"/>
    <s v="ccs003 "/>
    <s v="14.12.2007 15:42 "/>
    <s v="15.12.2007 10:00"/>
    <s v="15.12.2007 11:00"/>
    <x v="3"/>
    <n v="2"/>
    <n v="19"/>
    <m/>
    <m/>
    <s v="Warranty Commissioning"/>
    <m/>
  </r>
  <r>
    <n v="1329"/>
    <s v="'30075044 "/>
    <s v="SRI KRISHNA RETREADS--C"/>
    <s v="Trichy"/>
    <s v="TS 10 HN 500L"/>
    <x v="9"/>
    <n v="48628"/>
    <s v="ccs001 "/>
    <s v="29.11.2007 19:20 "/>
    <s v="01.12.2007 10:00"/>
    <s v="15.12.2007 18:00"/>
    <x v="3"/>
    <n v="368"/>
    <n v="383"/>
    <m/>
    <m/>
    <s v="Warranty Failure"/>
    <m/>
  </r>
  <r>
    <n v="1341"/>
    <s v="'30074291 "/>
    <s v="KARPAGAMBAL MILLS LTD--SREE"/>
    <s v="Coimbatore"/>
    <s v="TS 10 HN 420L"/>
    <x v="9"/>
    <n v="47514"/>
    <s v="ccs003 "/>
    <s v="15.06.2007 17:15 "/>
    <s v="16.06.2007 10:00"/>
    <s v="18.06.2007 14:00"/>
    <x v="3"/>
    <n v="53"/>
    <n v="69"/>
    <m/>
    <m/>
    <m/>
    <m/>
  </r>
  <r>
    <n v="1344"/>
    <s v="'30074259 "/>
    <s v="SAKTHY TECH"/>
    <s v="Coimbatore"/>
    <s v="TS10120"/>
    <x v="9"/>
    <n v="46942"/>
    <s v="ccs001 "/>
    <s v="06.06.2007 10:16 "/>
    <s v="06.06.2007 10:30"/>
    <s v="07.06.2007 11:30"/>
    <x v="3"/>
    <n v="25"/>
    <n v="25"/>
    <m/>
    <m/>
    <m/>
    <m/>
  </r>
  <r>
    <n v="1352"/>
    <s v="'30063964 "/>
    <s v="RAMVILAS MODERN RICE MILL--SREE"/>
    <s v="Trichy"/>
    <s v="TS1012HN WOE"/>
    <x v="9"/>
    <n v="47686"/>
    <s v="ccs001 "/>
    <s v="23.03.2007 12:11 "/>
    <s v="23.03.2007 12:05"/>
    <s v="23.03.2007 13:00"/>
    <x v="3"/>
    <n v="1"/>
    <n v="1"/>
    <m/>
    <m/>
    <m/>
    <m/>
  </r>
  <r>
    <n v="1363"/>
    <s v="'30063385 "/>
    <s v="THANGAM MODERN RICE MILL--SREE"/>
    <s v="Trichy"/>
    <s v="TS10120H-420L"/>
    <x v="9"/>
    <n v="42924"/>
    <s v="ccs001 "/>
    <s v="14.11.2006 11:08 "/>
    <s v="14.11.2006 11:30"/>
    <s v="15.11.2006 16:30"/>
    <x v="12"/>
    <n v="0"/>
    <n v="29"/>
    <m/>
    <m/>
    <m/>
    <m/>
  </r>
  <r>
    <n v="1368"/>
    <s v="'30063171 "/>
    <s v="PRETHISTA WEAVING &amp; KNITTING CO--SREE"/>
    <s v="Coimbatore"/>
    <s v="TS10"/>
    <x v="9"/>
    <n v="4784"/>
    <s v="ccs001 "/>
    <s v="26.09.2006 13:13 "/>
    <s v="26.09.2006 13:30"/>
    <s v="26.09.2006 17:30"/>
    <x v="12"/>
    <n v="0"/>
    <n v="4"/>
    <m/>
    <m/>
    <m/>
    <m/>
  </r>
  <r>
    <n v="1372"/>
    <s v="'30063056 "/>
    <s v="JMJ PROJECT INDIA LTD--SREE"/>
    <s v="Pudukottai"/>
    <s v="TS 10 HN 420L"/>
    <x v="9"/>
    <n v="47321"/>
    <s v="ccs001 "/>
    <s v="30.08.2006 15:35 "/>
    <s v="30.08.2006 15:45"/>
    <s v="30.08.2006 18:00"/>
    <x v="12"/>
    <n v="0"/>
    <n v="2"/>
    <m/>
    <m/>
    <m/>
    <m/>
  </r>
  <r>
    <n v="1374"/>
    <s v="'30062919 "/>
    <s v="GOLDEN MODERN RICE MILL--SREE"/>
    <s v="Madurai"/>
    <s v="TS10"/>
    <x v="9"/>
    <n v="46956"/>
    <s v="ccs001 "/>
    <s v="03.08.2006 11:06 "/>
    <s v="03.08.2006 11:15"/>
    <s v="03.08.2006 15:00"/>
    <x v="12"/>
    <n v="0"/>
    <n v="4"/>
    <m/>
    <m/>
    <m/>
    <m/>
  </r>
  <r>
    <n v="1375"/>
    <s v="'30062798 "/>
    <s v="MOULD WELL PRODUCTS"/>
    <s v="Coimbatore"/>
    <s v="TS 10"/>
    <x v="9"/>
    <n v="41096"/>
    <s v="ccs001 "/>
    <s v="19.07.2006 10:03 "/>
    <s v="26.07.2006 09:00"/>
    <s v="26.07.2006 13:00"/>
    <x v="12"/>
    <n v="0"/>
    <n v="171"/>
    <m/>
    <m/>
    <m/>
    <m/>
  </r>
  <r>
    <n v="1376"/>
    <s v="'30062782 "/>
    <s v="DHANDAPANI CEMENT FACTORY--SREE"/>
    <s v="Trichy"/>
    <s v="TS 10"/>
    <x v="9"/>
    <n v="47204"/>
    <s v="ccs001 "/>
    <s v="15.07.2006 12:38 "/>
    <s v="15.07.2006 12:45"/>
    <s v="15.07.2006 15:00"/>
    <x v="12"/>
    <n v="0"/>
    <n v="2"/>
    <m/>
    <m/>
    <m/>
    <m/>
  </r>
  <r>
    <n v="1377"/>
    <s v="'30062770 "/>
    <s v="JAYAM TEXTILES--SREE"/>
    <s v="Madurai"/>
    <s v="TS 10"/>
    <x v="9"/>
    <n v="33253"/>
    <s v="ccs001 "/>
    <s v="13.07.2006 17:07 "/>
    <s v="13.07.2006 17:15"/>
    <s v="13.07.2006 22:00"/>
    <x v="12"/>
    <n v="0"/>
    <n v="5"/>
    <m/>
    <m/>
    <m/>
    <m/>
  </r>
  <r>
    <n v="1381"/>
    <s v="'30062745 "/>
    <s v="IYYAN SPINNING MILL -- SREE"/>
    <s v="Avinashi"/>
    <s v="TS 10"/>
    <x v="9"/>
    <s v="D30062745"/>
    <s v="ccs001 "/>
    <s v="11.07.2006 12:03 "/>
    <s v="11.07.2006 12:30"/>
    <s v="18.07.2006 19:00"/>
    <x v="12"/>
    <n v="0"/>
    <n v="175"/>
    <m/>
    <m/>
    <m/>
    <m/>
  </r>
  <r>
    <n v="1391"/>
    <s v="'30062503 "/>
    <s v="SRI VINAYAKA PLAST--SREE"/>
    <s v="Tanjur"/>
    <s v="TS 10"/>
    <x v="9"/>
    <n v="47222"/>
    <s v="ccs001 "/>
    <s v="07.06.2006 13:22 "/>
    <s v="07.06.2006 13:30"/>
    <s v="07.06.2006 15:30"/>
    <x v="12"/>
    <n v="0"/>
    <n v="2"/>
    <m/>
    <m/>
    <m/>
    <m/>
  </r>
  <r>
    <n v="1397"/>
    <s v="'30062448 "/>
    <s v="AVINANGUDY PALANIANDAVAR RICE MILL"/>
    <s v="Cuddalore"/>
    <s v="TS 10"/>
    <x v="9"/>
    <n v="46743"/>
    <s v="ccs001 "/>
    <s v="02.06.2006 10:50 "/>
    <s v="03.06.2006 09:00"/>
    <s v="12.06.2006 14:00"/>
    <x v="12"/>
    <n v="0"/>
    <n v="243"/>
    <m/>
    <m/>
    <m/>
    <m/>
  </r>
  <r>
    <n v="1400"/>
    <s v="'30062251 "/>
    <s v="PALANIANDAVAR RICE PROCESSING MILLS"/>
    <s v="Trichy"/>
    <s v="TS 10"/>
    <x v="9"/>
    <n v="46743"/>
    <s v="ccs001 "/>
    <s v="28.04.2006 15:42 "/>
    <s v="29.04.2006 09:00"/>
    <s v="03.05.2006 17:00"/>
    <x v="12"/>
    <n v="0"/>
    <n v="121"/>
    <m/>
    <m/>
    <m/>
    <m/>
  </r>
  <r>
    <n v="1404"/>
    <s v="'30051730 "/>
    <s v="SAKTHY GEARS PRODUCTS--SREE"/>
    <s v="Coimbatore"/>
    <s v="TS 10"/>
    <x v="9"/>
    <n v="46408"/>
    <s v="ccs001 "/>
    <s v="25.01.2006 14:39 "/>
    <s v="25.01.2006 15:00"/>
    <s v="25.01.2006 19:00"/>
    <x v="0"/>
    <n v="0"/>
    <n v="4"/>
    <m/>
    <m/>
    <m/>
    <m/>
  </r>
  <r>
    <n v="1410"/>
    <s v="'40070786 "/>
    <s v="SHAPOORJI PALLONJAI CO LTD"/>
    <s v="Coimbatore"/>
    <s v="TS 10 120 H"/>
    <x v="9"/>
    <n v="45561"/>
    <s v="ccs007 "/>
    <s v="19.03.2008 16:27 "/>
    <s v="20.03.2008 13:00"/>
    <s v="20.03.2008 14:00"/>
    <x v="5"/>
    <n v="22"/>
    <n v="22"/>
    <m/>
    <m/>
    <s v="Out of Warranty"/>
    <m/>
  </r>
  <r>
    <n v="1424"/>
    <m/>
    <s v="Bodycare International Ltd, 56/1, Lakshmi Nagar, 50-Feet Road, Tirupur"/>
    <s v="Tirupur"/>
    <s v="TS10/500"/>
    <x v="9"/>
    <n v="48647"/>
    <m/>
    <m/>
    <m/>
    <m/>
    <x v="13"/>
    <m/>
    <m/>
    <m/>
    <m/>
    <m/>
    <s v="0421-4243400"/>
  </r>
  <r>
    <n v="1425"/>
    <m/>
    <s v="Puma Hosiery Mill, 4/523-A, SRMThirumana Mandapam, Inoba Nagar, Koduvai"/>
    <s v="Koduvai"/>
    <s v="TS10/500"/>
    <x v="9"/>
    <n v="48737"/>
    <m/>
    <m/>
    <m/>
    <m/>
    <x v="13"/>
    <m/>
    <m/>
    <m/>
    <m/>
    <m/>
    <s v="0421-4308555"/>
  </r>
  <r>
    <n v="1436"/>
    <m/>
    <s v="Shobha Electricals, 239-240, Patel Road, Ram Nagar, Coimbatore"/>
    <s v="Cbe"/>
    <s v="TS10/500"/>
    <x v="9"/>
    <n v="49183"/>
    <m/>
    <m/>
    <m/>
    <m/>
    <x v="13"/>
    <m/>
    <m/>
    <m/>
    <m/>
    <m/>
    <m/>
  </r>
  <r>
    <n v="1437"/>
    <m/>
    <s v="Sulochana Cotton Spinning Mills Pvt Ltd, Chitambalam Village, Palladam TK, Tirupur"/>
    <s v="Palladam"/>
    <s v="TS10/500"/>
    <x v="9"/>
    <n v="49236"/>
    <m/>
    <m/>
    <m/>
    <m/>
    <x v="13"/>
    <m/>
    <m/>
    <m/>
    <m/>
    <m/>
    <n v="9789484030"/>
  </r>
  <r>
    <n v="1455"/>
    <m/>
    <s v="Yes Knits,32, Thiru Nagar, Mangalam Road, Tirupur"/>
    <s v="Tirupur"/>
    <s v="TS10/500"/>
    <x v="9"/>
    <n v="50199"/>
    <m/>
    <m/>
    <m/>
    <m/>
    <x v="13"/>
    <m/>
    <m/>
    <m/>
    <m/>
    <m/>
    <s v="0421-2245776"/>
  </r>
  <r>
    <n v="1461"/>
    <m/>
    <s v="Adhi Vinayakar Enterprises, 199-201, Venkatasamy Road, New Siddhapudur, Cbe"/>
    <s v="Cbe"/>
    <s v="TS10/500"/>
    <x v="9"/>
    <n v="50702"/>
    <m/>
    <m/>
    <m/>
    <m/>
    <x v="13"/>
    <m/>
    <m/>
    <m/>
    <m/>
    <m/>
    <n v="9842215181"/>
  </r>
  <r>
    <n v="1462"/>
    <m/>
    <s v="Arvind A Traders, #52, 5th Cross, Sengunthapuram, Karur"/>
    <s v="Karur"/>
    <s v="TS10/500"/>
    <x v="9"/>
    <n v="50777"/>
    <m/>
    <m/>
    <m/>
    <m/>
    <x v="13"/>
    <m/>
    <m/>
    <m/>
    <m/>
    <m/>
    <n v="4324231515"/>
  </r>
  <r>
    <n v="1464"/>
    <m/>
    <s v="Mounty Garments, 10-A, VOC Nagar, 4th Street, Kongu Main Road, Tirupur"/>
    <s v="Tirupur"/>
    <s v="TS10/500"/>
    <x v="9"/>
    <n v="50797"/>
    <m/>
    <m/>
    <m/>
    <m/>
    <x v="13"/>
    <m/>
    <m/>
    <m/>
    <m/>
    <m/>
    <s v="0421-4333006"/>
  </r>
  <r>
    <n v="1470"/>
    <m/>
    <s v="Shobha Electricals, 239-240, Patel Road, Ram Nagar, Coimbatore"/>
    <s v="Cbe"/>
    <s v="TS10/500"/>
    <x v="9"/>
    <n v="51038"/>
    <m/>
    <m/>
    <m/>
    <m/>
    <x v="13"/>
    <m/>
    <m/>
    <m/>
    <m/>
    <m/>
    <m/>
  </r>
  <r>
    <n v="1471"/>
    <m/>
    <s v="Adhi Vinayakar Enterprises, 199-201, Venkatasamy Road, New Siddhapudur, Cbe"/>
    <s v="Cbe"/>
    <s v="TS10/500"/>
    <x v="9"/>
    <n v="51039"/>
    <m/>
    <m/>
    <m/>
    <m/>
    <x v="13"/>
    <m/>
    <m/>
    <m/>
    <m/>
    <m/>
    <m/>
  </r>
  <r>
    <n v="1475"/>
    <m/>
    <s v="Adhi Vinayakar Enterprises, 199-201, Venkatasamy Road, New Siddhapudur, Cbe"/>
    <s v="Cbe"/>
    <s v="TS10/500"/>
    <x v="9"/>
    <n v="51188"/>
    <m/>
    <m/>
    <m/>
    <m/>
    <x v="13"/>
    <m/>
    <m/>
    <m/>
    <m/>
    <m/>
    <m/>
  </r>
  <r>
    <n v="1482"/>
    <m/>
    <s v="Shobha Electricals, 239-240, Patel Road, Ram Nagar, Coimbatore"/>
    <s v="Cbe"/>
    <s v="TS10/500"/>
    <x v="9"/>
    <n v="51479"/>
    <m/>
    <m/>
    <m/>
    <m/>
    <x v="13"/>
    <m/>
    <m/>
    <m/>
    <m/>
    <m/>
    <m/>
  </r>
  <r>
    <n v="1485"/>
    <m/>
    <s v="Grace International, No123-A Thirumoorthy Garden, Muthusamy Street, Thallzhikadu, Pitchampalayam, Tirupur"/>
    <s v="Tirupur"/>
    <s v="TS10/500"/>
    <x v="9"/>
    <n v="51580"/>
    <m/>
    <m/>
    <m/>
    <m/>
    <x v="13"/>
    <m/>
    <m/>
    <m/>
    <m/>
    <m/>
    <n v="9952683380"/>
  </r>
  <r>
    <n v="1487"/>
    <m/>
    <s v="Todi Industries, 11/5, Sastri nagar, Angeripalayam main Road, Tirupur"/>
    <s v="Tirupur"/>
    <s v="TS10/500"/>
    <x v="9"/>
    <n v="51613"/>
    <m/>
    <m/>
    <m/>
    <m/>
    <x v="13"/>
    <m/>
    <m/>
    <m/>
    <m/>
    <m/>
    <m/>
  </r>
  <r>
    <n v="1489"/>
    <m/>
    <s v="EN-Rich Paper Products, 1/222-2, Rayarpalayam Main Road,Nambiyamapalayam, Avinashi"/>
    <s v="Avinashi"/>
    <s v="TS10/500"/>
    <x v="9"/>
    <n v="51778"/>
    <m/>
    <m/>
    <m/>
    <m/>
    <x v="13"/>
    <m/>
    <m/>
    <m/>
    <m/>
    <m/>
    <s v="04296-288063"/>
  </r>
  <r>
    <n v="1499"/>
    <m/>
    <s v="DSP International, No:2, Sidco Harvey Road, Tirupur"/>
    <s v="Tirupur"/>
    <s v="TS10/BM"/>
    <x v="9"/>
    <n v="52227"/>
    <m/>
    <m/>
    <m/>
    <m/>
    <x v="13"/>
    <m/>
    <m/>
    <m/>
    <m/>
    <m/>
    <n v="9943061016"/>
  </r>
  <r>
    <n v="1503"/>
    <m/>
    <s v="Season Clothing, SF.No:14, Kangayam Road, Opp:Selvi Furniture, Tirupur"/>
    <s v="Tirupur"/>
    <s v="TS10/500"/>
    <x v="9"/>
    <n v="52306"/>
    <m/>
    <m/>
    <m/>
    <m/>
    <x v="13"/>
    <m/>
    <m/>
    <m/>
    <m/>
    <m/>
    <m/>
  </r>
  <r>
    <n v="1514"/>
    <m/>
    <s v="Varunn Exports, SF No:485/2, Ellai Thottam, Sangothipalayam, Kaniyur Post, Cbe Site at Somanur"/>
    <s v="Somanur"/>
    <s v="TS10/500"/>
    <x v="9"/>
    <n v="52646"/>
    <m/>
    <m/>
    <m/>
    <m/>
    <x v="13"/>
    <m/>
    <m/>
    <m/>
    <m/>
    <m/>
    <n v="9788831534"/>
  </r>
  <r>
    <n v="1519"/>
    <m/>
    <s v="Rajmahaal Tyre Equipments Ltd, 1.C, Mahalakshmi Kovil Street, M.K.palayam, Coimbatore"/>
    <s v="Coimbatore"/>
    <s v="TS10/500"/>
    <x v="9"/>
    <n v="52771"/>
    <m/>
    <m/>
    <m/>
    <m/>
    <x v="13"/>
    <m/>
    <m/>
    <m/>
    <m/>
    <m/>
    <n v="9843822996"/>
  </r>
  <r>
    <n v="1520"/>
    <m/>
    <s v="Universal Knit Creation, 36, Vivekanantha Nagar, Sirupooluvapatti, Tirupur"/>
    <s v="Tirupur"/>
    <s v="TS10/500"/>
    <x v="9"/>
    <n v="52786"/>
    <m/>
    <m/>
    <m/>
    <m/>
    <x v="13"/>
    <m/>
    <m/>
    <m/>
    <m/>
    <m/>
    <s v="0421-2231290"/>
  </r>
  <r>
    <n v="1522"/>
    <m/>
    <s v="Anjana Apparels, No:5, Hosiery Park, Avinashi Road, Anaipudur, Tirupur"/>
    <s v="Tirupur"/>
    <s v="TS10/500"/>
    <x v="9"/>
    <n v="52850"/>
    <m/>
    <m/>
    <m/>
    <m/>
    <x v="13"/>
    <m/>
    <m/>
    <m/>
    <m/>
    <m/>
    <n v="9865569990"/>
  </r>
  <r>
    <n v="1524"/>
    <m/>
    <s v="Sri Sastha Tyres, No:39-B, Near Velan Hotel, Kangayam Road, Tirupur"/>
    <s v="Tirupur"/>
    <s v="TS10/500"/>
    <x v="9"/>
    <n v="52873"/>
    <m/>
    <m/>
    <m/>
    <m/>
    <x v="13"/>
    <m/>
    <m/>
    <m/>
    <m/>
    <m/>
    <n v="9843973273"/>
  </r>
  <r>
    <n v="1531"/>
    <m/>
    <s v="Skytech, 5/565 Athipalayam Road, Periyanaickenpalayam, Coimbatore-20"/>
    <s v="Periyanaickenpalayam"/>
    <s v="TS10/500"/>
    <x v="9"/>
    <n v="53146"/>
    <m/>
    <m/>
    <m/>
    <m/>
    <x v="13"/>
    <m/>
    <m/>
    <m/>
    <m/>
    <m/>
    <n v="9994393359"/>
  </r>
  <r>
    <n v="1539"/>
    <m/>
    <s v="VMS Knitts, SF No:551/3A, Pooriya Gounder Thottam, Karuppagoundampalayam, Veerapandi Post, Tirupur"/>
    <s v="Tirupur"/>
    <s v="TS10/500"/>
    <x v="9"/>
    <n v="53519"/>
    <m/>
    <m/>
    <m/>
    <m/>
    <x v="13"/>
    <m/>
    <m/>
    <m/>
    <m/>
    <m/>
    <n v="9994932235"/>
  </r>
  <r>
    <n v="1541"/>
    <m/>
    <s v="Karpagam Tex, 8/604 Angeripalayam Road, Tirupur"/>
    <s v="Tirupur"/>
    <s v="TS10/500"/>
    <x v="9"/>
    <n v="53685"/>
    <m/>
    <m/>
    <m/>
    <m/>
    <x v="13"/>
    <m/>
    <m/>
    <m/>
    <m/>
    <m/>
    <s v="0421-2479266"/>
  </r>
  <r>
    <n v="1543"/>
    <m/>
    <s v="Teru Murugan Blue Metal, SF No:506, Kattumunnur, K.Paramathi Via, Karur"/>
    <s v="Karur"/>
    <s v="TS10/500"/>
    <x v="9"/>
    <n v="53742"/>
    <m/>
    <m/>
    <m/>
    <m/>
    <x v="13"/>
    <m/>
    <m/>
    <m/>
    <m/>
    <m/>
    <n v="9788854364"/>
  </r>
  <r>
    <n v="1548"/>
    <m/>
    <s v="Swamy Process, SF No:426 Eari Thottam, Verapandi Post, Tirupur"/>
    <s v="Tirupur"/>
    <s v="TS10/500"/>
    <x v="9"/>
    <n v="53847"/>
    <m/>
    <m/>
    <m/>
    <m/>
    <x v="13"/>
    <m/>
    <m/>
    <m/>
    <m/>
    <m/>
    <n v="9965194759"/>
  </r>
  <r>
    <n v="1556"/>
    <m/>
    <s v="Sri Vaigai Garments, SF No:8/614-C Murugampalayam Road, Karaipudur, Jayanthi School Arulpuram, Tirupur"/>
    <s v="Tirupur"/>
    <s v="TS10/500"/>
    <x v="9"/>
    <n v="54220"/>
    <m/>
    <m/>
    <m/>
    <m/>
    <x v="13"/>
    <m/>
    <m/>
    <m/>
    <m/>
    <m/>
    <n v="8754016001"/>
  </r>
  <r>
    <n v="1558"/>
    <m/>
    <s v="Manigreeva Knitters, Sitye No:57, 1083, R.Chellam Nagar,Andipalayam, Tirupur"/>
    <s v="Tirupur"/>
    <s v="TS10/500"/>
    <x v="9"/>
    <n v="54403"/>
    <m/>
    <m/>
    <m/>
    <m/>
    <x v="13"/>
    <m/>
    <m/>
    <m/>
    <m/>
    <m/>
    <m/>
  </r>
  <r>
    <n v="1562"/>
    <m/>
    <s v="Sree Kasthuri Mill, 74-E, Karumathampatty Road, Somanur"/>
    <s v="Somanur"/>
    <s v="TS10/500"/>
    <x v="9"/>
    <n v="54472"/>
    <m/>
    <m/>
    <m/>
    <m/>
    <x v="13"/>
    <m/>
    <m/>
    <m/>
    <m/>
    <m/>
    <n v="8883037237"/>
  </r>
  <r>
    <n v="1567"/>
    <m/>
    <s v="Sree Sivam Roll Fusing, 10 KVR Nagar, 5th street, Mangalam Road, Tirupur"/>
    <s v="Tirupur"/>
    <s v="TS10/500"/>
    <x v="9"/>
    <n v="54532"/>
    <m/>
    <m/>
    <m/>
    <m/>
    <x v="13"/>
    <m/>
    <m/>
    <m/>
    <m/>
    <m/>
    <n v="9865263326"/>
  </r>
  <r>
    <n v="1571"/>
    <m/>
    <s v="R&amp;D Constructions, SF No:320, Sathy Main Road, Orikkalpalayam Privu, Kunnathur, Cbe"/>
    <s v="Coimbatore"/>
    <s v="TS10/500"/>
    <x v="9"/>
    <n v="34307"/>
    <m/>
    <m/>
    <m/>
    <m/>
    <x v="13"/>
    <m/>
    <m/>
    <m/>
    <m/>
    <m/>
    <n v="9952911091"/>
  </r>
  <r>
    <n v="1572"/>
    <m/>
    <s v="C.S.Knit Wear, Karuppagoundampalayam, Tirupur"/>
    <s v="Tirupur"/>
    <s v="TS10/500"/>
    <x v="9"/>
    <n v="54667"/>
    <m/>
    <m/>
    <m/>
    <m/>
    <x v="13"/>
    <m/>
    <m/>
    <m/>
    <m/>
    <m/>
    <s v="0421-2214820"/>
  </r>
  <r>
    <n v="1590"/>
    <m/>
    <s v="Saraswathi Automation, 165/2, Sri Saradha Mill Road, Opp:V.S.Sengottaiah School, Sundarapuram Cbe"/>
    <s v="Cbe"/>
    <s v="TS10/500"/>
    <x v="9"/>
    <n v="43541"/>
    <m/>
    <m/>
    <m/>
    <m/>
    <x v="13"/>
    <m/>
    <m/>
    <m/>
    <m/>
    <m/>
    <n v="9894871155"/>
  </r>
  <r>
    <n v="1595"/>
    <m/>
    <s v="Sri Padmavathy Corporation, 17, M.S. Nagar, Podaur"/>
    <s v="Podanur"/>
    <s v="TS10/500"/>
    <x v="9"/>
    <n v="43776"/>
    <m/>
    <m/>
    <m/>
    <m/>
    <x v="13"/>
    <m/>
    <m/>
    <m/>
    <m/>
    <m/>
    <n v="9894258254"/>
  </r>
  <r>
    <n v="1601"/>
    <m/>
    <s v="Aditya Automobile Spares Pvt Ltd, Trichy Road, Singanallur, Cbe"/>
    <s v="Singanallur"/>
    <s v="TS10/500"/>
    <x v="9"/>
    <n v="44226"/>
    <m/>
    <m/>
    <m/>
    <m/>
    <x v="13"/>
    <m/>
    <m/>
    <m/>
    <m/>
    <m/>
    <m/>
  </r>
  <r>
    <n v="1612"/>
    <m/>
    <s v="Rajmahaal Tyre Equipments Pvt Ltd, 1-C, Mahalakshmi Koil Street, M.K.Palayam, Coimbatore"/>
    <s v="Cbe"/>
    <s v="TS10/500"/>
    <x v="9"/>
    <n v="45326"/>
    <m/>
    <m/>
    <m/>
    <m/>
    <x v="13"/>
    <m/>
    <m/>
    <m/>
    <m/>
    <m/>
    <m/>
  </r>
  <r>
    <n v="1619"/>
    <m/>
    <s v="Elite Shell Mould Industries, SF.No:58, Site No:4, 2nd Street, K.K.Nagar, Ganapathy Post,Coimbatore "/>
    <s v="Cbe"/>
    <s v="TS10/500"/>
    <x v="9"/>
    <n v="45745"/>
    <m/>
    <m/>
    <m/>
    <m/>
    <x v="13"/>
    <m/>
    <m/>
    <m/>
    <m/>
    <m/>
    <m/>
  </r>
  <r>
    <n v="1620"/>
    <m/>
    <s v="Shell Tech Industries, SF.No:320, Orikkal Palayam, Kunnathur Post, Coimbatore"/>
    <s v="Cbe"/>
    <s v="TS10/500"/>
    <x v="9"/>
    <n v="45750"/>
    <m/>
    <m/>
    <m/>
    <m/>
    <x v="13"/>
    <m/>
    <m/>
    <m/>
    <m/>
    <m/>
    <m/>
  </r>
  <r>
    <n v="1624"/>
    <m/>
    <s v="The Thirumbadi Rubber Compnay Limited, Kil Kothagiri The Nilgris"/>
    <s v="Kothagiri"/>
    <s v="TS10/500"/>
    <x v="9"/>
    <n v="45899"/>
    <m/>
    <m/>
    <m/>
    <m/>
    <x v="13"/>
    <m/>
    <m/>
    <m/>
    <m/>
    <m/>
    <s v="0422 4361340"/>
  </r>
  <r>
    <n v="1629"/>
    <m/>
    <s v="Sree Sakthi Electricals, Dr.Nanjappa Road, Cbe"/>
    <s v="Cbe"/>
    <s v="TS10/500 WOE"/>
    <x v="9"/>
    <n v="46762"/>
    <m/>
    <m/>
    <m/>
    <m/>
    <x v="13"/>
    <m/>
    <m/>
    <m/>
    <m/>
    <m/>
    <m/>
  </r>
  <r>
    <n v="1646"/>
    <m/>
    <s v="A.BALAKRISHNAN"/>
    <s v="Dindigul"/>
    <s v="TS 10 120HN/500L"/>
    <x v="9"/>
    <m/>
    <m/>
    <m/>
    <m/>
    <m/>
    <x v="13"/>
    <m/>
    <m/>
    <m/>
    <m/>
    <m/>
    <m/>
  </r>
  <r>
    <n v="1649"/>
    <m/>
    <s v="Abi &amp; Abi Motors"/>
    <s v="Thanjavur"/>
    <s v="TS 10 500L - 2 Nos."/>
    <x v="9"/>
    <m/>
    <m/>
    <m/>
    <m/>
    <m/>
    <x v="13"/>
    <m/>
    <m/>
    <m/>
    <m/>
    <m/>
    <m/>
  </r>
  <r>
    <n v="1654"/>
    <m/>
    <s v="Alucraft Technologies"/>
    <s v="Coimbatore"/>
    <s v="TS 10 120HN/500L"/>
    <x v="9"/>
    <m/>
    <m/>
    <m/>
    <m/>
    <m/>
    <x v="13"/>
    <m/>
    <m/>
    <m/>
    <m/>
    <m/>
    <m/>
  </r>
  <r>
    <n v="1659"/>
    <m/>
    <s v="Ananimallais motors P.Ltd"/>
    <s v="Pollachi"/>
    <s v="TS10 120HN/500L"/>
    <x v="9"/>
    <m/>
    <m/>
    <m/>
    <m/>
    <m/>
    <x v="13"/>
    <m/>
    <m/>
    <m/>
    <m/>
    <m/>
    <m/>
  </r>
  <r>
    <n v="1664"/>
    <m/>
    <s v="Arunachala Gounder Textiles"/>
    <s v="Coimbatore"/>
    <s v="TS10 500 WOE, PULLEY MOTOR"/>
    <x v="9"/>
    <m/>
    <m/>
    <m/>
    <m/>
    <m/>
    <x v="13"/>
    <m/>
    <m/>
    <m/>
    <m/>
    <m/>
    <m/>
  </r>
  <r>
    <n v="1667"/>
    <m/>
    <s v="AZHAGARIMA.V"/>
    <s v="Thiruvarur"/>
    <s v="TS10 120HN/500L"/>
    <x v="9"/>
    <m/>
    <m/>
    <m/>
    <m/>
    <m/>
    <x v="13"/>
    <m/>
    <m/>
    <m/>
    <m/>
    <m/>
    <m/>
  </r>
  <r>
    <n v="1668"/>
    <m/>
    <s v="Bannariamman Automobiles (P) Ltd"/>
    <s v="Coimbatore"/>
    <s v="TS10 120HN/500L"/>
    <x v="9"/>
    <m/>
    <m/>
    <m/>
    <m/>
    <m/>
    <x v="13"/>
    <m/>
    <m/>
    <m/>
    <m/>
    <m/>
    <m/>
  </r>
  <r>
    <n v="1669"/>
    <m/>
    <s v="Bannariamman Automobiles Pvt. Ltd"/>
    <s v="TRICHY"/>
    <s v="TS10 120HN/500L"/>
    <x v="9"/>
    <m/>
    <m/>
    <m/>
    <m/>
    <m/>
    <x v="13"/>
    <m/>
    <m/>
    <m/>
    <m/>
    <m/>
    <m/>
  </r>
  <r>
    <n v="1671"/>
    <m/>
    <s v="Black Thunder"/>
    <s v="Coimbatore"/>
    <s v="TS 10 120H/500L"/>
    <x v="9"/>
    <m/>
    <m/>
    <m/>
    <m/>
    <m/>
    <x v="13"/>
    <m/>
    <m/>
    <m/>
    <m/>
    <m/>
    <m/>
  </r>
  <r>
    <n v="1673"/>
    <m/>
    <s v="CARDWELL SPINNING MILLS LTD"/>
    <s v="Coimbatore"/>
    <s v="TS10 120HN/500L"/>
    <x v="9"/>
    <m/>
    <m/>
    <m/>
    <m/>
    <m/>
    <x v="13"/>
    <m/>
    <m/>
    <m/>
    <m/>
    <m/>
    <m/>
  </r>
  <r>
    <n v="1676"/>
    <m/>
    <s v="Classic Equipments"/>
    <s v="Coimbatore"/>
    <s v="TS 10 120HN/500L"/>
    <x v="9"/>
    <m/>
    <m/>
    <m/>
    <m/>
    <m/>
    <x v="13"/>
    <m/>
    <m/>
    <m/>
    <m/>
    <m/>
    <m/>
  </r>
  <r>
    <n v="1686"/>
    <m/>
    <s v="GEMINI FABRICATORS"/>
    <s v="COIMBATORE"/>
    <s v="TS10 120HN/500L"/>
    <x v="9"/>
    <m/>
    <m/>
    <m/>
    <m/>
    <m/>
    <x v="13"/>
    <m/>
    <m/>
    <m/>
    <m/>
    <m/>
    <m/>
  </r>
  <r>
    <n v="1691"/>
    <m/>
    <s v="HINDUSTAN CARWASH"/>
    <s v="Coimbatore"/>
    <s v="TS10 120HN/500L"/>
    <x v="9"/>
    <m/>
    <m/>
    <m/>
    <m/>
    <m/>
    <x v="13"/>
    <m/>
    <m/>
    <m/>
    <m/>
    <m/>
    <m/>
  </r>
  <r>
    <n v="1698"/>
    <m/>
    <s v="Jeyamm Textiles                         "/>
    <s v="Udumalpet"/>
    <s v="TS 10 120H/500L"/>
    <x v="9"/>
    <m/>
    <m/>
    <m/>
    <m/>
    <m/>
    <x v="13"/>
    <m/>
    <m/>
    <m/>
    <m/>
    <m/>
    <m/>
  </r>
  <r>
    <n v="1706"/>
    <m/>
    <s v="Kowselya Textile Mills"/>
    <s v="Cbe"/>
    <s v="TS 10 120HN/500L"/>
    <x v="9"/>
    <m/>
    <m/>
    <m/>
    <m/>
    <m/>
    <x v="13"/>
    <m/>
    <m/>
    <m/>
    <m/>
    <m/>
    <m/>
  </r>
  <r>
    <n v="1707"/>
    <m/>
    <s v="Lakshmi Card Clothing Mfg. Company Ltd III"/>
    <s v="POLLACHI"/>
    <s v="TS 10 120 TB"/>
    <x v="9"/>
    <m/>
    <m/>
    <m/>
    <m/>
    <m/>
    <x v="13"/>
    <m/>
    <m/>
    <m/>
    <m/>
    <m/>
    <m/>
  </r>
  <r>
    <n v="1713"/>
    <m/>
    <s v="Miraa Equipments"/>
    <s v="Cbe"/>
    <s v="TS 10 120HN 500L"/>
    <x v="9"/>
    <m/>
    <m/>
    <m/>
    <m/>
    <m/>
    <x v="13"/>
    <m/>
    <m/>
    <m/>
    <m/>
    <m/>
    <m/>
  </r>
  <r>
    <n v="1734"/>
    <m/>
    <s v="Sakthi Tech Manufacturing India Pvt. Ltd"/>
    <s v="Coimbatore"/>
    <s v="TS 10 500L, ELRD40"/>
    <x v="9"/>
    <m/>
    <m/>
    <m/>
    <m/>
    <m/>
    <x v="13"/>
    <m/>
    <m/>
    <m/>
    <m/>
    <m/>
    <m/>
  </r>
  <r>
    <n v="1735"/>
    <m/>
    <s v="Sakthi Tech Manufacturing India Pvt. Ltd"/>
    <s v="Coimbatore"/>
    <s v="TS 10 500L"/>
    <x v="9"/>
    <m/>
    <m/>
    <m/>
    <m/>
    <m/>
    <x v="13"/>
    <m/>
    <m/>
    <m/>
    <m/>
    <m/>
    <m/>
  </r>
  <r>
    <n v="1740"/>
    <m/>
    <s v="Shanthi Feeds Pvt. Ltd"/>
    <s v="Cbe"/>
    <s v="TS 10 120HN/500L"/>
    <x v="9"/>
    <m/>
    <m/>
    <m/>
    <m/>
    <m/>
    <x v="13"/>
    <m/>
    <m/>
    <m/>
    <m/>
    <m/>
    <m/>
  </r>
  <r>
    <n v="1741"/>
    <m/>
    <s v="SHIVA AUTOMOBILES"/>
    <s v="TRICHY"/>
    <s v="TS10 500L"/>
    <x v="9"/>
    <m/>
    <m/>
    <m/>
    <m/>
    <m/>
    <x v="13"/>
    <m/>
    <m/>
    <m/>
    <m/>
    <m/>
    <m/>
  </r>
  <r>
    <n v="1750"/>
    <m/>
    <s v="Solamalai Automobiles (P) Ltd"/>
    <s v="Madurai"/>
    <s v="TS 10 500L"/>
    <x v="9"/>
    <m/>
    <m/>
    <m/>
    <m/>
    <m/>
    <x v="13"/>
    <m/>
    <m/>
    <m/>
    <m/>
    <m/>
    <m/>
  </r>
  <r>
    <n v="1751"/>
    <m/>
    <s v="Solamalai Motors"/>
    <s v="Sivakasi"/>
    <s v="TS  10 500L"/>
    <x v="9"/>
    <m/>
    <m/>
    <m/>
    <m/>
    <m/>
    <x v="13"/>
    <m/>
    <m/>
    <m/>
    <m/>
    <m/>
    <m/>
  </r>
  <r>
    <n v="1752"/>
    <m/>
    <s v="SOR Honda"/>
    <s v="Usilampatti"/>
    <s v="TS 10 500L"/>
    <x v="9"/>
    <m/>
    <m/>
    <m/>
    <m/>
    <m/>
    <x v="13"/>
    <m/>
    <m/>
    <m/>
    <m/>
    <m/>
    <m/>
  </r>
  <r>
    <n v="1756"/>
    <m/>
    <s v="Sree Mahadeva Minerals"/>
    <s v="Salem"/>
    <s v="TS 10 120HN/500L, dryer, PF, FF, adv"/>
    <x v="9"/>
    <m/>
    <m/>
    <m/>
    <m/>
    <m/>
    <x v="13"/>
    <m/>
    <m/>
    <m/>
    <m/>
    <m/>
    <m/>
  </r>
  <r>
    <n v="1757"/>
    <m/>
    <s v="SREE SABARIS AGENCIES"/>
    <s v="Madurai"/>
    <s v="TS10 120HN/500L"/>
    <x v="9"/>
    <m/>
    <m/>
    <m/>
    <m/>
    <m/>
    <x v="13"/>
    <m/>
    <m/>
    <m/>
    <m/>
    <m/>
    <m/>
  </r>
  <r>
    <n v="1758"/>
    <m/>
    <s v="Sri Dakshin Processing Mill"/>
    <s v="Avinashi"/>
    <s v="TS 10 120/500L"/>
    <x v="9"/>
    <m/>
    <m/>
    <m/>
    <m/>
    <m/>
    <x v="13"/>
    <m/>
    <m/>
    <m/>
    <m/>
    <m/>
    <m/>
  </r>
  <r>
    <n v="1759"/>
    <m/>
    <s v="Sri Ganesh Industries"/>
    <s v="Trichy"/>
    <s v="TS 10 120HN/500L"/>
    <x v="9"/>
    <m/>
    <m/>
    <m/>
    <m/>
    <m/>
    <x v="13"/>
    <m/>
    <m/>
    <m/>
    <m/>
    <m/>
    <m/>
  </r>
  <r>
    <n v="1774"/>
    <m/>
    <s v="Sundaram Motors"/>
    <s v="SALEM"/>
    <s v="TS 10 500L"/>
    <x v="9"/>
    <m/>
    <m/>
    <m/>
    <m/>
    <m/>
    <x v="13"/>
    <m/>
    <m/>
    <m/>
    <m/>
    <m/>
    <m/>
  </r>
  <r>
    <n v="1780"/>
    <m/>
    <s v="Ultra Engineers"/>
    <s v="Coimbatore"/>
    <s v="TS 10 500L"/>
    <x v="9"/>
    <m/>
    <m/>
    <m/>
    <m/>
    <m/>
    <x v="13"/>
    <m/>
    <m/>
    <m/>
    <m/>
    <m/>
    <m/>
  </r>
  <r>
    <n v="1791"/>
    <m/>
    <s v="Vetri Motors"/>
    <s v="Madurai"/>
    <s v="TS10 500L"/>
    <x v="9"/>
    <m/>
    <m/>
    <m/>
    <m/>
    <m/>
    <x v="13"/>
    <m/>
    <m/>
    <m/>
    <m/>
    <m/>
    <m/>
  </r>
  <r>
    <n v="38"/>
    <s v="'300F00706 "/>
    <s v="KARTHIKA SPICES"/>
    <s v="COIMABTORE"/>
    <s v="TS10 120 HT 420L"/>
    <x v="10"/>
    <s v="CJDM760056"/>
    <s v="ccs025 "/>
    <s v="17.10.2015 09:14 "/>
    <s v="20.10.2015 00:00"/>
    <s v="20.10.2015 12:00"/>
    <x v="8"/>
    <n v="56"/>
    <n v="75"/>
    <m/>
    <m/>
    <s v="Out of Warranty"/>
    <m/>
  </r>
  <r>
    <n v="192"/>
    <s v="'300C0434 "/>
    <s v="MARUDHAMALAI SREE DHANDAPANI SPIINING MILLS"/>
    <s v="KARAMADAI"/>
    <s v="TS10120HT"/>
    <x v="10"/>
    <s v="D300C0434"/>
    <s v="ccs004 "/>
    <s v="14.08.2012 17:18 "/>
    <s v="16.08.2012 10:00"/>
    <s v="16.08.2012 14:00"/>
    <x v="7"/>
    <n v="4"/>
    <n v="45"/>
    <m/>
    <m/>
    <s v="Out of Warranty"/>
    <m/>
  </r>
  <r>
    <n v="226"/>
    <s v="'300B1183 "/>
    <s v="SAHUWALA FLOUR MILL UNIT 2"/>
    <s v="COIMBATORE"/>
    <s v="TS 10 120 HT"/>
    <x v="10"/>
    <s v="CIFM760108"/>
    <s v="ccs015 "/>
    <s v="30.03.2012 17:24 "/>
    <s v="31.03.2012 10:00"/>
    <s v="02.04.2012 13:00"/>
    <x v="7"/>
    <n v="51"/>
    <n v="68"/>
    <m/>
    <m/>
    <s v="Out of Warranty"/>
    <m/>
  </r>
  <r>
    <n v="438"/>
    <s v="'30091036 "/>
    <s v="SAHUWALA FLOUR MILLS"/>
    <s v="COIMBATORE"/>
    <s v="TS 10 120 HT"/>
    <x v="10"/>
    <s v="CIEM760101"/>
    <s v="ccs002 "/>
    <s v="01.02.2010 20:56 "/>
    <s v="02.02.2010 09:00"/>
    <s v="03.02.2010 21:00"/>
    <x v="4"/>
    <n v="36"/>
    <n v="48"/>
    <m/>
    <m/>
    <s v="Warranty Failure"/>
    <m/>
  </r>
  <r>
    <n v="566"/>
    <s v="'30080948 "/>
    <s v="THIRUKUMARAN FASHION"/>
    <s v="Tirupur"/>
    <s v="TS 10 120 HT"/>
    <x v="10"/>
    <s v="CHAM760028"/>
    <s v="ccs001 "/>
    <s v="26.12.2008 11:30 "/>
    <s v="26.12.2008 11:15"/>
    <s v="26.12.2008 12:00"/>
    <x v="5"/>
    <n v="1"/>
    <n v="0"/>
    <m/>
    <m/>
    <s v="Warranty Failure"/>
    <m/>
  </r>
  <r>
    <n v="599"/>
    <s v="'30080651 "/>
    <s v="SRINIVASA RICE MILL"/>
    <s v="Dharapurum"/>
    <s v="TS 10 120 HT"/>
    <x v="10"/>
    <n v="285"/>
    <s v="ccs007 "/>
    <s v="03.10.2008 13:53 "/>
    <s v="04.10.2008 10:00"/>
    <s v="11.10.2008 17:00"/>
    <x v="5"/>
    <n v="195"/>
    <n v="195"/>
    <m/>
    <m/>
    <s v="Warranty Failure"/>
    <m/>
  </r>
  <r>
    <n v="614"/>
    <s v="'30080551 "/>
    <s v="TTN TEXTILIES SPINNERS"/>
    <s v="ERODE"/>
    <s v="TS 10 120 HT"/>
    <x v="10"/>
    <s v="CHEM760165"/>
    <s v="ccs002 "/>
    <s v="06.09.2008 14:41 "/>
    <s v="06.09.2008 15:00"/>
    <s v="10.09.2008 12:00"/>
    <x v="5"/>
    <n v="93"/>
    <n v="93"/>
    <m/>
    <m/>
    <s v="Warranty Commissioning"/>
    <m/>
  </r>
  <r>
    <n v="628"/>
    <s v="'30080436 "/>
    <s v="KPR MILLS LTD"/>
    <s v="Coimbatore"/>
    <s v="TS 10 120 HT"/>
    <x v="10"/>
    <s v="CHBM760083"/>
    <s v="ccs001 "/>
    <s v="05.08.2008 12:34 "/>
    <s v="05.08.2008 12:30"/>
    <s v="05.08.2008 16:00"/>
    <x v="5"/>
    <n v="4"/>
    <n v="3"/>
    <m/>
    <m/>
    <s v="Warranty Commissioning"/>
    <m/>
  </r>
  <r>
    <n v="635"/>
    <s v="'30080032 "/>
    <s v="KELTRO EXPORTS"/>
    <s v="TIRUPPUR"/>
    <s v="TS 10 120 HT"/>
    <x v="10"/>
    <s v="CHJM760049"/>
    <s v="ccs002 "/>
    <s v="30.04.2008 16:25 "/>
    <s v="30.04.2008 16:30"/>
    <s v="30.04.2008 17:30"/>
    <x v="5"/>
    <n v="1"/>
    <n v="1"/>
    <m/>
    <m/>
    <s v="Warranty Commissioning"/>
    <m/>
  </r>
  <r>
    <n v="646"/>
    <s v="'30075169 "/>
    <s v="SARANYA EXPORTS--C"/>
    <s v="Coimbatore"/>
    <s v="TS 10 120 HT"/>
    <x v="10"/>
    <n v="47"/>
    <s v="ccs007 "/>
    <s v="24.12.2007 17:38 "/>
    <s v="25.12.2007 10:00"/>
    <s v="01.01.2008 11:00"/>
    <x v="3"/>
    <n v="145"/>
    <n v="185"/>
    <m/>
    <m/>
    <s v="Out of Warranty"/>
    <m/>
  </r>
  <r>
    <n v="651"/>
    <s v="'30075129 "/>
    <s v="SREENIVASA RICE MILL--C"/>
    <s v="Dharapuram"/>
    <s v="TS 10 120 HT"/>
    <x v="10"/>
    <n v="285"/>
    <s v="ccs002 "/>
    <s v="14.12.2007 20:36 "/>
    <s v="15.12.2007 10:00"/>
    <s v="21.12.2007 14:00"/>
    <x v="3"/>
    <n v="147"/>
    <n v="161"/>
    <m/>
    <m/>
    <s v="Warranty Failure"/>
    <m/>
  </r>
  <r>
    <n v="662"/>
    <s v="'30075033 "/>
    <s v="PALANI AANDAVAR RICE MILLS"/>
    <s v="Coimbatore"/>
    <s v="TS 10 120 HT"/>
    <x v="10"/>
    <n v="94"/>
    <s v="ccs001 "/>
    <s v="28.11.2007 16:46 "/>
    <s v="29.11.2007 14:00"/>
    <s v="07.12.2007 14:00"/>
    <x v="3"/>
    <n v="197"/>
    <n v="213"/>
    <s v="3511A7119-29.11.2007"/>
    <s v="3511A7119"/>
    <m/>
    <m/>
  </r>
  <r>
    <n v="678"/>
    <s v="'30074774 "/>
    <s v="SREENIVASA MODERN RICE MILL -- CITY"/>
    <s v="COIMBATORE"/>
    <s v="TS 10 120 HT"/>
    <x v="10"/>
    <n v="285"/>
    <s v="ccs002 "/>
    <s v="29.09.2007 12:59 "/>
    <s v="29.09.2007 13:15"/>
    <s v="29.09.2007 16:00"/>
    <x v="3"/>
    <n v="3"/>
    <n v="3"/>
    <m/>
    <m/>
    <m/>
    <m/>
  </r>
  <r>
    <n v="696"/>
    <s v="'30074627 "/>
    <s v="SARANYA EXPORTS"/>
    <s v="Somanur"/>
    <s v="TS 10 120 HT"/>
    <x v="10"/>
    <n v="33"/>
    <s v="ccs003 "/>
    <s v="31.08.2007 13:27 "/>
    <s v="01.09.2007 10:00"/>
    <s v="15.09.2007 14:00"/>
    <x v="3"/>
    <n v="361"/>
    <n v="361"/>
    <s v="3511A7104-01.09.2007"/>
    <s v="3511A7104"/>
    <m/>
    <m/>
  </r>
  <r>
    <n v="709"/>
    <s v="'30074165 "/>
    <s v="MARUTHAMALAI SRI DHANDAPANI SPG MILLS"/>
    <s v="Coimbatore"/>
    <s v="TS10120HT"/>
    <x v="10"/>
    <n v="5"/>
    <s v="ccs004 "/>
    <s v="14.05.2007 17:02 "/>
    <s v="15.05.2007 09:00"/>
    <s v="18.05.2007 16:00"/>
    <x v="3"/>
    <n v="79"/>
    <n v="95"/>
    <m/>
    <m/>
    <m/>
    <m/>
  </r>
  <r>
    <n v="712"/>
    <s v="'30063987 "/>
    <s v="MARUDHAMALAI SREE DHANDAPANI SPIINING MILLS--CITY"/>
    <s v="Coimbatore"/>
    <s v="TS10120HT"/>
    <x v="10"/>
    <n v="5"/>
    <s v="ccs001 "/>
    <s v="27.03.2007 12:40 "/>
    <s v="27.03.2007 12:35"/>
    <s v="27.03.2007 13:35"/>
    <x v="3"/>
    <n v="1"/>
    <n v="1"/>
    <m/>
    <m/>
    <m/>
    <m/>
  </r>
  <r>
    <n v="1061"/>
    <s v="'300E00249 "/>
    <s v="SSB MOTORS"/>
    <s v="THANJAVUR"/>
    <s v="TS10 120 HT 420L"/>
    <x v="10"/>
    <s v="CIJM760018"/>
    <s v="ccs021 "/>
    <s v="03.07.2014 17:32 "/>
    <s v="04.07.2014 10:00"/>
    <s v="08.07.2014 12:00"/>
    <x v="10"/>
    <n v="98"/>
    <n v="114"/>
    <m/>
    <m/>
    <s v="Out of Warranty"/>
    <m/>
  </r>
  <r>
    <n v="1082"/>
    <s v="'300D0036 "/>
    <s v="SSB MOTORS"/>
    <s v="THANJAVUR"/>
    <s v="TS10 120 HT 420L"/>
    <x v="10"/>
    <s v="CIJM760018"/>
    <s v="ccs007 "/>
    <s v="15.04.2013 10:16 "/>
    <s v="15.04.2013 11:00"/>
    <s v="15.04.2013 18:00"/>
    <x v="2"/>
    <n v="5"/>
    <n v="8"/>
    <m/>
    <m/>
    <s v="Out of Warranty"/>
    <m/>
  </r>
  <r>
    <n v="1171"/>
    <s v="'300B0444 "/>
    <s v="VIJAYA POWER COATING"/>
    <s v="TRICHY"/>
    <s v="TS 10 120 HT"/>
    <x v="10"/>
    <s v="CHAM760050"/>
    <s v="ccs004 "/>
    <s v="17.08.2011 15:46 "/>
    <s v="17.08.2011 15:45"/>
    <s v="18.08.2011 13:00"/>
    <x v="1"/>
    <n v="21"/>
    <n v="21"/>
    <m/>
    <m/>
    <s v="Out of Warranty"/>
    <m/>
  </r>
  <r>
    <n v="1256"/>
    <s v="'30090131 "/>
    <s v="ARASU HYUNDAI"/>
    <s v="TRICHY"/>
    <s v="TS 10 120 HT"/>
    <x v="10"/>
    <s v="CHAM760032"/>
    <s v="ccs002 "/>
    <s v="20.05.2009 11:40 "/>
    <s v="20.05.2009 12:00"/>
    <s v="25.05.2009 12:00"/>
    <x v="4"/>
    <n v="120"/>
    <n v="120"/>
    <m/>
    <m/>
    <s v="Out of Warranty"/>
    <m/>
  </r>
  <r>
    <n v="1262"/>
    <s v="'30081254 "/>
    <s v="VALLI DHAL MILLS"/>
    <s v="Dindugul"/>
    <s v="TS 10 120 HT"/>
    <x v="10"/>
    <s v="CHJM760023"/>
    <s v="ccs001 "/>
    <s v="30.03.2009 11:18 "/>
    <s v="30.03.2009 11:15"/>
    <s v="31.03.2009 16:00"/>
    <x v="4"/>
    <n v="29"/>
    <n v="29"/>
    <m/>
    <m/>
    <s v="Warranty Failure"/>
    <m/>
  </r>
  <r>
    <n v="1266"/>
    <s v="'30081128 "/>
    <s v="RELIABLE MODERN RICE MILL"/>
    <s v="Trichy"/>
    <s v="TS 10 120 HT"/>
    <x v="10"/>
    <n v="466"/>
    <s v="ccs001 "/>
    <s v="17.02.2009 14:12 "/>
    <s v="18.02.2009 09:00"/>
    <s v="17.03.2009 16:15"/>
    <x v="5"/>
    <n v="-1"/>
    <n v="674"/>
    <m/>
    <m/>
    <s v="Out of Warranty"/>
    <m/>
  </r>
  <r>
    <n v="1278"/>
    <s v="'30080674 "/>
    <s v="ARASU HYUNDAI"/>
    <s v="Trichy"/>
    <s v="TS 10 120 HT"/>
    <x v="10"/>
    <s v="CHAM760032"/>
    <s v="ccs001 "/>
    <s v="07.10.2008 13:50 "/>
    <s v="07.10.2008 14:10"/>
    <s v="08.10.2008 13:00"/>
    <x v="5"/>
    <n v="23"/>
    <n v="23"/>
    <m/>
    <m/>
    <s v="Warranty Commissioning"/>
    <m/>
  </r>
  <r>
    <n v="1287"/>
    <s v="'30080515 "/>
    <s v="SELLAMMAL SPINNERS PVT LTD"/>
    <s v="Coimbatore"/>
    <s v="TS 10 120 H"/>
    <x v="10"/>
    <n v="45468"/>
    <s v="ccs005 "/>
    <s v="27.08.2008 19:05 "/>
    <s v="29.08.2008 10:00"/>
    <s v="01.09.2008 17:00"/>
    <x v="5"/>
    <n v="103"/>
    <n v="118"/>
    <m/>
    <m/>
    <s v="Out of Warranty"/>
    <m/>
  </r>
  <r>
    <n v="1289"/>
    <s v="'30080513 "/>
    <s v="SENIOR SECTION ENGINEER"/>
    <s v="Trichy"/>
    <s v="TS 10 120 HT"/>
    <x v="10"/>
    <s v="CHAM760001"/>
    <s v="ccs003 "/>
    <s v="27.08.2008 14:29 "/>
    <s v="29.08.2008 10:00"/>
    <s v="07.10.2008 15:00"/>
    <x v="5"/>
    <n v="246"/>
    <n v="985"/>
    <m/>
    <m/>
    <s v="Warranty Maintenance"/>
    <m/>
  </r>
  <r>
    <n v="1300"/>
    <s v="'30080318 "/>
    <s v="CHANDRAKUMAR MILLS"/>
    <s v="POLLACHI"/>
    <s v="TS 10 120 HT"/>
    <x v="10"/>
    <n v="62"/>
    <s v="ccs002 "/>
    <s v="08.07.2008 17:52 "/>
    <s v="09.07.2008 09:00"/>
    <s v="10.07.2008 16:30"/>
    <x v="5"/>
    <n v="32"/>
    <n v="47"/>
    <m/>
    <m/>
    <s v="Out of Warranty"/>
    <m/>
  </r>
  <r>
    <n v="1306"/>
    <s v="'30080109 "/>
    <s v="SHANMUGA POLYMERS"/>
    <s v="Puddukottai"/>
    <s v="TS 10 120 HT"/>
    <x v="10"/>
    <s v="CHAM760064"/>
    <s v="ccs004 "/>
    <s v="20.05.2008 10:31 "/>
    <s v="20.05.2008 10:30"/>
    <s v="20.05.2008 15:00"/>
    <x v="5"/>
    <n v="5"/>
    <n v="4"/>
    <m/>
    <m/>
    <s v="Warranty Commissioning"/>
    <m/>
  </r>
  <r>
    <n v="1318"/>
    <s v="'30075418 "/>
    <s v="RELIABLE MODERN RICE MILL--SREE"/>
    <s v="TricHy"/>
    <s v="TS 10 120 HT"/>
    <x v="10"/>
    <n v="466"/>
    <s v="ccs001 "/>
    <s v="14.02.2008 11:03 "/>
    <s v="14.02.2008 11:05"/>
    <s v="25.02.2008 13:00"/>
    <x v="3"/>
    <n v="266"/>
    <n v="266"/>
    <m/>
    <m/>
    <s v="Warranty Commissioning"/>
    <m/>
  </r>
  <r>
    <n v="1320"/>
    <s v="'30075372 "/>
    <s v="GOLDEN SUN INDUSTRIES-FINISHING DIVISION"/>
    <s v="Erode"/>
    <s v="TS 10 120 HT"/>
    <x v="10"/>
    <n v="122"/>
    <s v="ccs001 "/>
    <s v="06.02.2008 12:08 "/>
    <s v="06.02.2008 12:15"/>
    <s v="15.02.2008 16:30"/>
    <x v="3"/>
    <n v="220"/>
    <n v="220"/>
    <m/>
    <m/>
    <s v="Warranty Failure"/>
    <m/>
  </r>
  <r>
    <n v="1322"/>
    <s v="'30075356 "/>
    <s v="PIONEER BREEDING HATCHERIES PVT LTD--C"/>
    <s v="Coimbatore"/>
    <s v="TS 10 120 HT"/>
    <x v="10"/>
    <n v="463"/>
    <s v="ccs005 "/>
    <s v="02.02.2008 17:32 "/>
    <s v="04.02.2008 10:00"/>
    <s v="18.02.2008 12:00"/>
    <x v="3"/>
    <n v="338"/>
    <n v="378"/>
    <m/>
    <m/>
    <s v="Warranty Failure"/>
    <m/>
  </r>
  <r>
    <n v="4"/>
    <s v="'300G00104 "/>
    <s v="SRI KANNANDEPARTMENTAL STORE PVT LTD"/>
    <s v="COIMBATORE"/>
    <s v="TS 15 120 HN"/>
    <x v="11"/>
    <s v="GOIE690359"/>
    <s v="ccs021 "/>
    <s v="02.05.2016 09:50 "/>
    <s v="02.05.2016 14:00"/>
    <s v="04.05.2016 16:00"/>
    <x v="9"/>
    <n v="50"/>
    <n v="54"/>
    <m/>
    <m/>
    <s v="Warranty Failure"/>
    <m/>
  </r>
  <r>
    <n v="6"/>
    <s v="'300G00085 "/>
    <s v="SRI SAIRAM CLOTHING"/>
    <s v="TIRUPUR"/>
    <s v="TS 15 120 HN"/>
    <x v="11"/>
    <s v="GOIE690354"/>
    <s v="ccs025 "/>
    <s v="21.04.2016 17:15 "/>
    <s v="22.04.2016 10:00"/>
    <s v="22.04.2016 15:00"/>
    <x v="9"/>
    <n v="5"/>
    <n v="22"/>
    <m/>
    <m/>
    <s v="Warranty Failure"/>
    <m/>
  </r>
  <r>
    <n v="14"/>
    <s v="'300F01193 "/>
    <s v="SRI SAIRAM CLOTHING"/>
    <s v="TIRUPUR"/>
    <s v="TS 15 120 HN"/>
    <x v="11"/>
    <s v="GOIE690354"/>
    <s v="ccs019 "/>
    <s v="05.03.2016 18:44 "/>
    <s v="07.03.2016 10:00"/>
    <s v="07.03.2016 15:00"/>
    <x v="9"/>
    <n v="5"/>
    <n v="44"/>
    <m/>
    <m/>
    <s v="Warranty Failure"/>
    <m/>
  </r>
  <r>
    <n v="15"/>
    <s v="'300F01096 "/>
    <s v="KRILAO GARMENTS"/>
    <s v="TIRUPPUR"/>
    <s v="TS 15 120 HN"/>
    <x v="11"/>
    <s v="GPJE690012"/>
    <s v="ccs021 "/>
    <s v="10.02.2016 18:17 "/>
    <s v="11.02.2016 10:00"/>
    <s v="12.02.2016 13:00"/>
    <x v="8"/>
    <n v="27"/>
    <n v="43"/>
    <m/>
    <m/>
    <s v="Warranty Commissioning"/>
    <m/>
  </r>
  <r>
    <n v="19"/>
    <s v="'300F01026 "/>
    <s v="ROYAL TEXTILE"/>
    <s v="PALLADAM"/>
    <s v="TS 15 120 HN"/>
    <x v="11"/>
    <n v="43476"/>
    <s v="ccs025 "/>
    <s v="18.01.2016 11:07 "/>
    <s v="18.01.2016 13:00"/>
    <s v="19.01.2016 12:00"/>
    <x v="8"/>
    <n v="23"/>
    <n v="25"/>
    <m/>
    <m/>
    <s v="Out of Warranty"/>
    <m/>
  </r>
  <r>
    <n v="35"/>
    <s v="'300F00728 "/>
    <s v="SV KNIT FASHION"/>
    <s v="TIRUPPUR"/>
    <s v="TS 15 120 HN"/>
    <x v="11"/>
    <s v="GOKE690036"/>
    <s v="ccs025 "/>
    <s v="24.10.2015 15:05 "/>
    <s v="28.10.2015 10:12"/>
    <s v="28.10.2015 13:00"/>
    <x v="8"/>
    <n v="44"/>
    <n v="94"/>
    <m/>
    <m/>
    <s v="Warranty Failure"/>
    <m/>
  </r>
  <r>
    <n v="43"/>
    <s v="'300F00656 "/>
    <s v="SRI PALANI ANDAVAR RICE MILL"/>
    <s v="TIRUPUR"/>
    <s v="RAC PACKAGE TS15 HN 500L"/>
    <x v="11"/>
    <s v="CHEE690232"/>
    <s v="ccs025 "/>
    <s v="05.10.2015 17:31 "/>
    <s v="06.10.2015 10:00"/>
    <s v="07.10.2015 13:00"/>
    <x v="8"/>
    <n v="27"/>
    <n v="43"/>
    <m/>
    <m/>
    <s v="Out of Warranty"/>
    <m/>
  </r>
  <r>
    <n v="44"/>
    <s v="'300F00641 "/>
    <s v="RAJAMAHA TYRE EQUIPMENT LTD"/>
    <s v="coimbatore"/>
    <s v="TS 15 120 HN"/>
    <x v="11"/>
    <s v="GNIE690155"/>
    <s v="ccs014 "/>
    <s v="30.09.2015 17:15 "/>
    <s v="01.10.2015 10:00"/>
    <s v="02.10.2015 13:00"/>
    <x v="8"/>
    <n v="27"/>
    <n v="44"/>
    <m/>
    <m/>
    <s v="Warranty Commissioning"/>
    <m/>
  </r>
  <r>
    <n v="56"/>
    <s v="'300F00343 "/>
    <s v="GREEN TRADS"/>
    <s v="TIRUPUR"/>
    <s v="TS 15 120 HN"/>
    <x v="11"/>
    <s v="GOCE690165"/>
    <s v="ccs028 "/>
    <s v="24.07.2015 14:51 "/>
    <s v="01.08.2015 00:00"/>
    <s v="01.08.2015 01:00"/>
    <x v="8"/>
    <n v="53"/>
    <n v="178"/>
    <s v="35119F011-24.08.2015"/>
    <s v="35119F011"/>
    <s v="Warranty Failure"/>
    <m/>
  </r>
  <r>
    <n v="60"/>
    <s v="'300F00295 "/>
    <s v="GREEN DRADS"/>
    <s v="TIRUPUR"/>
    <s v="TS 15 120 HN"/>
    <x v="11"/>
    <s v="GOCE690165"/>
    <s v="ccs019 "/>
    <s v="07.07.2015 18:32 "/>
    <s v="08.07.2015 10:00"/>
    <s v="08.07.2015 15:00"/>
    <x v="8"/>
    <n v="5"/>
    <n v="20"/>
    <m/>
    <m/>
    <s v="Warranty Failure"/>
    <m/>
  </r>
  <r>
    <n v="82"/>
    <s v="'300E00874 "/>
    <s v="KOLDY PERTOLEUM INDIA PVT LTD"/>
    <s v="VANAMADAI"/>
    <s v="TS 15 120 HN"/>
    <x v="11"/>
    <s v="GNIE690153"/>
    <s v="ccs014 "/>
    <s v="17.02.2015 12:15 "/>
    <s v="18.02.2015 10:00"/>
    <s v="18.02.2015 13:00"/>
    <x v="8"/>
    <n v="3"/>
    <n v="25"/>
    <m/>
    <m/>
    <s v="Warranty Commissioning"/>
    <m/>
  </r>
  <r>
    <n v="98"/>
    <s v="'300E00584 "/>
    <s v="MSS FABRICS"/>
    <s v="TIRUPUR"/>
    <s v="RAC PACKAGE TS15 HN 500L"/>
    <x v="11"/>
    <s v="CKLE690167"/>
    <s v="ccs021 "/>
    <s v="08.11.2014 13:26 "/>
    <s v="22.11.2014 15:30"/>
    <s v="22.11.2014 15:30"/>
    <x v="10"/>
    <n v="26"/>
    <n v="338"/>
    <m/>
    <m/>
    <s v="Out of Warranty"/>
    <m/>
  </r>
  <r>
    <n v="99"/>
    <s v="'300E00521 "/>
    <s v="AYYAPPA KNITTING"/>
    <s v="TIRUPPUR"/>
    <s v="TS15120 EP 15HP 1500 BASE TS"/>
    <x v="11"/>
    <s v="CHBE490005"/>
    <s v="ccs014 "/>
    <s v="14.10.2014 09:51 "/>
    <s v="14.10.2014 14:00"/>
    <s v="14.10.2014 15:00"/>
    <x v="10"/>
    <n v="1"/>
    <n v="5"/>
    <m/>
    <m/>
    <s v="Out of Warranty"/>
    <m/>
  </r>
  <r>
    <n v="100"/>
    <s v="'300E00486 "/>
    <s v="SPS SPINNERS"/>
    <s v="TIRUPUR"/>
    <s v="TS 15 120 HN"/>
    <x v="11"/>
    <s v="CNKE690082"/>
    <s v="ccs018 "/>
    <s v="29.09.2014 09:29 "/>
    <s v="29.09.2014 14:00"/>
    <s v="29.09.2014 16:00"/>
    <x v="10"/>
    <n v="2"/>
    <n v="7"/>
    <m/>
    <m/>
    <s v="Warranty Maintenance"/>
    <m/>
  </r>
  <r>
    <n v="104"/>
    <s v="'300E00348 "/>
    <s v="BECO NEEDLE MANUFACTURING COMPANY"/>
    <s v="NILGRI"/>
    <s v="RAC PACKAGE TS15 HN 500L"/>
    <x v="11"/>
    <s v="CJHE690651"/>
    <s v="ccs015 "/>
    <s v="08.08.2014 11:44 "/>
    <s v="09.08.2014 08:00"/>
    <s v="09.08.2014 13:00"/>
    <x v="10"/>
    <n v="5"/>
    <n v="25"/>
    <m/>
    <m/>
    <s v="Out of Warranty"/>
    <m/>
  </r>
  <r>
    <n v="105"/>
    <s v="'300E00300 "/>
    <s v="G PLAST PVT LTD"/>
    <s v="COIMBATORE"/>
    <s v="TS15120"/>
    <x v="11"/>
    <s v="D300E00300"/>
    <s v="ccs003 "/>
    <s v="21.07.2014 12:17 "/>
    <s v="21.07.2014 16:00"/>
    <s v="21.07.2014 20:00"/>
    <x v="10"/>
    <n v="4"/>
    <n v="8"/>
    <m/>
    <m/>
    <s v="Out of Warranty"/>
    <m/>
  </r>
  <r>
    <n v="114"/>
    <s v="'300E00163 "/>
    <s v="SPM GARMENTS"/>
    <s v="TIRUPUR"/>
    <s v="TS 15 120 HN"/>
    <x v="11"/>
    <s v="CNJE690048"/>
    <s v="ccs019 "/>
    <s v="31.05.2014 14:16 "/>
    <s v="02.06.2014 10:00"/>
    <s v="02.06.2014 12:00"/>
    <x v="10"/>
    <n v="2"/>
    <n v="46"/>
    <m/>
    <m/>
    <s v="Warranty Failure"/>
    <m/>
  </r>
  <r>
    <n v="116"/>
    <s v="'300E00150 "/>
    <s v="HINDUSTAN AUTOMATION"/>
    <s v="COIMBATORE"/>
    <s v="TS15120"/>
    <x v="11"/>
    <s v="D300E00150"/>
    <s v="ccs003 "/>
    <s v="28.05.2014 15:40 "/>
    <s v="29.05.2014 09:00"/>
    <s v="29.05.2014 10:00"/>
    <x v="10"/>
    <n v="1"/>
    <n v="18"/>
    <m/>
    <m/>
    <s v="Out of Warranty"/>
    <m/>
  </r>
  <r>
    <n v="125"/>
    <s v="'300E00032 "/>
    <s v="G PLAST PVT LTD UNIT 2"/>
    <s v="COIMBATORE"/>
    <s v="TS15HN Top block"/>
    <x v="11"/>
    <s v="UMJT290002"/>
    <s v="ccs018 "/>
    <s v="15.04.2014 10:07 "/>
    <s v="15.04.2014 12:00"/>
    <s v="16.04.2014 12:00"/>
    <x v="10"/>
    <n v="24"/>
    <n v="26"/>
    <m/>
    <m/>
    <s v="Out of Warranty"/>
    <m/>
  </r>
  <r>
    <n v="126"/>
    <s v="'300E0004 "/>
    <s v="MSS FABRICS"/>
    <s v="TIRUPUR"/>
    <s v="RAC PACKAGE TS15 HN 500L"/>
    <x v="11"/>
    <s v="CKLE690167"/>
    <s v="ccs019 "/>
    <s v="01.04.2014 12:51 "/>
    <s v="02.04.2014 10:00"/>
    <s v="02.04.2014 12:00"/>
    <x v="10"/>
    <n v="2"/>
    <n v="23"/>
    <s v="35119E008-11.06.2014"/>
    <n v="3511900000000"/>
    <s v="Out of Warranty"/>
    <m/>
  </r>
  <r>
    <n v="129"/>
    <s v="'300D0968 "/>
    <s v="ASIA PACIPIC INTERNATIONAL"/>
    <s v="TIRUPUR"/>
    <s v="TS 15 120 HN"/>
    <x v="11"/>
    <s v="CMCE690245"/>
    <s v="ccs005 "/>
    <s v="01.03.2014 10:16 "/>
    <s v="01.03.2014 14:00"/>
    <s v="01.03.2014 16:00"/>
    <x v="10"/>
    <n v="2"/>
    <n v="6"/>
    <m/>
    <m/>
    <s v="Out of Warranty"/>
    <m/>
  </r>
  <r>
    <n v="136"/>
    <s v="'300D0805 "/>
    <s v="ROSE PET"/>
    <s v="SARAVANAMPATTY"/>
    <s v="RAC PACKAGE TS15 HN 500L"/>
    <x v="11"/>
    <s v="CIGE690379"/>
    <s v="ccs019 "/>
    <s v="27.12.2013 09:42 "/>
    <s v="28.12.2013 10:00"/>
    <s v="28.12.2013 12:00"/>
    <x v="2"/>
    <n v="2"/>
    <n v="26"/>
    <m/>
    <m/>
    <s v="Out of Warranty"/>
    <m/>
  </r>
  <r>
    <n v="139"/>
    <s v="'300D0717 "/>
    <s v="DINESH TEX"/>
    <s v="THIRUPUR"/>
    <s v="TS15120HN"/>
    <x v="11"/>
    <s v="D300D0717"/>
    <s v="ccs018 "/>
    <s v="29.11.2013 15:01 "/>
    <s v="30.11.2013 10:00"/>
    <s v="30.11.2013 13:00"/>
    <x v="2"/>
    <n v="3"/>
    <n v="22"/>
    <m/>
    <m/>
    <s v="Out of Warranty"/>
    <m/>
  </r>
  <r>
    <n v="150"/>
    <s v="'300D0300 "/>
    <s v="COIRN FOAM PRODUCTS"/>
    <s v="POLLACHI"/>
    <s v="TS 15 120"/>
    <x v="11"/>
    <s v="CMJE490002"/>
    <s v="ccs002 "/>
    <s v="05.07.2013 16:51 "/>
    <s v="05.07.2013 17:00"/>
    <s v="06.07.2013 13:00"/>
    <x v="2"/>
    <n v="17"/>
    <n v="20"/>
    <m/>
    <m/>
    <s v="Warranty Failure"/>
    <m/>
  </r>
  <r>
    <n v="152"/>
    <s v="'300D0193 "/>
    <s v="PEPSICO INDIA HOLDINGS PVT LTD"/>
    <s v="PALAKKAD"/>
    <s v="TS15120"/>
    <x v="11"/>
    <s v="D300D0193"/>
    <s v="ccs005 "/>
    <s v="31.05.2013 17:52 "/>
    <s v="01.06.2013 10:00"/>
    <s v="01.06.2013 11:00"/>
    <x v="2"/>
    <n v="1"/>
    <n v="17"/>
    <m/>
    <m/>
    <s v="Out of Warranty"/>
    <m/>
  </r>
  <r>
    <n v="160"/>
    <s v="'300C1016 "/>
    <s v="AYYAPPA KNITTING"/>
    <s v="TIRUPPUR"/>
    <s v="TS15120 EP 15HP 1500 BASE TS"/>
    <x v="11"/>
    <s v="CHBE490005"/>
    <s v="ccs005 "/>
    <s v="21.03.2013 17:18 "/>
    <s v="22.03.2013 10:00"/>
    <s v="22.03.2013 15:00"/>
    <x v="2"/>
    <n v="5"/>
    <n v="22"/>
    <m/>
    <m/>
    <s v="Out of Warranty"/>
    <m/>
  </r>
  <r>
    <n v="173"/>
    <s v="'300C0735 "/>
    <s v="RAJA SPINNERS"/>
    <s v="COIMBATORE"/>
    <s v="TS15120 EP 15HP 1500 BASE TS"/>
    <x v="11"/>
    <s v="CKHE490023"/>
    <s v="C00002 "/>
    <s v="03.12.2012 12:17 "/>
    <s v="06.12.2012 10:00"/>
    <s v="07.12.2012 13:00"/>
    <x v="7"/>
    <n v="27"/>
    <n v="97"/>
    <m/>
    <m/>
    <s v="Out of Warranty"/>
    <m/>
  </r>
  <r>
    <n v="187"/>
    <s v="'300C0459 "/>
    <s v="RAJA SPINNING MILLS"/>
    <s v="COIMBATORE"/>
    <s v="TS 15 120"/>
    <x v="11"/>
    <s v="CKHE490023"/>
    <s v="ccs003 "/>
    <s v="22.08.2012 17:47 "/>
    <s v="23.08.2012 10:00"/>
    <s v="23.08.2012 12:00"/>
    <x v="7"/>
    <n v="2"/>
    <n v="18"/>
    <s v="35119C018-22.08.2012"/>
    <s v="35119C018"/>
    <s v="Warranty Maintenance"/>
    <m/>
  </r>
  <r>
    <n v="200"/>
    <s v="'300C0379 "/>
    <s v="CORBEL PRE LAMINATED INDAI LTD"/>
    <s v="PALAKAD"/>
    <s v="TS 15 120 HN"/>
    <x v="11"/>
    <s v="CLDE690344"/>
    <s v="ccs004 "/>
    <s v="28.07.2012 10:31 "/>
    <s v="28.07.2012 10:45"/>
    <s v="28.07.2012 12:00"/>
    <x v="7"/>
    <n v="1"/>
    <n v="1"/>
    <m/>
    <m/>
    <s v="Warranty Commissioning"/>
    <m/>
  </r>
  <r>
    <n v="204"/>
    <s v="'300C0258 "/>
    <s v="RAJA SPINNING MILLS"/>
    <s v="COIMBATORE"/>
    <s v="TS 15 120"/>
    <x v="11"/>
    <s v="CKHE490023"/>
    <s v="ccs005 "/>
    <s v="25.06.2012 08:44 "/>
    <s v="25.06.2012 16:00"/>
    <s v="25.06.2012 17:00"/>
    <x v="7"/>
    <n v="1"/>
    <n v="8"/>
    <m/>
    <m/>
    <s v="Warranty Maintenance"/>
    <m/>
  </r>
  <r>
    <n v="206"/>
    <s v="'300C0230 "/>
    <s v="RAJA SPINNING MILLS"/>
    <s v="COIMBATORE"/>
    <s v="TS 15 120"/>
    <x v="11"/>
    <s v="CKHE490023"/>
    <s v="ccs015 "/>
    <s v="14.06.2012 14:08 "/>
    <s v="14.06.2012 14:30"/>
    <s v="15.06.2012 16:00"/>
    <x v="7"/>
    <n v="26"/>
    <n v="26"/>
    <s v="3511AC004-14.06.2012"/>
    <s v="3511AC004"/>
    <s v="Warranty Failure"/>
    <m/>
  </r>
  <r>
    <n v="209"/>
    <s v="'300C0184 "/>
    <s v="RAJA SPINNERS"/>
    <s v="ONDIPUDUR"/>
    <s v="TS 15 120"/>
    <x v="11"/>
    <s v="CKHE490023"/>
    <s v="ccs015 "/>
    <s v="29.05.2012 14:38 "/>
    <s v="30.05.2012 10:00"/>
    <s v="30.05.2012 13:30"/>
    <x v="7"/>
    <n v="4"/>
    <n v="23"/>
    <s v="35119C009-14.06.2012"/>
    <s v="35119C009"/>
    <m/>
    <m/>
  </r>
  <r>
    <n v="214"/>
    <s v="'300C0143 "/>
    <s v="SOUTH MALABAR STEEL"/>
    <s v="PALAKKAD"/>
    <s v="TS 15 120 HN"/>
    <x v="11"/>
    <s v="CLLE690131"/>
    <s v="ccs005 "/>
    <s v="12.05.2012 12:25 "/>
    <s v="12.05.2012 13:00"/>
    <s v="12.05.2012 14:00"/>
    <x v="7"/>
    <n v="1"/>
    <n v="2"/>
    <m/>
    <m/>
    <s v="Warranty Commissioning"/>
    <m/>
  </r>
  <r>
    <n v="216"/>
    <s v="'300C0113 "/>
    <s v="CROMA PRINT"/>
    <s v="COIMBATORE"/>
    <s v="TS15120"/>
    <x v="11"/>
    <n v="46544"/>
    <s v="ccs002 "/>
    <s v="07.05.2012 09:32 "/>
    <s v="07.05.2012 09:45"/>
    <s v="07.05.2012 11:00"/>
    <x v="7"/>
    <n v="1"/>
    <n v="1"/>
    <s v="35119C013-22.06.2012"/>
    <s v="35119C013"/>
    <m/>
    <m/>
  </r>
  <r>
    <n v="217"/>
    <s v="'300C0093 "/>
    <s v="RAJA SPINNERS"/>
    <s v="COIMBATORE"/>
    <s v="TS 15 120"/>
    <x v="11"/>
    <s v="CKHE490023"/>
    <s v="ccs005 "/>
    <s v="28.04.2012 09:09 "/>
    <s v="28.04.2012 13:00"/>
    <s v="28.04.2012 16:00"/>
    <x v="7"/>
    <n v="3"/>
    <n v="7"/>
    <s v="35119C002-03.05.2012"/>
    <s v="35119C002"/>
    <s v="Warranty Failure"/>
    <m/>
  </r>
  <r>
    <n v="218"/>
    <s v="'300C0087 "/>
    <s v="HIWIN TECHNOLOGIES"/>
    <s v="COIMBATORE"/>
    <s v="TS 15 120 HN"/>
    <x v="11"/>
    <s v="CHCE690129"/>
    <s v="ccs005 "/>
    <s v="26.04.2012 16:49 "/>
    <s v="27.04.2012 10:00"/>
    <s v="27.04.2012 16:00"/>
    <x v="7"/>
    <n v="6"/>
    <n v="23"/>
    <m/>
    <m/>
    <s v="Out of Warranty"/>
    <m/>
  </r>
  <r>
    <n v="219"/>
    <s v="'300C0086 "/>
    <s v="SENTHIL MURUGAN RICE MILL"/>
    <s v="KANGEYAM"/>
    <s v="TS 15 120 HN"/>
    <x v="11"/>
    <s v="AJEE690094"/>
    <s v="ccs005 "/>
    <s v="26.04.2012 15:44 "/>
    <s v="27.04.2012 10:00"/>
    <s v="28.04.2012 15:00"/>
    <x v="7"/>
    <n v="29"/>
    <n v="47"/>
    <m/>
    <m/>
    <s v="Out of Warranty"/>
    <m/>
  </r>
  <r>
    <n v="220"/>
    <s v="'300C0042 "/>
    <s v="AGGNI CASTINGS"/>
    <s v="COIMBATORE"/>
    <s v="TS 15 120 HN"/>
    <x v="11"/>
    <s v="CIFE690331"/>
    <s v="ccs014 "/>
    <s v="10.04.2012 19:36 "/>
    <s v="11.04.2012 10:00"/>
    <s v="11.04.2012 11:30"/>
    <x v="7"/>
    <n v="2"/>
    <n v="16"/>
    <m/>
    <m/>
    <s v="Out of Warranty"/>
    <m/>
  </r>
  <r>
    <n v="241"/>
    <s v="'300B0978 "/>
    <s v="THIRUMAL SREE SPINNERS"/>
    <s v="PALLADAM"/>
    <s v="TS 15 120"/>
    <x v="11"/>
    <s v="CJHE490023"/>
    <s v="ccs015 "/>
    <s v="03.02.2012 12:15 "/>
    <s v="06.02.2012 10:00"/>
    <s v="04.02.2012 15:00"/>
    <x v="1"/>
    <n v="-1"/>
    <n v="27"/>
    <m/>
    <m/>
    <s v="Out of Warranty"/>
    <m/>
  </r>
  <r>
    <n v="242"/>
    <s v="'300B0970 "/>
    <s v="DINDIGUL COTTON TEXTILES MILLS"/>
    <s v="DINDIGUL"/>
    <s v="TS15HN Top block"/>
    <x v="11"/>
    <s v="UKIT290022"/>
    <s v="C00002 "/>
    <s v="01.02.2012 19:04 "/>
    <s v="01.02.2012 19:03"/>
    <s v="02.02.2012 09:00"/>
    <x v="1"/>
    <n v="13"/>
    <n v="14"/>
    <m/>
    <m/>
    <s v="Warranty Commissioning"/>
    <m/>
  </r>
  <r>
    <n v="243"/>
    <s v="'300B0935 "/>
    <s v="RAJSHREE FORD"/>
    <s v="TIRUPPUR"/>
    <s v="TS 15 120 HN"/>
    <x v="11"/>
    <s v="CKLE690129"/>
    <s v="ccs014 "/>
    <s v="21.01.2012 16:16 "/>
    <s v="23.01.2012 10:00"/>
    <s v="23.01.2012 11:30"/>
    <x v="1"/>
    <n v="2"/>
    <n v="43"/>
    <m/>
    <m/>
    <s v="Out of Warranty"/>
    <m/>
  </r>
  <r>
    <n v="245"/>
    <s v="'300B0885 "/>
    <s v="KCS MODERN RICEMILLS"/>
    <s v="ERODE"/>
    <s v="TS 15 120 HN"/>
    <x v="11"/>
    <s v="CJEE690456"/>
    <s v="ccs003 "/>
    <s v="03.01.2012 10:23 "/>
    <s v="03.01.2012 15:00"/>
    <s v="05.01.2012 09:30"/>
    <x v="1"/>
    <n v="43"/>
    <n v="47"/>
    <m/>
    <m/>
    <s v="Out of Warranty"/>
    <m/>
  </r>
  <r>
    <n v="248"/>
    <s v="'300B0850 "/>
    <s v="RAJA SPINNERS"/>
    <s v="COIMBATORE"/>
    <s v="TS 15 120"/>
    <x v="11"/>
    <s v="CKHE490023"/>
    <s v="ccs005 "/>
    <s v="21.12.2011 20:04 "/>
    <s v="22.12.2011 10:00"/>
    <s v="02.01.2012 19:00"/>
    <x v="1"/>
    <n v="234"/>
    <n v="287"/>
    <m/>
    <m/>
    <s v="Warranty Maintenance"/>
    <m/>
  </r>
  <r>
    <n v="249"/>
    <s v="'300B0847 "/>
    <s v="RAJSHREE FORD"/>
    <s v="TIRUPUR"/>
    <s v="TS 15 120 HN"/>
    <x v="11"/>
    <s v="CKLE690129"/>
    <s v="ccs005 "/>
    <s v="21.12.2011 15:49 "/>
    <s v="21.12.2011 16:00"/>
    <s v="21.12.2011 17:00"/>
    <x v="1"/>
    <n v="1"/>
    <n v="1"/>
    <m/>
    <m/>
    <s v="Out of Warranty"/>
    <m/>
  </r>
  <r>
    <n v="255"/>
    <s v="'300B0693 "/>
    <s v="PRINCE ROLLER PVT LTD"/>
    <s v="PALAKAD"/>
    <s v="TS 15 120 HN"/>
    <x v="11"/>
    <s v="CKCE690355"/>
    <s v="ccs005 "/>
    <s v="10.11.2011 14:39 "/>
    <s v="10.11.2011 15:00"/>
    <s v="10.11.2011 16:30"/>
    <x v="1"/>
    <n v="2"/>
    <n v="2"/>
    <m/>
    <m/>
    <s v="Warranty Commissioning"/>
    <m/>
  </r>
  <r>
    <n v="257"/>
    <s v="'300B0664 "/>
    <s v="RAJA SPINNERS"/>
    <s v="COIMBATORE"/>
    <s v="TS 15 120"/>
    <x v="11"/>
    <s v="CKEE490018"/>
    <s v="ccs005 "/>
    <s v="01.11.2011 19:24 "/>
    <s v="02.11.2011 10:00"/>
    <s v="02.11.2011 16:00"/>
    <x v="1"/>
    <n v="21"/>
    <n v="21"/>
    <s v="3511AB012-01.11.2011"/>
    <s v="3511AB012"/>
    <s v="Warranty Failure"/>
    <m/>
  </r>
  <r>
    <n v="258"/>
    <s v="'300B0622 "/>
    <s v="SAPPHIRE CLOTHING COMPANY INDIA PVT LIMITED"/>
    <s v="TIRUPUR"/>
    <s v="TS 15 120 HN"/>
    <x v="11"/>
    <s v="CKCE690354"/>
    <s v="ccs005 "/>
    <s v="11.10.2011 14:31 "/>
    <s v="11.10.2011 17:00"/>
    <s v="12.10.2011 13:00"/>
    <x v="1"/>
    <n v="20"/>
    <n v="22"/>
    <m/>
    <m/>
    <s v="Warranty Maintenance"/>
    <m/>
  </r>
  <r>
    <n v="260"/>
    <s v="'300B0555 "/>
    <s v="TAFE ACCESS LTD"/>
    <s v="METTUPALAYAM"/>
    <s v="TS 15 120 HN"/>
    <x v="11"/>
    <s v="CHDE690166"/>
    <s v="ccs014 "/>
    <s v="19.09.2011 15:18 "/>
    <s v="20.09.2011 10:00"/>
    <s v="20.09.2011 11:30"/>
    <x v="1"/>
    <n v="2"/>
    <n v="20"/>
    <m/>
    <m/>
    <s v="Out of Warranty"/>
    <m/>
  </r>
  <r>
    <n v="263"/>
    <s v="'300B0423 "/>
    <s v="SKYNET FASION"/>
    <s v="TIRUPPUR"/>
    <s v="TS 15 120"/>
    <x v="11"/>
    <s v="CKDE490012"/>
    <s v="ccs005 "/>
    <s v="11.08.2011 10:23 "/>
    <s v="11.08.2011 12:00"/>
    <s v="13.08.2011 14:00"/>
    <x v="1"/>
    <n v="50"/>
    <n v="52"/>
    <m/>
    <m/>
    <s v="Warranty Failure"/>
    <m/>
  </r>
  <r>
    <n v="264"/>
    <s v="'300B0417 "/>
    <s v="SKY KNIT FASHION"/>
    <s v="TIRUPPUR"/>
    <s v="TS 15 120"/>
    <x v="11"/>
    <s v="CKDE490012"/>
    <s v="ccs014 "/>
    <s v="08.08.2011 16:21 "/>
    <s v="08.08.2011 16:30"/>
    <s v="08.08.2011 18:00"/>
    <x v="1"/>
    <n v="2"/>
    <n v="2"/>
    <m/>
    <m/>
    <s v="Warranty Commissioning"/>
    <m/>
  </r>
  <r>
    <n v="275"/>
    <s v="'300B0330 "/>
    <s v="MSS FABRICS"/>
    <s v="TIRUPUR"/>
    <s v="TS 15 120 HN"/>
    <x v="11"/>
    <s v="CKLE690167"/>
    <s v="ccs001 "/>
    <s v="14.07.2011 11:33 "/>
    <s v="14.07.2011 11:45"/>
    <s v="14.07.2011 13:00"/>
    <x v="1"/>
    <n v="2"/>
    <n v="1"/>
    <m/>
    <m/>
    <s v="Warranty Commissioning"/>
    <m/>
  </r>
  <r>
    <n v="287"/>
    <s v="'300B0185 "/>
    <s v="SRI RAM BHARATH CHEMICALS AND DETERGENT PVT LTD"/>
    <s v="ERODE"/>
    <s v="TS 15 120"/>
    <x v="11"/>
    <s v="CKJE490001"/>
    <s v="ccs001 "/>
    <s v="03.06.2011 11:43 "/>
    <s v="03.06.2011 11:55"/>
    <s v="03.06.2011 16:00"/>
    <x v="1"/>
    <n v="4"/>
    <n v="4"/>
    <s v="35119B005-24.06.2011"/>
    <s v="35119B005"/>
    <s v="Warranty Failure"/>
    <m/>
  </r>
  <r>
    <n v="331"/>
    <s v="'300A0811 "/>
    <s v="FASHION GATE"/>
    <s v="TIRUPPUR"/>
    <s v="TS 15 120 HN"/>
    <x v="11"/>
    <s v="CJDE690339"/>
    <s v="ccs003 "/>
    <s v="06.01.2011 11:10 "/>
    <s v="06.01.2011 11:10"/>
    <s v="08.01.2011 13:00"/>
    <x v="11"/>
    <n v="50"/>
    <n v="50"/>
    <m/>
    <m/>
    <s v="Warranty Maintenance"/>
    <m/>
  </r>
  <r>
    <n v="335"/>
    <s v="'300A0771 "/>
    <s v="SEVEN HILLS"/>
    <s v="TIRUPUR"/>
    <s v="TS 15 120 HN"/>
    <x v="11"/>
    <s v="CHGE690383"/>
    <s v="ccs001 "/>
    <s v="27.12.2010 11:35 "/>
    <s v="27.12.2010 11:45"/>
    <s v="06.01.2011 13:00"/>
    <x v="11"/>
    <n v="241"/>
    <n v="241"/>
    <m/>
    <m/>
    <s v="Out of Warranty"/>
    <m/>
  </r>
  <r>
    <n v="353"/>
    <s v="'300A0371 "/>
    <s v="SRI DURGAI CORETECH"/>
    <s v="saravanampatti"/>
    <s v="TS 15 120 HN"/>
    <x v="11"/>
    <s v="CJKE690059"/>
    <s v="ccs004 "/>
    <s v="25.08.2010 14:34 "/>
    <s v="25.08.2010 14:45"/>
    <s v="26.08.2010 14:00"/>
    <x v="11"/>
    <n v="23"/>
    <n v="23"/>
    <m/>
    <m/>
    <s v="Warranty Maintenance"/>
    <m/>
  </r>
  <r>
    <n v="355"/>
    <s v="'300A0320 "/>
    <s v="JS AUTOCAST"/>
    <s v="COIMBATORE"/>
    <s v="TS 15 120 HN"/>
    <x v="11"/>
    <s v="CJJE690023"/>
    <s v="ccs002 "/>
    <s v="04.08.2010 11:56 "/>
    <s v="05.08.2010 10:00"/>
    <s v="13.08.2010 12:00"/>
    <x v="11"/>
    <n v="194"/>
    <n v="216"/>
    <m/>
    <m/>
    <s v="Warranty Maintenance"/>
    <m/>
  </r>
  <r>
    <n v="358"/>
    <s v="'300A0247 "/>
    <s v="VARSHINI EXPORTS"/>
    <s v="TIRUPPUR"/>
    <s v="TS 15 120 HN"/>
    <x v="11"/>
    <s v="CJAE690173"/>
    <s v="ccs002 "/>
    <s v="28.06.2010 17:56 "/>
    <s v="29.06.2010 10:00"/>
    <s v="30.06.2010 12:00"/>
    <x v="11"/>
    <n v="26"/>
    <n v="42"/>
    <m/>
    <m/>
    <s v="Warranty Maintenance"/>
    <m/>
  </r>
  <r>
    <n v="363"/>
    <s v="'300A0182 "/>
    <s v="SRI VELAVAN KNITTING MILLS"/>
    <s v="TIRUPPUR"/>
    <s v="TS 15 120 HN"/>
    <x v="11"/>
    <s v="CJBE690242"/>
    <s v="ccs002 "/>
    <s v="04.06.2010 12:53 "/>
    <s v="04.06.2010 13:00"/>
    <s v="04.06.2010 14:00"/>
    <x v="11"/>
    <n v="1"/>
    <n v="1"/>
    <m/>
    <m/>
    <s v="Warranty Commissioning"/>
    <m/>
  </r>
  <r>
    <n v="383"/>
    <s v="'300A0071 "/>
    <s v="NIVIA TEXTILES"/>
    <s v="Coimbatore"/>
    <s v="TS 15 120 HN"/>
    <x v="11"/>
    <s v="CJLE690145"/>
    <s v="ccs001 "/>
    <s v="22.04.2010 10:33 "/>
    <s v="22.04.2010 10:45"/>
    <s v="22.04.2010 14:00"/>
    <x v="11"/>
    <n v="3"/>
    <n v="3"/>
    <m/>
    <m/>
    <s v="Warranty Commissioning"/>
    <m/>
  </r>
  <r>
    <n v="384"/>
    <s v="'300A0069 "/>
    <s v="VARSHINI EXPORTS"/>
    <s v="Tiruppur"/>
    <s v="TS 15 120 HN"/>
    <x v="11"/>
    <s v="CJAE690173"/>
    <s v="ccs007 "/>
    <s v="21.04.2010 14:45 "/>
    <s v="21.04.2010 15:00"/>
    <s v="21.04.2010 17:00"/>
    <x v="11"/>
    <n v="2"/>
    <n v="2"/>
    <m/>
    <m/>
    <s v="Warranty Commissioning"/>
    <m/>
  </r>
  <r>
    <n v="393"/>
    <s v="'300A0019 "/>
    <s v="SRI KAVIN EXPORTS"/>
    <s v="Tiruppur"/>
    <s v="TS 15 120 HN"/>
    <x v="11"/>
    <s v="CJLE690127"/>
    <s v="ccs007 "/>
    <s v="06.04.2010 15:23 "/>
    <s v="06.04.2010 15:45"/>
    <s v="06.04.2010 18:00"/>
    <x v="11"/>
    <n v="3"/>
    <n v="3"/>
    <m/>
    <m/>
    <s v="Warranty Commissioning"/>
    <m/>
  </r>
  <r>
    <n v="405"/>
    <s v="'30091196 "/>
    <s v="SRI BALAKUMARAN COTTON MILL"/>
    <s v="UDUMALPET"/>
    <s v="TS 15 120 HN"/>
    <x v="11"/>
    <s v="CIFE690322"/>
    <s v="ccs005 "/>
    <s v="18.03.2010 10:09 "/>
    <s v="18.03.2010 10:15"/>
    <s v="24.03.2010 15:00"/>
    <x v="11"/>
    <n v="149"/>
    <n v="149"/>
    <s v="35119A002-06.04.2010"/>
    <s v="35119A002"/>
    <s v="Warranty Failure"/>
    <m/>
  </r>
  <r>
    <n v="412"/>
    <s v="'30091150 "/>
    <s v="SURYA KNIT FABRICS"/>
    <s v="TIRUPPUR"/>
    <s v="TS 15 120 HN"/>
    <x v="11"/>
    <s v="CHIE690414"/>
    <s v="ccs007 "/>
    <s v="06.03.2010 14:36 "/>
    <s v="06.03.2010 14:45"/>
    <s v="08.03.2010 17:00"/>
    <x v="11"/>
    <n v="50"/>
    <n v="50"/>
    <m/>
    <m/>
    <s v="Out of Warranty"/>
    <m/>
  </r>
  <r>
    <n v="416"/>
    <s v="'30091145 "/>
    <s v="ANGEL LABELS"/>
    <s v="TIRUPUR"/>
    <s v="TS 15 120"/>
    <x v="11"/>
    <s v="CIDE490005"/>
    <s v="ccs005 "/>
    <s v="06.03.2010 12:08 "/>
    <s v="06.03.2010 12:15"/>
    <s v="31.03.2010 14:00"/>
    <x v="11"/>
    <n v="602"/>
    <n v="602"/>
    <s v="3511A9023-15.03.2010"/>
    <s v="3511A9023"/>
    <s v="Warranty Maintenance"/>
    <m/>
  </r>
  <r>
    <n v="419"/>
    <s v="'30091125 "/>
    <s v="JS AUTOCAST INDIA PVT LTD"/>
    <s v="COIMBATORE"/>
    <s v="TS 15 120 HN"/>
    <x v="11"/>
    <s v="CJKE690081"/>
    <s v="ccs005 "/>
    <s v="02.03.2010 11:02 "/>
    <s v="02.03.2010 11:00"/>
    <s v="02.03.2010 15:00"/>
    <x v="11"/>
    <n v="4"/>
    <n v="4"/>
    <m/>
    <m/>
    <s v="Warranty Commissioning"/>
    <m/>
  </r>
  <r>
    <n v="420"/>
    <s v="'30091121 "/>
    <s v="JS AUTOCAST INDIA PVT LTD"/>
    <s v="Coimbatore"/>
    <s v="TS 15 120 HN"/>
    <x v="11"/>
    <s v="CJKE690088"/>
    <s v="ccs003 "/>
    <s v="01.03.2010 11:36 "/>
    <s v="01.03.2010 12:00"/>
    <s v="01.03.2010 16:00"/>
    <x v="11"/>
    <n v="4"/>
    <n v="4"/>
    <m/>
    <m/>
    <s v="Warranty Commissioning"/>
    <m/>
  </r>
  <r>
    <n v="429"/>
    <s v="'30091080 "/>
    <s v="SRI DEVANANTH COTSPIN LTD"/>
    <s v="COIMBATORE"/>
    <s v="TS15120H-500L"/>
    <x v="11"/>
    <n v="60509"/>
    <s v="ccs004 "/>
    <s v="16.02.2010 17:14 "/>
    <s v="17.02.2010 10:00"/>
    <s v="26.02.2010 13:00"/>
    <x v="4"/>
    <n v="219"/>
    <n v="236"/>
    <m/>
    <m/>
    <s v="Out of Warranty"/>
    <m/>
  </r>
  <r>
    <n v="433"/>
    <s v="'30091070 "/>
    <s v="JS AUTO CAST FOUNDRY INDIA PVT LTD"/>
    <s v="COIMBATORE"/>
    <s v="TS 15 120 HN"/>
    <x v="11"/>
    <s v="CJKE690059"/>
    <s v="ccs004 "/>
    <s v="13.02.2010 10:26 "/>
    <s v="13.02.2010 10:30"/>
    <s v="13.02.2010 13:00"/>
    <x v="4"/>
    <n v="3"/>
    <n v="3"/>
    <m/>
    <m/>
    <s v="Warranty Commissioning"/>
    <m/>
  </r>
  <r>
    <n v="442"/>
    <s v="'30091014 "/>
    <s v="BALAKUMARAN COTTON MILLS"/>
    <s v="udumelpet"/>
    <s v="TS 15 120 HN"/>
    <x v="11"/>
    <s v="CIFE690322"/>
    <s v="ccs007 "/>
    <s v="28.01.2010 16:28 "/>
    <s v="28.01.2010 16:30"/>
    <s v="28.01.2010 21:00"/>
    <x v="4"/>
    <n v="5"/>
    <n v="5"/>
    <m/>
    <m/>
    <s v="Warranty Commissioning"/>
    <m/>
  </r>
  <r>
    <n v="463"/>
    <s v="'30090899 "/>
    <s v="ALAGENDRA EXPORTS"/>
    <s v="Tiruppur"/>
    <s v="TS 15 120"/>
    <x v="11"/>
    <s v="CIHE490011"/>
    <s v="ccs007 "/>
    <s v="26.12.2009 14:33 "/>
    <s v="26.12.2009 14:30"/>
    <s v="26.12.2009 18:00"/>
    <x v="4"/>
    <n v="4"/>
    <n v="3"/>
    <m/>
    <m/>
    <s v="Warranty Commissioning"/>
    <m/>
  </r>
  <r>
    <n v="468"/>
    <s v="'30090859 "/>
    <s v="BATH &amp;STYLE"/>
    <s v="Coimbatore"/>
    <s v="TS15120"/>
    <x v="11"/>
    <n v="60874"/>
    <s v="ccs007 "/>
    <s v="14.12.2009 15:22 "/>
    <s v="15.12.2009 10:00"/>
    <s v="21.12.2009 11:00"/>
    <x v="4"/>
    <n v="145"/>
    <n v="164"/>
    <m/>
    <m/>
    <s v="Out of Warranty"/>
    <m/>
  </r>
  <r>
    <n v="473"/>
    <s v="'30090826 "/>
    <s v="AGNI CASTINGS"/>
    <s v="Coimbatore"/>
    <s v="TS 15 120 HN"/>
    <x v="11"/>
    <s v="CIFE690331"/>
    <s v="ccs001 "/>
    <s v="07.12.2009 11:05 "/>
    <s v="07.12.2009 11:15"/>
    <s v="07.12.2009 14:00"/>
    <x v="4"/>
    <n v="3"/>
    <n v="3"/>
    <m/>
    <m/>
    <s v="Warranty Commissioning"/>
    <m/>
  </r>
  <r>
    <n v="477"/>
    <s v="'30090800 "/>
    <s v="NUCLEAR PLAST"/>
    <s v="Coimbatore"/>
    <s v="TS 15 120 HN"/>
    <x v="11"/>
    <s v="CIGE690379"/>
    <s v="ccs007 "/>
    <s v="30.11.2009 09:22 "/>
    <s v="30.11.2009 10:00"/>
    <s v="04.12.2009 09:00"/>
    <x v="4"/>
    <n v="93"/>
    <n v="96"/>
    <m/>
    <m/>
    <s v="Warranty Failure"/>
    <m/>
  </r>
  <r>
    <n v="493"/>
    <s v="'30090728 "/>
    <s v="NUCLEAR PLAST"/>
    <s v="Coimbatore"/>
    <s v="TS 15 120 HN"/>
    <x v="11"/>
    <s v="CIGE690379"/>
    <s v="ccs007 "/>
    <s v="09.11.2009 10:07 "/>
    <s v="09.11.2009 10:15"/>
    <s v="09.11.2009 14:00"/>
    <x v="4"/>
    <n v="4"/>
    <n v="4"/>
    <m/>
    <m/>
    <s v="Warranty Commissioning"/>
    <m/>
  </r>
  <r>
    <n v="507"/>
    <s v="'30090651 "/>
    <s v="NOVA COATS FANS PVT LTD"/>
    <s v="Coimbatore"/>
    <s v="TS 15 120 HN"/>
    <x v="11"/>
    <s v="CICE690181"/>
    <s v="ccs001 "/>
    <s v="15.10.2009 11:16 "/>
    <s v="15.10.2009 11:30"/>
    <s v="15.10.2009 15:30"/>
    <x v="4"/>
    <n v="4"/>
    <n v="4"/>
    <s v="351199011-05.11.2009"/>
    <n v="351199011"/>
    <s v="Warranty Failure"/>
    <m/>
  </r>
  <r>
    <n v="510"/>
    <s v="'30090636 "/>
    <s v="VENKATESHWARA STEEL &amp; SPRINGS"/>
    <s v="COIMBATORE"/>
    <s v="TS 15 120"/>
    <x v="11"/>
    <s v="CIEE490008"/>
    <s v="ccs002 "/>
    <s v="08.10.2009 09:32 "/>
    <s v="08.10.2009 11:00"/>
    <s v="09.10.2009 17:00"/>
    <x v="4"/>
    <n v="30"/>
    <n v="31"/>
    <m/>
    <m/>
    <s v="Warranty Commissioning"/>
    <m/>
  </r>
  <r>
    <n v="511"/>
    <s v="'30090632 "/>
    <s v="ANGELS ZIPPLE"/>
    <s v="Tiruppur"/>
    <s v="TS 15 120"/>
    <x v="11"/>
    <s v="CIDE490005"/>
    <s v="ccs007 "/>
    <s v="06.10.2009 17:01 "/>
    <s v="07.10.2009 10:00"/>
    <s v="28.10.2009 14:00"/>
    <x v="4"/>
    <n v="53"/>
    <n v="525"/>
    <s v="3511A9018-06.10.2009"/>
    <s v="3511A9018"/>
    <s v="Warranty Failure"/>
    <m/>
  </r>
  <r>
    <n v="513"/>
    <s v="'30090602 "/>
    <s v="CLEAR PLASTICS"/>
    <s v="Coimbatore"/>
    <s v="TS 15 120 HN"/>
    <x v="11"/>
    <s v="CICE690177"/>
    <s v="ccs007 "/>
    <s v="25.09.2009 12:02 "/>
    <s v="25.09.2009 12:15"/>
    <s v="26.09.2009 17:00"/>
    <x v="4"/>
    <n v="29"/>
    <n v="29"/>
    <s v="351199010-05.10.2009"/>
    <n v="351199010"/>
    <s v="Warranty Failure"/>
    <m/>
  </r>
  <r>
    <n v="525"/>
    <s v="'30090540 "/>
    <s v="SRI RAMATHAL SPINNERS"/>
    <s v="Coimbatore"/>
    <s v="TS15120"/>
    <x v="11"/>
    <s v="D30090540"/>
    <s v="ccs001 "/>
    <s v="04.09.2009 12:02 "/>
    <s v="04.09.2009 12:15"/>
    <s v="08.09.2009 12:00"/>
    <x v="4"/>
    <n v="96"/>
    <n v="96"/>
    <m/>
    <m/>
    <s v="Out of Warranty"/>
    <m/>
  </r>
  <r>
    <n v="526"/>
    <s v="'30090516 "/>
    <s v="ANGELS ZIPPLE"/>
    <s v="Tirupur"/>
    <s v="TS 15 120"/>
    <x v="11"/>
    <s v="CIDE490005"/>
    <s v="ccs001 "/>
    <s v="27.08.2009 16:55 "/>
    <s v="27.08.2009 17:00"/>
    <s v="02.09.2009 15:00"/>
    <x v="4"/>
    <n v="142"/>
    <n v="142"/>
    <m/>
    <m/>
    <s v="Warranty Failure"/>
    <m/>
  </r>
  <r>
    <n v="529"/>
    <s v="'30090426 "/>
    <s v="SHRI RAMATHAL SPINNERS"/>
    <s v="Coimbatore."/>
    <s v="TS 15 120"/>
    <x v="11"/>
    <s v="CIDE490006"/>
    <s v="ccs001 "/>
    <s v="06.08.2009 15:07 "/>
    <s v="07.08.2009 09:00"/>
    <s v="07.08.2009 13:00"/>
    <x v="4"/>
    <n v="4"/>
    <n v="22"/>
    <m/>
    <m/>
    <s v="Warranty Commissioning"/>
    <m/>
  </r>
  <r>
    <n v="530"/>
    <s v="'30090371 "/>
    <s v="SRI PALANI ANDAVAR RICE MILL"/>
    <s v="Tirupur"/>
    <s v="TS 15 120 HN"/>
    <x v="11"/>
    <s v="CHEE690232"/>
    <s v="ccs001 "/>
    <s v="21.07.2009 10:06 "/>
    <s v="21.07.2009 10:15"/>
    <s v="21.07.2009 13:30"/>
    <x v="4"/>
    <n v="3"/>
    <n v="3"/>
    <m/>
    <m/>
    <s v="Out of Warranty"/>
    <m/>
  </r>
  <r>
    <n v="533"/>
    <s v="'30090263 "/>
    <s v="CLEAR PLAST"/>
    <s v="coimbatore"/>
    <s v="TS 15 120 HN"/>
    <x v="11"/>
    <s v="CICE690177"/>
    <s v="ccs007 "/>
    <s v="24.06.2009 12:37 "/>
    <s v="24.06.2009 12:45"/>
    <s v="24.06.2009 15:00"/>
    <x v="4"/>
    <n v="2"/>
    <n v="2"/>
    <m/>
    <m/>
    <s v="Warranty Commissioning"/>
    <m/>
  </r>
  <r>
    <n v="535"/>
    <s v="'30090226 "/>
    <s v="SEVEN HILLS FASHION PVT LTD"/>
    <s v="Tiruppur"/>
    <s v="TS 15 120 HN"/>
    <x v="11"/>
    <s v="CHGE690383"/>
    <s v="ccs005 "/>
    <s v="15.06.2009 17:11 "/>
    <s v="16.06.2009 10:00"/>
    <s v="18.06.2009 17:00"/>
    <x v="4"/>
    <n v="55"/>
    <n v="72"/>
    <m/>
    <m/>
    <s v="Warranty Failure"/>
    <m/>
  </r>
  <r>
    <n v="536"/>
    <s v="'30090127 "/>
    <s v="PIONEER ROOFING COMPANY"/>
    <s v="PALAKAD"/>
    <s v="TS 15 120 HN"/>
    <x v="11"/>
    <s v="CHAE690011"/>
    <s v="ccs002 "/>
    <s v="18.05.2009 12:42 "/>
    <s v="18.05.2009 14:00"/>
    <s v="28.05.2009 11:00"/>
    <x v="4"/>
    <n v="237"/>
    <n v="238"/>
    <m/>
    <m/>
    <s v="Out of Warranty"/>
    <m/>
  </r>
  <r>
    <n v="546"/>
    <s v="'30081152 "/>
    <s v="COTTON AND TEXTILE CORPORATION"/>
    <s v="Tirupur"/>
    <s v="TS 15 120 HN"/>
    <x v="11"/>
    <s v="CHIE690413"/>
    <s v="ccs001 "/>
    <s v="23.02.2009 15:49 "/>
    <s v="23.02.2009 15:55"/>
    <s v="23.02.2009 18:00"/>
    <x v="4"/>
    <n v="2"/>
    <n v="2"/>
    <m/>
    <m/>
    <s v="Warranty Commissioning"/>
    <m/>
  </r>
  <r>
    <n v="549"/>
    <s v="'30081129 "/>
    <s v="SARAN GARMENTS"/>
    <s v="Tiruppur"/>
    <s v="TS15120"/>
    <x v="11"/>
    <n v="37056"/>
    <s v="ccs007 "/>
    <s v="17.02.2009 14:37 "/>
    <s v="17.02.2009 14:45"/>
    <s v="17.02.2009 18:00"/>
    <x v="5"/>
    <n v="3"/>
    <n v="3"/>
    <m/>
    <m/>
    <s v="Out of Warranty"/>
    <m/>
  </r>
  <r>
    <n v="552"/>
    <s v="'30081096 "/>
    <s v="SVL KNITTING MILLS"/>
    <s v="Tiruppur"/>
    <s v="TS15120"/>
    <x v="11"/>
    <n v="44725"/>
    <s v="ccs007 "/>
    <s v="06.02.2009 19:50 "/>
    <s v="07.02.2009 10:00"/>
    <s v="19.02.2009 13:00"/>
    <x v="5"/>
    <n v="-1"/>
    <n v="305"/>
    <m/>
    <m/>
    <s v="Out of Warranty"/>
    <m/>
  </r>
  <r>
    <n v="556"/>
    <s v="'30081071 "/>
    <s v="AYYAPPA KNITTING"/>
    <s v="TIRUPPUR"/>
    <s v="TS 15 120"/>
    <x v="11"/>
    <s v="CHBE490005"/>
    <s v="ccs002 "/>
    <s v="29.01.2009 14:43 "/>
    <s v="29.01.2009 15:00"/>
    <s v="06.02.2009 14:30"/>
    <x v="5"/>
    <n v="-1"/>
    <n v="192"/>
    <m/>
    <m/>
    <s v="Warranty Failure"/>
    <m/>
  </r>
  <r>
    <n v="558"/>
    <s v="'30081060 "/>
    <s v="SURYA KNIT FABRICS"/>
    <s v="Tirupur"/>
    <s v="TS 15 120 HN"/>
    <x v="11"/>
    <s v="CHIE690414"/>
    <s v="ccs001 "/>
    <s v="27.01.2009 16:08 "/>
    <s v="27.01.2009 16:15"/>
    <s v="29.01.2009 12:30"/>
    <x v="5"/>
    <n v="44"/>
    <n v="44"/>
    <s v="351198107-02.02.2009"/>
    <n v="351198107"/>
    <s v="Warranty Failure"/>
    <m/>
  </r>
  <r>
    <n v="559"/>
    <s v="'30081047 "/>
    <s v="ULTIMATE ALLOYS"/>
    <s v="Coimbatore"/>
    <s v="TS 15 120"/>
    <x v="11"/>
    <s v="CHBE490006"/>
    <s v="ccs001 "/>
    <s v="23.01.2009 11:16 "/>
    <s v="23.01.2009 11:00"/>
    <s v="03.02.2009 11:30"/>
    <x v="5"/>
    <n v="265"/>
    <n v="264"/>
    <m/>
    <m/>
    <s v="Warranty Failure"/>
    <m/>
  </r>
  <r>
    <n v="570"/>
    <s v="'30080921 "/>
    <s v="SRI PALANI ANDAVAR RICE MILL"/>
    <s v="ERODE"/>
    <s v="TS 15 120 HN"/>
    <x v="11"/>
    <s v="CHEE690232"/>
    <s v="ccs002 "/>
    <s v="17.12.2008 18:18 "/>
    <s v="18.12.2008 09:00"/>
    <s v="23.12.2008 12:00"/>
    <x v="5"/>
    <n v="123"/>
    <n v="138"/>
    <m/>
    <m/>
    <s v="Warranty Failure"/>
    <m/>
  </r>
  <r>
    <n v="573"/>
    <s v="'30080889 "/>
    <s v="SVP KNIT PROCESS"/>
    <s v="Tirupur"/>
    <s v="TS 15 120 HN"/>
    <x v="11"/>
    <s v="CHFE690347"/>
    <s v="ccs001 "/>
    <s v="05.12.2008 08:55 "/>
    <s v="05.12.2008 08:45"/>
    <s v="05.12.2008 12:00"/>
    <x v="5"/>
    <n v="3"/>
    <n v="3"/>
    <m/>
    <m/>
    <s v="Warranty Commissioning"/>
    <m/>
  </r>
  <r>
    <n v="587"/>
    <s v="'30080770 "/>
    <s v="PUPPY ARTS"/>
    <s v="TIRUPPUR"/>
    <s v="TS 15 120 HN"/>
    <x v="11"/>
    <s v="CHGE690368"/>
    <s v="ccs003 "/>
    <s v="05.11.2008 10:53 "/>
    <s v="05.11.2008 11:15"/>
    <s v="05.11.2008 13:00"/>
    <x v="5"/>
    <n v="2"/>
    <n v="2"/>
    <m/>
    <m/>
    <s v="Warranty Commissioning"/>
    <m/>
  </r>
  <r>
    <n v="596"/>
    <s v="'30080668 "/>
    <s v="SUPER KNIT FINISHER"/>
    <s v="Tirupur"/>
    <s v="TS 15 120 HN"/>
    <x v="11"/>
    <s v="CHFE690326"/>
    <s v="ccs007 "/>
    <s v="06.10.2008 16:20 "/>
    <s v="06.10.2008 16:30"/>
    <s v="09.10.2008 18:00"/>
    <x v="5"/>
    <n v="74"/>
    <n v="74"/>
    <m/>
    <m/>
    <s v="Warranty Commissioning"/>
    <m/>
  </r>
  <r>
    <n v="597"/>
    <s v="'30080656 "/>
    <s v="CHETHA GARMENTS"/>
    <s v="TIRUPPUR"/>
    <s v="TS 15 120 HN"/>
    <x v="11"/>
    <s v="CHDE690169"/>
    <s v="ccs007 "/>
    <s v="03.10.2008 15:55 "/>
    <s v="03.10.2008 16:00"/>
    <s v="07.10.2008 16:00"/>
    <x v="5"/>
    <n v="96"/>
    <n v="96"/>
    <m/>
    <m/>
    <s v="Warranty Failure"/>
    <m/>
  </r>
  <r>
    <n v="598"/>
    <s v="'30080654 "/>
    <s v="KRISHNA NITS"/>
    <s v="Pollachi"/>
    <s v="TS 15 120 HN"/>
    <x v="11"/>
    <s v="CHCE690139"/>
    <s v="ccs007 "/>
    <s v="03.10.2008 15:32 "/>
    <s v="03.10.2008 15:45"/>
    <s v="04.10.2008 16:35"/>
    <x v="5"/>
    <n v="25"/>
    <n v="25"/>
    <m/>
    <m/>
    <s v="Warranty Commissioning"/>
    <m/>
  </r>
  <r>
    <n v="606"/>
    <s v="'30080607 "/>
    <s v="EVERWIN TEXTILES"/>
    <s v="Pollachi"/>
    <s v="TS 15 120 HN"/>
    <x v="11"/>
    <s v="CHEE690238"/>
    <s v="ccs007 "/>
    <s v="22.09.2008 12:51 "/>
    <s v="22.09.2008 14:00"/>
    <s v="24.09.2008 09:30"/>
    <x v="5"/>
    <n v="44"/>
    <n v="45"/>
    <m/>
    <m/>
    <s v="Warranty Commissioning"/>
    <m/>
  </r>
  <r>
    <n v="610"/>
    <s v="'30080589 "/>
    <s v="GREENS CREATION"/>
    <s v="Tirupur"/>
    <s v="TS 15 120 HN"/>
    <x v="11"/>
    <s v="CHEE690228"/>
    <s v="ccs001 "/>
    <s v="17.09.2008 15:11 "/>
    <s v="17.09.2008 15:15"/>
    <s v="17.09.2008 14:00"/>
    <x v="5"/>
    <n v="-1"/>
    <n v="-1"/>
    <m/>
    <m/>
    <s v="Warranty Failure"/>
    <m/>
  </r>
  <r>
    <n v="611"/>
    <s v="'30080583 "/>
    <s v="GREENS CREATION"/>
    <s v="Tirupur"/>
    <s v="TS 15 120 HN"/>
    <x v="11"/>
    <s v="CHEE690228"/>
    <s v="ccs001 "/>
    <s v="16.09.2008 12:33 "/>
    <s v="16.09.2008 12:45"/>
    <s v="16.09.2008 13:30"/>
    <x v="5"/>
    <n v="1"/>
    <n v="1"/>
    <m/>
    <m/>
    <s v="Warranty Commissioning"/>
    <m/>
  </r>
  <r>
    <n v="612"/>
    <s v="'30080556 "/>
    <s v="BATH &amp; STYLE"/>
    <s v="Coimbatore"/>
    <s v="TS15120H-420L"/>
    <x v="11"/>
    <s v="D30080556"/>
    <s v="ccs001 "/>
    <s v="08.09.2008 15:15 "/>
    <s v="08.09.2008 15:30"/>
    <s v="19.09.2008 11:00"/>
    <x v="5"/>
    <n v="260"/>
    <n v="260"/>
    <m/>
    <m/>
    <s v="Out of Warranty"/>
    <m/>
  </r>
  <r>
    <n v="616"/>
    <s v="'30080543 "/>
    <s v="SHEETHA GARMENTS"/>
    <s v="Tirupur"/>
    <s v="TS 15 120 HN"/>
    <x v="11"/>
    <s v="CHDE690169"/>
    <s v="ccs001 "/>
    <s v="04.09.2008 17:08 "/>
    <s v="04.09.2008 16:55"/>
    <s v="05.09.2008 12:00"/>
    <x v="5"/>
    <n v="19"/>
    <n v="19"/>
    <m/>
    <m/>
    <s v="Warranty Failure"/>
    <m/>
  </r>
  <r>
    <n v="621"/>
    <s v="'30080490 "/>
    <s v="DECCAN RADIATORS AND PRESSING PVT LTD"/>
    <s v="coimbatore"/>
    <s v="TS 15 120 HN"/>
    <x v="11"/>
    <n v="60456"/>
    <s v="ccs007 "/>
    <s v="22.08.2008 11:42 "/>
    <s v="22.08.2008 14:00"/>
    <s v="28.08.2008 19:00"/>
    <x v="5"/>
    <n v="149"/>
    <n v="151"/>
    <m/>
    <m/>
    <s v="Out of Warranty"/>
    <m/>
  </r>
  <r>
    <n v="626"/>
    <s v="'30080454 "/>
    <s v="SVL KNITTING MILLS"/>
    <s v="Tirupur"/>
    <s v="TS 15 120 H"/>
    <x v="11"/>
    <n v="44725"/>
    <s v="ccs001 "/>
    <s v="12.08.2008 12:42 "/>
    <s v="12.08.2008 12:35"/>
    <s v="26.08.2008 16:00"/>
    <x v="5"/>
    <n v="340"/>
    <n v="339"/>
    <m/>
    <m/>
    <s v="Warranty Failure"/>
    <m/>
  </r>
  <r>
    <n v="627"/>
    <s v="'30080446 "/>
    <s v="SRI SENGOTAIYAN RICE MILLS"/>
    <s v="Tirupur"/>
    <s v="TS 15 120 HN"/>
    <x v="11"/>
    <s v="CHCE690140"/>
    <s v="ccs001 "/>
    <s v="08.08.2008 16:46 "/>
    <s v="08.08.2008 16:45"/>
    <s v="08.08.2008 18:00"/>
    <x v="5"/>
    <n v="1"/>
    <n v="1"/>
    <m/>
    <m/>
    <s v="Warranty Commissioning"/>
    <m/>
  </r>
  <r>
    <n v="637"/>
    <s v="'30080011 "/>
    <s v="SVL KNITTING MILLS"/>
    <s v="Tiruppur"/>
    <s v="TS 15 120 H"/>
    <x v="11"/>
    <n v="44725"/>
    <s v="ccs003 "/>
    <s v="24.04.2008 17:29 "/>
    <s v="25.04.2008 09:30"/>
    <s v="26.04.2008 14:00"/>
    <x v="5"/>
    <n v="29"/>
    <n v="45"/>
    <s v="351697105-24.04.2008"/>
    <n v="351697105"/>
    <s v="Out of Warranty"/>
    <m/>
  </r>
  <r>
    <n v="650"/>
    <s v="'30075134 "/>
    <s v="SVL KNITING MILLS--CITY"/>
    <s v="Tiruppur"/>
    <s v="TS15120H-420L"/>
    <x v="11"/>
    <n v="44725"/>
    <s v="ccs003 "/>
    <s v="15.12.2007 16:06 "/>
    <s v="15.12.2007 16:45"/>
    <s v="19.12.2007 14:00"/>
    <x v="3"/>
    <n v="94"/>
    <n v="94"/>
    <m/>
    <m/>
    <s v="Out of Warranty"/>
    <m/>
  </r>
  <r>
    <n v="655"/>
    <s v="'30075089 "/>
    <s v="SRI LAKSHMI NARSHIMA SPINNING PVT LTD"/>
    <s v="Kankeyam"/>
    <s v="TS 15 HN 500L"/>
    <x v="11"/>
    <n v="61048"/>
    <s v="ccs001 "/>
    <s v="08.12.2007 10:46 "/>
    <s v="21.12.2007 10:00"/>
    <s v="21.12.2007 17:00"/>
    <x v="3"/>
    <n v="8"/>
    <n v="318"/>
    <s v="3511A7125-12.12.2007"/>
    <s v="3511A7125"/>
    <s v="Warranty Failure"/>
    <m/>
  </r>
  <r>
    <n v="668"/>
    <s v="'30074894 "/>
    <s v="RCB CONCRETES--C"/>
    <s v="Coimbatore"/>
    <s v="TS 15 HN 500L"/>
    <x v="11"/>
    <n v="61102"/>
    <s v="ccs003 "/>
    <s v="26.10.2007 15:06 "/>
    <s v="27.10.2007 09:30"/>
    <s v="29.10.2007 13:30"/>
    <x v="3"/>
    <n v="53"/>
    <n v="70"/>
    <m/>
    <m/>
    <m/>
    <m/>
  </r>
  <r>
    <n v="676"/>
    <s v="'30074786 "/>
    <s v="DK GARMENTS--CITY"/>
    <s v="TIRUPPUR"/>
    <s v="TS 15 HN 500L"/>
    <x v="11"/>
    <n v="46631"/>
    <s v="ccs003 "/>
    <s v="04.10.2007 11:40 "/>
    <s v="04.10.2007 12:00"/>
    <s v="09.10.2007 12:30"/>
    <x v="3"/>
    <n v="121"/>
    <n v="121"/>
    <s v="3511A7106-04.10.2007"/>
    <s v="3511A7106"/>
    <m/>
    <m/>
  </r>
  <r>
    <n v="677"/>
    <s v="'30074776 "/>
    <s v="PKR KNITTING -- CITY"/>
    <s v="TIRUPPUR"/>
    <s v="TS15120"/>
    <x v="11"/>
    <n v="82506"/>
    <s v="ccs002 "/>
    <s v="03.10.2007 13:07 "/>
    <s v="03.10.2007 13:15"/>
    <s v="31.10.2007 12:00"/>
    <x v="3"/>
    <n v="671"/>
    <n v="671"/>
    <m/>
    <m/>
    <m/>
    <m/>
  </r>
  <r>
    <n v="679"/>
    <s v="'30074773 "/>
    <s v="GOPIA KNITS -- CITY"/>
    <s v="TIRUPPUR"/>
    <s v="TS15120"/>
    <x v="11"/>
    <n v="82526"/>
    <s v="ccs002 "/>
    <s v="29.09.2007 12:51 "/>
    <s v="29.09.2007 13:00"/>
    <s v="29.09.2007 15:00"/>
    <x v="3"/>
    <n v="2"/>
    <n v="2"/>
    <m/>
    <m/>
    <m/>
    <m/>
  </r>
  <r>
    <n v="685"/>
    <s v="'30074659 "/>
    <s v="SASTI NETING--CITY"/>
    <s v="Tiruppur"/>
    <s v="TS 15 HN 500L"/>
    <x v="11"/>
    <n v="60569"/>
    <s v="ccs003 "/>
    <s v="05.09.2007 15:45 "/>
    <s v="05.09.2007 16:00"/>
    <s v="22.09.2007 13:30"/>
    <x v="3"/>
    <n v="406"/>
    <n v="406"/>
    <s v="3511C7109-14.09.2007"/>
    <s v="3511C7109"/>
    <m/>
    <m/>
  </r>
  <r>
    <n v="688"/>
    <s v="'30074646 "/>
    <s v="MAHE ENGINEERING-UNIT-2--CITY"/>
    <s v="Coimbatore"/>
    <s v="TS15120"/>
    <x v="11"/>
    <n v="158"/>
    <s v="ccs003 "/>
    <s v="04.09.2007 14:08 "/>
    <s v="04.09.2007 14:30"/>
    <s v="10.09.2007 12:00"/>
    <x v="3"/>
    <n v="-1"/>
    <n v="142"/>
    <m/>
    <m/>
    <m/>
    <m/>
  </r>
  <r>
    <n v="691"/>
    <s v="'30074643 "/>
    <s v="NIVEYA TEXTILES--CITY"/>
    <s v="Coimbatore"/>
    <s v="TS 15 HN 500L"/>
    <x v="11"/>
    <n v="60826"/>
    <s v="ccs003 "/>
    <s v="04.09.2007 13:55 "/>
    <s v="04.09.2007 14:15"/>
    <s v="04.09.2007 19:00"/>
    <x v="3"/>
    <n v="5"/>
    <n v="5"/>
    <m/>
    <m/>
    <m/>
    <m/>
  </r>
  <r>
    <n v="702"/>
    <s v="'30074232 "/>
    <s v="FALCON TOOLINGS--CITY"/>
    <s v="Ganapathy"/>
    <s v="TS15120"/>
    <x v="11"/>
    <s v="D30074232"/>
    <s v="ccs001 "/>
    <s v="31.05.2007 16:24 "/>
    <s v="31.05.2007 16:30"/>
    <s v="01.06.2007 19:00"/>
    <x v="3"/>
    <n v="27"/>
    <n v="27"/>
    <m/>
    <m/>
    <m/>
    <m/>
  </r>
  <r>
    <n v="704"/>
    <s v="'30074202 "/>
    <s v="HINDUSTAN AUTOMATION"/>
    <s v="Coimbatore"/>
    <s v="TS15120"/>
    <x v="11"/>
    <n v="60317"/>
    <s v="ccs004 "/>
    <s v="24.05.2007 09:17 "/>
    <s v="24.05.2007 09:30"/>
    <s v="28.05.2007 14:30"/>
    <x v="3"/>
    <n v="101"/>
    <n v="101"/>
    <m/>
    <m/>
    <m/>
    <m/>
  </r>
  <r>
    <n v="705"/>
    <s v="'30074200 "/>
    <s v="HINDUSTAN AUTOMATION--C"/>
    <s v="Coimbatore"/>
    <s v="TS15120"/>
    <x v="11"/>
    <s v="D30074200"/>
    <s v="ccs002 "/>
    <s v="22.05.2007 17:37 "/>
    <s v="22.05.2007 18:00"/>
    <s v="22.05.2007 19:00"/>
    <x v="3"/>
    <n v="1"/>
    <n v="1"/>
    <m/>
    <m/>
    <m/>
    <m/>
  </r>
  <r>
    <n v="707"/>
    <s v="'30074183 "/>
    <s v="SANTHA SPINNINMIL--CITY"/>
    <s v="Kangeyam"/>
    <s v="TS15120"/>
    <x v="11"/>
    <s v="D30074183"/>
    <s v="ccs001 "/>
    <s v="19.05.2007 14:59 "/>
    <s v="21.05.2007 09:00"/>
    <s v="30.05.2007 11:00"/>
    <x v="3"/>
    <n v="73"/>
    <n v="260"/>
    <m/>
    <m/>
    <m/>
    <m/>
  </r>
  <r>
    <n v="708"/>
    <s v="'30074182 "/>
    <s v="SANTHA SPINNING MILLS--CITY"/>
    <s v="Kangeyam"/>
    <s v="TS15120"/>
    <x v="11"/>
    <s v="D30074182"/>
    <s v="ccs001 "/>
    <s v="19.05.2007 14:48 "/>
    <s v="19.05.2007 15:00"/>
    <s v="30.05.2007 11:00"/>
    <x v="3"/>
    <n v="73"/>
    <n v="260"/>
    <m/>
    <m/>
    <m/>
    <m/>
  </r>
  <r>
    <n v="711"/>
    <s v="'30074083 "/>
    <s v="COIMBATORE PREMIER CORPARATION"/>
    <s v="Coimbatore"/>
    <s v="TS15120"/>
    <x v="11"/>
    <n v="44091"/>
    <s v="ccs001 "/>
    <s v="20.04.2007 12:40 "/>
    <s v="20.04.2007 12:40"/>
    <s v="26.04.2007 17:30"/>
    <x v="3"/>
    <n v="149"/>
    <n v="149"/>
    <m/>
    <m/>
    <m/>
    <m/>
  </r>
  <r>
    <n v="713"/>
    <s v="'30063971 "/>
    <s v="SASTI FABRICS--CITY"/>
    <s v="Tiruppur"/>
    <s v="TS15120"/>
    <x v="11"/>
    <n v="60569"/>
    <s v="ccs004 "/>
    <s v="24.03.2007 12:33 "/>
    <s v="24.03.2007 12:30"/>
    <s v="24.03.2007 14:30"/>
    <x v="3"/>
    <n v="2"/>
    <n v="2"/>
    <m/>
    <m/>
    <m/>
    <m/>
  </r>
  <r>
    <n v="733"/>
    <s v="'30063020 "/>
    <s v="KANNAN DEPT STORE GODOWN--CITY"/>
    <s v="Coimbatore"/>
    <s v="TS 15 HN 500L"/>
    <x v="11"/>
    <n v="60221"/>
    <s v="ccs001 "/>
    <s v="22.08.2006 15:10 "/>
    <s v="22.08.2006 15:15"/>
    <s v="26.08.2006 12:00"/>
    <x v="12"/>
    <n v="0"/>
    <n v="93"/>
    <m/>
    <m/>
    <m/>
    <m/>
  </r>
  <r>
    <n v="750"/>
    <s v="'30051528 "/>
    <s v="MR.SEKHAR---CITY"/>
    <s v="Tiruppur"/>
    <s v="TS 15"/>
    <x v="11"/>
    <n v="80972"/>
    <s v="ccs001 "/>
    <s v="17.12.2005 12:12 "/>
    <s v="17.12.2005 12:15"/>
    <s v="24.12.2005 11:30"/>
    <x v="0"/>
    <n v="0"/>
    <n v="167"/>
    <m/>
    <m/>
    <m/>
    <m/>
  </r>
  <r>
    <n v="756"/>
    <s v="'30051492 "/>
    <s v="S.K.M ANIMAL FEEDS INDIA LTD---CITY"/>
    <s v="Erode"/>
    <s v="TS 15"/>
    <x v="11"/>
    <n v="45744"/>
    <s v="ccs001 "/>
    <s v="12.12.2005 14:55 "/>
    <s v="12.12.2005 15:00"/>
    <s v="13.12.2005 17:00"/>
    <x v="0"/>
    <n v="0"/>
    <n v="26"/>
    <m/>
    <m/>
    <m/>
    <m/>
  </r>
  <r>
    <n v="759"/>
    <s v="'30051485 "/>
    <s v="SUMEGA PRESSURE CASTING SERVICES PVT LTD---CITY"/>
    <s v="Coimbatore"/>
    <s v="TS 15"/>
    <x v="11"/>
    <n v="18823"/>
    <s v="ccs001 "/>
    <s v="12.12.2005 11:56 "/>
    <s v="12.12.2005 12:00"/>
    <s v="12.12.2005 14:30"/>
    <x v="0"/>
    <n v="0"/>
    <n v="3"/>
    <m/>
    <m/>
    <m/>
    <m/>
  </r>
  <r>
    <n v="761"/>
    <s v="'30051480 "/>
    <s v="RAJA VINAYAGAR PRINTING---CITY"/>
    <s v="Tiruppur"/>
    <s v="TS 15"/>
    <x v="11"/>
    <n v="46470"/>
    <s v="ccs001 "/>
    <s v="10.12.2005 12:52 "/>
    <s v="10.12.2005 13:00"/>
    <s v="10.12.2005 15:00"/>
    <x v="0"/>
    <n v="0"/>
    <n v="2"/>
    <m/>
    <m/>
    <m/>
    <m/>
  </r>
  <r>
    <n v="770"/>
    <s v="'30050211 "/>
    <s v="LOGA TEXTILES-"/>
    <s v="Tirupur"/>
    <s v="TS 15"/>
    <x v="11"/>
    <n v="23519"/>
    <s v="E00001 "/>
    <s v="09.05.2005 11:35 "/>
    <s v="09.05.2005 11:45"/>
    <s v="10.05.2005 14:00"/>
    <x v="0"/>
    <n v="0"/>
    <n v="26"/>
    <m/>
    <m/>
    <m/>
    <m/>
  </r>
  <r>
    <n v="771"/>
    <s v="'30050210 "/>
    <s v="LOGA TEXTILES PVT LTD--CITY"/>
    <s v="Tirupur"/>
    <s v="TS 15"/>
    <x v="11"/>
    <n v="23518"/>
    <s v="E00001 "/>
    <s v="09.05.2005 11:34 "/>
    <s v="09.05.2005 11:45"/>
    <s v="10.05.2005 14:00"/>
    <x v="0"/>
    <n v="0"/>
    <n v="26"/>
    <m/>
    <m/>
    <m/>
    <m/>
  </r>
  <r>
    <n v="773"/>
    <s v="'30050197 "/>
    <s v="VG TEXTILES PVT LTD--CITY"/>
    <s v="Udumelpet"/>
    <s v="TS 15"/>
    <x v="11"/>
    <s v="D30050197"/>
    <s v="E00001 "/>
    <s v="06.05.2005 11:11 "/>
    <s v="06.05.2005 11:30"/>
    <s v="07.05.2005 21:00"/>
    <x v="0"/>
    <n v="0"/>
    <n v="34"/>
    <m/>
    <m/>
    <m/>
    <m/>
  </r>
  <r>
    <n v="775"/>
    <s v="'30050195 "/>
    <s v="THANGAMBIGAI SPINTEX PVT LTD--CITY"/>
    <s v="Coimbatore"/>
    <s v="TS 15"/>
    <x v="11"/>
    <n v="14213"/>
    <s v="E00001 "/>
    <s v="06.05.2005 11:08 "/>
    <s v="06.05.2005 11:30"/>
    <s v="07.05.2005 17:00"/>
    <x v="0"/>
    <n v="0"/>
    <n v="30"/>
    <m/>
    <m/>
    <m/>
    <m/>
  </r>
  <r>
    <n v="776"/>
    <s v="'30050191 "/>
    <s v="SBC APPARELS--CITY"/>
    <s v="Tirupur"/>
    <s v="TS 15"/>
    <x v="11"/>
    <n v="80972"/>
    <s v="E00001 "/>
    <s v="05.05.2005 12:16 "/>
    <s v="05.05.2005 12:30"/>
    <s v="05.05.2005 14:30"/>
    <x v="0"/>
    <n v="0"/>
    <n v="2"/>
    <m/>
    <m/>
    <m/>
    <m/>
  </r>
  <r>
    <n v="786"/>
    <s v="'30050150 "/>
    <s v="CHANDRA HYNDAI--CITY"/>
    <s v="Coimbatore"/>
    <s v="TS 15"/>
    <x v="11"/>
    <n v="44673"/>
    <s v="E00001 "/>
    <s v="28.04.2005 14:29 "/>
    <s v="28.04.2005 15:00"/>
    <s v="28.04.2005 17:00"/>
    <x v="0"/>
    <n v="0"/>
    <n v="3"/>
    <m/>
    <m/>
    <m/>
    <m/>
  </r>
  <r>
    <n v="788"/>
    <s v="'30050139 "/>
    <s v="SRI POORANI KNITTERS--CITY"/>
    <s v="Tirupur"/>
    <s v="TS 15"/>
    <x v="11"/>
    <n v="42827"/>
    <s v="E00001 "/>
    <s v="27.04.2005 12:14 "/>
    <s v="27.04.2005 12:30"/>
    <s v="27.04.2005 19:00"/>
    <x v="0"/>
    <n v="0"/>
    <n v="7"/>
    <m/>
    <m/>
    <m/>
    <m/>
  </r>
  <r>
    <n v="796"/>
    <s v="'30050077 "/>
    <s v="TOP KNIT FABRICS-CITY"/>
    <s v="Tirupur"/>
    <s v="TS 15"/>
    <x v="11"/>
    <n v="29105"/>
    <s v="E00001 "/>
    <s v="12.04.2005 11:39 "/>
    <s v="12.04.2005 12:00"/>
    <s v="12.04.2005 14:00"/>
    <x v="0"/>
    <n v="0"/>
    <n v="2"/>
    <m/>
    <m/>
    <m/>
    <m/>
  </r>
  <r>
    <n v="799"/>
    <s v="'30050045 "/>
    <s v="HINDUSTAN TEXTILES--CITY"/>
    <s v="Coimbatore"/>
    <s v="TS 15"/>
    <x v="11"/>
    <n v="44017"/>
    <s v="E00001 "/>
    <s v="06.04.2005 13:09 "/>
    <s v="06.04.2005 13:20"/>
    <s v="07.04.2005 16:00"/>
    <x v="0"/>
    <n v="0"/>
    <n v="27"/>
    <m/>
    <m/>
    <m/>
    <m/>
  </r>
  <r>
    <n v="803"/>
    <s v="'30050034 "/>
    <s v="COIMBATORE POLISHING WORKS PVT LTD"/>
    <s v="Coimbatore"/>
    <s v="TS 15"/>
    <x v="11"/>
    <n v="44770"/>
    <s v="E00001 "/>
    <s v="05.04.2005 15:13 "/>
    <s v="05.04.2005 15:30"/>
    <s v="05.04.2005 17:30"/>
    <x v="0"/>
    <n v="0"/>
    <n v="2"/>
    <m/>
    <m/>
    <m/>
    <m/>
  </r>
  <r>
    <n v="805"/>
    <s v="'30050025 "/>
    <s v="RUPA STEAM CALENDERING WORKS-CITY"/>
    <s v="Tirupur"/>
    <s v="TS 15"/>
    <x v="11"/>
    <n v="0"/>
    <s v="E00001 "/>
    <s v="04.04.2005 12:18 "/>
    <s v="04.04.2005 12:30"/>
    <s v="04.04.2005 16:00"/>
    <x v="0"/>
    <n v="0"/>
    <n v="4"/>
    <m/>
    <m/>
    <m/>
    <m/>
  </r>
  <r>
    <n v="813"/>
    <s v="'3004003955 "/>
    <s v="CLASSIC KNITS--CITY"/>
    <s v="Tirupur"/>
    <s v="TS 15"/>
    <x v="11"/>
    <n v="41414"/>
    <s v="E00001 "/>
    <s v="29.03.2005 16:51 "/>
    <s v="29.03.2005 17:00"/>
    <s v="29.03.2005 19:00"/>
    <x v="0"/>
    <n v="0"/>
    <n v="2"/>
    <m/>
    <m/>
    <m/>
    <m/>
  </r>
  <r>
    <n v="815"/>
    <s v="'3004003952 "/>
    <s v="GEETHA FABRICS--CITY"/>
    <s v="Tirupur"/>
    <s v="TS 15"/>
    <x v="11"/>
    <n v="43746"/>
    <s v="E00001 "/>
    <s v="29.03.2005 12:21 "/>
    <s v="29.03.2005 12:30"/>
    <s v="29.03.2005 16:00"/>
    <x v="0"/>
    <n v="0"/>
    <n v="4"/>
    <m/>
    <m/>
    <m/>
    <m/>
  </r>
  <r>
    <n v="818"/>
    <s v="'3004003942 "/>
    <s v="CHANDRA HYNDAI--CITY"/>
    <s v="Coimbatore"/>
    <s v="TS 15"/>
    <x v="11"/>
    <n v="44673"/>
    <s v="E00001 "/>
    <s v="26.03.2005 15:26 "/>
    <s v="26.03.2005 15:45"/>
    <s v="26.03.2005 18:00"/>
    <x v="0"/>
    <n v="0"/>
    <n v="3"/>
    <m/>
    <m/>
    <m/>
    <m/>
  </r>
  <r>
    <n v="820"/>
    <s v="'3004003940 "/>
    <s v="ROOPA PROCESSING MILLS-CITY"/>
    <s v="Coimbatore"/>
    <s v="TS 15"/>
    <x v="11"/>
    <n v="0"/>
    <s v="E00001 "/>
    <s v="26.03.2005 11:20 "/>
    <s v="26.03.2005 11:30"/>
    <s v="26.03.2005 15:00"/>
    <x v="0"/>
    <n v="0"/>
    <n v="4"/>
    <m/>
    <m/>
    <m/>
    <m/>
  </r>
  <r>
    <n v="824"/>
    <s v="'3004003929 "/>
    <s v="SURYA PRABHA MILLS PVT LTD--CITY"/>
    <s v="Coimbatore"/>
    <s v="TS 15"/>
    <x v="11"/>
    <n v="44768"/>
    <s v="E00001 "/>
    <s v="24.03.2005 12:31 "/>
    <s v="24.03.2005 12:45"/>
    <s v="25.03.2005 19:30"/>
    <x v="0"/>
    <n v="0"/>
    <n v="31"/>
    <m/>
    <m/>
    <m/>
    <m/>
  </r>
  <r>
    <n v="825"/>
    <s v="'3004003928 "/>
    <s v="VIVID COLOURS--CITY"/>
    <s v="Coimbatore"/>
    <s v="TS 15"/>
    <x v="11"/>
    <n v="44768"/>
    <s v="E00001 "/>
    <s v="24.03.2005 12:24 "/>
    <s v="24.03.2005 12:35"/>
    <s v="25.03.2005 16:00"/>
    <x v="0"/>
    <n v="0"/>
    <n v="28"/>
    <m/>
    <m/>
    <m/>
    <m/>
  </r>
  <r>
    <n v="828"/>
    <s v="'3004003924 "/>
    <s v="JAYAVARMA KNITTERS--CITY"/>
    <s v="Tirupur"/>
    <s v="TS 15"/>
    <x v="11"/>
    <n v="34169"/>
    <s v="E00001 "/>
    <s v="24.03.2005 10:57 "/>
    <s v="24.03.2005 11:15"/>
    <s v="24.03.2005 12:30"/>
    <x v="0"/>
    <n v="0"/>
    <n v="2"/>
    <m/>
    <m/>
    <m/>
    <m/>
  </r>
  <r>
    <n v="836"/>
    <s v="'3004003882 "/>
    <s v="T.K.GARMENTS--CITY"/>
    <s v="Tirupur"/>
    <s v="TS 15"/>
    <x v="11"/>
    <n v="80806"/>
    <s v="E00001 "/>
    <s v="17.03.2005 11:54 "/>
    <s v="17.03.2005 12:15"/>
    <s v="17.03.2005 18:30"/>
    <x v="0"/>
    <n v="0"/>
    <n v="7"/>
    <m/>
    <m/>
    <m/>
    <m/>
  </r>
  <r>
    <n v="841"/>
    <s v="'3004003869 "/>
    <s v="G.PLAST INDUSTRIES--CITY"/>
    <s v="Coimbatore"/>
    <s v="TS 15"/>
    <x v="11"/>
    <n v="42586"/>
    <s v="E00001 "/>
    <s v="15.03.2005 15:46 "/>
    <s v="15.03.2005 16:00"/>
    <s v="19.03.2005 12:00"/>
    <x v="0"/>
    <n v="0"/>
    <n v="92"/>
    <m/>
    <m/>
    <m/>
    <m/>
  </r>
  <r>
    <n v="842"/>
    <s v="'3004003861 "/>
    <s v="SCC APPARELS--CITY"/>
    <s v="Tirupur"/>
    <s v="TS 15"/>
    <x v="11"/>
    <n v="80972"/>
    <s v="E00001 "/>
    <s v="15.03.2005 11:24 "/>
    <s v="15.03.2005 12:00"/>
    <s v="15.03.2005 20:00"/>
    <x v="0"/>
    <n v="0"/>
    <n v="9"/>
    <m/>
    <m/>
    <m/>
    <m/>
  </r>
  <r>
    <n v="847"/>
    <s v="'3004003836 "/>
    <s v="THIYANALINGAM MODERN RICE MILL"/>
    <s v="Tirupur"/>
    <s v="TS 15"/>
    <x v="11"/>
    <n v="42281"/>
    <s v="E00001 "/>
    <s v="10.03.2005 15:44 "/>
    <s v="10.03.2005 16:00"/>
    <s v="10.03.2005 16:30"/>
    <x v="0"/>
    <n v="0"/>
    <n v="1"/>
    <m/>
    <m/>
    <m/>
    <m/>
  </r>
  <r>
    <n v="848"/>
    <s v="'3004003835 "/>
    <s v="CLAAIC KNITS"/>
    <s v="Tirupur"/>
    <s v="TS 15"/>
    <x v="11"/>
    <n v="29436"/>
    <s v="E00001 "/>
    <s v="10.03.2005 15:42 "/>
    <s v="10.03.2005 16:00"/>
    <s v="10.03.2005 21:00"/>
    <x v="0"/>
    <n v="0"/>
    <n v="5"/>
    <m/>
    <m/>
    <m/>
    <m/>
  </r>
  <r>
    <n v="855"/>
    <s v="'3004003816 "/>
    <s v="CHANDRA HYNDAI PVT LTD--CITY"/>
    <s v="Coimbaotore"/>
    <s v="TS 15"/>
    <x v="11"/>
    <n v="44673"/>
    <s v="E00001 "/>
    <s v="07.03.2005 14:38 "/>
    <s v="07.03.2005 14:45"/>
    <s v="10.03.2005 14:00"/>
    <x v="0"/>
    <n v="0"/>
    <n v="71"/>
    <m/>
    <m/>
    <m/>
    <m/>
  </r>
  <r>
    <n v="857"/>
    <s v="'3004003808 "/>
    <s v="CPC PREMIER PVT LTD--CITY"/>
    <s v="Coimbatore"/>
    <s v="TS 15"/>
    <x v="11"/>
    <n v="44091"/>
    <s v="E00001 "/>
    <s v="05.03.2005 12:30 "/>
    <s v="05.03.2005 12:45"/>
    <s v="08.03.2005 19:00"/>
    <x v="0"/>
    <n v="0"/>
    <n v="78"/>
    <m/>
    <m/>
    <m/>
    <m/>
  </r>
  <r>
    <n v="861"/>
    <s v="'3004003788 "/>
    <s v="VIKING INTERNATIONAL--CITY"/>
    <s v="Tirupur"/>
    <s v="TS 15"/>
    <x v="11"/>
    <n v="31967"/>
    <s v="E00001 "/>
    <s v="02.03.2005 11:40 "/>
    <s v="02.03.2005 12:00"/>
    <s v="02.03.2005 13:30"/>
    <x v="0"/>
    <n v="0"/>
    <n v="2"/>
    <m/>
    <m/>
    <m/>
    <m/>
  </r>
  <r>
    <n v="867"/>
    <s v="'3004003751 "/>
    <s v="PRIME TEXTILES"/>
    <s v="SATYAMANGALAM"/>
    <s v="TS 15"/>
    <x v="11"/>
    <n v="42550"/>
    <s v="E00001 "/>
    <s v="26.02.2005 16:23 "/>
    <s v="01.03.2005 09:00"/>
    <s v="01.03.2005 20:00"/>
    <x v="0"/>
    <n v="0"/>
    <n v="76"/>
    <m/>
    <m/>
    <m/>
    <m/>
  </r>
  <r>
    <n v="869"/>
    <s v="'3004003747 "/>
    <s v="ROYAL CLASSIC MILLS--CITY"/>
    <s v="Tirupur"/>
    <s v="TS 15"/>
    <x v="11"/>
    <n v="32422"/>
    <s v="E00001 "/>
    <s v="25.02.2005 12:49 "/>
    <s v="25.02.2005 13:00"/>
    <s v="25.02.2005 18:00"/>
    <x v="0"/>
    <n v="0"/>
    <n v="5"/>
    <m/>
    <m/>
    <m/>
    <m/>
  </r>
  <r>
    <n v="873"/>
    <s v="'3004003734 "/>
    <s v="AUTO PRINT"/>
    <s v="COIMBATORE"/>
    <s v="TS 15"/>
    <x v="11"/>
    <n v="44569"/>
    <s v="E00001 "/>
    <s v="23.02.2005 14:30 "/>
    <s v="23.02.2005 14:45"/>
    <s v="26.02.2005 16:00"/>
    <x v="0"/>
    <n v="0"/>
    <n v="73"/>
    <m/>
    <m/>
    <m/>
    <m/>
  </r>
  <r>
    <n v="874"/>
    <s v="'3004003733 "/>
    <s v="VIKING INTERNATIONAL"/>
    <s v="TIRUPPUR"/>
    <s v="TS 15"/>
    <x v="11"/>
    <n v="31967"/>
    <s v="E00001 "/>
    <s v="23.02.2005 12:57 "/>
    <s v="23.02.2005 13:15"/>
    <s v="24.02.2005 16:00"/>
    <x v="0"/>
    <n v="0"/>
    <n v="27"/>
    <m/>
    <m/>
    <m/>
    <m/>
  </r>
  <r>
    <n v="879"/>
    <s v="'3004003710 "/>
    <s v="MAKKINS--CITY"/>
    <s v="Tirupur"/>
    <s v="TS 15"/>
    <x v="11"/>
    <n v="22519"/>
    <s v="E00001 "/>
    <s v="21.02.2005 11:11 "/>
    <s v="21.02.2005 11:30"/>
    <s v="21.02.2005 17:30"/>
    <x v="0"/>
    <n v="0"/>
    <n v="6"/>
    <m/>
    <m/>
    <m/>
    <m/>
  </r>
  <r>
    <n v="886"/>
    <s v="'3004003691 "/>
    <s v="RAJADHANI EXPORTS--CITY"/>
    <s v="Tirupur"/>
    <s v="TS 15"/>
    <x v="11"/>
    <n v="27591"/>
    <s v="E00001 "/>
    <s v="17.02.2005 11:46 "/>
    <s v="17.02.2005 12:00"/>
    <s v="17.02.2005 13:15"/>
    <x v="6"/>
    <n v="0"/>
    <n v="1"/>
    <m/>
    <m/>
    <m/>
    <m/>
  </r>
  <r>
    <n v="896"/>
    <s v="'3004003641 "/>
    <s v="VIVETH COLOURS--CITY"/>
    <s v="Coimbatore"/>
    <s v="TS 15"/>
    <x v="11"/>
    <n v="44763"/>
    <s v="E00001 "/>
    <s v="10.02.2005 12:38 "/>
    <s v="10.02.2005 13:00"/>
    <s v="11.02.2005 12:00"/>
    <x v="6"/>
    <n v="0"/>
    <n v="23"/>
    <m/>
    <m/>
    <m/>
    <m/>
  </r>
  <r>
    <n v="897"/>
    <s v="'3004003640 "/>
    <s v="CHANDRA HUNDAI INDIA LTD--CITY"/>
    <s v="Coimbatore"/>
    <s v="TS 15"/>
    <x v="11"/>
    <n v="44673"/>
    <s v="E00001 "/>
    <s v="10.02.2005 12:37 "/>
    <s v="10.02.2005 13:00"/>
    <s v="11.02.2005 14:00"/>
    <x v="6"/>
    <n v="0"/>
    <n v="25"/>
    <m/>
    <m/>
    <m/>
    <m/>
  </r>
  <r>
    <n v="899"/>
    <s v="'3004003627 "/>
    <s v="DEVI TREADS--CITY"/>
    <s v="Coimbatore"/>
    <s v="TS 15"/>
    <x v="11"/>
    <n v="33828"/>
    <s v="E00001 "/>
    <s v="08.02.2005 15:20 "/>
    <s v="08.02.2005 15:30"/>
    <s v="09.02.2005 15:00"/>
    <x v="6"/>
    <n v="0"/>
    <n v="24"/>
    <m/>
    <m/>
    <m/>
    <m/>
  </r>
  <r>
    <n v="914"/>
    <s v="'3004003570 "/>
    <s v="INDRAN IMPEX--CITY"/>
    <s v="Tirupur"/>
    <s v="TS 15"/>
    <x v="11"/>
    <n v="81444"/>
    <s v="E00001 "/>
    <s v="31.01.2005 11:14 "/>
    <s v="31.01.2005 11:30"/>
    <s v="31.01.2005 16:45"/>
    <x v="6"/>
    <n v="0"/>
    <n v="6"/>
    <m/>
    <m/>
    <m/>
    <m/>
  </r>
  <r>
    <n v="916"/>
    <s v="'3004003557 "/>
    <s v="VVV TEXTILES PVT LTD--CITY"/>
    <s v="Coimbatore"/>
    <s v="TS 15"/>
    <x v="11"/>
    <n v="43312"/>
    <s v="E00001 "/>
    <s v="28.01.2005 15:19 "/>
    <s v="28.01.2005 15:30"/>
    <s v="28.01.2005 21:00"/>
    <x v="6"/>
    <n v="0"/>
    <n v="6"/>
    <m/>
    <m/>
    <m/>
    <m/>
  </r>
  <r>
    <n v="922"/>
    <s v="'3004003495 "/>
    <s v="TUBE TEX--CITY"/>
    <s v="Tirupur"/>
    <s v="TS 15"/>
    <x v="11"/>
    <n v="34102"/>
    <s v="E00001 "/>
    <s v="18.01.2005 16:21 "/>
    <s v="18.01.2005 16:30"/>
    <s v="18.01.2005 19:00"/>
    <x v="6"/>
    <n v="0"/>
    <n v="3"/>
    <m/>
    <m/>
    <m/>
    <m/>
  </r>
  <r>
    <n v="923"/>
    <s v="'3004003486 "/>
    <s v="CHANDRA HYNDAI PVT LTD--CITY"/>
    <s v="Coimbatore"/>
    <s v="TS 15"/>
    <x v="11"/>
    <n v="44673"/>
    <s v="E00001 "/>
    <s v="17.01.2005 16:45 "/>
    <s v="17.01.2005 17:00"/>
    <s v="17.01.2005 19:00"/>
    <x v="6"/>
    <n v="0"/>
    <n v="2"/>
    <m/>
    <m/>
    <m/>
    <m/>
  </r>
  <r>
    <n v="933"/>
    <s v="'304003458 "/>
    <s v="CHOLA PUMPS-CITY"/>
    <s v="Coimbatore"/>
    <s v="TS 15"/>
    <x v="11"/>
    <n v="7314"/>
    <s v="E00001 "/>
    <s v="10.01.2005 12:01 "/>
    <s v="10.01.2005 12:15"/>
    <s v="10.01.2005 16:00"/>
    <x v="6"/>
    <n v="0"/>
    <n v="4"/>
    <m/>
    <m/>
    <m/>
    <m/>
  </r>
  <r>
    <n v="935"/>
    <s v="'304003454 "/>
    <s v="ROYAL CLASSIC MILLS--PTT"/>
    <s v="Tirupur"/>
    <s v="TS15120"/>
    <x v="11"/>
    <n v="32422"/>
    <s v="E00001 "/>
    <s v="08.01.2005 11:53 "/>
    <s v="08.01.2005 12:00"/>
    <s v="08.01.2005 21:00"/>
    <x v="6"/>
    <n v="0"/>
    <n v="9"/>
    <m/>
    <m/>
    <m/>
    <m/>
  </r>
  <r>
    <n v="936"/>
    <s v="'304003453 "/>
    <s v="GEETHA IMPEX--CITY"/>
    <s v="Tirupur"/>
    <s v="TS 15"/>
    <x v="11"/>
    <n v="43746"/>
    <s v="E00001 "/>
    <s v="08.01.2005 11:51 "/>
    <s v="08.01.2005 12:00"/>
    <s v="08.01.2005 13:00"/>
    <x v="6"/>
    <n v="0"/>
    <n v="1"/>
    <m/>
    <m/>
    <m/>
    <m/>
  </r>
  <r>
    <n v="938"/>
    <s v="'304003449 "/>
    <s v="SAVI FABRICS--CITY"/>
    <s v="Tirupur"/>
    <s v="TS 15"/>
    <x v="11"/>
    <n v="43476"/>
    <s v="E00001 "/>
    <s v="07.01.2005 12:13 "/>
    <s v="07.01.2005 12:30"/>
    <s v="07.01.2005 13:30"/>
    <x v="6"/>
    <n v="0"/>
    <n v="1"/>
    <m/>
    <m/>
    <m/>
    <m/>
  </r>
  <r>
    <n v="946"/>
    <s v="'304003388 "/>
    <s v="KALPAGA KNITS--CITY"/>
    <s v="Tirupur"/>
    <s v="TS 15"/>
    <x v="11"/>
    <n v="43256"/>
    <s v="E00001 "/>
    <s v="28.12.2004 11:31 "/>
    <s v="28.12.2004 11:45"/>
    <s v="28.12.2004 16:45"/>
    <x v="6"/>
    <n v="0"/>
    <n v="5"/>
    <m/>
    <m/>
    <m/>
    <m/>
  </r>
  <r>
    <n v="950"/>
    <s v="'304003363 "/>
    <s v="MICRO COATS SPINNING MILLS"/>
    <s v="coimbatore"/>
    <s v="TS 15"/>
    <x v="11"/>
    <s v="43636 / 08.04"/>
    <s v="E00001 "/>
    <s v="23.12.2004 14:45 "/>
    <s v="23.12.2004 14:50"/>
    <s v="24.12.2004 12:30"/>
    <x v="6"/>
    <n v="0"/>
    <n v="22"/>
    <m/>
    <m/>
    <m/>
    <m/>
  </r>
  <r>
    <n v="954"/>
    <s v="'304003335 "/>
    <s v="KANISHKA GARMENTS--CITY"/>
    <s v="Tirupur"/>
    <s v="TS 15"/>
    <x v="11"/>
    <n v="3162"/>
    <s v="E00001 "/>
    <s v="20.12.2004 15:58 "/>
    <s v="20.12.2004 16:15"/>
    <s v="20.12.2004 20:30"/>
    <x v="6"/>
    <n v="0"/>
    <n v="5"/>
    <m/>
    <m/>
    <m/>
    <m/>
  </r>
  <r>
    <n v="957"/>
    <s v="'304003311 "/>
    <s v="CHOLA PUMPS--CITY"/>
    <s v="Coimbatore"/>
    <s v="TS15"/>
    <x v="11"/>
    <n v="42374"/>
    <s v="E00001 "/>
    <s v="16.12.2004 12:23 "/>
    <s v="17.12.2004 09:00"/>
    <s v="17.12.2004 18:00"/>
    <x v="6"/>
    <n v="0"/>
    <n v="30"/>
    <m/>
    <m/>
    <m/>
    <m/>
  </r>
  <r>
    <n v="958"/>
    <s v="'304003306 "/>
    <s v="ROYAL CLASSIC MILLS"/>
    <s v="coimbatore"/>
    <s v="TS 15"/>
    <x v="11"/>
    <n v="32422"/>
    <s v="E00001 "/>
    <s v="15.12.2004 12:06 "/>
    <s v="15.12.2004 12:15"/>
    <s v="15.12.2004 13:45"/>
    <x v="6"/>
    <n v="0"/>
    <n v="2"/>
    <m/>
    <m/>
    <m/>
    <m/>
  </r>
  <r>
    <n v="967"/>
    <s v="'304003241 "/>
    <s v="CPC PVT LTD--CITY"/>
    <s v="Coimbatore-04"/>
    <s v="TS 15"/>
    <x v="11"/>
    <n v="44091"/>
    <s v="E00001 "/>
    <s v="06.12.2004 10:51 "/>
    <s v="06.12.2004 11:00"/>
    <s v="06.12.2004 14:00"/>
    <x v="6"/>
    <n v="0"/>
    <n v="3"/>
    <m/>
    <m/>
    <m/>
    <m/>
  </r>
  <r>
    <n v="968"/>
    <s v="'304003233 "/>
    <s v="CHEMTEC PROCESSORS--CITY"/>
    <s v="Tirupur"/>
    <s v="TS 15"/>
    <x v="11"/>
    <n v="23304"/>
    <s v="E00001 "/>
    <s v="04.12.2004 11:54 "/>
    <s v="04.12.2004 12:00"/>
    <s v="04.12.2004 14:00"/>
    <x v="6"/>
    <n v="0"/>
    <n v="2"/>
    <m/>
    <m/>
    <m/>
    <m/>
  </r>
  <r>
    <n v="969"/>
    <s v="'304003231 "/>
    <s v="SRI KARPAGAM SPINNERS--CITY"/>
    <s v="Coimbatore"/>
    <s v="TS 15"/>
    <x v="11"/>
    <n v="21366"/>
    <s v="E00001 "/>
    <s v="04.12.2004 11:13 "/>
    <s v="04.12.2004 11:30"/>
    <s v="04.12.2004 17:30"/>
    <x v="6"/>
    <n v="0"/>
    <n v="6"/>
    <m/>
    <m/>
    <m/>
    <m/>
  </r>
  <r>
    <n v="970"/>
    <s v="'304003224 "/>
    <s v="KALPAGA KNITS--CITY"/>
    <s v="Tirupur"/>
    <s v="TS 15"/>
    <x v="11"/>
    <n v="43256"/>
    <s v="E00001 "/>
    <s v="02.12.2004 16:48 "/>
    <s v="02.12.2004 17:00"/>
    <s v="02.12.2004 18:30"/>
    <x v="6"/>
    <n v="0"/>
    <n v="2"/>
    <m/>
    <m/>
    <m/>
    <m/>
  </r>
  <r>
    <n v="979"/>
    <s v="'304003162 "/>
    <s v="VIKAS KNITTERS--CITY"/>
    <s v="Tirupur"/>
    <s v="TS 15"/>
    <x v="11"/>
    <n v="31622"/>
    <s v="E00001 "/>
    <s v="23.11.2004 11:18 "/>
    <s v="23.11.2004 11:30"/>
    <s v="23.11.2004 14:30"/>
    <x v="6"/>
    <n v="0"/>
    <n v="3"/>
    <m/>
    <m/>
    <m/>
    <m/>
  </r>
  <r>
    <n v="985"/>
    <s v="'304003115 "/>
    <s v="VIKAS KNITS--CITY"/>
    <s v="Tirupur"/>
    <s v="TS15"/>
    <x v="11"/>
    <n v="31622"/>
    <s v="E00001 "/>
    <s v="15.11.2004 12:47 "/>
    <s v="15.11.2004 13:00"/>
    <s v="15.11.2004 16:00"/>
    <x v="6"/>
    <n v="0"/>
    <n v="3"/>
    <m/>
    <m/>
    <m/>
    <m/>
  </r>
  <r>
    <n v="987"/>
    <s v="'304003108 "/>
    <s v="PREM TEXTILES--CITY"/>
    <s v="Coimbatore"/>
    <s v="TS15"/>
    <x v="11"/>
    <n v="42550"/>
    <s v="E00001 "/>
    <s v="13.11.2004 12:06 "/>
    <s v="13.11.2004 12:15"/>
    <s v="14.11.2004 21:00"/>
    <x v="6"/>
    <n v="0"/>
    <n v="33"/>
    <m/>
    <m/>
    <m/>
    <m/>
  </r>
  <r>
    <n v="989"/>
    <s v="'304003085 "/>
    <s v="TK GARMENTS--CITY"/>
    <s v="Tirupur"/>
    <s v="TS15"/>
    <x v="11"/>
    <n v="80806"/>
    <s v="E00001 "/>
    <s v="08.11.2004 16:11 "/>
    <s v="08.11.2004 16:30"/>
    <s v="08.11.2004 18:00"/>
    <x v="6"/>
    <n v="0"/>
    <n v="2"/>
    <m/>
    <m/>
    <m/>
    <m/>
  </r>
  <r>
    <n v="994"/>
    <s v="'300G00169 "/>
    <s v="PRIMA PRODUCTS PVT LTD"/>
    <s v="COIMBATORE"/>
    <s v="TS 15 120 HN"/>
    <x v="11"/>
    <s v="GPKE690056"/>
    <s v="ccs025 "/>
    <s v="20.05.2016 16:11 "/>
    <s v="21.05.2016 10:00"/>
    <s v="23.05.2016 11:00"/>
    <x v="9"/>
    <n v="49"/>
    <n v="67"/>
    <m/>
    <m/>
    <s v="Warranty Maintenance"/>
    <m/>
  </r>
  <r>
    <n v="1008"/>
    <s v="'300F00719 "/>
    <s v="AMEX ALLOYS PRIVATE LIMITED"/>
    <s v="COIMBATORE"/>
    <s v="RAC PACKAGE TS15 HN 500L"/>
    <x v="11"/>
    <s v="CKCE690309"/>
    <s v="ccs019 "/>
    <s v="20.10.2015 18:19 "/>
    <s v="21.10.2015 10:00"/>
    <s v="11.11.2015 01:00"/>
    <x v="8"/>
    <n v="298"/>
    <n v="511"/>
    <m/>
    <m/>
    <s v="Out of Warranty"/>
    <m/>
  </r>
  <r>
    <n v="1018"/>
    <s v="'300F00284 "/>
    <s v="PRATHISTA WEAVING &amp; KNITING COMPANY LIMITED"/>
    <s v="COIMBATORE"/>
    <s v="RAC PACKAGE TS15 HN 500L"/>
    <x v="11"/>
    <s v="CJEE690414"/>
    <s v="ccs019 "/>
    <s v="03.07.2015 15:30 "/>
    <s v="04.07.2015 10:00"/>
    <s v="17.07.2015 14:00"/>
    <x v="8"/>
    <n v="146"/>
    <n v="334"/>
    <m/>
    <m/>
    <s v="Out of Warranty"/>
    <m/>
  </r>
  <r>
    <n v="1026"/>
    <s v="'300F00189 "/>
    <s v="SRI KRISHNA RETREADING"/>
    <s v="TRICHY"/>
    <s v="TS 15 120"/>
    <x v="11"/>
    <s v="CNAE490005"/>
    <s v="ccs019 "/>
    <s v="09.06.2015 09:12 "/>
    <s v="05.07.2015 05:00"/>
    <s v="05.07.2015 15:00"/>
    <x v="8"/>
    <n v="624"/>
    <n v="630"/>
    <m/>
    <m/>
    <s v="Out of Warranty"/>
    <m/>
  </r>
  <r>
    <n v="1032"/>
    <s v="'300E00968 "/>
    <s v="BALAJI ELECTRONICS"/>
    <s v="COIMBATORE"/>
    <s v="TS 1500"/>
    <x v="11"/>
    <n v="21879"/>
    <s v="ccs021 "/>
    <s v="16.03.2015 10:49 "/>
    <s v="16.03.2015 14:00"/>
    <s v="23.03.2015 12:00"/>
    <x v="8"/>
    <n v="166"/>
    <n v="169"/>
    <s v="3511AE008-17.03.2015"/>
    <s v="3511AE008"/>
    <s v="Out of Warranty"/>
    <m/>
  </r>
  <r>
    <n v="1041"/>
    <s v="'300E00789 "/>
    <s v="S&amp;G PACKING"/>
    <s v="POLLACHI"/>
    <s v="TS 15 120 HN"/>
    <x v="11"/>
    <s v="GNEE690016"/>
    <s v="ccs021 "/>
    <s v="23.01.2015 15:12 "/>
    <s v="24.01.2015 10:00"/>
    <s v="25.01.2015 14:00"/>
    <x v="10"/>
    <n v="28"/>
    <n v="47"/>
    <m/>
    <m/>
    <m/>
    <m/>
  </r>
  <r>
    <n v="1044"/>
    <s v="'300E00737 "/>
    <s v="S&amp;G PACKING"/>
    <s v="POLLACHI"/>
    <s v="TS 15 120 HN"/>
    <x v="11"/>
    <s v="GNEE690016"/>
    <s v="ccs021 "/>
    <s v="01.01.2015 16:28 "/>
    <s v="05.01.2015 10:00"/>
    <s v="05.01.2015 16:00"/>
    <x v="10"/>
    <n v="71"/>
    <n v="96"/>
    <m/>
    <m/>
    <s v="Warranty Maintenance"/>
    <m/>
  </r>
  <r>
    <n v="1051"/>
    <s v="'300E00569 "/>
    <s v="PLAS MOULD ENETERPRISES"/>
    <s v="COIMBATORE"/>
    <s v="TS15120"/>
    <x v="11"/>
    <s v="D300E00569"/>
    <s v="ccs003 "/>
    <s v="30.10.2014 12:41 "/>
    <s v="30.10.2014 16:00"/>
    <s v="03.11.2014 11:00"/>
    <x v="10"/>
    <n v="53"/>
    <n v="94"/>
    <m/>
    <m/>
    <s v="Out of Warranty"/>
    <m/>
  </r>
  <r>
    <n v="1062"/>
    <s v="'300E00205 "/>
    <s v="RAJSHREE FORD"/>
    <s v="TIRUPPUR"/>
    <s v="RAC PACKAGE TS15 HN 500L"/>
    <x v="11"/>
    <s v="CKLE690129"/>
    <s v="ccs003 "/>
    <s v="18.06.2014 16:57 "/>
    <s v="19.06.2014 09:00"/>
    <s v="25.06.2014 11:00"/>
    <x v="10"/>
    <n v="146"/>
    <n v="162"/>
    <m/>
    <m/>
    <s v="Out of Warranty"/>
    <m/>
  </r>
  <r>
    <n v="1068"/>
    <s v="'300D0952 "/>
    <s v="RAJSHREE FORD"/>
    <s v="TIRUPUR"/>
    <s v="RAC PACKAGE TS15 HN 500L"/>
    <x v="11"/>
    <s v="CKLE690120"/>
    <s v="ccs019 "/>
    <s v="25.02.2014 15:15 "/>
    <s v="26.02.2014 10:00"/>
    <s v="26.02.2014 13:00"/>
    <x v="10"/>
    <n v="3"/>
    <n v="22"/>
    <m/>
    <m/>
    <s v="Out of Warranty"/>
    <m/>
  </r>
  <r>
    <n v="1080"/>
    <s v="'300D0152 "/>
    <s v="GEM EQUIPMENTS LTD"/>
    <s v="ARASUR"/>
    <s v="TS 15 120"/>
    <x v="11"/>
    <s v="CMJE490003"/>
    <s v="ccs003 "/>
    <s v="20.05.2013 12:26 "/>
    <s v="20.05.2013 16:00"/>
    <s v="22.05.2013 17:00"/>
    <x v="2"/>
    <n v="49"/>
    <n v="53"/>
    <s v="35119D005-24.05.2013"/>
    <s v="35119D005"/>
    <s v="Warranty Failure"/>
    <m/>
  </r>
  <r>
    <n v="1089"/>
    <s v="'300C0906 "/>
    <s v="GEM EQUIPMENTS"/>
    <s v="COIMBATORE"/>
    <s v="TS 15 120"/>
    <x v="11"/>
    <s v="CMJE490003"/>
    <s v="ccs007 "/>
    <s v="11.02.2013 08:43 "/>
    <s v="11.02.2013 10:00"/>
    <s v="11.02.2013 16:00"/>
    <x v="7"/>
    <n v="5"/>
    <n v="7"/>
    <m/>
    <m/>
    <s v="Warranty Commissioning"/>
    <m/>
  </r>
  <r>
    <n v="1095"/>
    <s v="'300C0575 "/>
    <s v="KUMARAVEL MODERN RICE MILL"/>
    <s v="TRICHY"/>
    <s v="RAC PACKAGE TS15 HN 500L"/>
    <x v="11"/>
    <s v="CLDE690319"/>
    <s v="ccs005 "/>
    <s v="28.09.2012 18:14 "/>
    <s v="29.09.2012 10:00"/>
    <s v="30.09.2012 12:00"/>
    <x v="7"/>
    <n v="26"/>
    <n v="42"/>
    <m/>
    <m/>
    <s v="Warranty Failure"/>
    <m/>
  </r>
  <r>
    <n v="1096"/>
    <s v="'300C0556 "/>
    <s v="KUMARAVEL MODERN RICE MILL"/>
    <s v="TRICHY"/>
    <s v="RAC PACKAGE TS15 HN 500L"/>
    <x v="11"/>
    <s v="CLDE690319"/>
    <s v="ccs007 "/>
    <s v="24.09.2012 17:25 "/>
    <s v="24.09.2012 18:00"/>
    <s v="25.09.2012 16:00"/>
    <x v="7"/>
    <n v="23"/>
    <n v="23"/>
    <m/>
    <m/>
    <s v="Warranty Commissioning"/>
    <m/>
  </r>
  <r>
    <n v="1109"/>
    <s v="'300C0315 "/>
    <s v="SENGODAPPAN RICE MILL"/>
    <s v="Gobi"/>
    <s v="TS 15 120 HN"/>
    <x v="11"/>
    <s v="CHGE690377"/>
    <s v="S00014 "/>
    <s v="11.07.2012 10:54 "/>
    <s v="15.07.2012 12:00"/>
    <s v="15.07.2012 16:00"/>
    <x v="7"/>
    <n v="47"/>
    <n v="101"/>
    <m/>
    <m/>
    <s v="Out of Warranty"/>
    <m/>
  </r>
  <r>
    <n v="1123"/>
    <s v="'300C0089 "/>
    <s v="TAFE ACCESS METTUPALAYAM"/>
    <s v="METTUPALAYAM"/>
    <s v="TS 15 120 HN"/>
    <x v="11"/>
    <s v="CHDE690166"/>
    <s v="ccs005 "/>
    <s v="27.04.2012 11:14 "/>
    <s v="27.04.2012 16:00"/>
    <s v="01.05.2012 10:00"/>
    <x v="7"/>
    <n v="66"/>
    <n v="95"/>
    <m/>
    <m/>
    <s v="Out of Warranty"/>
    <m/>
  </r>
  <r>
    <n v="1136"/>
    <s v="'300B1132 "/>
    <s v="AMEX ALLOYS"/>
    <s v="COIMBATORE"/>
    <s v="TS 15 120 HN"/>
    <x v="11"/>
    <s v="CKCE690309"/>
    <s v="ccs002 "/>
    <s v="16.03.2012 10:44 "/>
    <s v="16.03.2012 12:00"/>
    <s v="16.03.2012 17:00"/>
    <x v="7"/>
    <n v="5"/>
    <n v="6"/>
    <m/>
    <m/>
    <s v="Out of Warranty"/>
    <m/>
  </r>
  <r>
    <n v="1159"/>
    <s v="'300B0504 "/>
    <s v="RADIAL ENGINEERING"/>
    <s v="ARASUR"/>
    <s v="TS 15 120 HN"/>
    <x v="11"/>
    <s v="CJEE690390"/>
    <s v="ccs005 "/>
    <s v="05.09.2011 12:08 "/>
    <s v="05.09.2011 14:00"/>
    <s v="06.09.2011 13:00"/>
    <x v="1"/>
    <n v="23"/>
    <n v="25"/>
    <m/>
    <m/>
    <s v="Out of Warranty"/>
    <m/>
  </r>
  <r>
    <n v="1167"/>
    <s v="'300B0483 "/>
    <s v="LAKSHMI FORD"/>
    <s v="THANJAVUR"/>
    <s v="TS 15 120 HN"/>
    <x v="11"/>
    <s v="CKCE690370"/>
    <s v="ccs014 "/>
    <s v="29.08.2011 10:03 "/>
    <s v="29.08.2011 10:00"/>
    <s v="29.08.2011 20:00"/>
    <x v="1"/>
    <n v="10"/>
    <n v="10"/>
    <m/>
    <m/>
    <s v="Warranty Commissioning"/>
    <m/>
  </r>
  <r>
    <n v="1169"/>
    <s v="'300B0477 "/>
    <s v="SRI BALAKRISHNA BOILER AND RICE MILL"/>
    <s v="TRICHY"/>
    <s v="TS 15 120 HN"/>
    <x v="11"/>
    <s v="CKCE690325"/>
    <s v="ccs005 "/>
    <s v="27.08.2011 10:44 "/>
    <s v="27.08.2011 10:30"/>
    <s v="27.08.2011 12:00"/>
    <x v="1"/>
    <n v="2"/>
    <n v="1"/>
    <m/>
    <m/>
    <s v="Warranty Commissioning"/>
    <m/>
  </r>
  <r>
    <n v="1177"/>
    <s v="'300B0374 "/>
    <s v="VAITHEESWARAN MODERN RICE MILL"/>
    <s v="ARUPUKOTTAI"/>
    <s v="TS 15 120 HN"/>
    <x v="11"/>
    <s v="CKBE690236"/>
    <s v="ccs007 "/>
    <s v="26.07.2011 14:42 "/>
    <s v="26.07.2011 14:45"/>
    <s v="26.07.2011 17:00"/>
    <x v="1"/>
    <n v="2"/>
    <n v="2"/>
    <m/>
    <m/>
    <s v="Warranty Commissioning"/>
    <m/>
  </r>
  <r>
    <n v="1180"/>
    <s v="'300B0295 "/>
    <s v="SHAKUL HAMEEDA MODERN RICE MILL"/>
    <s v="TRICHY"/>
    <s v="TS 15 120 HN"/>
    <x v="11"/>
    <s v="CKLE690114"/>
    <s v="ccs003 "/>
    <s v="07.07.2011 09:58 "/>
    <s v="07.07.2011 15:00"/>
    <s v="09.07.2011 13:00"/>
    <x v="1"/>
    <n v="46"/>
    <n v="51"/>
    <m/>
    <m/>
    <s v="Warranty Failure"/>
    <m/>
  </r>
  <r>
    <n v="1189"/>
    <s v="'300B0102 "/>
    <s v="ACS MODERN RICE MILL"/>
    <s v="VIRALIMALAI"/>
    <s v="TS 15 120 HN"/>
    <x v="11"/>
    <n v="60694"/>
    <s v="ccs007 "/>
    <s v="09.05.2011 16:32 "/>
    <s v="10.05.2011 09:00"/>
    <s v="11.05.2011 15:00"/>
    <x v="1"/>
    <n v="30"/>
    <n v="46"/>
    <m/>
    <m/>
    <s v="Out of Warranty"/>
    <m/>
  </r>
  <r>
    <n v="1196"/>
    <s v="'300B0061 "/>
    <s v="SHAKUL HAMEEDA MODERN RICE MILL"/>
    <s v="TRICHY"/>
    <s v="TS 15 120 HN"/>
    <x v="11"/>
    <s v="CKLE690114"/>
    <s v="ccs005 "/>
    <s v="22.04.2011 15:13 "/>
    <s v="22.04.2011 15:15"/>
    <s v="23.04.2011 13:00"/>
    <x v="1"/>
    <n v="22"/>
    <n v="22"/>
    <m/>
    <m/>
    <s v="Warranty Commissioning"/>
    <m/>
  </r>
  <r>
    <n v="1198"/>
    <s v="'300B0051 "/>
    <s v="MAHARAJA TRADING COMPANY"/>
    <s v="ARUPUKOTTAI"/>
    <s v="TS 15 120 HN"/>
    <x v="11"/>
    <s v="CKLE690123"/>
    <s v="ccs003 "/>
    <s v="20.04.2011 10:45 "/>
    <s v="20.04.2011 11:00"/>
    <s v="20.04.2011 13:00"/>
    <x v="1"/>
    <n v="2"/>
    <n v="2"/>
    <m/>
    <m/>
    <s v="Warranty Commissioning"/>
    <m/>
  </r>
  <r>
    <n v="1205"/>
    <s v="'300A0969 "/>
    <s v="SRI PALANIANDAVAR RICE MILLS"/>
    <s v="PALANI"/>
    <s v="TS 15 120 HN"/>
    <x v="11"/>
    <s v="CIIE690477"/>
    <s v="ccs001 "/>
    <s v="08.02.2011 10:59 "/>
    <s v="09.02.2011 09:15"/>
    <s v="12.02.2011 17:00"/>
    <x v="11"/>
    <n v="80"/>
    <n v="102"/>
    <s v="3511AA038-10.02.2011"/>
    <s v="3511AA038"/>
    <s v="Warranty Failure"/>
    <m/>
  </r>
  <r>
    <n v="1223"/>
    <s v="'300A0289 "/>
    <s v="TAFE ACCESS LTD"/>
    <s v="Coimbatore"/>
    <s v="TS 15 120 HN"/>
    <x v="11"/>
    <s v="CHDE690166"/>
    <s v="ccs007 "/>
    <s v="17.07.2010 10:07 "/>
    <s v="17.07.2010 10:15"/>
    <s v="21.07.2010 13:00"/>
    <x v="11"/>
    <n v="98"/>
    <n v="99"/>
    <m/>
    <m/>
    <s v="Out of Warranty"/>
    <m/>
  </r>
  <r>
    <n v="1228"/>
    <s v="'300A0235 "/>
    <s v="MAHESHWARI RICE MILL"/>
    <s v="UTHUKULI"/>
    <s v="TS 15 120 HN"/>
    <x v="11"/>
    <s v="CJAE690187"/>
    <s v="ccs005 "/>
    <s v="26.06.2010 11:52 "/>
    <s v="26.06.2010 13:00"/>
    <s v="02.07.2010 15:00"/>
    <x v="11"/>
    <n v="146"/>
    <n v="147"/>
    <m/>
    <m/>
    <s v="Warranty Failure"/>
    <m/>
  </r>
  <r>
    <n v="1242"/>
    <s v="'30090748 "/>
    <s v="SRI PALANI ANDAVAR RICE MILL"/>
    <s v="KODUMUDI"/>
    <s v="TS15120"/>
    <x v="11"/>
    <s v="CIBE690164"/>
    <s v="ccs002 "/>
    <s v="14.11.2009 11:35 "/>
    <s v="14.11.2009 13:00"/>
    <s v="17.11.2009 16:00"/>
    <x v="4"/>
    <n v="75"/>
    <n v="76"/>
    <m/>
    <m/>
    <s v="Warranty Failure"/>
    <m/>
  </r>
  <r>
    <n v="1244"/>
    <s v="'30090562 "/>
    <s v="P VENKATACHALAM"/>
    <s v="SALEM"/>
    <s v="TS15120"/>
    <x v="11"/>
    <s v="D30090562"/>
    <s v="ccs005 "/>
    <s v="12.09.2009 18:15 "/>
    <s v="14.09.2009 10:00"/>
    <s v="18.09.2009 09:30"/>
    <x v="4"/>
    <n v="49"/>
    <n v="135"/>
    <m/>
    <m/>
    <s v="Out of Warranty"/>
    <m/>
  </r>
  <r>
    <n v="1252"/>
    <s v="'30090245 "/>
    <s v="MAHESWARAN PET"/>
    <s v="Coimbatore"/>
    <s v="TS15120"/>
    <x v="11"/>
    <n v="61040"/>
    <s v="ccs007 "/>
    <s v="20.06.2009 09:15 "/>
    <s v="20.06.2009 10:00"/>
    <s v="22.06.2009 12:00"/>
    <x v="4"/>
    <n v="49"/>
    <n v="51"/>
    <m/>
    <m/>
    <s v="Warranty Maintenance"/>
    <m/>
  </r>
  <r>
    <n v="1257"/>
    <s v="'30090119 "/>
    <s v="SUNERU GARMENTS"/>
    <s v="Sathyanmangalam"/>
    <s v="TS15120"/>
    <x v="11"/>
    <n v="2709791"/>
    <s v="ccs001 "/>
    <s v="15.05.2009 15:42 "/>
    <s v="16.05.2009 09:00"/>
    <s v="17.05.2009 18:00"/>
    <x v="4"/>
    <n v="33"/>
    <n v="50"/>
    <m/>
    <m/>
    <s v="Out of Warranty"/>
    <m/>
  </r>
  <r>
    <n v="1258"/>
    <s v="'30090103 "/>
    <s v="MAHESWARANPET"/>
    <s v="Coimbatore"/>
    <s v="TS15120H-500L"/>
    <x v="11"/>
    <n v="21816"/>
    <s v="ccs001 "/>
    <s v="08.05.2009 10:03 "/>
    <s v="08.05.2009 09:55"/>
    <s v="16.05.2009 17:00"/>
    <x v="4"/>
    <n v="199"/>
    <n v="199"/>
    <m/>
    <m/>
    <s v="Annual Maintenance contract"/>
    <m/>
  </r>
  <r>
    <n v="1267"/>
    <s v="'30081033 "/>
    <s v="TAFE ACCESS LTD"/>
    <s v="Tirupur"/>
    <s v="TS 15 120 HN"/>
    <x v="11"/>
    <s v="CHDE690167"/>
    <s v="ccs001 "/>
    <s v="19.01.2009 12:17 "/>
    <s v="19.01.2009 11:55"/>
    <s v="24.01.2009 16:00"/>
    <x v="5"/>
    <n v="124"/>
    <n v="124"/>
    <m/>
    <m/>
    <s v="Warranty Maintenance"/>
    <m/>
  </r>
  <r>
    <n v="1268"/>
    <s v="'30080931 "/>
    <s v="TAFE ACCESS LTD"/>
    <s v="Tirupur"/>
    <s v="TS 15 120 HN"/>
    <x v="11"/>
    <s v="CHDE690167"/>
    <s v="ccs001 "/>
    <s v="20.12.2008 12:13 "/>
    <s v="22.12.2008 09:00"/>
    <s v="29.12.2008 14:00"/>
    <x v="5"/>
    <n v="218"/>
    <n v="218"/>
    <m/>
    <m/>
    <s v="Warranty Failure"/>
    <m/>
  </r>
  <r>
    <n v="1269"/>
    <s v="'30080837 "/>
    <s v="SENTHILMURUGA RICE MILL"/>
    <s v="Madurai"/>
    <s v="TS 15 120 HN"/>
    <x v="11"/>
    <s v="CHBE690059"/>
    <s v="ccs001 "/>
    <s v="21.11.2008 14:36 "/>
    <s v="21.11.2008 14:30"/>
    <s v="24.11.2008 15:00"/>
    <x v="5"/>
    <n v="73"/>
    <n v="72"/>
    <m/>
    <m/>
    <s v="Warranty Failure"/>
    <m/>
  </r>
  <r>
    <n v="1293"/>
    <s v="'30080453 "/>
    <s v="SRI JAIBHUPENESWAR TRADERS"/>
    <s v="Salem"/>
    <s v="TS 15 120 HN"/>
    <x v="11"/>
    <s v="CHCE690114"/>
    <s v="ccs001 "/>
    <s v="12.08.2008 10:48 "/>
    <s v="12.08.2008 10:45"/>
    <s v="23.08.2008 12:00"/>
    <x v="5"/>
    <n v="265"/>
    <n v="265"/>
    <m/>
    <m/>
    <s v="Warranty Commissioning"/>
    <m/>
  </r>
  <r>
    <n v="1294"/>
    <s v="'30080452 "/>
    <s v="VENKETESWARA MODERN RICE MILL"/>
    <s v="Dharapuram"/>
    <s v="TS15120"/>
    <x v="11"/>
    <n v="60648"/>
    <s v="ccs001 "/>
    <s v="12.08.2008 10:43 "/>
    <s v="12.08.2008 10:40"/>
    <s v="12.08.2008 14:00"/>
    <x v="5"/>
    <n v="3"/>
    <n v="3"/>
    <m/>
    <m/>
    <s v="Out of Warranty"/>
    <m/>
  </r>
  <r>
    <n v="1295"/>
    <s v="'30080451 "/>
    <s v="SRI AMMAN RICE MILLS"/>
    <s v="Kangeyam"/>
    <s v="TS15120"/>
    <x v="11"/>
    <n v="60444"/>
    <s v="ccs001 "/>
    <s v="12.08.2008 10:41 "/>
    <s v="12.08.2008 10:35"/>
    <s v="12.08.2008 15:00"/>
    <x v="5"/>
    <n v="5"/>
    <n v="4"/>
    <m/>
    <m/>
    <s v="Out of Warranty"/>
    <m/>
  </r>
  <r>
    <n v="1305"/>
    <s v="'30080251 "/>
    <s v="SENTHILMURUGAN RICE MILL"/>
    <s v="Madurai"/>
    <s v="TS 15 120 HN"/>
    <x v="11"/>
    <s v="CHBE690059"/>
    <s v="ccs001 "/>
    <s v="21.06.2008 16:36 "/>
    <s v="23.06.2008 16:45"/>
    <s v="24.06.2008 15:00"/>
    <x v="5"/>
    <n v="30"/>
    <n v="70"/>
    <m/>
    <m/>
    <s v="Warranty Maintenance"/>
    <m/>
  </r>
  <r>
    <n v="1323"/>
    <s v="'30075305 "/>
    <s v="GOPALALA KRISHNA MODERN RICE MILL--SREE"/>
    <s v="trichy"/>
    <s v="TS 15 120 HN"/>
    <x v="11"/>
    <s v="CGIE690006"/>
    <s v="ccs003 "/>
    <s v="22.01.2008 15:55 "/>
    <s v="22.01.2008 16:15"/>
    <s v="01.02.2008 13:00"/>
    <x v="3"/>
    <n v="237"/>
    <n v="237"/>
    <m/>
    <m/>
    <s v="Warranty Commissioning"/>
    <m/>
  </r>
  <r>
    <n v="1330"/>
    <s v="'30074995 "/>
    <s v="SUNDHARAM INDUSTRIES LTD"/>
    <s v="Madurai"/>
    <s v="TS 15 HN 500L"/>
    <x v="11"/>
    <n v="60558"/>
    <s v="ccs001 "/>
    <s v="22.11.2007 11:50 "/>
    <s v="22.11.2007 12:00"/>
    <s v="28.11.2007 11:00"/>
    <x v="3"/>
    <n v="143"/>
    <n v="143"/>
    <m/>
    <m/>
    <m/>
    <m/>
  </r>
  <r>
    <n v="1332"/>
    <s v="'30074963 "/>
    <s v="SUNDHARAM INDUSTRIES LTD--SREE"/>
    <s v="Madurai"/>
    <s v="TS 15 HN 500L"/>
    <x v="11"/>
    <n v="61220"/>
    <s v="ccs001 "/>
    <s v="14.11.2007 16:29 "/>
    <s v="15.11.2007 09:00"/>
    <s v="15.11.2007 17:00"/>
    <x v="3"/>
    <n v="8"/>
    <n v="25"/>
    <m/>
    <m/>
    <m/>
    <m/>
  </r>
  <r>
    <n v="1333"/>
    <s v="'30074962 "/>
    <s v="SUNDHARAM INDUSTRIES LTD--SREE"/>
    <s v="Madurai"/>
    <s v="TS 15 HN 500L"/>
    <x v="11"/>
    <n v="61217"/>
    <s v="ccs001 "/>
    <s v="14.11.2007 16:28 "/>
    <s v="15.11.2007 09:00"/>
    <s v="15.11.2007 17:00"/>
    <x v="3"/>
    <n v="8"/>
    <n v="25"/>
    <m/>
    <m/>
    <m/>
    <m/>
  </r>
  <r>
    <n v="1336"/>
    <s v="'30074675 "/>
    <s v="THOONDIKAUPAR MODERN RICR MILL--C"/>
    <s v="Karikudi"/>
    <s v="TS 15 HN 500L"/>
    <x v="11"/>
    <n v="60242"/>
    <s v="ccs003 "/>
    <s v="07.09.2007 17:20 "/>
    <s v="08.09.2007 10:00"/>
    <s v="15.09.2007 16:00"/>
    <x v="3"/>
    <n v="174"/>
    <n v="191"/>
    <m/>
    <m/>
    <m/>
    <m/>
  </r>
  <r>
    <n v="1337"/>
    <s v="'30074671 "/>
    <s v="DEVANANDA COTTON SPINNING MILLS--C"/>
    <s v="Coimbatore"/>
    <s v="TS 15 HN 500L"/>
    <x v="11"/>
    <n v="60509"/>
    <s v="ccs003 "/>
    <s v="07.09.2007 14:16 "/>
    <s v="07.09.2007 14:45"/>
    <s v="12.09.2007 16:00"/>
    <x v="3"/>
    <n v="122"/>
    <n v="122"/>
    <m/>
    <m/>
    <m/>
    <m/>
  </r>
  <r>
    <n v="1346"/>
    <s v="'30074121 "/>
    <s v="KRP DYING--SREE"/>
    <s v="Tirupur"/>
    <s v="TS 15 HN 500L"/>
    <x v="11"/>
    <n v="60837"/>
    <s v="ccs001 "/>
    <s v="04.05.2007 15:19 "/>
    <s v="04.05.2007 15:20"/>
    <s v="04.05.2007 17:00"/>
    <x v="3"/>
    <n v="2"/>
    <n v="2"/>
    <m/>
    <m/>
    <m/>
    <m/>
  </r>
  <r>
    <n v="1349"/>
    <s v="'30074048 "/>
    <s v="ACF MODERN RICE MILL"/>
    <s v="Pudukottai"/>
    <s v="TS 15 HN 500L"/>
    <x v="11"/>
    <n v="60694"/>
    <s v="ccs005 "/>
    <s v="10.04.2007 15:38 "/>
    <s v="11.04.2007 09:00"/>
    <s v="16.04.2007 13:00"/>
    <x v="3"/>
    <n v="141"/>
    <n v="141"/>
    <m/>
    <m/>
    <m/>
    <m/>
  </r>
  <r>
    <n v="1350"/>
    <s v="'30074047 "/>
    <s v="SRI DEVNANDA COTSPIN PVT LTD -- C"/>
    <s v="Sulur"/>
    <s v="TS 15 HN 500L"/>
    <x v="11"/>
    <n v="60509"/>
    <s v="ccs005 "/>
    <s v="10.04.2007 12:32 "/>
    <s v="10.04.2007 12:30"/>
    <s v="14.04.2007 16:00"/>
    <x v="3"/>
    <n v="100"/>
    <n v="99"/>
    <m/>
    <m/>
    <m/>
    <m/>
  </r>
  <r>
    <n v="1351"/>
    <s v="'30063965 "/>
    <s v="VENKETESHWARA MODERN RICE MILL"/>
    <s v="Trichy"/>
    <s v="TS15120H-500L"/>
    <x v="11"/>
    <n v="46073"/>
    <s v="ccs001 "/>
    <s v="23.03.2007 14:47 "/>
    <s v="24.03.2007 09:00"/>
    <s v="28.03.2007 11:00"/>
    <x v="3"/>
    <n v="98"/>
    <n v="116"/>
    <m/>
    <m/>
    <m/>
    <m/>
  </r>
  <r>
    <n v="1353"/>
    <s v="'30063924 "/>
    <s v="FATHIMA MODERN RICE MILL"/>
    <s v="Salem"/>
    <s v="TS 15 HN 500L"/>
    <x v="11"/>
    <n v="60115"/>
    <s v="ccs001 "/>
    <s v="14.03.2007 11:12 "/>
    <s v="15.03.2007 09:00"/>
    <s v="24.03.2007 15:30"/>
    <x v="3"/>
    <n v="223"/>
    <n v="244"/>
    <m/>
    <m/>
    <m/>
    <m/>
  </r>
  <r>
    <n v="1356"/>
    <s v="'30063883 "/>
    <s v="DURA CRAFT PAPERS PVT LTD--SREE"/>
    <s v="Coimbatore"/>
    <s v="TS 15 HN 500L"/>
    <x v="11"/>
    <n v="60323"/>
    <s v="ccs001 "/>
    <s v="06.03.2007 10:09 "/>
    <s v="06.03.2007 10:10"/>
    <s v="07.03.2007 15:00"/>
    <x v="3"/>
    <n v="29"/>
    <n v="29"/>
    <m/>
    <m/>
    <m/>
    <m/>
  </r>
  <r>
    <n v="1357"/>
    <s v="'30063880 "/>
    <s v="RAGUPATHY SPINNERS"/>
    <s v="Pollachi"/>
    <s v="TS15120H-500L"/>
    <x v="11"/>
    <n v="45731"/>
    <s v="ccs001 "/>
    <s v="05.03.2007 12:02 "/>
    <s v="10.03.2007 10:00"/>
    <s v="22.03.2007 15:00"/>
    <x v="3"/>
    <n v="390"/>
    <n v="411"/>
    <m/>
    <m/>
    <m/>
    <m/>
  </r>
  <r>
    <n v="1360"/>
    <s v="'30063710 "/>
    <s v="VAIGAI FINE TEX--SREE"/>
    <s v="Madurai"/>
    <s v="TS 15 HN 500L"/>
    <x v="11"/>
    <n v="60409"/>
    <s v="ccs001 "/>
    <s v="25.01.2007 11:30 "/>
    <s v="27.01.2007 09:00"/>
    <s v="07.02.2007 18:00"/>
    <x v="12"/>
    <n v="273"/>
    <n v="318"/>
    <m/>
    <m/>
    <m/>
    <m/>
  </r>
  <r>
    <n v="1361"/>
    <s v="'30063653 "/>
    <s v="SIVASAKTHY MODERN RICE MILL-SREE"/>
    <s v="Dindugul"/>
    <s v="TS15120H-500L"/>
    <x v="11"/>
    <n v="46349"/>
    <s v="ccs001 "/>
    <s v="06.01.2007 12:31 "/>
    <s v="06.01.2007 12:31"/>
    <s v="12.01.2007 13:30"/>
    <x v="12"/>
    <n v="-1"/>
    <n v="145"/>
    <m/>
    <m/>
    <m/>
    <m/>
  </r>
  <r>
    <n v="1365"/>
    <s v="'30063383 "/>
    <s v="VAIGAI FINE TEX--C"/>
    <s v="Madurai"/>
    <s v="TS 15 HN 500L"/>
    <x v="11"/>
    <n v="60409"/>
    <s v="ccs001 "/>
    <s v="13.11.2006 17:11 "/>
    <s v="14.11.2006 09:00"/>
    <s v="19.11.2006 14:00"/>
    <x v="12"/>
    <n v="0"/>
    <n v="141"/>
    <m/>
    <m/>
    <m/>
    <m/>
  </r>
  <r>
    <n v="1369"/>
    <s v="'30063141 "/>
    <s v="TRL MODERN RICE MILL -- SREE"/>
    <s v="Trichy"/>
    <s v="TS15120H-500L"/>
    <x v="11"/>
    <n v="44949"/>
    <s v="ccs001 "/>
    <s v="18.09.2006 15:10 "/>
    <s v="18.09.2006 15:30"/>
    <s v="27.09.2006 23:55"/>
    <x v="12"/>
    <n v="0"/>
    <n v="225"/>
    <m/>
    <m/>
    <m/>
    <m/>
  </r>
  <r>
    <n v="1378"/>
    <s v="'30062755 "/>
    <s v="YELUMALAIAM MODERN RICE MILL--SREE"/>
    <s v="Trichy"/>
    <s v="TS 15"/>
    <x v="11"/>
    <n v="45321"/>
    <s v="ccs001 "/>
    <s v="12.07.2006 09:40 "/>
    <s v="12.07.2006 10:00"/>
    <s v="16.07.2006 19:30"/>
    <x v="12"/>
    <n v="0"/>
    <n v="106"/>
    <m/>
    <m/>
    <m/>
    <m/>
  </r>
  <r>
    <n v="1383"/>
    <s v="'30062737 "/>
    <s v="PNA MODERN RICE MILL--SREE"/>
    <s v="Trichy"/>
    <s v="TS 15"/>
    <x v="11"/>
    <n v="45045"/>
    <s v="ccs001 "/>
    <s v="10.07.2006 11:22 "/>
    <s v="10.07.2006 11:30"/>
    <s v="10.07.2006 22:30"/>
    <x v="12"/>
    <n v="0"/>
    <n v="11"/>
    <m/>
    <m/>
    <m/>
    <m/>
  </r>
  <r>
    <n v="1387"/>
    <s v="'30062625 "/>
    <s v="RAJENDRA MODERN RICE MILL--SREE"/>
    <s v="Trichy"/>
    <s v="TS 15"/>
    <x v="11"/>
    <n v="60184"/>
    <s v="ccs001 "/>
    <s v="24.06.2006 13:00 "/>
    <s v="24.06.2006 13:30"/>
    <s v="24.06.2006 19:30"/>
    <x v="12"/>
    <n v="0"/>
    <n v="6"/>
    <m/>
    <m/>
    <m/>
    <m/>
  </r>
  <r>
    <n v="1388"/>
    <s v="'30062592 "/>
    <s v="NASEEMA RICE MILL--SREE"/>
    <s v="Madurai"/>
    <s v="TS 15"/>
    <x v="11"/>
    <n v="47068"/>
    <s v="ccs001 "/>
    <s v="20.06.2006 10:11 "/>
    <s v="20.06.2006 10:15"/>
    <s v="21.06.2006 15:00"/>
    <x v="12"/>
    <n v="0"/>
    <n v="29"/>
    <m/>
    <m/>
    <m/>
    <m/>
  </r>
  <r>
    <n v="1393"/>
    <s v="'30062488 "/>
    <s v="VAYALUR VELMURUGAN RICE MILL"/>
    <s v="Manapparai"/>
    <s v="TS 15"/>
    <x v="11"/>
    <n v="60165"/>
    <s v="ccs001 "/>
    <s v="07.06.2006 10:21 "/>
    <s v="07.06.2006 10:25"/>
    <s v="07.06.2006 11:00"/>
    <x v="12"/>
    <n v="0"/>
    <n v="1"/>
    <m/>
    <m/>
    <m/>
    <m/>
  </r>
  <r>
    <n v="1394"/>
    <s v="'30062487 "/>
    <s v="SRI ELUMALAI MODERN RICE MILL--SREE"/>
    <s v="Manapparai"/>
    <s v="TS 15"/>
    <x v="11"/>
    <n v="60169"/>
    <s v="ccs001 "/>
    <s v="07.06.2006 10:19 "/>
    <s v="07.06.2006 10:25"/>
    <s v="07.06.2006 11:00"/>
    <x v="12"/>
    <n v="0"/>
    <n v="1"/>
    <m/>
    <m/>
    <m/>
    <m/>
  </r>
  <r>
    <n v="1435"/>
    <m/>
    <s v="Shobha Electricals, 239-240, Patel Road, Ram Nagar, Coimbatore"/>
    <s v="Cbe"/>
    <s v="TS15/BM"/>
    <x v="11"/>
    <n v="49173"/>
    <m/>
    <m/>
    <m/>
    <m/>
    <x v="13"/>
    <m/>
    <m/>
    <m/>
    <m/>
    <m/>
    <m/>
  </r>
  <r>
    <n v="1442"/>
    <m/>
    <s v="Jay Way Tex, 431, S.S.Compound, Mangalam Road, Andipalayam Post, Near Kumaran College, Tirupur"/>
    <s v="Tirupur"/>
    <s v="TS15/500"/>
    <x v="11"/>
    <n v="49421"/>
    <m/>
    <m/>
    <m/>
    <m/>
    <x v="13"/>
    <m/>
    <m/>
    <m/>
    <m/>
    <m/>
    <n v="962568862"/>
  </r>
  <r>
    <n v="1446"/>
    <m/>
    <s v="Adhithiya Textile Process, SF.No:418-A, Palavanjipalayam Road, Veerapandi Tirupur"/>
    <s v="Tirupur"/>
    <s v="TS15/500"/>
    <x v="11"/>
    <n v="49473"/>
    <m/>
    <m/>
    <m/>
    <m/>
    <x v="13"/>
    <m/>
    <m/>
    <m/>
    <m/>
    <m/>
    <s v="0421-2210354"/>
  </r>
  <r>
    <n v="1500"/>
    <m/>
    <s v="Knite Line No5(2),KVR Nagar West Ist StreetKaruvampalayam, Tirupur"/>
    <s v="Tirupur"/>
    <s v="TS15/500"/>
    <x v="11"/>
    <n v="52228"/>
    <m/>
    <m/>
    <m/>
    <m/>
    <x v="13"/>
    <m/>
    <m/>
    <m/>
    <m/>
    <m/>
    <m/>
  </r>
  <r>
    <n v="1506"/>
    <m/>
    <s v="Prisma Garments, SF No:19/1-A 2, Mahalakshmi Nagar, Mangalam Road, Parapalayam Tirupur"/>
    <s v="Tirupur"/>
    <s v="TS15/500"/>
    <x v="11"/>
    <n v="52362"/>
    <m/>
    <m/>
    <m/>
    <m/>
    <x v="13"/>
    <m/>
    <m/>
    <m/>
    <m/>
    <m/>
    <m/>
  </r>
  <r>
    <n v="1512"/>
    <m/>
    <s v="Supremee Textiles, 206/2, Chamundipuram, Kumar Nagar, Tirupur"/>
    <s v="Tirupur"/>
    <s v="TS15/500"/>
    <x v="11"/>
    <n v="52636"/>
    <m/>
    <m/>
    <m/>
    <m/>
    <x v="13"/>
    <m/>
    <m/>
    <m/>
    <m/>
    <m/>
    <n v="9894027277"/>
  </r>
  <r>
    <n v="1516"/>
    <m/>
    <s v="Midland Knits, SF No:14 3rd Floor, Opp to Selvi Complex, Kangayam Road, Tirupur"/>
    <s v="Tirupur"/>
    <s v="TS15/500"/>
    <x v="11"/>
    <n v="52675"/>
    <m/>
    <m/>
    <m/>
    <m/>
    <x v="13"/>
    <m/>
    <m/>
    <m/>
    <m/>
    <m/>
    <s v="0421-4317333"/>
  </r>
  <r>
    <n v="1517"/>
    <m/>
    <s v="Excellan Process, SF.No:652/2F3, Muthu Gardens Opp: Kongu Sports Club, Kulathupalayam, Veerapandi Post, Tirupur"/>
    <s v="Tirupur"/>
    <s v="TS15/500"/>
    <x v="11"/>
    <n v="52728"/>
    <m/>
    <m/>
    <m/>
    <m/>
    <x v="13"/>
    <m/>
    <m/>
    <m/>
    <m/>
    <m/>
    <s v="0421-645627"/>
  </r>
  <r>
    <n v="1538"/>
    <m/>
    <s v="Krishnas Fabs, # 14, Ramalingam Nagar, Palladam Tirupur"/>
    <s v="Tirupur"/>
    <s v="TS15/500"/>
    <x v="11"/>
    <n v="53516"/>
    <m/>
    <m/>
    <m/>
    <m/>
    <x v="13"/>
    <m/>
    <m/>
    <m/>
    <m/>
    <m/>
    <n v="996555537"/>
  </r>
  <r>
    <n v="1547"/>
    <m/>
    <s v="Oskar Process, 543/1, East Kallankadu, Karuppagoundenpalayam, Tirupur"/>
    <s v="Tirupur"/>
    <s v="TS15/500"/>
    <x v="11"/>
    <n v="53830"/>
    <m/>
    <m/>
    <m/>
    <m/>
    <x v="13"/>
    <m/>
    <m/>
    <m/>
    <m/>
    <m/>
    <m/>
  </r>
  <r>
    <n v="1554"/>
    <m/>
    <s v="Kalaimagal Textiles, 120, Kalaimagal Garden, West Palladam, Palldadam"/>
    <s v="Palladam"/>
    <s v="TS15/500"/>
    <x v="11"/>
    <n v="54106"/>
    <m/>
    <m/>
    <m/>
    <m/>
    <x v="13"/>
    <m/>
    <m/>
    <m/>
    <m/>
    <m/>
    <n v="9842252274"/>
  </r>
  <r>
    <n v="1587"/>
    <m/>
    <s v="KS Engineers, No:5B,2nd Cross, Lakshmana Gounder Street, Rathinapuri, Cbe"/>
    <s v="Rathinapuri"/>
    <s v="TS15/500"/>
    <x v="11"/>
    <n v="42989"/>
    <m/>
    <m/>
    <m/>
    <m/>
    <x v="13"/>
    <m/>
    <m/>
    <m/>
    <m/>
    <m/>
    <m/>
  </r>
  <r>
    <n v="1604"/>
    <m/>
    <s v="Astra Auto Parts, F-3, Sidco Industrial Estate,Coimbatore"/>
    <s v="Coimbatore"/>
    <s v="TS15/500"/>
    <x v="11"/>
    <n v="44421"/>
    <m/>
    <m/>
    <m/>
    <m/>
    <x v="13"/>
    <m/>
    <m/>
    <m/>
    <m/>
    <m/>
    <n v="9360307171"/>
  </r>
  <r>
    <n v="1636"/>
    <m/>
    <s v="Bannari Amman Sugars Limited, 1212, Trichy Road, Coimbatore"/>
    <s v="Coimbatore"/>
    <s v="TS15/500-WOE"/>
    <x v="11"/>
    <n v="47143"/>
    <m/>
    <m/>
    <m/>
    <m/>
    <x v="13"/>
    <m/>
    <m/>
    <m/>
    <m/>
    <m/>
    <m/>
  </r>
  <r>
    <n v="1728"/>
    <m/>
    <s v="S.K.P.P.Kandasamy Modern Rice Mill"/>
    <s v="Madurai"/>
    <s v="TS15 TB, Cooling System,(no.1 &amp;2)"/>
    <x v="11"/>
    <m/>
    <m/>
    <m/>
    <m/>
    <m/>
    <x v="13"/>
    <m/>
    <m/>
    <m/>
    <m/>
    <m/>
    <m/>
  </r>
  <r>
    <n v="1739"/>
    <m/>
    <s v="SELVANAYAKI SPINNING MILL"/>
    <s v="Tirupur"/>
    <s v="TS15 500L"/>
    <x v="11"/>
    <m/>
    <m/>
    <m/>
    <m/>
    <m/>
    <x v="13"/>
    <m/>
    <m/>
    <m/>
    <m/>
    <m/>
    <m/>
  </r>
  <r>
    <n v="1764"/>
    <m/>
    <s v="Sri Krishna Retreads"/>
    <s v="Cuddalore"/>
    <s v="TS 15 120 BM, VA 00 040"/>
    <x v="11"/>
    <m/>
    <m/>
    <m/>
    <m/>
    <m/>
    <x v="13"/>
    <m/>
    <m/>
    <m/>
    <m/>
    <m/>
    <m/>
  </r>
  <r>
    <m/>
    <m/>
    <m/>
    <m/>
    <m/>
    <x v="12"/>
    <m/>
    <m/>
    <m/>
    <m/>
    <m/>
    <x v="13"/>
    <m/>
    <m/>
    <m/>
    <m/>
    <m/>
    <m/>
  </r>
  <r>
    <m/>
    <m/>
    <m/>
    <m/>
    <m/>
    <x v="12"/>
    <m/>
    <m/>
    <m/>
    <m/>
    <m/>
    <x v="13"/>
    <m/>
    <m/>
    <m/>
    <m/>
    <m/>
    <m/>
  </r>
  <r>
    <m/>
    <m/>
    <m/>
    <m/>
    <m/>
    <x v="12"/>
    <m/>
    <m/>
    <m/>
    <m/>
    <m/>
    <x v="13"/>
    <m/>
    <m/>
    <m/>
    <m/>
    <m/>
    <m/>
  </r>
  <r>
    <m/>
    <m/>
    <m/>
    <m/>
    <m/>
    <x v="12"/>
    <m/>
    <m/>
    <m/>
    <m/>
    <m/>
    <x v="13"/>
    <m/>
    <m/>
    <m/>
    <m/>
    <m/>
    <m/>
  </r>
  <r>
    <m/>
    <m/>
    <m/>
    <m/>
    <m/>
    <x v="12"/>
    <m/>
    <m/>
    <m/>
    <m/>
    <m/>
    <x v="13"/>
    <m/>
    <m/>
    <m/>
    <m/>
    <m/>
    <m/>
  </r>
  <r>
    <m/>
    <m/>
    <m/>
    <m/>
    <m/>
    <x v="12"/>
    <m/>
    <m/>
    <m/>
    <m/>
    <m/>
    <x v="13"/>
    <m/>
    <m/>
    <m/>
    <m/>
    <m/>
    <m/>
  </r>
  <r>
    <m/>
    <m/>
    <m/>
    <m/>
    <m/>
    <x v="12"/>
    <m/>
    <m/>
    <m/>
    <m/>
    <m/>
    <x v="13"/>
    <m/>
    <m/>
    <m/>
    <m/>
    <m/>
    <m/>
  </r>
  <r>
    <m/>
    <m/>
    <m/>
    <m/>
    <m/>
    <x v="12"/>
    <m/>
    <m/>
    <m/>
    <m/>
    <m/>
    <x v="13"/>
    <m/>
    <m/>
    <m/>
    <m/>
    <m/>
    <m/>
  </r>
  <r>
    <m/>
    <m/>
    <m/>
    <m/>
    <m/>
    <x v="12"/>
    <m/>
    <m/>
    <m/>
    <m/>
    <m/>
    <x v="13"/>
    <m/>
    <m/>
    <m/>
    <m/>
    <m/>
    <m/>
  </r>
  <r>
    <m/>
    <m/>
    <m/>
    <m/>
    <m/>
    <x v="12"/>
    <m/>
    <m/>
    <m/>
    <m/>
    <m/>
    <x v="13"/>
    <m/>
    <m/>
    <m/>
    <m/>
    <m/>
    <m/>
  </r>
  <r>
    <m/>
    <m/>
    <m/>
    <m/>
    <m/>
    <x v="12"/>
    <m/>
    <m/>
    <m/>
    <m/>
    <m/>
    <x v="13"/>
    <m/>
    <m/>
    <m/>
    <m/>
    <m/>
    <m/>
  </r>
  <r>
    <m/>
    <m/>
    <m/>
    <m/>
    <m/>
    <x v="12"/>
    <m/>
    <m/>
    <m/>
    <m/>
    <m/>
    <x v="13"/>
    <m/>
    <m/>
    <m/>
    <m/>
    <m/>
    <m/>
  </r>
  <r>
    <m/>
    <m/>
    <m/>
    <m/>
    <m/>
    <x v="12"/>
    <m/>
    <m/>
    <m/>
    <m/>
    <m/>
    <x v="13"/>
    <m/>
    <m/>
    <m/>
    <m/>
    <m/>
    <m/>
  </r>
  <r>
    <m/>
    <m/>
    <m/>
    <m/>
    <m/>
    <x v="12"/>
    <m/>
    <m/>
    <m/>
    <m/>
    <m/>
    <x v="13"/>
    <m/>
    <m/>
    <m/>
    <m/>
    <m/>
    <m/>
  </r>
  <r>
    <m/>
    <m/>
    <m/>
    <m/>
    <m/>
    <x v="12"/>
    <m/>
    <m/>
    <m/>
    <m/>
    <m/>
    <x v="13"/>
    <m/>
    <m/>
    <m/>
    <m/>
    <m/>
    <m/>
  </r>
  <r>
    <m/>
    <m/>
    <m/>
    <m/>
    <m/>
    <x v="12"/>
    <m/>
    <m/>
    <m/>
    <m/>
    <m/>
    <x v="13"/>
    <m/>
    <m/>
    <m/>
    <m/>
    <m/>
    <m/>
  </r>
  <r>
    <m/>
    <m/>
    <m/>
    <m/>
    <m/>
    <x v="12"/>
    <m/>
    <m/>
    <m/>
    <m/>
    <m/>
    <x v="13"/>
    <m/>
    <m/>
    <m/>
    <m/>
    <m/>
    <m/>
  </r>
  <r>
    <m/>
    <m/>
    <m/>
    <m/>
    <m/>
    <x v="12"/>
    <m/>
    <m/>
    <m/>
    <m/>
    <m/>
    <x v="13"/>
    <m/>
    <m/>
    <m/>
    <m/>
    <m/>
    <m/>
  </r>
  <r>
    <m/>
    <m/>
    <m/>
    <m/>
    <m/>
    <x v="12"/>
    <m/>
    <m/>
    <m/>
    <m/>
    <m/>
    <x v="13"/>
    <m/>
    <m/>
    <m/>
    <m/>
    <m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PivotTable1" cacheId="0" applyNumberFormats="0" applyBorderFormats="0" applyFontFormats="0" applyPatternFormats="0" applyAlignmentFormats="0" applyWidthHeightFormats="1" dataCaption="Values" grandTotalCaption="TOTAL" updatedVersion="5" minRefreshableVersion="3" useAutoFormatting="1" itemPrintTitles="1" createdVersion="5" indent="0" outline="1" outlineData="1" multipleFieldFilters="0" rowHeaderCaption="MODEL" colHeaderCaption="YEAR">
  <location ref="B3:P17" firstHeaderRow="1" firstDataRow="2" firstDataCol="1"/>
  <pivotFields count="18">
    <pivotField dataField="1" showAll="0"/>
    <pivotField showAll="0"/>
    <pivotField showAll="0"/>
    <pivotField showAll="0"/>
    <pivotField showAll="0"/>
    <pivotField axis="axisRow" showAll="0">
      <items count="14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h="1" x="12"/>
        <item t="default"/>
      </items>
    </pivotField>
    <pivotField showAll="0"/>
    <pivotField showAll="0"/>
    <pivotField showAll="0"/>
    <pivotField showAll="0"/>
    <pivotField showAll="0"/>
    <pivotField axis="axisCol" showAll="0">
      <items count="15">
        <item x="9"/>
        <item x="8"/>
        <item x="10"/>
        <item x="2"/>
        <item x="7"/>
        <item x="1"/>
        <item x="11"/>
        <item x="4"/>
        <item x="5"/>
        <item x="3"/>
        <item x="12"/>
        <item x="0"/>
        <item x="6"/>
        <item h="1" x="13"/>
        <item t="default"/>
      </items>
    </pivotField>
    <pivotField showAll="0"/>
    <pivotField showAll="0"/>
    <pivotField showAll="0"/>
    <pivotField showAll="0"/>
    <pivotField showAll="0"/>
    <pivotField showAll="0"/>
  </pivotFields>
  <rowFields count="1">
    <field x="5"/>
  </rowFields>
  <rowItems count="13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 t="grand">
      <x/>
    </i>
  </rowItems>
  <colFields count="1">
    <field x="11"/>
  </colFields>
  <colItems count="14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 t="grand">
      <x/>
    </i>
  </colItems>
  <dataFields count="1">
    <dataField name="COUNT" fld="0" subtotal="count" baseField="0" baseItem="0"/>
  </dataFields>
  <formats count="14">
    <format dxfId="13">
      <pivotArea type="all" dataOnly="0" outline="0" fieldPosition="0"/>
    </format>
    <format dxfId="12">
      <pivotArea outline="0" collapsedLevelsAreSubtotals="1" fieldPosition="0"/>
    </format>
    <format dxfId="11">
      <pivotArea dataOnly="0" labelOnly="1" fieldPosition="0">
        <references count="1">
          <reference field="5" count="0"/>
        </references>
      </pivotArea>
    </format>
    <format dxfId="10">
      <pivotArea dataOnly="0" labelOnly="1" grandRow="1" outline="0" fieldPosition="0"/>
    </format>
    <format dxfId="9">
      <pivotArea dataOnly="0" labelOnly="1" fieldPosition="0">
        <references count="1">
          <reference field="11" count="0"/>
        </references>
      </pivotArea>
    </format>
    <format dxfId="8">
      <pivotArea dataOnly="0" labelOnly="1" grandCol="1" outline="0" fieldPosition="0"/>
    </format>
    <format dxfId="7">
      <pivotArea type="all" dataOnly="0" outline="0" fieldPosition="0"/>
    </format>
    <format dxfId="6">
      <pivotArea type="all" dataOnly="0" outline="0" fieldPosition="0"/>
    </format>
    <format dxfId="5">
      <pivotArea type="all" dataOnly="0" outline="0" fieldPosition="0"/>
    </format>
    <format dxfId="4">
      <pivotArea collapsedLevelsAreSubtotals="1" fieldPosition="0">
        <references count="2">
          <reference field="5" count="1">
            <x v="6"/>
          </reference>
          <reference field="11" count="10" selected="0">
            <x v="0"/>
            <x v="1"/>
            <x v="2"/>
            <x v="3"/>
            <x v="4"/>
            <x v="5"/>
            <x v="6"/>
            <x v="7"/>
            <x v="8"/>
            <x v="9"/>
          </reference>
        </references>
      </pivotArea>
    </format>
    <format dxfId="3">
      <pivotArea dataOnly="0" labelOnly="1" fieldPosition="0">
        <references count="1">
          <reference field="5" count="0"/>
        </references>
      </pivotArea>
    </format>
    <format dxfId="2">
      <pivotArea collapsedLevelsAreSubtotals="1" fieldPosition="0">
        <references count="2">
          <reference field="5" count="0"/>
          <reference field="11" count="10" selected="0">
            <x v="0"/>
            <x v="1"/>
            <x v="2"/>
            <x v="3"/>
            <x v="4"/>
            <x v="5"/>
            <x v="6"/>
            <x v="7"/>
            <x v="8"/>
            <x v="9"/>
          </reference>
        </references>
      </pivotArea>
    </format>
    <format dxfId="1">
      <pivotArea collapsedLevelsAreSubtotals="1" fieldPosition="0">
        <references count="2">
          <reference field="5" count="5">
            <x v="0"/>
            <x v="1"/>
            <x v="2"/>
            <x v="3"/>
            <x v="4"/>
          </reference>
          <reference field="11" count="10" selected="0">
            <x v="0"/>
            <x v="1"/>
            <x v="2"/>
            <x v="3"/>
            <x v="4"/>
            <x v="5"/>
            <x v="6"/>
            <x v="7"/>
            <x v="8"/>
            <x v="9"/>
          </reference>
        </references>
      </pivotArea>
    </format>
    <format dxfId="0">
      <pivotArea dataOnly="0" labelOnly="1" fieldPosition="0">
        <references count="1">
          <reference field="5" count="5">
            <x v="0"/>
            <x v="1"/>
            <x v="2"/>
            <x v="3"/>
            <x v="4"/>
          </reference>
        </references>
      </pivotArea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=""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.bin"/><Relationship Id="rId1" Type="http://schemas.openxmlformats.org/officeDocument/2006/relationships/pivotTable" Target="../pivotTables/pivotTable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A1:IL261"/>
  <sheetViews>
    <sheetView zoomScale="85" zoomScaleNormal="85" workbookViewId="0">
      <selection activeCell="D3" sqref="D3"/>
    </sheetView>
  </sheetViews>
  <sheetFormatPr defaultColWidth="9.42578125" defaultRowHeight="14.25"/>
  <cols>
    <col min="1" max="1" width="14.28515625" style="131" bestFit="1" customWidth="1"/>
    <col min="2" max="2" width="18.42578125" style="132" bestFit="1" customWidth="1"/>
    <col min="3" max="3" width="9.42578125" style="132"/>
    <col min="4" max="4" width="37.7109375" style="132" customWidth="1"/>
    <col min="5" max="84" width="9.42578125" style="88"/>
    <col min="85" max="16384" width="9.42578125" style="8"/>
  </cols>
  <sheetData>
    <row r="1" spans="1:246" ht="30">
      <c r="A1" s="1" t="s">
        <v>0</v>
      </c>
      <c r="B1" s="2" t="s">
        <v>1</v>
      </c>
      <c r="C1" s="3" t="s">
        <v>2</v>
      </c>
      <c r="D1" s="3" t="s">
        <v>3</v>
      </c>
      <c r="E1" s="4">
        <v>500</v>
      </c>
      <c r="F1" s="4">
        <v>1000</v>
      </c>
      <c r="G1" s="4">
        <v>1500</v>
      </c>
      <c r="H1" s="4">
        <v>2000</v>
      </c>
      <c r="I1" s="4">
        <v>2500</v>
      </c>
      <c r="J1" s="5" t="s">
        <v>4</v>
      </c>
      <c r="K1" s="4" t="s">
        <v>5</v>
      </c>
      <c r="L1" s="6" t="s">
        <v>6</v>
      </c>
      <c r="M1" s="4">
        <v>3000</v>
      </c>
      <c r="N1" s="4">
        <v>3500</v>
      </c>
      <c r="O1" s="4">
        <v>4000</v>
      </c>
      <c r="P1" s="4">
        <v>4500</v>
      </c>
      <c r="Q1" s="4">
        <v>5000</v>
      </c>
      <c r="R1" s="5" t="s">
        <v>4</v>
      </c>
      <c r="S1" s="4" t="s">
        <v>5</v>
      </c>
      <c r="T1" s="6" t="s">
        <v>6</v>
      </c>
      <c r="U1" s="4">
        <v>5500</v>
      </c>
      <c r="V1" s="4">
        <v>6000</v>
      </c>
      <c r="W1" s="4">
        <v>6500</v>
      </c>
      <c r="X1" s="4">
        <v>7000</v>
      </c>
      <c r="Y1" s="4">
        <v>7500</v>
      </c>
      <c r="Z1" s="5" t="s">
        <v>4</v>
      </c>
      <c r="AA1" s="4" t="s">
        <v>5</v>
      </c>
      <c r="AB1" s="6" t="s">
        <v>6</v>
      </c>
      <c r="AC1" s="4">
        <v>8000</v>
      </c>
      <c r="AD1" s="4">
        <v>8500</v>
      </c>
      <c r="AE1" s="4">
        <v>9000</v>
      </c>
      <c r="AF1" s="4">
        <v>9500</v>
      </c>
      <c r="AG1" s="4">
        <v>10000</v>
      </c>
      <c r="AH1" s="6" t="s">
        <v>4</v>
      </c>
      <c r="AI1" s="4" t="s">
        <v>5</v>
      </c>
      <c r="AJ1" s="6" t="s">
        <v>6</v>
      </c>
      <c r="AK1" s="4">
        <v>10500</v>
      </c>
      <c r="AL1" s="4">
        <v>11000</v>
      </c>
      <c r="AM1" s="4">
        <v>11500</v>
      </c>
      <c r="AN1" s="4">
        <v>12000</v>
      </c>
      <c r="AO1" s="4">
        <v>12500</v>
      </c>
      <c r="AP1" s="6" t="s">
        <v>4</v>
      </c>
      <c r="AQ1" s="4" t="s">
        <v>5</v>
      </c>
      <c r="AR1" s="6" t="s">
        <v>6</v>
      </c>
      <c r="AS1" s="4">
        <v>13000</v>
      </c>
      <c r="AT1" s="4">
        <v>13500</v>
      </c>
      <c r="AU1" s="4">
        <v>14000</v>
      </c>
      <c r="AV1" s="4">
        <v>14500</v>
      </c>
      <c r="AW1" s="4">
        <v>15000</v>
      </c>
      <c r="AX1" s="6" t="s">
        <v>4</v>
      </c>
      <c r="AY1" s="4" t="s">
        <v>5</v>
      </c>
      <c r="AZ1" s="6" t="s">
        <v>6</v>
      </c>
      <c r="BA1" s="4">
        <v>15500</v>
      </c>
      <c r="BB1" s="4">
        <v>16000</v>
      </c>
      <c r="BC1" s="4">
        <v>16500</v>
      </c>
      <c r="BD1" s="4">
        <v>17000</v>
      </c>
      <c r="BE1" s="4">
        <v>17500</v>
      </c>
      <c r="BF1" s="6" t="s">
        <v>4</v>
      </c>
      <c r="BG1" s="4" t="s">
        <v>5</v>
      </c>
      <c r="BH1" s="6" t="s">
        <v>6</v>
      </c>
      <c r="BI1" s="4">
        <v>18000</v>
      </c>
      <c r="BJ1" s="4">
        <v>18500</v>
      </c>
      <c r="BK1" s="4">
        <v>19000</v>
      </c>
      <c r="BL1" s="4">
        <v>19500</v>
      </c>
      <c r="BM1" s="4">
        <v>20000</v>
      </c>
      <c r="BN1" s="6" t="s">
        <v>4</v>
      </c>
      <c r="BO1" s="4" t="s">
        <v>5</v>
      </c>
      <c r="BP1" s="6" t="s">
        <v>6</v>
      </c>
      <c r="BQ1" s="4">
        <v>20500</v>
      </c>
      <c r="BR1" s="4">
        <v>21000</v>
      </c>
      <c r="BS1" s="4">
        <v>21500</v>
      </c>
      <c r="BT1" s="4">
        <v>22000</v>
      </c>
      <c r="BU1" s="4">
        <v>22500</v>
      </c>
      <c r="BV1" s="6" t="s">
        <v>4</v>
      </c>
      <c r="BW1" s="4" t="s">
        <v>5</v>
      </c>
      <c r="BX1" s="6" t="s">
        <v>6</v>
      </c>
      <c r="BY1" s="4">
        <v>23000</v>
      </c>
      <c r="BZ1" s="4">
        <v>23500</v>
      </c>
      <c r="CA1" s="4">
        <v>24000</v>
      </c>
      <c r="CB1" s="4">
        <v>24500</v>
      </c>
      <c r="CC1" s="4">
        <v>25000</v>
      </c>
      <c r="CD1" s="6" t="s">
        <v>4</v>
      </c>
      <c r="CE1" s="4" t="s">
        <v>5</v>
      </c>
      <c r="CF1" s="6" t="s">
        <v>6</v>
      </c>
      <c r="CG1" s="7"/>
      <c r="CH1" s="7"/>
      <c r="CI1" s="7"/>
      <c r="CJ1" s="7"/>
      <c r="CK1" s="7"/>
      <c r="CL1" s="7"/>
      <c r="CM1" s="7"/>
      <c r="CN1" s="7"/>
      <c r="CO1" s="7"/>
      <c r="CP1" s="7"/>
      <c r="CQ1" s="7"/>
      <c r="CR1" s="7"/>
      <c r="CS1" s="7"/>
      <c r="CT1" s="7"/>
      <c r="CU1" s="7"/>
      <c r="CV1" s="7"/>
      <c r="CW1" s="7"/>
      <c r="CX1" s="7"/>
      <c r="CY1" s="7"/>
      <c r="CZ1" s="7"/>
      <c r="DA1" s="7"/>
      <c r="DB1" s="7"/>
      <c r="DC1" s="7"/>
      <c r="DD1" s="7"/>
      <c r="DE1" s="7"/>
      <c r="DF1" s="7"/>
      <c r="DG1" s="7"/>
      <c r="DH1" s="7"/>
      <c r="DI1" s="7"/>
      <c r="DJ1" s="7"/>
      <c r="DK1" s="7"/>
      <c r="DL1" s="7"/>
      <c r="DM1" s="7"/>
      <c r="DN1" s="7"/>
      <c r="DO1" s="7"/>
      <c r="DP1" s="7"/>
      <c r="DQ1" s="7"/>
      <c r="DR1" s="7"/>
      <c r="DS1" s="7"/>
      <c r="DT1" s="7"/>
      <c r="DU1" s="7"/>
      <c r="DV1" s="7"/>
      <c r="DW1" s="7"/>
      <c r="DX1" s="7"/>
      <c r="DY1" s="7"/>
      <c r="DZ1" s="7"/>
      <c r="EA1" s="7"/>
      <c r="EB1" s="7"/>
      <c r="EC1" s="7"/>
      <c r="ED1" s="7"/>
      <c r="EE1" s="7"/>
      <c r="EF1" s="7"/>
      <c r="EG1" s="7"/>
      <c r="EH1" s="7"/>
      <c r="EI1" s="7"/>
      <c r="EJ1" s="7"/>
      <c r="EK1" s="7"/>
      <c r="EL1" s="7"/>
      <c r="EM1" s="7"/>
      <c r="EN1" s="7"/>
      <c r="EO1" s="7"/>
      <c r="EP1" s="7"/>
      <c r="EQ1" s="7"/>
      <c r="ER1" s="7"/>
      <c r="ES1" s="7"/>
      <c r="ET1" s="7"/>
      <c r="EU1" s="7"/>
      <c r="EV1" s="7"/>
      <c r="EW1" s="7"/>
      <c r="EX1" s="7"/>
      <c r="EY1" s="7"/>
      <c r="EZ1" s="7"/>
      <c r="FA1" s="7"/>
      <c r="FB1" s="7"/>
      <c r="FC1" s="7"/>
      <c r="FD1" s="7"/>
      <c r="FE1" s="7"/>
      <c r="FF1" s="7"/>
      <c r="FG1" s="7"/>
      <c r="FH1" s="7"/>
      <c r="FI1" s="7"/>
      <c r="FJ1" s="7"/>
      <c r="FK1" s="7"/>
      <c r="FL1" s="7"/>
      <c r="FM1" s="7"/>
      <c r="FN1" s="7"/>
      <c r="FO1" s="7"/>
      <c r="FP1" s="7"/>
      <c r="FQ1" s="7"/>
      <c r="FR1" s="7"/>
      <c r="FS1" s="7"/>
      <c r="FT1" s="7"/>
      <c r="FU1" s="7"/>
      <c r="FV1" s="7"/>
      <c r="FW1" s="7"/>
      <c r="FX1" s="7"/>
      <c r="FY1" s="7"/>
      <c r="FZ1" s="7"/>
      <c r="GA1" s="7"/>
      <c r="GB1" s="7"/>
      <c r="GC1" s="7"/>
      <c r="GD1" s="7"/>
      <c r="GE1" s="7"/>
      <c r="GF1" s="7"/>
      <c r="GG1" s="7"/>
      <c r="GH1" s="7"/>
      <c r="GI1" s="7"/>
      <c r="GJ1" s="7"/>
      <c r="GK1" s="7"/>
      <c r="GL1" s="7"/>
      <c r="GM1" s="7"/>
      <c r="GN1" s="7"/>
      <c r="GO1" s="7"/>
      <c r="GP1" s="7"/>
      <c r="GQ1" s="7"/>
      <c r="GR1" s="7"/>
      <c r="GS1" s="7"/>
      <c r="GT1" s="7"/>
      <c r="GU1" s="7"/>
      <c r="GV1" s="7"/>
      <c r="GW1" s="7"/>
      <c r="GX1" s="7"/>
      <c r="GY1" s="7"/>
      <c r="GZ1" s="7"/>
      <c r="HA1" s="7"/>
      <c r="HB1" s="7"/>
      <c r="HC1" s="7"/>
      <c r="HD1" s="7"/>
      <c r="HE1" s="7"/>
      <c r="HF1" s="7"/>
      <c r="HG1" s="7"/>
      <c r="HH1" s="7"/>
      <c r="HI1" s="7"/>
      <c r="HJ1" s="7"/>
      <c r="HK1" s="7"/>
      <c r="HL1" s="7"/>
      <c r="HM1" s="7"/>
      <c r="HN1" s="7"/>
      <c r="HO1" s="7"/>
      <c r="HP1" s="7"/>
      <c r="HQ1" s="7"/>
      <c r="HR1" s="7"/>
      <c r="HS1" s="7"/>
      <c r="HT1" s="7"/>
      <c r="HU1" s="7"/>
      <c r="HV1" s="7"/>
      <c r="HW1" s="7"/>
      <c r="HX1" s="7"/>
      <c r="HY1" s="7"/>
      <c r="HZ1" s="7"/>
      <c r="IA1" s="7"/>
      <c r="IB1" s="7"/>
      <c r="IC1" s="7"/>
      <c r="ID1" s="7"/>
      <c r="IE1" s="7"/>
      <c r="IF1" s="7"/>
      <c r="IG1" s="7"/>
      <c r="IH1" s="7"/>
      <c r="II1" s="7"/>
      <c r="IJ1" s="7"/>
      <c r="IK1" s="7"/>
      <c r="IL1" s="7"/>
    </row>
    <row r="2" spans="1:246" ht="15">
      <c r="A2" s="9" t="s">
        <v>7</v>
      </c>
      <c r="B2" s="10" t="s">
        <v>8</v>
      </c>
      <c r="C2" s="11"/>
      <c r="D2" s="12" t="s">
        <v>9</v>
      </c>
      <c r="E2" s="13">
        <v>1</v>
      </c>
      <c r="F2" s="13">
        <v>1</v>
      </c>
      <c r="G2" s="13">
        <v>1</v>
      </c>
      <c r="H2" s="13">
        <v>1</v>
      </c>
      <c r="I2" s="13">
        <v>1</v>
      </c>
      <c r="J2" s="13">
        <v>5</v>
      </c>
      <c r="K2" s="14">
        <v>154</v>
      </c>
      <c r="L2" s="13">
        <f>J2*K2</f>
        <v>770</v>
      </c>
      <c r="M2" s="13">
        <v>1</v>
      </c>
      <c r="N2" s="13">
        <v>1</v>
      </c>
      <c r="O2" s="13">
        <v>1</v>
      </c>
      <c r="P2" s="13">
        <v>1</v>
      </c>
      <c r="Q2" s="13">
        <v>1</v>
      </c>
      <c r="R2" s="13">
        <f>M2+N2+O2+P2+Q2</f>
        <v>5</v>
      </c>
      <c r="S2" s="14">
        <v>154</v>
      </c>
      <c r="T2" s="13">
        <f>S2*R2</f>
        <v>770</v>
      </c>
      <c r="U2" s="13">
        <v>1</v>
      </c>
      <c r="V2" s="13">
        <v>1</v>
      </c>
      <c r="W2" s="13">
        <v>1</v>
      </c>
      <c r="X2" s="13">
        <v>1</v>
      </c>
      <c r="Y2" s="13">
        <v>1</v>
      </c>
      <c r="Z2" s="13">
        <f>U2+V2+W2+X2+Y2</f>
        <v>5</v>
      </c>
      <c r="AA2" s="14">
        <v>154</v>
      </c>
      <c r="AB2" s="13">
        <f>AA2*Z2</f>
        <v>770</v>
      </c>
      <c r="AC2" s="13">
        <v>1</v>
      </c>
      <c r="AD2" s="13">
        <v>1</v>
      </c>
      <c r="AE2" s="13">
        <v>1</v>
      </c>
      <c r="AF2" s="13">
        <v>1</v>
      </c>
      <c r="AG2" s="13">
        <v>1</v>
      </c>
      <c r="AH2" s="13">
        <f>AC2+AD2+AE2+AF2+AG2</f>
        <v>5</v>
      </c>
      <c r="AI2" s="14">
        <v>154</v>
      </c>
      <c r="AJ2" s="13">
        <f>AI2*AH2</f>
        <v>770</v>
      </c>
      <c r="AK2" s="13">
        <v>1</v>
      </c>
      <c r="AL2" s="13">
        <v>1</v>
      </c>
      <c r="AM2" s="13">
        <v>1</v>
      </c>
      <c r="AN2" s="13">
        <v>1</v>
      </c>
      <c r="AO2" s="13">
        <v>1</v>
      </c>
      <c r="AP2" s="13">
        <v>5</v>
      </c>
      <c r="AQ2" s="14">
        <v>154</v>
      </c>
      <c r="AR2" s="13">
        <f>AQ2*AP2</f>
        <v>770</v>
      </c>
      <c r="AS2" s="13">
        <v>1</v>
      </c>
      <c r="AT2" s="13">
        <v>1</v>
      </c>
      <c r="AU2" s="13">
        <v>1</v>
      </c>
      <c r="AV2" s="13">
        <v>1</v>
      </c>
      <c r="AW2" s="13">
        <v>1</v>
      </c>
      <c r="AX2" s="13">
        <f>AS2+AT2+AU2+AV2+AW2</f>
        <v>5</v>
      </c>
      <c r="AY2" s="14">
        <v>154</v>
      </c>
      <c r="AZ2" s="13">
        <f>AY2*AX2</f>
        <v>770</v>
      </c>
      <c r="BA2" s="13">
        <v>1</v>
      </c>
      <c r="BB2" s="13">
        <v>1</v>
      </c>
      <c r="BC2" s="13">
        <v>1</v>
      </c>
      <c r="BD2" s="13">
        <v>1</v>
      </c>
      <c r="BE2" s="13">
        <v>1</v>
      </c>
      <c r="BF2" s="13">
        <f>BA2+BB2+BC2+BD2+BE2</f>
        <v>5</v>
      </c>
      <c r="BG2" s="14">
        <v>154</v>
      </c>
      <c r="BH2" s="13">
        <f>BG2*BF2</f>
        <v>770</v>
      </c>
      <c r="BI2" s="13">
        <v>1</v>
      </c>
      <c r="BJ2" s="13">
        <v>1</v>
      </c>
      <c r="BK2" s="13">
        <v>1</v>
      </c>
      <c r="BL2" s="13">
        <v>1</v>
      </c>
      <c r="BM2" s="13">
        <v>1</v>
      </c>
      <c r="BN2" s="13">
        <f>BI2+BJ2+BK2+BL2+BM2</f>
        <v>5</v>
      </c>
      <c r="BO2" s="14">
        <v>154</v>
      </c>
      <c r="BP2" s="13">
        <f>BO2*BN2</f>
        <v>770</v>
      </c>
      <c r="BQ2" s="13">
        <v>1</v>
      </c>
      <c r="BR2" s="13">
        <v>1</v>
      </c>
      <c r="BS2" s="13">
        <v>1</v>
      </c>
      <c r="BT2" s="13">
        <v>1</v>
      </c>
      <c r="BU2" s="13">
        <v>1</v>
      </c>
      <c r="BV2" s="13">
        <f>BQ2+BR2+BS2+BT2+BU2</f>
        <v>5</v>
      </c>
      <c r="BW2" s="14">
        <v>154</v>
      </c>
      <c r="BX2" s="13">
        <f>BW2*BV2</f>
        <v>770</v>
      </c>
      <c r="BY2" s="13">
        <v>1</v>
      </c>
      <c r="BZ2" s="13">
        <v>1</v>
      </c>
      <c r="CA2" s="13">
        <v>1</v>
      </c>
      <c r="CB2" s="13">
        <v>1</v>
      </c>
      <c r="CC2" s="13">
        <v>1</v>
      </c>
      <c r="CD2" s="13">
        <v>5</v>
      </c>
      <c r="CE2" s="14">
        <v>154</v>
      </c>
      <c r="CF2" s="13">
        <f>CE2*CD2</f>
        <v>770</v>
      </c>
      <c r="CG2" s="15"/>
    </row>
    <row r="3" spans="1:246">
      <c r="A3" s="9" t="s">
        <v>7</v>
      </c>
      <c r="B3" s="16" t="s">
        <v>10</v>
      </c>
      <c r="C3" s="11"/>
      <c r="D3" s="17" t="s">
        <v>11</v>
      </c>
      <c r="E3" s="18"/>
      <c r="F3" s="13">
        <v>1</v>
      </c>
      <c r="G3" s="13"/>
      <c r="H3" s="13">
        <v>1</v>
      </c>
      <c r="I3" s="18"/>
      <c r="J3" s="13">
        <v>2</v>
      </c>
      <c r="K3" s="19">
        <v>165</v>
      </c>
      <c r="L3" s="13">
        <f t="shared" ref="L3:L24" si="0">J3*K3</f>
        <v>330</v>
      </c>
      <c r="M3" s="18"/>
      <c r="N3" s="13">
        <v>1</v>
      </c>
      <c r="O3" s="13"/>
      <c r="P3" s="13">
        <v>1</v>
      </c>
      <c r="Q3" s="18"/>
      <c r="R3" s="13">
        <f t="shared" ref="R3:R24" si="1">M3+N3+O3+P3+Q3</f>
        <v>2</v>
      </c>
      <c r="S3" s="19">
        <v>165</v>
      </c>
      <c r="T3" s="13">
        <f t="shared" ref="T3:T24" si="2">S3*R3</f>
        <v>330</v>
      </c>
      <c r="U3" s="18"/>
      <c r="V3" s="13">
        <v>1</v>
      </c>
      <c r="W3" s="13"/>
      <c r="X3" s="13">
        <v>1</v>
      </c>
      <c r="Y3" s="18"/>
      <c r="Z3" s="13">
        <f t="shared" ref="Z3:Z24" si="3">U3+V3+W3+X3+Y3</f>
        <v>2</v>
      </c>
      <c r="AA3" s="19">
        <v>165</v>
      </c>
      <c r="AB3" s="13">
        <f t="shared" ref="AB3:AB24" si="4">AA3*Z3</f>
        <v>330</v>
      </c>
      <c r="AC3" s="18"/>
      <c r="AD3" s="13">
        <v>1</v>
      </c>
      <c r="AE3" s="13"/>
      <c r="AF3" s="13">
        <v>1</v>
      </c>
      <c r="AG3" s="18"/>
      <c r="AH3" s="13">
        <f t="shared" ref="AH3:AH24" si="5">AC3+AD3+AE3+AF3+AG3</f>
        <v>2</v>
      </c>
      <c r="AI3" s="19">
        <v>165</v>
      </c>
      <c r="AJ3" s="13">
        <f t="shared" ref="AJ3:AJ24" si="6">AI3*AH3</f>
        <v>330</v>
      </c>
      <c r="AK3" s="18"/>
      <c r="AL3" s="13">
        <v>1</v>
      </c>
      <c r="AM3" s="13"/>
      <c r="AN3" s="13">
        <v>1</v>
      </c>
      <c r="AO3" s="18"/>
      <c r="AP3" s="13">
        <v>2</v>
      </c>
      <c r="AQ3" s="19">
        <v>165</v>
      </c>
      <c r="AR3" s="13">
        <f t="shared" ref="AR3:AR24" si="7">AQ3*AP3</f>
        <v>330</v>
      </c>
      <c r="AS3" s="18"/>
      <c r="AT3" s="13">
        <v>1</v>
      </c>
      <c r="AU3" s="13"/>
      <c r="AV3" s="13">
        <v>1</v>
      </c>
      <c r="AW3" s="18"/>
      <c r="AX3" s="13">
        <f t="shared" ref="AX3:AX24" si="8">AS3+AT3+AU3+AV3+AW3</f>
        <v>2</v>
      </c>
      <c r="AY3" s="19">
        <v>165</v>
      </c>
      <c r="AZ3" s="13">
        <f t="shared" ref="AZ3:AZ24" si="9">AY3*AX3</f>
        <v>330</v>
      </c>
      <c r="BA3" s="18"/>
      <c r="BB3" s="13">
        <v>1</v>
      </c>
      <c r="BC3" s="13"/>
      <c r="BD3" s="13">
        <v>1</v>
      </c>
      <c r="BE3" s="18"/>
      <c r="BF3" s="13">
        <f t="shared" ref="BF3:BF24" si="10">BA3+BB3+BC3+BD3+BE3</f>
        <v>2</v>
      </c>
      <c r="BG3" s="19">
        <v>165</v>
      </c>
      <c r="BH3" s="13">
        <f t="shared" ref="BH3:BH24" si="11">BG3*BF3</f>
        <v>330</v>
      </c>
      <c r="BI3" s="18"/>
      <c r="BJ3" s="13">
        <v>1</v>
      </c>
      <c r="BK3" s="13"/>
      <c r="BL3" s="13">
        <v>1</v>
      </c>
      <c r="BM3" s="18"/>
      <c r="BN3" s="13">
        <f t="shared" ref="BN3:BN24" si="12">BI3+BJ3+BK3+BL3+BM3</f>
        <v>2</v>
      </c>
      <c r="BO3" s="19">
        <v>165</v>
      </c>
      <c r="BP3" s="13">
        <f t="shared" ref="BP3:BP24" si="13">BO3*BN3</f>
        <v>330</v>
      </c>
      <c r="BQ3" s="18"/>
      <c r="BR3" s="13">
        <v>1</v>
      </c>
      <c r="BS3" s="13"/>
      <c r="BT3" s="13">
        <v>1</v>
      </c>
      <c r="BU3" s="18"/>
      <c r="BV3" s="13">
        <f t="shared" ref="BV3:BV24" si="14">BQ3+BR3+BS3+BT3+BU3</f>
        <v>2</v>
      </c>
      <c r="BW3" s="19">
        <v>165</v>
      </c>
      <c r="BX3" s="13">
        <f t="shared" ref="BX3:BX24" si="15">BW3*BV3</f>
        <v>330</v>
      </c>
      <c r="BY3" s="18"/>
      <c r="BZ3" s="13">
        <v>1</v>
      </c>
      <c r="CA3" s="13"/>
      <c r="CB3" s="13">
        <v>1</v>
      </c>
      <c r="CC3" s="18"/>
      <c r="CD3" s="13">
        <v>2</v>
      </c>
      <c r="CE3" s="19">
        <v>165</v>
      </c>
      <c r="CF3" s="13">
        <f t="shared" ref="CF3:CF24" si="16">CE3*CD3</f>
        <v>330</v>
      </c>
      <c r="CG3" s="15"/>
    </row>
    <row r="4" spans="1:246">
      <c r="A4" s="9" t="s">
        <v>7</v>
      </c>
      <c r="B4" s="20" t="s">
        <v>12</v>
      </c>
      <c r="C4" s="11"/>
      <c r="D4" s="11" t="s">
        <v>13</v>
      </c>
      <c r="E4" s="18"/>
      <c r="F4" s="13">
        <v>1</v>
      </c>
      <c r="G4" s="13"/>
      <c r="H4" s="13">
        <v>1</v>
      </c>
      <c r="I4" s="18"/>
      <c r="J4" s="13">
        <v>2</v>
      </c>
      <c r="K4" s="19">
        <v>306</v>
      </c>
      <c r="L4" s="13">
        <f t="shared" si="0"/>
        <v>612</v>
      </c>
      <c r="M4" s="18"/>
      <c r="N4" s="13">
        <v>1</v>
      </c>
      <c r="O4" s="13"/>
      <c r="P4" s="13">
        <v>1</v>
      </c>
      <c r="Q4" s="18"/>
      <c r="R4" s="13">
        <f t="shared" si="1"/>
        <v>2</v>
      </c>
      <c r="S4" s="19">
        <v>306</v>
      </c>
      <c r="T4" s="13">
        <f t="shared" si="2"/>
        <v>612</v>
      </c>
      <c r="U4" s="18"/>
      <c r="V4" s="13">
        <v>1</v>
      </c>
      <c r="W4" s="13"/>
      <c r="X4" s="13">
        <v>1</v>
      </c>
      <c r="Y4" s="18"/>
      <c r="Z4" s="13">
        <f t="shared" si="3"/>
        <v>2</v>
      </c>
      <c r="AA4" s="19">
        <v>306</v>
      </c>
      <c r="AB4" s="13">
        <f t="shared" si="4"/>
        <v>612</v>
      </c>
      <c r="AC4" s="18"/>
      <c r="AD4" s="13">
        <v>1</v>
      </c>
      <c r="AE4" s="13"/>
      <c r="AF4" s="13">
        <v>1</v>
      </c>
      <c r="AG4" s="18"/>
      <c r="AH4" s="13">
        <f t="shared" si="5"/>
        <v>2</v>
      </c>
      <c r="AI4" s="19">
        <v>306</v>
      </c>
      <c r="AJ4" s="13">
        <f t="shared" si="6"/>
        <v>612</v>
      </c>
      <c r="AK4" s="18"/>
      <c r="AL4" s="13">
        <v>1</v>
      </c>
      <c r="AM4" s="13"/>
      <c r="AN4" s="13">
        <v>1</v>
      </c>
      <c r="AO4" s="18"/>
      <c r="AP4" s="13">
        <v>2</v>
      </c>
      <c r="AQ4" s="19">
        <v>306</v>
      </c>
      <c r="AR4" s="13">
        <f t="shared" si="7"/>
        <v>612</v>
      </c>
      <c r="AS4" s="18"/>
      <c r="AT4" s="13">
        <v>1</v>
      </c>
      <c r="AU4" s="13"/>
      <c r="AV4" s="13">
        <v>1</v>
      </c>
      <c r="AW4" s="18"/>
      <c r="AX4" s="13">
        <f t="shared" si="8"/>
        <v>2</v>
      </c>
      <c r="AY4" s="19">
        <v>306</v>
      </c>
      <c r="AZ4" s="13">
        <f t="shared" si="9"/>
        <v>612</v>
      </c>
      <c r="BA4" s="18"/>
      <c r="BB4" s="13">
        <v>1</v>
      </c>
      <c r="BC4" s="13"/>
      <c r="BD4" s="13">
        <v>1</v>
      </c>
      <c r="BE4" s="18"/>
      <c r="BF4" s="13">
        <f t="shared" si="10"/>
        <v>2</v>
      </c>
      <c r="BG4" s="19">
        <v>306</v>
      </c>
      <c r="BH4" s="13">
        <f t="shared" si="11"/>
        <v>612</v>
      </c>
      <c r="BI4" s="18"/>
      <c r="BJ4" s="13">
        <v>1</v>
      </c>
      <c r="BK4" s="13"/>
      <c r="BL4" s="13">
        <v>1</v>
      </c>
      <c r="BM4" s="18"/>
      <c r="BN4" s="13">
        <f t="shared" si="12"/>
        <v>2</v>
      </c>
      <c r="BO4" s="19">
        <v>306</v>
      </c>
      <c r="BP4" s="13">
        <f t="shared" si="13"/>
        <v>612</v>
      </c>
      <c r="BQ4" s="18"/>
      <c r="BR4" s="13">
        <v>1</v>
      </c>
      <c r="BS4" s="13"/>
      <c r="BT4" s="13">
        <v>1</v>
      </c>
      <c r="BU4" s="18"/>
      <c r="BV4" s="13">
        <f t="shared" si="14"/>
        <v>2</v>
      </c>
      <c r="BW4" s="19">
        <v>306</v>
      </c>
      <c r="BX4" s="13">
        <f t="shared" si="15"/>
        <v>612</v>
      </c>
      <c r="BY4" s="18"/>
      <c r="BZ4" s="13">
        <v>1</v>
      </c>
      <c r="CA4" s="13"/>
      <c r="CB4" s="13">
        <v>1</v>
      </c>
      <c r="CC4" s="18"/>
      <c r="CD4" s="13">
        <v>2</v>
      </c>
      <c r="CE4" s="19">
        <v>306</v>
      </c>
      <c r="CF4" s="13">
        <f t="shared" si="16"/>
        <v>612</v>
      </c>
      <c r="CG4" s="15"/>
    </row>
    <row r="5" spans="1:246">
      <c r="A5" s="9" t="s">
        <v>7</v>
      </c>
      <c r="B5" s="10" t="s">
        <v>14</v>
      </c>
      <c r="C5" s="11"/>
      <c r="D5" s="11" t="s">
        <v>15</v>
      </c>
      <c r="E5" s="18"/>
      <c r="F5" s="13"/>
      <c r="G5" s="13"/>
      <c r="H5" s="13"/>
      <c r="I5" s="18"/>
      <c r="J5" s="13"/>
      <c r="K5" s="21">
        <v>166</v>
      </c>
      <c r="L5" s="13">
        <f t="shared" si="0"/>
        <v>0</v>
      </c>
      <c r="M5" s="18"/>
      <c r="N5" s="13"/>
      <c r="O5" s="13"/>
      <c r="P5" s="13"/>
      <c r="Q5" s="18"/>
      <c r="R5" s="13">
        <f t="shared" si="1"/>
        <v>0</v>
      </c>
      <c r="S5" s="21">
        <v>166</v>
      </c>
      <c r="T5" s="13">
        <f t="shared" si="2"/>
        <v>0</v>
      </c>
      <c r="U5" s="18"/>
      <c r="V5" s="13"/>
      <c r="W5" s="13"/>
      <c r="X5" s="13"/>
      <c r="Y5" s="18">
        <v>1</v>
      </c>
      <c r="Z5" s="13">
        <f t="shared" si="3"/>
        <v>1</v>
      </c>
      <c r="AA5" s="21">
        <v>166</v>
      </c>
      <c r="AB5" s="13">
        <f t="shared" si="4"/>
        <v>166</v>
      </c>
      <c r="AC5" s="18"/>
      <c r="AD5" s="13"/>
      <c r="AE5" s="13"/>
      <c r="AF5" s="13"/>
      <c r="AG5" s="18"/>
      <c r="AH5" s="13">
        <f t="shared" si="5"/>
        <v>0</v>
      </c>
      <c r="AI5" s="21">
        <v>166</v>
      </c>
      <c r="AJ5" s="13">
        <f t="shared" si="6"/>
        <v>0</v>
      </c>
      <c r="AK5" s="18"/>
      <c r="AL5" s="13"/>
      <c r="AM5" s="13"/>
      <c r="AN5" s="13"/>
      <c r="AO5" s="18"/>
      <c r="AP5" s="13"/>
      <c r="AQ5" s="21">
        <v>166</v>
      </c>
      <c r="AR5" s="13">
        <f t="shared" si="7"/>
        <v>0</v>
      </c>
      <c r="AS5" s="18"/>
      <c r="AT5" s="13"/>
      <c r="AU5" s="13"/>
      <c r="AV5" s="13"/>
      <c r="AW5" s="18">
        <v>1</v>
      </c>
      <c r="AX5" s="13">
        <f t="shared" si="8"/>
        <v>1</v>
      </c>
      <c r="AY5" s="21">
        <v>166</v>
      </c>
      <c r="AZ5" s="13">
        <f t="shared" si="9"/>
        <v>166</v>
      </c>
      <c r="BA5" s="18"/>
      <c r="BB5" s="13"/>
      <c r="BC5" s="13"/>
      <c r="BD5" s="13"/>
      <c r="BE5" s="18">
        <v>1</v>
      </c>
      <c r="BF5" s="13">
        <f t="shared" si="10"/>
        <v>1</v>
      </c>
      <c r="BG5" s="21">
        <v>166</v>
      </c>
      <c r="BH5" s="13">
        <f t="shared" si="11"/>
        <v>166</v>
      </c>
      <c r="BI5" s="18"/>
      <c r="BJ5" s="13"/>
      <c r="BK5" s="13"/>
      <c r="BL5" s="13"/>
      <c r="BM5" s="18">
        <v>1</v>
      </c>
      <c r="BN5" s="13">
        <f t="shared" si="12"/>
        <v>1</v>
      </c>
      <c r="BO5" s="21">
        <v>166</v>
      </c>
      <c r="BP5" s="13">
        <f t="shared" si="13"/>
        <v>166</v>
      </c>
      <c r="BQ5" s="18"/>
      <c r="BR5" s="13"/>
      <c r="BS5" s="13"/>
      <c r="BT5" s="13"/>
      <c r="BU5" s="18">
        <v>1</v>
      </c>
      <c r="BV5" s="13">
        <f t="shared" si="14"/>
        <v>1</v>
      </c>
      <c r="BW5" s="21">
        <v>166</v>
      </c>
      <c r="BX5" s="13">
        <f t="shared" si="15"/>
        <v>166</v>
      </c>
      <c r="BY5" s="18"/>
      <c r="BZ5" s="13"/>
      <c r="CA5" s="13"/>
      <c r="CB5" s="13"/>
      <c r="CC5" s="18"/>
      <c r="CD5" s="13"/>
      <c r="CE5" s="21">
        <v>166</v>
      </c>
      <c r="CF5" s="13">
        <f t="shared" si="16"/>
        <v>0</v>
      </c>
      <c r="CG5" s="15"/>
    </row>
    <row r="6" spans="1:246">
      <c r="A6" s="9" t="s">
        <v>7</v>
      </c>
      <c r="B6" s="10" t="s">
        <v>16</v>
      </c>
      <c r="C6" s="11"/>
      <c r="D6" s="11" t="s">
        <v>17</v>
      </c>
      <c r="E6" s="18"/>
      <c r="F6" s="13"/>
      <c r="G6" s="13"/>
      <c r="H6" s="13"/>
      <c r="I6" s="18"/>
      <c r="J6" s="13"/>
      <c r="K6" s="21">
        <v>242</v>
      </c>
      <c r="L6" s="13">
        <f t="shared" si="0"/>
        <v>0</v>
      </c>
      <c r="M6" s="18"/>
      <c r="N6" s="13"/>
      <c r="O6" s="13"/>
      <c r="P6" s="13"/>
      <c r="Q6" s="18"/>
      <c r="R6" s="13">
        <f t="shared" si="1"/>
        <v>0</v>
      </c>
      <c r="S6" s="21">
        <v>242</v>
      </c>
      <c r="T6" s="13">
        <f t="shared" si="2"/>
        <v>0</v>
      </c>
      <c r="U6" s="18"/>
      <c r="V6" s="13"/>
      <c r="W6" s="13"/>
      <c r="X6" s="13"/>
      <c r="Y6" s="18">
        <v>1</v>
      </c>
      <c r="Z6" s="13">
        <f t="shared" si="3"/>
        <v>1</v>
      </c>
      <c r="AA6" s="21">
        <v>242</v>
      </c>
      <c r="AB6" s="13">
        <f t="shared" si="4"/>
        <v>242</v>
      </c>
      <c r="AC6" s="18"/>
      <c r="AD6" s="13"/>
      <c r="AE6" s="13"/>
      <c r="AF6" s="13"/>
      <c r="AG6" s="18"/>
      <c r="AH6" s="13">
        <f t="shared" si="5"/>
        <v>0</v>
      </c>
      <c r="AI6" s="21">
        <v>242</v>
      </c>
      <c r="AJ6" s="13">
        <f t="shared" si="6"/>
        <v>0</v>
      </c>
      <c r="AK6" s="18"/>
      <c r="AL6" s="13"/>
      <c r="AM6" s="13"/>
      <c r="AN6" s="13"/>
      <c r="AO6" s="18"/>
      <c r="AP6" s="13"/>
      <c r="AQ6" s="21">
        <v>242</v>
      </c>
      <c r="AR6" s="13">
        <f t="shared" si="7"/>
        <v>0</v>
      </c>
      <c r="AS6" s="18"/>
      <c r="AT6" s="13"/>
      <c r="AU6" s="13"/>
      <c r="AV6" s="13"/>
      <c r="AW6" s="18">
        <v>1</v>
      </c>
      <c r="AX6" s="13">
        <f t="shared" si="8"/>
        <v>1</v>
      </c>
      <c r="AY6" s="21">
        <v>242</v>
      </c>
      <c r="AZ6" s="13">
        <f t="shared" si="9"/>
        <v>242</v>
      </c>
      <c r="BA6" s="18"/>
      <c r="BB6" s="13"/>
      <c r="BC6" s="13"/>
      <c r="BD6" s="13"/>
      <c r="BE6" s="18">
        <v>1</v>
      </c>
      <c r="BF6" s="13">
        <f t="shared" si="10"/>
        <v>1</v>
      </c>
      <c r="BG6" s="21">
        <v>242</v>
      </c>
      <c r="BH6" s="13">
        <f t="shared" si="11"/>
        <v>242</v>
      </c>
      <c r="BI6" s="18"/>
      <c r="BJ6" s="13"/>
      <c r="BK6" s="13"/>
      <c r="BL6" s="13"/>
      <c r="BM6" s="18">
        <v>1</v>
      </c>
      <c r="BN6" s="13">
        <f t="shared" si="12"/>
        <v>1</v>
      </c>
      <c r="BO6" s="21">
        <v>242</v>
      </c>
      <c r="BP6" s="13">
        <f t="shared" si="13"/>
        <v>242</v>
      </c>
      <c r="BQ6" s="18"/>
      <c r="BR6" s="13"/>
      <c r="BS6" s="13"/>
      <c r="BT6" s="13"/>
      <c r="BU6" s="18">
        <v>1</v>
      </c>
      <c r="BV6" s="13">
        <f t="shared" si="14"/>
        <v>1</v>
      </c>
      <c r="BW6" s="21">
        <v>242</v>
      </c>
      <c r="BX6" s="13">
        <f t="shared" si="15"/>
        <v>242</v>
      </c>
      <c r="BY6" s="18"/>
      <c r="BZ6" s="13"/>
      <c r="CA6" s="13"/>
      <c r="CB6" s="13"/>
      <c r="CC6" s="18"/>
      <c r="CD6" s="13"/>
      <c r="CE6" s="21">
        <v>242</v>
      </c>
      <c r="CF6" s="13">
        <f t="shared" si="16"/>
        <v>0</v>
      </c>
      <c r="CG6" s="15"/>
    </row>
    <row r="7" spans="1:246">
      <c r="A7" s="9" t="s">
        <v>7</v>
      </c>
      <c r="B7" s="10" t="s">
        <v>18</v>
      </c>
      <c r="C7" s="11"/>
      <c r="D7" s="12" t="s">
        <v>19</v>
      </c>
      <c r="E7" s="18"/>
      <c r="F7" s="13">
        <v>1</v>
      </c>
      <c r="G7" s="13"/>
      <c r="H7" s="13">
        <v>1</v>
      </c>
      <c r="I7" s="18"/>
      <c r="J7" s="13">
        <v>2</v>
      </c>
      <c r="K7" s="19">
        <v>25</v>
      </c>
      <c r="L7" s="13">
        <f t="shared" si="0"/>
        <v>50</v>
      </c>
      <c r="M7" s="18"/>
      <c r="N7" s="13">
        <v>1</v>
      </c>
      <c r="O7" s="13"/>
      <c r="P7" s="13">
        <v>1</v>
      </c>
      <c r="Q7" s="18"/>
      <c r="R7" s="13">
        <f t="shared" si="1"/>
        <v>2</v>
      </c>
      <c r="S7" s="19">
        <v>25</v>
      </c>
      <c r="T7" s="13">
        <f t="shared" si="2"/>
        <v>50</v>
      </c>
      <c r="U7" s="18"/>
      <c r="V7" s="13">
        <v>1</v>
      </c>
      <c r="W7" s="13"/>
      <c r="X7" s="13">
        <v>1</v>
      </c>
      <c r="Y7" s="18"/>
      <c r="Z7" s="13">
        <f t="shared" si="3"/>
        <v>2</v>
      </c>
      <c r="AA7" s="19">
        <v>25</v>
      </c>
      <c r="AB7" s="13">
        <f t="shared" si="4"/>
        <v>50</v>
      </c>
      <c r="AC7" s="18"/>
      <c r="AD7" s="13">
        <v>1</v>
      </c>
      <c r="AE7" s="13"/>
      <c r="AF7" s="13">
        <v>1</v>
      </c>
      <c r="AG7" s="18"/>
      <c r="AH7" s="13">
        <f t="shared" si="5"/>
        <v>2</v>
      </c>
      <c r="AI7" s="19">
        <v>25</v>
      </c>
      <c r="AJ7" s="13">
        <f t="shared" si="6"/>
        <v>50</v>
      </c>
      <c r="AK7" s="18"/>
      <c r="AL7" s="13">
        <v>1</v>
      </c>
      <c r="AM7" s="13"/>
      <c r="AN7" s="13">
        <v>1</v>
      </c>
      <c r="AO7" s="18"/>
      <c r="AP7" s="13">
        <v>2</v>
      </c>
      <c r="AQ7" s="19">
        <v>25</v>
      </c>
      <c r="AR7" s="13">
        <f t="shared" si="7"/>
        <v>50</v>
      </c>
      <c r="AS7" s="18"/>
      <c r="AT7" s="13">
        <v>1</v>
      </c>
      <c r="AU7" s="13"/>
      <c r="AV7" s="13">
        <v>1</v>
      </c>
      <c r="AW7" s="18"/>
      <c r="AX7" s="13">
        <f t="shared" si="8"/>
        <v>2</v>
      </c>
      <c r="AY7" s="19">
        <v>25</v>
      </c>
      <c r="AZ7" s="13">
        <f t="shared" si="9"/>
        <v>50</v>
      </c>
      <c r="BA7" s="18"/>
      <c r="BB7" s="13">
        <v>1</v>
      </c>
      <c r="BC7" s="13"/>
      <c r="BD7" s="13">
        <v>1</v>
      </c>
      <c r="BE7" s="18"/>
      <c r="BF7" s="13">
        <f t="shared" si="10"/>
        <v>2</v>
      </c>
      <c r="BG7" s="19">
        <v>25</v>
      </c>
      <c r="BH7" s="13">
        <f t="shared" si="11"/>
        <v>50</v>
      </c>
      <c r="BI7" s="18"/>
      <c r="BJ7" s="13">
        <v>1</v>
      </c>
      <c r="BK7" s="13"/>
      <c r="BL7" s="13">
        <v>1</v>
      </c>
      <c r="BM7" s="18"/>
      <c r="BN7" s="13">
        <f t="shared" si="12"/>
        <v>2</v>
      </c>
      <c r="BO7" s="19">
        <v>25</v>
      </c>
      <c r="BP7" s="13">
        <f t="shared" si="13"/>
        <v>50</v>
      </c>
      <c r="BQ7" s="18"/>
      <c r="BR7" s="13">
        <v>1</v>
      </c>
      <c r="BS7" s="13"/>
      <c r="BT7" s="13">
        <v>1</v>
      </c>
      <c r="BU7" s="18"/>
      <c r="BV7" s="13">
        <f t="shared" si="14"/>
        <v>2</v>
      </c>
      <c r="BW7" s="19">
        <v>25</v>
      </c>
      <c r="BX7" s="13">
        <f t="shared" si="15"/>
        <v>50</v>
      </c>
      <c r="BY7" s="18"/>
      <c r="BZ7" s="13">
        <v>1</v>
      </c>
      <c r="CA7" s="13"/>
      <c r="CB7" s="13">
        <v>1</v>
      </c>
      <c r="CC7" s="18"/>
      <c r="CD7" s="13">
        <v>2</v>
      </c>
      <c r="CE7" s="19">
        <v>25</v>
      </c>
      <c r="CF7" s="13">
        <f t="shared" si="16"/>
        <v>50</v>
      </c>
      <c r="CG7" s="15"/>
    </row>
    <row r="8" spans="1:246">
      <c r="A8" s="9" t="s">
        <v>7</v>
      </c>
      <c r="B8" s="10" t="s">
        <v>20</v>
      </c>
      <c r="C8" s="11"/>
      <c r="D8" s="12" t="s">
        <v>21</v>
      </c>
      <c r="E8" s="18"/>
      <c r="F8" s="13">
        <v>1</v>
      </c>
      <c r="G8" s="13"/>
      <c r="H8" s="13">
        <v>1</v>
      </c>
      <c r="I8" s="18"/>
      <c r="J8" s="13">
        <v>2</v>
      </c>
      <c r="K8" s="21">
        <v>112</v>
      </c>
      <c r="L8" s="13">
        <f t="shared" si="0"/>
        <v>224</v>
      </c>
      <c r="M8" s="18"/>
      <c r="N8" s="13">
        <v>1</v>
      </c>
      <c r="O8" s="13"/>
      <c r="P8" s="13">
        <v>1</v>
      </c>
      <c r="Q8" s="18"/>
      <c r="R8" s="13">
        <f t="shared" si="1"/>
        <v>2</v>
      </c>
      <c r="S8" s="21">
        <v>112</v>
      </c>
      <c r="T8" s="13">
        <f t="shared" si="2"/>
        <v>224</v>
      </c>
      <c r="U8" s="18"/>
      <c r="V8" s="13">
        <v>1</v>
      </c>
      <c r="W8" s="13"/>
      <c r="X8" s="13">
        <v>1</v>
      </c>
      <c r="Y8" s="18"/>
      <c r="Z8" s="13">
        <f t="shared" si="3"/>
        <v>2</v>
      </c>
      <c r="AA8" s="21">
        <v>112</v>
      </c>
      <c r="AB8" s="13">
        <f t="shared" si="4"/>
        <v>224</v>
      </c>
      <c r="AC8" s="18"/>
      <c r="AD8" s="13">
        <v>1</v>
      </c>
      <c r="AE8" s="13"/>
      <c r="AF8" s="13">
        <v>1</v>
      </c>
      <c r="AG8" s="18"/>
      <c r="AH8" s="13">
        <f t="shared" si="5"/>
        <v>2</v>
      </c>
      <c r="AI8" s="21">
        <v>112</v>
      </c>
      <c r="AJ8" s="13">
        <f t="shared" si="6"/>
        <v>224</v>
      </c>
      <c r="AK8" s="18"/>
      <c r="AL8" s="13">
        <v>1</v>
      </c>
      <c r="AM8" s="13"/>
      <c r="AN8" s="13">
        <v>1</v>
      </c>
      <c r="AO8" s="18"/>
      <c r="AP8" s="13">
        <v>2</v>
      </c>
      <c r="AQ8" s="21">
        <v>112</v>
      </c>
      <c r="AR8" s="13">
        <f t="shared" si="7"/>
        <v>224</v>
      </c>
      <c r="AS8" s="18"/>
      <c r="AT8" s="13">
        <v>1</v>
      </c>
      <c r="AU8" s="13"/>
      <c r="AV8" s="13">
        <v>1</v>
      </c>
      <c r="AW8" s="18"/>
      <c r="AX8" s="13">
        <f t="shared" si="8"/>
        <v>2</v>
      </c>
      <c r="AY8" s="21">
        <v>112</v>
      </c>
      <c r="AZ8" s="13">
        <f t="shared" si="9"/>
        <v>224</v>
      </c>
      <c r="BA8" s="18"/>
      <c r="BB8" s="13">
        <v>1</v>
      </c>
      <c r="BC8" s="13"/>
      <c r="BD8" s="13">
        <v>1</v>
      </c>
      <c r="BE8" s="18"/>
      <c r="BF8" s="13">
        <f t="shared" si="10"/>
        <v>2</v>
      </c>
      <c r="BG8" s="21">
        <v>112</v>
      </c>
      <c r="BH8" s="13">
        <f t="shared" si="11"/>
        <v>224</v>
      </c>
      <c r="BI8" s="18"/>
      <c r="BJ8" s="13">
        <v>1</v>
      </c>
      <c r="BK8" s="13"/>
      <c r="BL8" s="13">
        <v>1</v>
      </c>
      <c r="BM8" s="18"/>
      <c r="BN8" s="13">
        <f t="shared" si="12"/>
        <v>2</v>
      </c>
      <c r="BO8" s="21">
        <v>112</v>
      </c>
      <c r="BP8" s="13">
        <f t="shared" si="13"/>
        <v>224</v>
      </c>
      <c r="BQ8" s="18"/>
      <c r="BR8" s="13">
        <v>1</v>
      </c>
      <c r="BS8" s="13"/>
      <c r="BT8" s="13">
        <v>1</v>
      </c>
      <c r="BU8" s="18"/>
      <c r="BV8" s="13">
        <f t="shared" si="14"/>
        <v>2</v>
      </c>
      <c r="BW8" s="21">
        <v>112</v>
      </c>
      <c r="BX8" s="13">
        <f t="shared" si="15"/>
        <v>224</v>
      </c>
      <c r="BY8" s="18"/>
      <c r="BZ8" s="13">
        <v>1</v>
      </c>
      <c r="CA8" s="13"/>
      <c r="CB8" s="13">
        <v>1</v>
      </c>
      <c r="CC8" s="18"/>
      <c r="CD8" s="13">
        <v>2</v>
      </c>
      <c r="CE8" s="21">
        <v>112</v>
      </c>
      <c r="CF8" s="13">
        <f t="shared" si="16"/>
        <v>224</v>
      </c>
      <c r="CG8" s="15"/>
    </row>
    <row r="9" spans="1:246">
      <c r="A9" s="9" t="s">
        <v>7</v>
      </c>
      <c r="B9" s="10" t="s">
        <v>22</v>
      </c>
      <c r="C9" s="11"/>
      <c r="D9" s="11" t="s">
        <v>23</v>
      </c>
      <c r="E9" s="18"/>
      <c r="F9" s="13">
        <v>1</v>
      </c>
      <c r="G9" s="13"/>
      <c r="H9" s="13">
        <v>1</v>
      </c>
      <c r="I9" s="18"/>
      <c r="J9" s="13">
        <v>2</v>
      </c>
      <c r="K9" s="22">
        <v>275</v>
      </c>
      <c r="L9" s="13">
        <f t="shared" si="0"/>
        <v>550</v>
      </c>
      <c r="M9" s="18"/>
      <c r="N9" s="13">
        <v>1</v>
      </c>
      <c r="O9" s="13"/>
      <c r="P9" s="13">
        <v>1</v>
      </c>
      <c r="Q9" s="18"/>
      <c r="R9" s="13">
        <f t="shared" si="1"/>
        <v>2</v>
      </c>
      <c r="S9" s="22">
        <v>275</v>
      </c>
      <c r="T9" s="13">
        <f t="shared" si="2"/>
        <v>550</v>
      </c>
      <c r="U9" s="18"/>
      <c r="V9" s="13">
        <v>1</v>
      </c>
      <c r="W9" s="13"/>
      <c r="X9" s="13">
        <v>1</v>
      </c>
      <c r="Y9" s="18"/>
      <c r="Z9" s="13">
        <f t="shared" si="3"/>
        <v>2</v>
      </c>
      <c r="AA9" s="22">
        <v>275</v>
      </c>
      <c r="AB9" s="13">
        <f t="shared" si="4"/>
        <v>550</v>
      </c>
      <c r="AC9" s="18"/>
      <c r="AD9" s="13">
        <v>1</v>
      </c>
      <c r="AE9" s="13"/>
      <c r="AF9" s="13">
        <v>1</v>
      </c>
      <c r="AG9" s="18"/>
      <c r="AH9" s="13">
        <f t="shared" si="5"/>
        <v>2</v>
      </c>
      <c r="AI9" s="22">
        <v>275</v>
      </c>
      <c r="AJ9" s="13">
        <f t="shared" si="6"/>
        <v>550</v>
      </c>
      <c r="AK9" s="18"/>
      <c r="AL9" s="13">
        <v>1</v>
      </c>
      <c r="AM9" s="13"/>
      <c r="AN9" s="13">
        <v>1</v>
      </c>
      <c r="AO9" s="18"/>
      <c r="AP9" s="13">
        <v>2</v>
      </c>
      <c r="AQ9" s="22">
        <v>275</v>
      </c>
      <c r="AR9" s="13">
        <f t="shared" si="7"/>
        <v>550</v>
      </c>
      <c r="AS9" s="18"/>
      <c r="AT9" s="13">
        <v>1</v>
      </c>
      <c r="AU9" s="13"/>
      <c r="AV9" s="13">
        <v>1</v>
      </c>
      <c r="AW9" s="18"/>
      <c r="AX9" s="13">
        <f t="shared" si="8"/>
        <v>2</v>
      </c>
      <c r="AY9" s="22">
        <v>275</v>
      </c>
      <c r="AZ9" s="13">
        <f t="shared" si="9"/>
        <v>550</v>
      </c>
      <c r="BA9" s="18"/>
      <c r="BB9" s="13">
        <v>1</v>
      </c>
      <c r="BC9" s="13"/>
      <c r="BD9" s="13">
        <v>1</v>
      </c>
      <c r="BE9" s="18"/>
      <c r="BF9" s="13">
        <f t="shared" si="10"/>
        <v>2</v>
      </c>
      <c r="BG9" s="22">
        <v>275</v>
      </c>
      <c r="BH9" s="13">
        <f t="shared" si="11"/>
        <v>550</v>
      </c>
      <c r="BI9" s="18"/>
      <c r="BJ9" s="13">
        <v>1</v>
      </c>
      <c r="BK9" s="13"/>
      <c r="BL9" s="13">
        <v>1</v>
      </c>
      <c r="BM9" s="18"/>
      <c r="BN9" s="13">
        <f t="shared" si="12"/>
        <v>2</v>
      </c>
      <c r="BO9" s="22">
        <v>275</v>
      </c>
      <c r="BP9" s="13">
        <f t="shared" si="13"/>
        <v>550</v>
      </c>
      <c r="BQ9" s="18"/>
      <c r="BR9" s="13">
        <v>1</v>
      </c>
      <c r="BS9" s="13"/>
      <c r="BT9" s="13">
        <v>1</v>
      </c>
      <c r="BU9" s="18"/>
      <c r="BV9" s="13">
        <f t="shared" si="14"/>
        <v>2</v>
      </c>
      <c r="BW9" s="22">
        <v>275</v>
      </c>
      <c r="BX9" s="13">
        <f t="shared" si="15"/>
        <v>550</v>
      </c>
      <c r="BY9" s="18"/>
      <c r="BZ9" s="13">
        <v>1</v>
      </c>
      <c r="CA9" s="13"/>
      <c r="CB9" s="13">
        <v>1</v>
      </c>
      <c r="CC9" s="18"/>
      <c r="CD9" s="13">
        <v>2</v>
      </c>
      <c r="CE9" s="22">
        <v>275</v>
      </c>
      <c r="CF9" s="13">
        <f t="shared" si="16"/>
        <v>550</v>
      </c>
      <c r="CG9" s="15"/>
    </row>
    <row r="10" spans="1:246">
      <c r="A10" s="9" t="s">
        <v>7</v>
      </c>
      <c r="B10" s="10" t="s">
        <v>24</v>
      </c>
      <c r="C10" s="11"/>
      <c r="D10" s="12" t="s">
        <v>25</v>
      </c>
      <c r="E10" s="18"/>
      <c r="F10" s="13"/>
      <c r="G10" s="13"/>
      <c r="H10" s="13"/>
      <c r="I10" s="18"/>
      <c r="J10" s="13"/>
      <c r="K10" s="19">
        <v>623</v>
      </c>
      <c r="L10" s="13">
        <f t="shared" si="0"/>
        <v>0</v>
      </c>
      <c r="M10" s="18"/>
      <c r="N10" s="13"/>
      <c r="O10" s="13"/>
      <c r="P10" s="13"/>
      <c r="Q10" s="18"/>
      <c r="R10" s="13">
        <f t="shared" si="1"/>
        <v>0</v>
      </c>
      <c r="S10" s="19">
        <v>623</v>
      </c>
      <c r="T10" s="13">
        <f t="shared" si="2"/>
        <v>0</v>
      </c>
      <c r="U10" s="18"/>
      <c r="V10" s="13"/>
      <c r="W10" s="13"/>
      <c r="X10" s="13"/>
      <c r="Y10" s="18">
        <v>1</v>
      </c>
      <c r="Z10" s="13">
        <f t="shared" si="3"/>
        <v>1</v>
      </c>
      <c r="AA10" s="19">
        <v>623</v>
      </c>
      <c r="AB10" s="13">
        <f t="shared" si="4"/>
        <v>623</v>
      </c>
      <c r="AC10" s="18"/>
      <c r="AD10" s="13"/>
      <c r="AE10" s="13"/>
      <c r="AF10" s="13"/>
      <c r="AG10" s="18"/>
      <c r="AH10" s="13">
        <f t="shared" si="5"/>
        <v>0</v>
      </c>
      <c r="AI10" s="19">
        <v>623</v>
      </c>
      <c r="AJ10" s="13">
        <f t="shared" si="6"/>
        <v>0</v>
      </c>
      <c r="AK10" s="18"/>
      <c r="AL10" s="13"/>
      <c r="AM10" s="13"/>
      <c r="AN10" s="13"/>
      <c r="AO10" s="18"/>
      <c r="AP10" s="13"/>
      <c r="AQ10" s="19">
        <v>623</v>
      </c>
      <c r="AR10" s="13">
        <f t="shared" si="7"/>
        <v>0</v>
      </c>
      <c r="AS10" s="18"/>
      <c r="AT10" s="13"/>
      <c r="AU10" s="13"/>
      <c r="AV10" s="13"/>
      <c r="AW10" s="18">
        <v>1</v>
      </c>
      <c r="AX10" s="13">
        <f t="shared" si="8"/>
        <v>1</v>
      </c>
      <c r="AY10" s="19">
        <v>623</v>
      </c>
      <c r="AZ10" s="13">
        <f t="shared" si="9"/>
        <v>623</v>
      </c>
      <c r="BA10" s="18"/>
      <c r="BB10" s="13"/>
      <c r="BC10" s="13"/>
      <c r="BD10" s="13"/>
      <c r="BE10" s="18"/>
      <c r="BF10" s="13">
        <f t="shared" si="10"/>
        <v>0</v>
      </c>
      <c r="BG10" s="19">
        <v>623</v>
      </c>
      <c r="BH10" s="13">
        <f t="shared" si="11"/>
        <v>0</v>
      </c>
      <c r="BI10" s="18"/>
      <c r="BJ10" s="13"/>
      <c r="BK10" s="13"/>
      <c r="BL10" s="13"/>
      <c r="BM10" s="18"/>
      <c r="BN10" s="13">
        <f t="shared" si="12"/>
        <v>0</v>
      </c>
      <c r="BO10" s="19">
        <v>623</v>
      </c>
      <c r="BP10" s="13">
        <f t="shared" si="13"/>
        <v>0</v>
      </c>
      <c r="BQ10" s="18"/>
      <c r="BR10" s="13"/>
      <c r="BS10" s="13"/>
      <c r="BT10" s="13"/>
      <c r="BU10" s="18">
        <v>1</v>
      </c>
      <c r="BV10" s="13">
        <f t="shared" si="14"/>
        <v>1</v>
      </c>
      <c r="BW10" s="19">
        <v>623</v>
      </c>
      <c r="BX10" s="13">
        <f t="shared" si="15"/>
        <v>623</v>
      </c>
      <c r="BY10" s="18"/>
      <c r="BZ10" s="13"/>
      <c r="CA10" s="13"/>
      <c r="CB10" s="13"/>
      <c r="CC10" s="18"/>
      <c r="CD10" s="13"/>
      <c r="CE10" s="19">
        <v>623</v>
      </c>
      <c r="CF10" s="13">
        <f t="shared" si="16"/>
        <v>0</v>
      </c>
      <c r="CG10" s="15"/>
    </row>
    <row r="11" spans="1:246">
      <c r="A11" s="9" t="s">
        <v>7</v>
      </c>
      <c r="B11" s="10" t="s">
        <v>26</v>
      </c>
      <c r="C11" s="11"/>
      <c r="D11" s="12" t="s">
        <v>27</v>
      </c>
      <c r="E11" s="18"/>
      <c r="F11" s="13"/>
      <c r="G11" s="13"/>
      <c r="H11" s="13"/>
      <c r="I11" s="18"/>
      <c r="J11" s="13"/>
      <c r="K11" s="19">
        <v>496</v>
      </c>
      <c r="L11" s="13">
        <f t="shared" si="0"/>
        <v>0</v>
      </c>
      <c r="M11" s="18"/>
      <c r="N11" s="13"/>
      <c r="O11" s="13"/>
      <c r="P11" s="13"/>
      <c r="Q11" s="18"/>
      <c r="R11" s="13">
        <f t="shared" si="1"/>
        <v>0</v>
      </c>
      <c r="S11" s="19">
        <v>496</v>
      </c>
      <c r="T11" s="13">
        <f t="shared" si="2"/>
        <v>0</v>
      </c>
      <c r="U11" s="18"/>
      <c r="V11" s="13"/>
      <c r="W11" s="13"/>
      <c r="X11" s="13"/>
      <c r="Y11" s="18">
        <v>1</v>
      </c>
      <c r="Z11" s="13">
        <f t="shared" si="3"/>
        <v>1</v>
      </c>
      <c r="AA11" s="19">
        <v>496</v>
      </c>
      <c r="AB11" s="13">
        <f t="shared" si="4"/>
        <v>496</v>
      </c>
      <c r="AC11" s="18"/>
      <c r="AD11" s="13"/>
      <c r="AE11" s="13"/>
      <c r="AF11" s="13"/>
      <c r="AG11" s="18"/>
      <c r="AH11" s="13">
        <f t="shared" si="5"/>
        <v>0</v>
      </c>
      <c r="AI11" s="19">
        <v>496</v>
      </c>
      <c r="AJ11" s="13">
        <f t="shared" si="6"/>
        <v>0</v>
      </c>
      <c r="AK11" s="18"/>
      <c r="AL11" s="13"/>
      <c r="AM11" s="13"/>
      <c r="AN11" s="13"/>
      <c r="AO11" s="18"/>
      <c r="AP11" s="13"/>
      <c r="AQ11" s="19">
        <v>496</v>
      </c>
      <c r="AR11" s="13">
        <f t="shared" si="7"/>
        <v>0</v>
      </c>
      <c r="AS11" s="18"/>
      <c r="AT11" s="13"/>
      <c r="AU11" s="13"/>
      <c r="AV11" s="13"/>
      <c r="AW11" s="18">
        <v>1</v>
      </c>
      <c r="AX11" s="13">
        <f t="shared" si="8"/>
        <v>1</v>
      </c>
      <c r="AY11" s="19">
        <v>496</v>
      </c>
      <c r="AZ11" s="13">
        <f t="shared" si="9"/>
        <v>496</v>
      </c>
      <c r="BA11" s="18"/>
      <c r="BB11" s="13"/>
      <c r="BC11" s="13"/>
      <c r="BD11" s="13"/>
      <c r="BE11" s="18"/>
      <c r="BF11" s="13">
        <f t="shared" si="10"/>
        <v>0</v>
      </c>
      <c r="BG11" s="19">
        <v>496</v>
      </c>
      <c r="BH11" s="13">
        <f t="shared" si="11"/>
        <v>0</v>
      </c>
      <c r="BI11" s="18"/>
      <c r="BJ11" s="13"/>
      <c r="BK11" s="13"/>
      <c r="BL11" s="13"/>
      <c r="BM11" s="18"/>
      <c r="BN11" s="13">
        <f t="shared" si="12"/>
        <v>0</v>
      </c>
      <c r="BO11" s="19">
        <v>496</v>
      </c>
      <c r="BP11" s="13">
        <f t="shared" si="13"/>
        <v>0</v>
      </c>
      <c r="BQ11" s="18"/>
      <c r="BR11" s="13"/>
      <c r="BS11" s="13"/>
      <c r="BT11" s="13"/>
      <c r="BU11" s="18">
        <v>1</v>
      </c>
      <c r="BV11" s="13">
        <f t="shared" si="14"/>
        <v>1</v>
      </c>
      <c r="BW11" s="19">
        <v>496</v>
      </c>
      <c r="BX11" s="13">
        <f t="shared" si="15"/>
        <v>496</v>
      </c>
      <c r="BY11" s="18"/>
      <c r="BZ11" s="13"/>
      <c r="CA11" s="13"/>
      <c r="CB11" s="13"/>
      <c r="CC11" s="18"/>
      <c r="CD11" s="13"/>
      <c r="CE11" s="19">
        <v>496</v>
      </c>
      <c r="CF11" s="13">
        <f t="shared" si="16"/>
        <v>0</v>
      </c>
      <c r="CG11" s="15"/>
    </row>
    <row r="12" spans="1:246">
      <c r="A12" s="9" t="s">
        <v>7</v>
      </c>
      <c r="B12" s="10" t="s">
        <v>28</v>
      </c>
      <c r="C12" s="11"/>
      <c r="D12" s="11" t="s">
        <v>29</v>
      </c>
      <c r="E12" s="13"/>
      <c r="F12" s="13"/>
      <c r="G12" s="13"/>
      <c r="H12" s="13"/>
      <c r="I12" s="13"/>
      <c r="J12" s="13"/>
      <c r="K12" s="13">
        <v>3147</v>
      </c>
      <c r="L12" s="13">
        <f t="shared" si="0"/>
        <v>0</v>
      </c>
      <c r="M12" s="13"/>
      <c r="N12" s="13"/>
      <c r="O12" s="13"/>
      <c r="P12" s="13"/>
      <c r="Q12" s="13"/>
      <c r="R12" s="13">
        <f t="shared" si="1"/>
        <v>0</v>
      </c>
      <c r="S12" s="13">
        <v>3147</v>
      </c>
      <c r="T12" s="13">
        <f t="shared" si="2"/>
        <v>0</v>
      </c>
      <c r="U12" s="13"/>
      <c r="V12" s="13"/>
      <c r="W12" s="13"/>
      <c r="X12" s="13"/>
      <c r="Y12" s="13">
        <v>1</v>
      </c>
      <c r="Z12" s="13">
        <f t="shared" si="3"/>
        <v>1</v>
      </c>
      <c r="AA12" s="13">
        <v>3147</v>
      </c>
      <c r="AB12" s="13">
        <f t="shared" si="4"/>
        <v>3147</v>
      </c>
      <c r="AC12" s="13"/>
      <c r="AD12" s="13"/>
      <c r="AE12" s="13"/>
      <c r="AF12" s="13"/>
      <c r="AG12" s="13"/>
      <c r="AH12" s="13">
        <f t="shared" si="5"/>
        <v>0</v>
      </c>
      <c r="AI12" s="13">
        <v>3147</v>
      </c>
      <c r="AJ12" s="13">
        <f t="shared" si="6"/>
        <v>0</v>
      </c>
      <c r="AK12" s="13"/>
      <c r="AL12" s="13"/>
      <c r="AM12" s="13"/>
      <c r="AN12" s="13"/>
      <c r="AO12" s="13"/>
      <c r="AP12" s="13"/>
      <c r="AQ12" s="13">
        <v>3147</v>
      </c>
      <c r="AR12" s="13">
        <f t="shared" si="7"/>
        <v>0</v>
      </c>
      <c r="AS12" s="13"/>
      <c r="AT12" s="13"/>
      <c r="AU12" s="13"/>
      <c r="AV12" s="13"/>
      <c r="AW12" s="13">
        <v>1</v>
      </c>
      <c r="AX12" s="13">
        <f t="shared" si="8"/>
        <v>1</v>
      </c>
      <c r="AY12" s="13">
        <v>3147</v>
      </c>
      <c r="AZ12" s="13">
        <f t="shared" si="9"/>
        <v>3147</v>
      </c>
      <c r="BA12" s="13"/>
      <c r="BB12" s="13"/>
      <c r="BC12" s="13"/>
      <c r="BD12" s="13"/>
      <c r="BE12" s="13"/>
      <c r="BF12" s="13">
        <f t="shared" si="10"/>
        <v>0</v>
      </c>
      <c r="BG12" s="13">
        <v>3147</v>
      </c>
      <c r="BH12" s="13">
        <f t="shared" si="11"/>
        <v>0</v>
      </c>
      <c r="BI12" s="13"/>
      <c r="BJ12" s="13"/>
      <c r="BK12" s="13"/>
      <c r="BL12" s="13"/>
      <c r="BM12" s="13"/>
      <c r="BN12" s="13">
        <f t="shared" si="12"/>
        <v>0</v>
      </c>
      <c r="BO12" s="13">
        <v>3147</v>
      </c>
      <c r="BP12" s="13">
        <f t="shared" si="13"/>
        <v>0</v>
      </c>
      <c r="BQ12" s="13"/>
      <c r="BR12" s="13"/>
      <c r="BS12" s="13"/>
      <c r="BT12" s="13"/>
      <c r="BU12" s="13">
        <v>1</v>
      </c>
      <c r="BV12" s="13">
        <f t="shared" si="14"/>
        <v>1</v>
      </c>
      <c r="BW12" s="13">
        <v>3147</v>
      </c>
      <c r="BX12" s="13">
        <f t="shared" si="15"/>
        <v>3147</v>
      </c>
      <c r="BY12" s="13"/>
      <c r="BZ12" s="13"/>
      <c r="CA12" s="13"/>
      <c r="CB12" s="13"/>
      <c r="CC12" s="13"/>
      <c r="CD12" s="13"/>
      <c r="CE12" s="13">
        <v>3147</v>
      </c>
      <c r="CF12" s="13">
        <f t="shared" si="16"/>
        <v>0</v>
      </c>
      <c r="CG12" s="15"/>
    </row>
    <row r="13" spans="1:246">
      <c r="A13" s="9" t="s">
        <v>7</v>
      </c>
      <c r="B13" s="10" t="s">
        <v>30</v>
      </c>
      <c r="C13" s="11"/>
      <c r="D13" s="11" t="s">
        <v>31</v>
      </c>
      <c r="E13" s="13"/>
      <c r="F13" s="13"/>
      <c r="G13" s="13"/>
      <c r="H13" s="13"/>
      <c r="I13" s="13"/>
      <c r="J13" s="13"/>
      <c r="K13" s="13">
        <v>2711</v>
      </c>
      <c r="L13" s="13">
        <f t="shared" si="0"/>
        <v>0</v>
      </c>
      <c r="M13" s="13"/>
      <c r="N13" s="13"/>
      <c r="O13" s="13"/>
      <c r="P13" s="13"/>
      <c r="Q13" s="13"/>
      <c r="R13" s="13">
        <f t="shared" si="1"/>
        <v>0</v>
      </c>
      <c r="S13" s="13">
        <v>2711</v>
      </c>
      <c r="T13" s="13">
        <f t="shared" si="2"/>
        <v>0</v>
      </c>
      <c r="U13" s="13"/>
      <c r="V13" s="13"/>
      <c r="W13" s="13"/>
      <c r="X13" s="13"/>
      <c r="Y13" s="13">
        <v>1</v>
      </c>
      <c r="Z13" s="13">
        <f t="shared" si="3"/>
        <v>1</v>
      </c>
      <c r="AA13" s="13">
        <v>2711</v>
      </c>
      <c r="AB13" s="13">
        <f t="shared" si="4"/>
        <v>2711</v>
      </c>
      <c r="AC13" s="13"/>
      <c r="AD13" s="13"/>
      <c r="AE13" s="13"/>
      <c r="AF13" s="13"/>
      <c r="AG13" s="13"/>
      <c r="AH13" s="13">
        <f t="shared" si="5"/>
        <v>0</v>
      </c>
      <c r="AI13" s="13">
        <v>2711</v>
      </c>
      <c r="AJ13" s="13">
        <f t="shared" si="6"/>
        <v>0</v>
      </c>
      <c r="AK13" s="13"/>
      <c r="AL13" s="13"/>
      <c r="AM13" s="13"/>
      <c r="AN13" s="13"/>
      <c r="AO13" s="13"/>
      <c r="AP13" s="13"/>
      <c r="AQ13" s="13">
        <v>2711</v>
      </c>
      <c r="AR13" s="13">
        <f t="shared" si="7"/>
        <v>0</v>
      </c>
      <c r="AS13" s="13"/>
      <c r="AT13" s="13"/>
      <c r="AU13" s="13"/>
      <c r="AV13" s="13"/>
      <c r="AW13" s="13">
        <v>1</v>
      </c>
      <c r="AX13" s="13">
        <f t="shared" si="8"/>
        <v>1</v>
      </c>
      <c r="AY13" s="13">
        <v>2711</v>
      </c>
      <c r="AZ13" s="13">
        <f t="shared" si="9"/>
        <v>2711</v>
      </c>
      <c r="BA13" s="13"/>
      <c r="BB13" s="13"/>
      <c r="BC13" s="13"/>
      <c r="BD13" s="13"/>
      <c r="BE13" s="13"/>
      <c r="BF13" s="13">
        <f t="shared" si="10"/>
        <v>0</v>
      </c>
      <c r="BG13" s="13">
        <v>2711</v>
      </c>
      <c r="BH13" s="13">
        <f t="shared" si="11"/>
        <v>0</v>
      </c>
      <c r="BI13" s="13"/>
      <c r="BJ13" s="13"/>
      <c r="BK13" s="13"/>
      <c r="BL13" s="13"/>
      <c r="BM13" s="13"/>
      <c r="BN13" s="13">
        <f t="shared" si="12"/>
        <v>0</v>
      </c>
      <c r="BO13" s="13">
        <v>2711</v>
      </c>
      <c r="BP13" s="13">
        <f t="shared" si="13"/>
        <v>0</v>
      </c>
      <c r="BQ13" s="13"/>
      <c r="BR13" s="13"/>
      <c r="BS13" s="13"/>
      <c r="BT13" s="13"/>
      <c r="BU13" s="13">
        <v>1</v>
      </c>
      <c r="BV13" s="13">
        <v>1</v>
      </c>
      <c r="BW13" s="13">
        <v>2711</v>
      </c>
      <c r="BX13" s="13">
        <f t="shared" si="15"/>
        <v>2711</v>
      </c>
      <c r="BY13" s="13"/>
      <c r="BZ13" s="13"/>
      <c r="CA13" s="13"/>
      <c r="CB13" s="13"/>
      <c r="CC13" s="13"/>
      <c r="CD13" s="13"/>
      <c r="CE13" s="13">
        <v>2711</v>
      </c>
      <c r="CF13" s="13">
        <f t="shared" si="16"/>
        <v>0</v>
      </c>
      <c r="CG13" s="15"/>
    </row>
    <row r="14" spans="1:246">
      <c r="A14" s="9" t="s">
        <v>7</v>
      </c>
      <c r="B14" s="20" t="s">
        <v>32</v>
      </c>
      <c r="C14" s="11"/>
      <c r="D14" s="12" t="s">
        <v>33</v>
      </c>
      <c r="E14" s="13"/>
      <c r="F14" s="13"/>
      <c r="G14" s="13"/>
      <c r="H14" s="13"/>
      <c r="I14" s="13"/>
      <c r="J14" s="13"/>
      <c r="K14" s="13">
        <v>1236</v>
      </c>
      <c r="L14" s="13">
        <f t="shared" si="0"/>
        <v>0</v>
      </c>
      <c r="M14" s="13"/>
      <c r="N14" s="13"/>
      <c r="O14" s="13"/>
      <c r="P14" s="13"/>
      <c r="Q14" s="13"/>
      <c r="R14" s="13">
        <f t="shared" si="1"/>
        <v>0</v>
      </c>
      <c r="S14" s="13">
        <v>1236</v>
      </c>
      <c r="T14" s="13">
        <f t="shared" si="2"/>
        <v>0</v>
      </c>
      <c r="U14" s="13"/>
      <c r="V14" s="13"/>
      <c r="W14" s="13"/>
      <c r="X14" s="13"/>
      <c r="Y14" s="13">
        <v>1</v>
      </c>
      <c r="Z14" s="13">
        <f t="shared" si="3"/>
        <v>1</v>
      </c>
      <c r="AA14" s="13">
        <v>1236</v>
      </c>
      <c r="AB14" s="13">
        <f t="shared" si="4"/>
        <v>1236</v>
      </c>
      <c r="AC14" s="13"/>
      <c r="AD14" s="13"/>
      <c r="AE14" s="13"/>
      <c r="AF14" s="13"/>
      <c r="AG14" s="13"/>
      <c r="AH14" s="13">
        <f t="shared" si="5"/>
        <v>0</v>
      </c>
      <c r="AI14" s="13">
        <v>1236</v>
      </c>
      <c r="AJ14" s="13">
        <f t="shared" si="6"/>
        <v>0</v>
      </c>
      <c r="AK14" s="13"/>
      <c r="AL14" s="13"/>
      <c r="AM14" s="13"/>
      <c r="AN14" s="13"/>
      <c r="AO14" s="13"/>
      <c r="AP14" s="13"/>
      <c r="AQ14" s="13">
        <v>1236</v>
      </c>
      <c r="AR14" s="13">
        <f t="shared" si="7"/>
        <v>0</v>
      </c>
      <c r="AS14" s="13"/>
      <c r="AT14" s="13"/>
      <c r="AU14" s="13"/>
      <c r="AV14" s="13"/>
      <c r="AW14" s="13">
        <v>1</v>
      </c>
      <c r="AX14" s="13">
        <f t="shared" si="8"/>
        <v>1</v>
      </c>
      <c r="AY14" s="13">
        <v>1236</v>
      </c>
      <c r="AZ14" s="13">
        <f t="shared" si="9"/>
        <v>1236</v>
      </c>
      <c r="BA14" s="13"/>
      <c r="BB14" s="13"/>
      <c r="BC14" s="13"/>
      <c r="BD14" s="13"/>
      <c r="BE14" s="13"/>
      <c r="BF14" s="13">
        <f t="shared" si="10"/>
        <v>0</v>
      </c>
      <c r="BG14" s="13">
        <v>1236</v>
      </c>
      <c r="BH14" s="13">
        <f t="shared" si="11"/>
        <v>0</v>
      </c>
      <c r="BI14" s="13"/>
      <c r="BJ14" s="13"/>
      <c r="BK14" s="13"/>
      <c r="BL14" s="13"/>
      <c r="BM14" s="13"/>
      <c r="BN14" s="13">
        <f t="shared" si="12"/>
        <v>0</v>
      </c>
      <c r="BO14" s="13">
        <v>1236</v>
      </c>
      <c r="BP14" s="13">
        <f t="shared" si="13"/>
        <v>0</v>
      </c>
      <c r="BQ14" s="13"/>
      <c r="BR14" s="13"/>
      <c r="BS14" s="13"/>
      <c r="BT14" s="13"/>
      <c r="BU14" s="13">
        <v>1</v>
      </c>
      <c r="BV14" s="13">
        <v>1</v>
      </c>
      <c r="BW14" s="13">
        <v>1236</v>
      </c>
      <c r="BX14" s="13">
        <f t="shared" si="15"/>
        <v>1236</v>
      </c>
      <c r="BY14" s="13"/>
      <c r="BZ14" s="13"/>
      <c r="CA14" s="13"/>
      <c r="CB14" s="13"/>
      <c r="CC14" s="13"/>
      <c r="CD14" s="13"/>
      <c r="CE14" s="13">
        <v>1236</v>
      </c>
      <c r="CF14" s="13">
        <f t="shared" si="16"/>
        <v>0</v>
      </c>
      <c r="CG14" s="15"/>
    </row>
    <row r="15" spans="1:246">
      <c r="A15" s="9" t="s">
        <v>7</v>
      </c>
      <c r="B15" s="20" t="s">
        <v>34</v>
      </c>
      <c r="C15" s="11"/>
      <c r="D15" s="12" t="s">
        <v>35</v>
      </c>
      <c r="E15" s="13"/>
      <c r="F15" s="13"/>
      <c r="G15" s="13"/>
      <c r="H15" s="13"/>
      <c r="I15" s="13"/>
      <c r="J15" s="13"/>
      <c r="K15" s="13">
        <v>1286</v>
      </c>
      <c r="L15" s="13">
        <f t="shared" si="0"/>
        <v>0</v>
      </c>
      <c r="M15" s="13"/>
      <c r="N15" s="13"/>
      <c r="O15" s="13"/>
      <c r="P15" s="13"/>
      <c r="Q15" s="13"/>
      <c r="R15" s="13">
        <f t="shared" si="1"/>
        <v>0</v>
      </c>
      <c r="S15" s="13">
        <v>1286</v>
      </c>
      <c r="T15" s="13">
        <f t="shared" si="2"/>
        <v>0</v>
      </c>
      <c r="U15" s="13"/>
      <c r="V15" s="13"/>
      <c r="W15" s="13"/>
      <c r="X15" s="13"/>
      <c r="Y15" s="13">
        <v>1</v>
      </c>
      <c r="Z15" s="13">
        <f t="shared" si="3"/>
        <v>1</v>
      </c>
      <c r="AA15" s="13">
        <v>1286</v>
      </c>
      <c r="AB15" s="13">
        <f t="shared" si="4"/>
        <v>1286</v>
      </c>
      <c r="AC15" s="13"/>
      <c r="AD15" s="13"/>
      <c r="AE15" s="13"/>
      <c r="AF15" s="13"/>
      <c r="AG15" s="13"/>
      <c r="AH15" s="13">
        <f t="shared" si="5"/>
        <v>0</v>
      </c>
      <c r="AI15" s="13">
        <v>1286</v>
      </c>
      <c r="AJ15" s="13">
        <f t="shared" si="6"/>
        <v>0</v>
      </c>
      <c r="AK15" s="13"/>
      <c r="AL15" s="13"/>
      <c r="AM15" s="13"/>
      <c r="AN15" s="13"/>
      <c r="AO15" s="13"/>
      <c r="AP15" s="13"/>
      <c r="AQ15" s="13">
        <v>1286</v>
      </c>
      <c r="AR15" s="13">
        <f t="shared" si="7"/>
        <v>0</v>
      </c>
      <c r="AS15" s="13"/>
      <c r="AT15" s="13"/>
      <c r="AU15" s="13"/>
      <c r="AV15" s="13"/>
      <c r="AW15" s="13">
        <v>1</v>
      </c>
      <c r="AX15" s="13">
        <f t="shared" si="8"/>
        <v>1</v>
      </c>
      <c r="AY15" s="13">
        <v>1286</v>
      </c>
      <c r="AZ15" s="13">
        <f t="shared" si="9"/>
        <v>1286</v>
      </c>
      <c r="BA15" s="13"/>
      <c r="BB15" s="13"/>
      <c r="BC15" s="13"/>
      <c r="BD15" s="13"/>
      <c r="BE15" s="13"/>
      <c r="BF15" s="13">
        <f t="shared" si="10"/>
        <v>0</v>
      </c>
      <c r="BG15" s="13">
        <v>1286</v>
      </c>
      <c r="BH15" s="13">
        <f t="shared" si="11"/>
        <v>0</v>
      </c>
      <c r="BI15" s="13"/>
      <c r="BJ15" s="13"/>
      <c r="BK15" s="13"/>
      <c r="BL15" s="13"/>
      <c r="BM15" s="13"/>
      <c r="BN15" s="13">
        <f t="shared" si="12"/>
        <v>0</v>
      </c>
      <c r="BO15" s="13">
        <v>1286</v>
      </c>
      <c r="BP15" s="13">
        <f t="shared" si="13"/>
        <v>0</v>
      </c>
      <c r="BQ15" s="13"/>
      <c r="BR15" s="13"/>
      <c r="BS15" s="13"/>
      <c r="BT15" s="13"/>
      <c r="BU15" s="13">
        <v>1</v>
      </c>
      <c r="BV15" s="13">
        <v>1</v>
      </c>
      <c r="BW15" s="13">
        <v>1286</v>
      </c>
      <c r="BX15" s="13">
        <f t="shared" si="15"/>
        <v>1286</v>
      </c>
      <c r="BY15" s="13"/>
      <c r="BZ15" s="13"/>
      <c r="CA15" s="13"/>
      <c r="CB15" s="13"/>
      <c r="CC15" s="13"/>
      <c r="CD15" s="13"/>
      <c r="CE15" s="13">
        <v>1286</v>
      </c>
      <c r="CF15" s="13">
        <f t="shared" si="16"/>
        <v>0</v>
      </c>
      <c r="CG15" s="15"/>
    </row>
    <row r="16" spans="1:246">
      <c r="A16" s="9" t="s">
        <v>7</v>
      </c>
      <c r="B16" s="10" t="s">
        <v>36</v>
      </c>
      <c r="C16" s="11"/>
      <c r="D16" s="11" t="s">
        <v>37</v>
      </c>
      <c r="E16" s="13"/>
      <c r="F16" s="13"/>
      <c r="G16" s="13"/>
      <c r="H16" s="13"/>
      <c r="I16" s="13"/>
      <c r="J16" s="13"/>
      <c r="K16" s="13">
        <v>8090</v>
      </c>
      <c r="L16" s="13">
        <f t="shared" si="0"/>
        <v>0</v>
      </c>
      <c r="M16" s="13"/>
      <c r="N16" s="13"/>
      <c r="O16" s="13"/>
      <c r="P16" s="13"/>
      <c r="Q16" s="13"/>
      <c r="R16" s="13">
        <f t="shared" si="1"/>
        <v>0</v>
      </c>
      <c r="S16" s="13">
        <v>8090</v>
      </c>
      <c r="T16" s="13">
        <f t="shared" si="2"/>
        <v>0</v>
      </c>
      <c r="U16" s="13"/>
      <c r="V16" s="13"/>
      <c r="W16" s="13"/>
      <c r="X16" s="13"/>
      <c r="Y16" s="13"/>
      <c r="Z16" s="13">
        <f t="shared" si="3"/>
        <v>0</v>
      </c>
      <c r="AA16" s="13">
        <v>8090</v>
      </c>
      <c r="AB16" s="13">
        <f t="shared" si="4"/>
        <v>0</v>
      </c>
      <c r="AC16" s="13"/>
      <c r="AD16" s="13"/>
      <c r="AE16" s="13"/>
      <c r="AF16" s="13"/>
      <c r="AG16" s="13"/>
      <c r="AH16" s="13">
        <f t="shared" si="5"/>
        <v>0</v>
      </c>
      <c r="AI16" s="13">
        <v>8090</v>
      </c>
      <c r="AJ16" s="13">
        <f t="shared" si="6"/>
        <v>0</v>
      </c>
      <c r="AK16" s="13"/>
      <c r="AL16" s="13"/>
      <c r="AM16" s="13"/>
      <c r="AN16" s="13"/>
      <c r="AO16" s="13"/>
      <c r="AP16" s="13"/>
      <c r="AQ16" s="13">
        <v>8090</v>
      </c>
      <c r="AR16" s="13">
        <f t="shared" si="7"/>
        <v>0</v>
      </c>
      <c r="AS16" s="13"/>
      <c r="AT16" s="13"/>
      <c r="AU16" s="13"/>
      <c r="AV16" s="13"/>
      <c r="AW16" s="13">
        <v>1</v>
      </c>
      <c r="AX16" s="13">
        <v>1</v>
      </c>
      <c r="AY16" s="13">
        <v>8090</v>
      </c>
      <c r="AZ16" s="13">
        <f t="shared" si="9"/>
        <v>8090</v>
      </c>
      <c r="BA16" s="13"/>
      <c r="BB16" s="13"/>
      <c r="BC16" s="13"/>
      <c r="BD16" s="13"/>
      <c r="BE16" s="13"/>
      <c r="BF16" s="13">
        <f t="shared" si="10"/>
        <v>0</v>
      </c>
      <c r="BG16" s="13">
        <v>8090</v>
      </c>
      <c r="BH16" s="13">
        <f t="shared" si="11"/>
        <v>0</v>
      </c>
      <c r="BI16" s="13"/>
      <c r="BJ16" s="13"/>
      <c r="BK16" s="13"/>
      <c r="BL16" s="13"/>
      <c r="BM16" s="13"/>
      <c r="BN16" s="13">
        <f t="shared" si="12"/>
        <v>0</v>
      </c>
      <c r="BO16" s="13">
        <v>8090</v>
      </c>
      <c r="BP16" s="13">
        <f t="shared" si="13"/>
        <v>0</v>
      </c>
      <c r="BQ16" s="13"/>
      <c r="BR16" s="13"/>
      <c r="BS16" s="13"/>
      <c r="BT16" s="13"/>
      <c r="BU16" s="13"/>
      <c r="BV16" s="13">
        <f t="shared" si="14"/>
        <v>0</v>
      </c>
      <c r="BW16" s="13">
        <v>8090</v>
      </c>
      <c r="BX16" s="13">
        <f t="shared" si="15"/>
        <v>0</v>
      </c>
      <c r="BY16" s="13"/>
      <c r="BZ16" s="13"/>
      <c r="CA16" s="13"/>
      <c r="CB16" s="13"/>
      <c r="CC16" s="13"/>
      <c r="CD16" s="13"/>
      <c r="CE16" s="13">
        <v>8090</v>
      </c>
      <c r="CF16" s="13">
        <f t="shared" si="16"/>
        <v>0</v>
      </c>
      <c r="CG16" s="15"/>
    </row>
    <row r="17" spans="1:246" ht="15">
      <c r="A17" s="9" t="s">
        <v>7</v>
      </c>
      <c r="B17" s="10" t="s">
        <v>38</v>
      </c>
      <c r="C17" s="11"/>
      <c r="D17" s="12" t="s">
        <v>39</v>
      </c>
      <c r="E17" s="13"/>
      <c r="F17" s="13"/>
      <c r="G17" s="13"/>
      <c r="H17" s="13"/>
      <c r="I17" s="13"/>
      <c r="J17" s="13"/>
      <c r="K17" s="14">
        <v>530</v>
      </c>
      <c r="L17" s="13">
        <f t="shared" si="0"/>
        <v>0</v>
      </c>
      <c r="M17" s="13"/>
      <c r="N17" s="13"/>
      <c r="O17" s="13"/>
      <c r="P17" s="13"/>
      <c r="Q17" s="13">
        <v>2</v>
      </c>
      <c r="R17" s="13">
        <f t="shared" si="1"/>
        <v>2</v>
      </c>
      <c r="S17" s="14">
        <v>530</v>
      </c>
      <c r="T17" s="13">
        <f t="shared" si="2"/>
        <v>1060</v>
      </c>
      <c r="U17" s="13"/>
      <c r="V17" s="13"/>
      <c r="W17" s="13"/>
      <c r="X17" s="13"/>
      <c r="Y17" s="13"/>
      <c r="Z17" s="13">
        <f t="shared" si="3"/>
        <v>0</v>
      </c>
      <c r="AA17" s="14">
        <v>530</v>
      </c>
      <c r="AB17" s="13">
        <f t="shared" si="4"/>
        <v>0</v>
      </c>
      <c r="AC17" s="13"/>
      <c r="AD17" s="13"/>
      <c r="AE17" s="13"/>
      <c r="AF17" s="13"/>
      <c r="AG17" s="13">
        <v>2</v>
      </c>
      <c r="AH17" s="13">
        <v>2</v>
      </c>
      <c r="AI17" s="14">
        <v>530</v>
      </c>
      <c r="AJ17" s="13">
        <f t="shared" si="6"/>
        <v>1060</v>
      </c>
      <c r="AK17" s="13"/>
      <c r="AL17" s="13"/>
      <c r="AM17" s="13"/>
      <c r="AN17" s="13"/>
      <c r="AO17" s="13"/>
      <c r="AP17" s="13"/>
      <c r="AQ17" s="14">
        <v>530</v>
      </c>
      <c r="AR17" s="13">
        <f t="shared" si="7"/>
        <v>0</v>
      </c>
      <c r="AS17" s="13"/>
      <c r="AT17" s="13"/>
      <c r="AU17" s="13"/>
      <c r="AV17" s="13"/>
      <c r="AW17" s="13">
        <v>2</v>
      </c>
      <c r="AX17" s="13">
        <f t="shared" si="8"/>
        <v>2</v>
      </c>
      <c r="AY17" s="14">
        <v>530</v>
      </c>
      <c r="AZ17" s="13">
        <f t="shared" si="9"/>
        <v>1060</v>
      </c>
      <c r="BA17" s="13"/>
      <c r="BB17" s="13"/>
      <c r="BC17" s="13"/>
      <c r="BD17" s="13"/>
      <c r="BE17" s="13"/>
      <c r="BF17" s="13">
        <f t="shared" si="10"/>
        <v>0</v>
      </c>
      <c r="BG17" s="14">
        <v>530</v>
      </c>
      <c r="BH17" s="13">
        <f t="shared" si="11"/>
        <v>0</v>
      </c>
      <c r="BI17" s="13"/>
      <c r="BJ17" s="13"/>
      <c r="BK17" s="13"/>
      <c r="BL17" s="13"/>
      <c r="BM17" s="13">
        <v>2</v>
      </c>
      <c r="BN17" s="13">
        <v>2</v>
      </c>
      <c r="BO17" s="14">
        <v>530</v>
      </c>
      <c r="BP17" s="13">
        <f t="shared" si="13"/>
        <v>1060</v>
      </c>
      <c r="BQ17" s="13"/>
      <c r="BR17" s="13"/>
      <c r="BS17" s="13"/>
      <c r="BT17" s="13"/>
      <c r="BU17" s="13"/>
      <c r="BV17" s="13">
        <f t="shared" si="14"/>
        <v>0</v>
      </c>
      <c r="BW17" s="14">
        <v>530</v>
      </c>
      <c r="BX17" s="13">
        <f t="shared" si="15"/>
        <v>0</v>
      </c>
      <c r="BY17" s="13"/>
      <c r="BZ17" s="13"/>
      <c r="CA17" s="13"/>
      <c r="CB17" s="13"/>
      <c r="CC17" s="13">
        <v>2</v>
      </c>
      <c r="CD17" s="13">
        <v>2</v>
      </c>
      <c r="CE17" s="14">
        <v>530</v>
      </c>
      <c r="CF17" s="13">
        <f t="shared" si="16"/>
        <v>1060</v>
      </c>
      <c r="CG17" s="15"/>
    </row>
    <row r="18" spans="1:246">
      <c r="A18" s="9" t="s">
        <v>7</v>
      </c>
      <c r="B18" s="10" t="s">
        <v>40</v>
      </c>
      <c r="C18" s="11"/>
      <c r="D18" s="11" t="s">
        <v>41</v>
      </c>
      <c r="E18" s="13"/>
      <c r="F18" s="13"/>
      <c r="G18" s="13"/>
      <c r="H18" s="13"/>
      <c r="I18" s="13"/>
      <c r="J18" s="13"/>
      <c r="K18" s="13">
        <v>668</v>
      </c>
      <c r="L18" s="13">
        <f t="shared" si="0"/>
        <v>0</v>
      </c>
      <c r="M18" s="13"/>
      <c r="N18" s="13"/>
      <c r="O18" s="13"/>
      <c r="P18" s="13"/>
      <c r="Q18" s="13"/>
      <c r="R18" s="13">
        <f t="shared" si="1"/>
        <v>0</v>
      </c>
      <c r="S18" s="13">
        <v>668</v>
      </c>
      <c r="T18" s="13">
        <f t="shared" si="2"/>
        <v>0</v>
      </c>
      <c r="U18" s="13"/>
      <c r="V18" s="13"/>
      <c r="W18" s="13"/>
      <c r="X18" s="13"/>
      <c r="Y18" s="13">
        <v>1</v>
      </c>
      <c r="Z18" s="13">
        <f t="shared" si="3"/>
        <v>1</v>
      </c>
      <c r="AA18" s="13">
        <v>668</v>
      </c>
      <c r="AB18" s="13">
        <f t="shared" si="4"/>
        <v>668</v>
      </c>
      <c r="AC18" s="13"/>
      <c r="AD18" s="13"/>
      <c r="AE18" s="13"/>
      <c r="AF18" s="13"/>
      <c r="AG18" s="13"/>
      <c r="AH18" s="13">
        <f t="shared" si="5"/>
        <v>0</v>
      </c>
      <c r="AI18" s="13">
        <v>668</v>
      </c>
      <c r="AJ18" s="13">
        <f t="shared" si="6"/>
        <v>0</v>
      </c>
      <c r="AK18" s="13"/>
      <c r="AL18" s="13"/>
      <c r="AM18" s="13"/>
      <c r="AN18" s="13"/>
      <c r="AO18" s="13"/>
      <c r="AP18" s="13"/>
      <c r="AQ18" s="13">
        <v>668</v>
      </c>
      <c r="AR18" s="13">
        <f t="shared" si="7"/>
        <v>0</v>
      </c>
      <c r="AS18" s="13"/>
      <c r="AT18" s="13"/>
      <c r="AU18" s="13"/>
      <c r="AV18" s="13"/>
      <c r="AW18" s="13">
        <v>1</v>
      </c>
      <c r="AX18" s="13">
        <f t="shared" si="8"/>
        <v>1</v>
      </c>
      <c r="AY18" s="13">
        <v>668</v>
      </c>
      <c r="AZ18" s="13">
        <f t="shared" si="9"/>
        <v>668</v>
      </c>
      <c r="BA18" s="13"/>
      <c r="BB18" s="13"/>
      <c r="BC18" s="13"/>
      <c r="BD18" s="13"/>
      <c r="BE18" s="13"/>
      <c r="BF18" s="13">
        <f t="shared" si="10"/>
        <v>0</v>
      </c>
      <c r="BG18" s="13">
        <v>668</v>
      </c>
      <c r="BH18" s="13">
        <f t="shared" si="11"/>
        <v>0</v>
      </c>
      <c r="BI18" s="13"/>
      <c r="BJ18" s="13"/>
      <c r="BK18" s="13"/>
      <c r="BL18" s="13"/>
      <c r="BM18" s="13"/>
      <c r="BN18" s="13">
        <f t="shared" si="12"/>
        <v>0</v>
      </c>
      <c r="BO18" s="13">
        <v>668</v>
      </c>
      <c r="BP18" s="13">
        <f t="shared" si="13"/>
        <v>0</v>
      </c>
      <c r="BQ18" s="13"/>
      <c r="BR18" s="13"/>
      <c r="BS18" s="13"/>
      <c r="BT18" s="13"/>
      <c r="BU18" s="13"/>
      <c r="BV18" s="13">
        <f t="shared" si="14"/>
        <v>0</v>
      </c>
      <c r="BW18" s="13">
        <v>668</v>
      </c>
      <c r="BX18" s="13">
        <f t="shared" si="15"/>
        <v>0</v>
      </c>
      <c r="BY18" s="13"/>
      <c r="BZ18" s="13"/>
      <c r="CA18" s="13"/>
      <c r="CB18" s="13"/>
      <c r="CC18" s="13"/>
      <c r="CD18" s="13"/>
      <c r="CE18" s="13">
        <v>668</v>
      </c>
      <c r="CF18" s="13">
        <f t="shared" si="16"/>
        <v>0</v>
      </c>
      <c r="CG18" s="15"/>
    </row>
    <row r="19" spans="1:246">
      <c r="A19" s="9" t="s">
        <v>7</v>
      </c>
      <c r="B19" s="10" t="s">
        <v>42</v>
      </c>
      <c r="C19" s="11"/>
      <c r="D19" s="12" t="s">
        <v>43</v>
      </c>
      <c r="E19" s="13"/>
      <c r="F19" s="13"/>
      <c r="G19" s="13"/>
      <c r="H19" s="13"/>
      <c r="I19" s="13"/>
      <c r="J19" s="13"/>
      <c r="K19" s="13">
        <v>1972</v>
      </c>
      <c r="L19" s="13">
        <f t="shared" si="0"/>
        <v>0</v>
      </c>
      <c r="M19" s="13"/>
      <c r="N19" s="13"/>
      <c r="O19" s="13"/>
      <c r="P19" s="13"/>
      <c r="Q19" s="13"/>
      <c r="R19" s="13">
        <f t="shared" si="1"/>
        <v>0</v>
      </c>
      <c r="S19" s="13">
        <v>1972</v>
      </c>
      <c r="T19" s="13">
        <f t="shared" si="2"/>
        <v>0</v>
      </c>
      <c r="U19" s="13"/>
      <c r="V19" s="13"/>
      <c r="W19" s="13"/>
      <c r="X19" s="13"/>
      <c r="Y19" s="13">
        <v>1</v>
      </c>
      <c r="Z19" s="13">
        <f t="shared" si="3"/>
        <v>1</v>
      </c>
      <c r="AA19" s="13">
        <v>1972</v>
      </c>
      <c r="AB19" s="13">
        <f t="shared" si="4"/>
        <v>1972</v>
      </c>
      <c r="AC19" s="13"/>
      <c r="AD19" s="13"/>
      <c r="AE19" s="13"/>
      <c r="AF19" s="13"/>
      <c r="AG19" s="13"/>
      <c r="AH19" s="13">
        <f t="shared" si="5"/>
        <v>0</v>
      </c>
      <c r="AI19" s="13">
        <v>1972</v>
      </c>
      <c r="AJ19" s="13">
        <f t="shared" si="6"/>
        <v>0</v>
      </c>
      <c r="AK19" s="13"/>
      <c r="AL19" s="13"/>
      <c r="AM19" s="13"/>
      <c r="AN19" s="13"/>
      <c r="AO19" s="13"/>
      <c r="AP19" s="13"/>
      <c r="AQ19" s="13">
        <v>1972</v>
      </c>
      <c r="AR19" s="13">
        <f t="shared" si="7"/>
        <v>0</v>
      </c>
      <c r="AS19" s="13"/>
      <c r="AT19" s="13"/>
      <c r="AU19" s="13"/>
      <c r="AV19" s="13"/>
      <c r="AW19" s="13">
        <v>1</v>
      </c>
      <c r="AX19" s="13">
        <f t="shared" si="8"/>
        <v>1</v>
      </c>
      <c r="AY19" s="13">
        <v>1972</v>
      </c>
      <c r="AZ19" s="13">
        <f t="shared" si="9"/>
        <v>1972</v>
      </c>
      <c r="BA19" s="13"/>
      <c r="BB19" s="13"/>
      <c r="BC19" s="13"/>
      <c r="BD19" s="13"/>
      <c r="BE19" s="13"/>
      <c r="BF19" s="13">
        <f t="shared" si="10"/>
        <v>0</v>
      </c>
      <c r="BG19" s="13">
        <v>1972</v>
      </c>
      <c r="BH19" s="13">
        <f t="shared" si="11"/>
        <v>0</v>
      </c>
      <c r="BI19" s="13"/>
      <c r="BJ19" s="13"/>
      <c r="BK19" s="13"/>
      <c r="BL19" s="13"/>
      <c r="BM19" s="13"/>
      <c r="BN19" s="13">
        <f t="shared" si="12"/>
        <v>0</v>
      </c>
      <c r="BO19" s="13">
        <v>1972</v>
      </c>
      <c r="BP19" s="13">
        <f t="shared" si="13"/>
        <v>0</v>
      </c>
      <c r="BQ19" s="13"/>
      <c r="BR19" s="13"/>
      <c r="BS19" s="13"/>
      <c r="BT19" s="13"/>
      <c r="BU19" s="13">
        <v>1</v>
      </c>
      <c r="BV19" s="13">
        <f t="shared" si="14"/>
        <v>1</v>
      </c>
      <c r="BW19" s="13">
        <v>1972</v>
      </c>
      <c r="BX19" s="13">
        <f t="shared" si="15"/>
        <v>1972</v>
      </c>
      <c r="BY19" s="13"/>
      <c r="BZ19" s="13"/>
      <c r="CA19" s="13"/>
      <c r="CB19" s="13"/>
      <c r="CC19" s="13"/>
      <c r="CD19" s="13"/>
      <c r="CE19" s="13">
        <v>1972</v>
      </c>
      <c r="CF19" s="13">
        <f t="shared" si="16"/>
        <v>0</v>
      </c>
      <c r="CG19" s="15"/>
    </row>
    <row r="20" spans="1:246">
      <c r="A20" s="9" t="s">
        <v>7</v>
      </c>
      <c r="B20" s="23" t="s">
        <v>44</v>
      </c>
      <c r="C20" s="24"/>
      <c r="D20" s="10" t="s">
        <v>45</v>
      </c>
      <c r="E20" s="25"/>
      <c r="F20" s="13"/>
      <c r="G20" s="13"/>
      <c r="H20" s="13"/>
      <c r="I20" s="25"/>
      <c r="J20" s="25"/>
      <c r="K20" s="19">
        <v>674</v>
      </c>
      <c r="L20" s="13">
        <f t="shared" si="0"/>
        <v>0</v>
      </c>
      <c r="M20" s="25"/>
      <c r="N20" s="13"/>
      <c r="O20" s="13"/>
      <c r="P20" s="13"/>
      <c r="Q20" s="25"/>
      <c r="R20" s="13">
        <f t="shared" si="1"/>
        <v>0</v>
      </c>
      <c r="S20" s="19">
        <v>674</v>
      </c>
      <c r="T20" s="13">
        <f t="shared" si="2"/>
        <v>0</v>
      </c>
      <c r="U20" s="25"/>
      <c r="V20" s="13"/>
      <c r="W20" s="13"/>
      <c r="X20" s="13"/>
      <c r="Y20" s="25">
        <v>1</v>
      </c>
      <c r="Z20" s="13">
        <f t="shared" si="3"/>
        <v>1</v>
      </c>
      <c r="AA20" s="19">
        <v>674</v>
      </c>
      <c r="AB20" s="13">
        <f t="shared" si="4"/>
        <v>674</v>
      </c>
      <c r="AC20" s="25"/>
      <c r="AD20" s="13"/>
      <c r="AE20" s="13"/>
      <c r="AF20" s="13"/>
      <c r="AG20" s="25"/>
      <c r="AH20" s="13">
        <f t="shared" si="5"/>
        <v>0</v>
      </c>
      <c r="AI20" s="19">
        <v>674</v>
      </c>
      <c r="AJ20" s="13">
        <f t="shared" si="6"/>
        <v>0</v>
      </c>
      <c r="AK20" s="25"/>
      <c r="AL20" s="13"/>
      <c r="AM20" s="13"/>
      <c r="AN20" s="13"/>
      <c r="AO20" s="25"/>
      <c r="AP20" s="25"/>
      <c r="AQ20" s="19">
        <v>674</v>
      </c>
      <c r="AR20" s="13">
        <f t="shared" si="7"/>
        <v>0</v>
      </c>
      <c r="AS20" s="25"/>
      <c r="AT20" s="13"/>
      <c r="AU20" s="13"/>
      <c r="AV20" s="13"/>
      <c r="AW20" s="25">
        <v>1</v>
      </c>
      <c r="AX20" s="13">
        <f t="shared" si="8"/>
        <v>1</v>
      </c>
      <c r="AY20" s="19">
        <v>674</v>
      </c>
      <c r="AZ20" s="13">
        <f t="shared" si="9"/>
        <v>674</v>
      </c>
      <c r="BA20" s="25"/>
      <c r="BB20" s="13"/>
      <c r="BC20" s="13"/>
      <c r="BD20" s="13"/>
      <c r="BE20" s="25"/>
      <c r="BF20" s="13">
        <f t="shared" si="10"/>
        <v>0</v>
      </c>
      <c r="BG20" s="19">
        <v>674</v>
      </c>
      <c r="BH20" s="13">
        <f t="shared" si="11"/>
        <v>0</v>
      </c>
      <c r="BI20" s="25"/>
      <c r="BJ20" s="13"/>
      <c r="BK20" s="13"/>
      <c r="BL20" s="13"/>
      <c r="BM20" s="25"/>
      <c r="BN20" s="13">
        <f t="shared" si="12"/>
        <v>0</v>
      </c>
      <c r="BO20" s="19">
        <v>674</v>
      </c>
      <c r="BP20" s="13">
        <f t="shared" si="13"/>
        <v>0</v>
      </c>
      <c r="BQ20" s="25"/>
      <c r="BR20" s="13"/>
      <c r="BS20" s="13"/>
      <c r="BT20" s="13"/>
      <c r="BU20" s="25">
        <v>1</v>
      </c>
      <c r="BV20" s="13">
        <f t="shared" si="14"/>
        <v>1</v>
      </c>
      <c r="BW20" s="19">
        <v>674</v>
      </c>
      <c r="BX20" s="13">
        <f t="shared" si="15"/>
        <v>674</v>
      </c>
      <c r="BY20" s="25"/>
      <c r="BZ20" s="13"/>
      <c r="CA20" s="13"/>
      <c r="CB20" s="13"/>
      <c r="CC20" s="25"/>
      <c r="CD20" s="25"/>
      <c r="CE20" s="19">
        <v>674</v>
      </c>
      <c r="CF20" s="13">
        <f t="shared" si="16"/>
        <v>0</v>
      </c>
      <c r="CG20" s="15"/>
    </row>
    <row r="21" spans="1:246">
      <c r="A21" s="9" t="s">
        <v>7</v>
      </c>
      <c r="B21" s="10" t="s">
        <v>46</v>
      </c>
      <c r="C21" s="11"/>
      <c r="D21" s="12" t="s">
        <v>47</v>
      </c>
      <c r="E21" s="13"/>
      <c r="F21" s="13"/>
      <c r="G21" s="13"/>
      <c r="H21" s="13"/>
      <c r="I21" s="13">
        <v>1</v>
      </c>
      <c r="J21" s="13">
        <v>1</v>
      </c>
      <c r="K21" s="21">
        <v>1243</v>
      </c>
      <c r="L21" s="13">
        <f t="shared" si="0"/>
        <v>1243</v>
      </c>
      <c r="M21" s="13"/>
      <c r="N21" s="13"/>
      <c r="O21" s="13"/>
      <c r="P21" s="13"/>
      <c r="Q21" s="13">
        <v>1</v>
      </c>
      <c r="R21" s="13">
        <f t="shared" si="1"/>
        <v>1</v>
      </c>
      <c r="S21" s="21">
        <v>1243</v>
      </c>
      <c r="T21" s="13">
        <f t="shared" si="2"/>
        <v>1243</v>
      </c>
      <c r="U21" s="13"/>
      <c r="V21" s="13"/>
      <c r="W21" s="13"/>
      <c r="X21" s="13"/>
      <c r="Y21" s="13">
        <v>1</v>
      </c>
      <c r="Z21" s="13">
        <f t="shared" si="3"/>
        <v>1</v>
      </c>
      <c r="AA21" s="21">
        <v>1243</v>
      </c>
      <c r="AB21" s="13">
        <f t="shared" si="4"/>
        <v>1243</v>
      </c>
      <c r="AC21" s="13"/>
      <c r="AD21" s="13"/>
      <c r="AE21" s="13"/>
      <c r="AF21" s="13"/>
      <c r="AG21" s="13">
        <v>1</v>
      </c>
      <c r="AH21" s="13">
        <f t="shared" si="5"/>
        <v>1</v>
      </c>
      <c r="AI21" s="21">
        <v>1243</v>
      </c>
      <c r="AJ21" s="13">
        <f t="shared" si="6"/>
        <v>1243</v>
      </c>
      <c r="AK21" s="13"/>
      <c r="AL21" s="13"/>
      <c r="AM21" s="13"/>
      <c r="AN21" s="13"/>
      <c r="AO21" s="13">
        <v>1</v>
      </c>
      <c r="AP21" s="13">
        <v>1</v>
      </c>
      <c r="AQ21" s="21">
        <v>1243</v>
      </c>
      <c r="AR21" s="13">
        <f t="shared" si="7"/>
        <v>1243</v>
      </c>
      <c r="AS21" s="13"/>
      <c r="AT21" s="13"/>
      <c r="AU21" s="13"/>
      <c r="AV21" s="13"/>
      <c r="AW21" s="13">
        <v>1</v>
      </c>
      <c r="AX21" s="13">
        <f t="shared" si="8"/>
        <v>1</v>
      </c>
      <c r="AY21" s="21">
        <v>1243</v>
      </c>
      <c r="AZ21" s="13">
        <f t="shared" si="9"/>
        <v>1243</v>
      </c>
      <c r="BA21" s="13"/>
      <c r="BB21" s="13"/>
      <c r="BC21" s="13"/>
      <c r="BD21" s="13"/>
      <c r="BE21" s="13">
        <v>1</v>
      </c>
      <c r="BF21" s="13">
        <f t="shared" si="10"/>
        <v>1</v>
      </c>
      <c r="BG21" s="21">
        <v>1243</v>
      </c>
      <c r="BH21" s="13">
        <f t="shared" si="11"/>
        <v>1243</v>
      </c>
      <c r="BI21" s="13"/>
      <c r="BJ21" s="13"/>
      <c r="BK21" s="13"/>
      <c r="BL21" s="13"/>
      <c r="BM21" s="13">
        <v>1</v>
      </c>
      <c r="BN21" s="13">
        <f t="shared" si="12"/>
        <v>1</v>
      </c>
      <c r="BO21" s="21">
        <v>1243</v>
      </c>
      <c r="BP21" s="13">
        <f t="shared" si="13"/>
        <v>1243</v>
      </c>
      <c r="BQ21" s="13"/>
      <c r="BR21" s="13"/>
      <c r="BS21" s="13"/>
      <c r="BT21" s="13"/>
      <c r="BU21" s="13">
        <v>1</v>
      </c>
      <c r="BV21" s="13">
        <f t="shared" si="14"/>
        <v>1</v>
      </c>
      <c r="BW21" s="21">
        <v>1243</v>
      </c>
      <c r="BX21" s="13">
        <f t="shared" si="15"/>
        <v>1243</v>
      </c>
      <c r="BY21" s="13"/>
      <c r="BZ21" s="13"/>
      <c r="CA21" s="13"/>
      <c r="CB21" s="13"/>
      <c r="CC21" s="13">
        <v>1</v>
      </c>
      <c r="CD21" s="13">
        <v>1</v>
      </c>
      <c r="CE21" s="21">
        <v>1243</v>
      </c>
      <c r="CF21" s="13">
        <f t="shared" si="16"/>
        <v>1243</v>
      </c>
      <c r="CG21" s="15"/>
    </row>
    <row r="22" spans="1:246">
      <c r="A22" s="9" t="s">
        <v>7</v>
      </c>
      <c r="B22" s="26" t="s">
        <v>48</v>
      </c>
      <c r="C22" s="27"/>
      <c r="D22" s="12" t="s">
        <v>49</v>
      </c>
      <c r="E22" s="28"/>
      <c r="F22" s="28"/>
      <c r="G22" s="28"/>
      <c r="H22" s="28"/>
      <c r="I22" s="28"/>
      <c r="J22" s="28"/>
      <c r="K22" s="29">
        <v>322</v>
      </c>
      <c r="L22" s="13">
        <f t="shared" si="0"/>
        <v>0</v>
      </c>
      <c r="M22" s="28"/>
      <c r="N22" s="28"/>
      <c r="O22" s="28"/>
      <c r="P22" s="28"/>
      <c r="Q22" s="28"/>
      <c r="R22" s="13">
        <f t="shared" si="1"/>
        <v>0</v>
      </c>
      <c r="S22" s="29">
        <v>322</v>
      </c>
      <c r="T22" s="13">
        <f t="shared" si="2"/>
        <v>0</v>
      </c>
      <c r="U22" s="28"/>
      <c r="V22" s="28"/>
      <c r="W22" s="28"/>
      <c r="X22" s="28"/>
      <c r="Y22" s="28">
        <v>1</v>
      </c>
      <c r="Z22" s="13">
        <f t="shared" si="3"/>
        <v>1</v>
      </c>
      <c r="AA22" s="29">
        <v>322</v>
      </c>
      <c r="AB22" s="13">
        <f t="shared" si="4"/>
        <v>322</v>
      </c>
      <c r="AC22" s="28"/>
      <c r="AD22" s="28"/>
      <c r="AE22" s="28"/>
      <c r="AF22" s="28"/>
      <c r="AG22" s="28"/>
      <c r="AH22" s="13">
        <f t="shared" si="5"/>
        <v>0</v>
      </c>
      <c r="AI22" s="29">
        <v>322</v>
      </c>
      <c r="AJ22" s="13">
        <f t="shared" si="6"/>
        <v>0</v>
      </c>
      <c r="AK22" s="28"/>
      <c r="AL22" s="28"/>
      <c r="AM22" s="28"/>
      <c r="AN22" s="28"/>
      <c r="AO22" s="28"/>
      <c r="AP22" s="28"/>
      <c r="AQ22" s="29">
        <v>322</v>
      </c>
      <c r="AR22" s="13">
        <f t="shared" si="7"/>
        <v>0</v>
      </c>
      <c r="AS22" s="28"/>
      <c r="AT22" s="28"/>
      <c r="AU22" s="28"/>
      <c r="AV22" s="28"/>
      <c r="AW22" s="28">
        <v>1</v>
      </c>
      <c r="AX22" s="13">
        <f t="shared" si="8"/>
        <v>1</v>
      </c>
      <c r="AY22" s="29">
        <v>322</v>
      </c>
      <c r="AZ22" s="13">
        <f t="shared" si="9"/>
        <v>322</v>
      </c>
      <c r="BA22" s="28"/>
      <c r="BB22" s="28"/>
      <c r="BC22" s="28"/>
      <c r="BD22" s="28"/>
      <c r="BE22" s="28"/>
      <c r="BF22" s="13">
        <f t="shared" si="10"/>
        <v>0</v>
      </c>
      <c r="BG22" s="29">
        <v>322</v>
      </c>
      <c r="BH22" s="13">
        <f t="shared" si="11"/>
        <v>0</v>
      </c>
      <c r="BI22" s="28"/>
      <c r="BJ22" s="28"/>
      <c r="BK22" s="28"/>
      <c r="BL22" s="28"/>
      <c r="BM22" s="28"/>
      <c r="BN22" s="13">
        <f t="shared" si="12"/>
        <v>0</v>
      </c>
      <c r="BO22" s="29">
        <v>322</v>
      </c>
      <c r="BP22" s="13">
        <f t="shared" si="13"/>
        <v>0</v>
      </c>
      <c r="BQ22" s="28"/>
      <c r="BR22" s="28"/>
      <c r="BS22" s="28"/>
      <c r="BT22" s="28"/>
      <c r="BU22" s="28">
        <v>1</v>
      </c>
      <c r="BV22" s="13">
        <f t="shared" si="14"/>
        <v>1</v>
      </c>
      <c r="BW22" s="29">
        <v>322</v>
      </c>
      <c r="BX22" s="13">
        <f t="shared" si="15"/>
        <v>322</v>
      </c>
      <c r="BY22" s="28"/>
      <c r="BZ22" s="28"/>
      <c r="CA22" s="28"/>
      <c r="CB22" s="28"/>
      <c r="CC22" s="28"/>
      <c r="CD22" s="28"/>
      <c r="CE22" s="29">
        <v>322</v>
      </c>
      <c r="CF22" s="13">
        <f t="shared" si="16"/>
        <v>0</v>
      </c>
      <c r="CG22" s="15"/>
    </row>
    <row r="23" spans="1:246" ht="15">
      <c r="A23" s="30" t="s">
        <v>7</v>
      </c>
      <c r="B23" s="31" t="s">
        <v>50</v>
      </c>
      <c r="C23" s="32"/>
      <c r="D23" s="33" t="s">
        <v>51</v>
      </c>
      <c r="E23" s="34"/>
      <c r="F23" s="34"/>
      <c r="G23" s="34"/>
      <c r="H23" s="34"/>
      <c r="I23" s="34"/>
      <c r="J23" s="34"/>
      <c r="K23" s="35">
        <v>190</v>
      </c>
      <c r="L23" s="28">
        <f t="shared" si="0"/>
        <v>0</v>
      </c>
      <c r="M23" s="34"/>
      <c r="N23" s="34"/>
      <c r="O23" s="34"/>
      <c r="P23" s="34"/>
      <c r="Q23" s="34"/>
      <c r="R23" s="28">
        <f t="shared" si="1"/>
        <v>0</v>
      </c>
      <c r="S23" s="35">
        <v>190</v>
      </c>
      <c r="T23" s="13">
        <f t="shared" si="2"/>
        <v>0</v>
      </c>
      <c r="U23" s="34"/>
      <c r="V23" s="34"/>
      <c r="W23" s="34"/>
      <c r="X23" s="34"/>
      <c r="Y23" s="34">
        <v>1</v>
      </c>
      <c r="Z23" s="28">
        <f t="shared" si="3"/>
        <v>1</v>
      </c>
      <c r="AA23" s="35">
        <v>190</v>
      </c>
      <c r="AB23" s="13">
        <f t="shared" si="4"/>
        <v>190</v>
      </c>
      <c r="AC23" s="34"/>
      <c r="AD23" s="34"/>
      <c r="AE23" s="34"/>
      <c r="AF23" s="34"/>
      <c r="AG23" s="34"/>
      <c r="AH23" s="28">
        <f t="shared" si="5"/>
        <v>0</v>
      </c>
      <c r="AI23" s="35">
        <v>190</v>
      </c>
      <c r="AJ23" s="28">
        <f t="shared" si="6"/>
        <v>0</v>
      </c>
      <c r="AK23" s="34"/>
      <c r="AL23" s="34"/>
      <c r="AM23" s="34"/>
      <c r="AN23" s="34"/>
      <c r="AO23" s="34"/>
      <c r="AP23" s="34"/>
      <c r="AQ23" s="35">
        <v>190</v>
      </c>
      <c r="AR23" s="28">
        <f t="shared" si="7"/>
        <v>0</v>
      </c>
      <c r="AS23" s="34"/>
      <c r="AT23" s="34"/>
      <c r="AU23" s="34"/>
      <c r="AV23" s="34"/>
      <c r="AW23" s="34">
        <v>1</v>
      </c>
      <c r="AX23" s="28">
        <f t="shared" si="8"/>
        <v>1</v>
      </c>
      <c r="AY23" s="35">
        <v>190</v>
      </c>
      <c r="AZ23" s="28">
        <f t="shared" si="9"/>
        <v>190</v>
      </c>
      <c r="BA23" s="34"/>
      <c r="BB23" s="34"/>
      <c r="BC23" s="34"/>
      <c r="BD23" s="34"/>
      <c r="BE23" s="34"/>
      <c r="BF23" s="28">
        <f t="shared" si="10"/>
        <v>0</v>
      </c>
      <c r="BG23" s="35">
        <v>190</v>
      </c>
      <c r="BH23" s="28">
        <f t="shared" si="11"/>
        <v>0</v>
      </c>
      <c r="BI23" s="34"/>
      <c r="BJ23" s="34"/>
      <c r="BK23" s="34"/>
      <c r="BL23" s="34"/>
      <c r="BM23" s="34"/>
      <c r="BN23" s="28">
        <f t="shared" si="12"/>
        <v>0</v>
      </c>
      <c r="BO23" s="35">
        <v>190</v>
      </c>
      <c r="BP23" s="28">
        <f t="shared" si="13"/>
        <v>0</v>
      </c>
      <c r="BQ23" s="34"/>
      <c r="BR23" s="34"/>
      <c r="BS23" s="34"/>
      <c r="BT23" s="34"/>
      <c r="BU23" s="34">
        <v>1</v>
      </c>
      <c r="BV23" s="28">
        <f t="shared" si="14"/>
        <v>1</v>
      </c>
      <c r="BW23" s="35">
        <v>190</v>
      </c>
      <c r="BX23" s="28">
        <f t="shared" si="15"/>
        <v>190</v>
      </c>
      <c r="BY23" s="34"/>
      <c r="BZ23" s="34"/>
      <c r="CA23" s="34"/>
      <c r="CB23" s="34"/>
      <c r="CC23" s="34"/>
      <c r="CD23" s="34"/>
      <c r="CE23" s="35">
        <v>190</v>
      </c>
      <c r="CF23" s="28">
        <f t="shared" si="16"/>
        <v>0</v>
      </c>
    </row>
    <row r="24" spans="1:246" s="46" customFormat="1">
      <c r="A24" s="36" t="s">
        <v>7</v>
      </c>
      <c r="B24" s="37" t="s">
        <v>52</v>
      </c>
      <c r="C24" s="38"/>
      <c r="D24" s="39" t="s">
        <v>53</v>
      </c>
      <c r="E24" s="40"/>
      <c r="F24" s="41"/>
      <c r="G24" s="41"/>
      <c r="H24" s="41"/>
      <c r="I24" s="40"/>
      <c r="J24" s="40"/>
      <c r="K24" s="42">
        <v>628</v>
      </c>
      <c r="L24" s="41">
        <f t="shared" si="0"/>
        <v>0</v>
      </c>
      <c r="M24" s="40"/>
      <c r="N24" s="41"/>
      <c r="O24" s="41"/>
      <c r="P24" s="41"/>
      <c r="Q24" s="40"/>
      <c r="R24" s="41">
        <f t="shared" si="1"/>
        <v>0</v>
      </c>
      <c r="S24" s="42">
        <v>628</v>
      </c>
      <c r="T24" s="13">
        <f t="shared" si="2"/>
        <v>0</v>
      </c>
      <c r="U24" s="40"/>
      <c r="V24" s="41"/>
      <c r="W24" s="41"/>
      <c r="X24" s="41"/>
      <c r="Y24" s="40">
        <v>1</v>
      </c>
      <c r="Z24" s="41">
        <f t="shared" si="3"/>
        <v>1</v>
      </c>
      <c r="AA24" s="42">
        <v>628</v>
      </c>
      <c r="AB24" s="13">
        <f t="shared" si="4"/>
        <v>628</v>
      </c>
      <c r="AC24" s="40"/>
      <c r="AD24" s="41"/>
      <c r="AE24" s="41"/>
      <c r="AF24" s="41"/>
      <c r="AG24" s="40"/>
      <c r="AH24" s="41">
        <f t="shared" si="5"/>
        <v>0</v>
      </c>
      <c r="AI24" s="42">
        <v>628</v>
      </c>
      <c r="AJ24" s="41">
        <f t="shared" si="6"/>
        <v>0</v>
      </c>
      <c r="AK24" s="40"/>
      <c r="AL24" s="41"/>
      <c r="AM24" s="41"/>
      <c r="AN24" s="41"/>
      <c r="AO24" s="40"/>
      <c r="AP24" s="40"/>
      <c r="AQ24" s="42">
        <v>628</v>
      </c>
      <c r="AR24" s="41">
        <f t="shared" si="7"/>
        <v>0</v>
      </c>
      <c r="AS24" s="40"/>
      <c r="AT24" s="41"/>
      <c r="AU24" s="41"/>
      <c r="AV24" s="41"/>
      <c r="AW24" s="40">
        <v>1</v>
      </c>
      <c r="AX24" s="41">
        <f t="shared" si="8"/>
        <v>1</v>
      </c>
      <c r="AY24" s="42">
        <v>628</v>
      </c>
      <c r="AZ24" s="41">
        <f t="shared" si="9"/>
        <v>628</v>
      </c>
      <c r="BA24" s="40"/>
      <c r="BB24" s="41"/>
      <c r="BC24" s="41"/>
      <c r="BD24" s="41"/>
      <c r="BE24" s="40"/>
      <c r="BF24" s="41">
        <f t="shared" si="10"/>
        <v>0</v>
      </c>
      <c r="BG24" s="42">
        <v>628</v>
      </c>
      <c r="BH24" s="41">
        <f t="shared" si="11"/>
        <v>0</v>
      </c>
      <c r="BI24" s="40"/>
      <c r="BJ24" s="41"/>
      <c r="BK24" s="41"/>
      <c r="BL24" s="41"/>
      <c r="BM24" s="40"/>
      <c r="BN24" s="41">
        <f t="shared" si="12"/>
        <v>0</v>
      </c>
      <c r="BO24" s="42">
        <v>628</v>
      </c>
      <c r="BP24" s="41">
        <f t="shared" si="13"/>
        <v>0</v>
      </c>
      <c r="BQ24" s="40"/>
      <c r="BR24" s="41"/>
      <c r="BS24" s="41"/>
      <c r="BT24" s="41"/>
      <c r="BU24" s="40">
        <v>1</v>
      </c>
      <c r="BV24" s="41">
        <f t="shared" si="14"/>
        <v>1</v>
      </c>
      <c r="BW24" s="42">
        <v>628</v>
      </c>
      <c r="BX24" s="41">
        <f t="shared" si="15"/>
        <v>628</v>
      </c>
      <c r="BY24" s="40"/>
      <c r="BZ24" s="41"/>
      <c r="CA24" s="41"/>
      <c r="CB24" s="41"/>
      <c r="CC24" s="40"/>
      <c r="CD24" s="40"/>
      <c r="CE24" s="42">
        <v>628</v>
      </c>
      <c r="CF24" s="41">
        <f t="shared" si="16"/>
        <v>0</v>
      </c>
      <c r="CG24" s="43"/>
      <c r="CH24" s="44"/>
      <c r="CI24" s="44"/>
      <c r="CJ24" s="44"/>
      <c r="CK24" s="44"/>
      <c r="CL24" s="44"/>
      <c r="CM24" s="44"/>
      <c r="CN24" s="44"/>
      <c r="CO24" s="44"/>
      <c r="CP24" s="44"/>
      <c r="CQ24" s="44"/>
      <c r="CR24" s="44"/>
      <c r="CS24" s="44"/>
      <c r="CT24" s="45"/>
    </row>
    <row r="25" spans="1:246" s="44" customFormat="1">
      <c r="A25" s="47"/>
      <c r="B25" s="48"/>
      <c r="C25" s="49"/>
      <c r="D25" s="50"/>
      <c r="E25" s="51"/>
      <c r="F25" s="52"/>
      <c r="G25" s="52"/>
      <c r="H25" s="52"/>
      <c r="I25" s="51"/>
      <c r="J25" s="51"/>
      <c r="K25" s="53"/>
      <c r="L25" s="52"/>
      <c r="M25" s="51"/>
      <c r="N25" s="52"/>
      <c r="O25" s="52"/>
      <c r="P25" s="52"/>
      <c r="Q25" s="51"/>
      <c r="R25" s="52"/>
      <c r="S25" s="53"/>
      <c r="T25" s="52"/>
      <c r="U25" s="51"/>
      <c r="V25" s="52"/>
      <c r="W25" s="52"/>
      <c r="X25" s="52"/>
      <c r="Y25" s="51"/>
      <c r="Z25" s="52"/>
      <c r="AA25" s="53"/>
      <c r="AB25" s="13"/>
      <c r="AC25" s="51"/>
      <c r="AD25" s="52"/>
      <c r="AE25" s="52"/>
      <c r="AF25" s="52"/>
      <c r="AG25" s="51"/>
      <c r="AH25" s="52"/>
      <c r="AI25" s="53"/>
      <c r="AJ25" s="52"/>
      <c r="AK25" s="51"/>
      <c r="AL25" s="52"/>
      <c r="AM25" s="52"/>
      <c r="AN25" s="52"/>
      <c r="AO25" s="51"/>
      <c r="AP25" s="52"/>
      <c r="AQ25" s="53"/>
      <c r="AR25" s="52"/>
      <c r="AS25" s="51"/>
      <c r="AT25" s="52"/>
      <c r="AU25" s="52"/>
      <c r="AV25" s="52"/>
      <c r="AW25" s="51"/>
      <c r="AX25" s="52"/>
      <c r="AY25" s="53"/>
      <c r="AZ25" s="52"/>
      <c r="BA25" s="51"/>
      <c r="BB25" s="52"/>
      <c r="BC25" s="52"/>
      <c r="BD25" s="52"/>
      <c r="BE25" s="51"/>
      <c r="BF25" s="52"/>
      <c r="BG25" s="53"/>
      <c r="BH25" s="52"/>
      <c r="BI25" s="51"/>
      <c r="BJ25" s="52"/>
      <c r="BK25" s="52"/>
      <c r="BL25" s="52"/>
      <c r="BM25" s="51"/>
      <c r="BN25" s="52"/>
      <c r="BO25" s="53"/>
      <c r="BP25" s="52"/>
      <c r="BQ25" s="51"/>
      <c r="BR25" s="52"/>
      <c r="BS25" s="52"/>
      <c r="BT25" s="52"/>
      <c r="BU25" s="51"/>
      <c r="BV25" s="52"/>
      <c r="BW25" s="53"/>
      <c r="BX25" s="52"/>
      <c r="BY25" s="51"/>
      <c r="BZ25" s="52"/>
      <c r="CA25" s="52"/>
      <c r="CB25" s="52"/>
      <c r="CC25" s="51"/>
      <c r="CD25" s="52"/>
      <c r="CE25" s="53"/>
      <c r="CF25" s="52"/>
      <c r="CG25" s="43"/>
    </row>
    <row r="26" spans="1:246" s="56" customFormat="1">
      <c r="A26" s="9" t="s">
        <v>7</v>
      </c>
      <c r="B26" s="10" t="s">
        <v>54</v>
      </c>
      <c r="C26" s="11"/>
      <c r="D26" s="12" t="s">
        <v>39</v>
      </c>
      <c r="E26" s="13"/>
      <c r="F26" s="13"/>
      <c r="G26" s="13"/>
      <c r="H26" s="13"/>
      <c r="I26" s="13"/>
      <c r="J26" s="13"/>
      <c r="K26" s="54">
        <v>339</v>
      </c>
      <c r="L26" s="13">
        <f>J26*K26</f>
        <v>0</v>
      </c>
      <c r="M26" s="13"/>
      <c r="N26" s="13"/>
      <c r="O26" s="13"/>
      <c r="P26" s="13"/>
      <c r="Q26" s="13">
        <v>2</v>
      </c>
      <c r="R26" s="13">
        <f>M26+N26+O26+P26+Q26</f>
        <v>2</v>
      </c>
      <c r="S26" s="54">
        <v>339</v>
      </c>
      <c r="T26" s="13">
        <f>S26*R26</f>
        <v>678</v>
      </c>
      <c r="U26" s="13"/>
      <c r="V26" s="13"/>
      <c r="W26" s="13"/>
      <c r="X26" s="13"/>
      <c r="Y26" s="13"/>
      <c r="Z26" s="13">
        <f>U26+V26+W26+X26+Y26</f>
        <v>0</v>
      </c>
      <c r="AA26" s="54">
        <v>339</v>
      </c>
      <c r="AB26" s="13">
        <f>AA26*Z26</f>
        <v>0</v>
      </c>
      <c r="AC26" s="13"/>
      <c r="AD26" s="13"/>
      <c r="AE26" s="13"/>
      <c r="AF26" s="13"/>
      <c r="AG26" s="13">
        <v>2</v>
      </c>
      <c r="AH26" s="13">
        <f>AC26+AD26+AE26+AF26+AG26</f>
        <v>2</v>
      </c>
      <c r="AI26" s="54">
        <v>339</v>
      </c>
      <c r="AJ26" s="13">
        <f>AI26*AH26</f>
        <v>678</v>
      </c>
      <c r="AK26" s="13"/>
      <c r="AL26" s="13"/>
      <c r="AM26" s="13"/>
      <c r="AN26" s="13"/>
      <c r="AO26" s="13"/>
      <c r="AP26" s="13">
        <f>AK26+AL26+AM26+AN26+AO26</f>
        <v>0</v>
      </c>
      <c r="AQ26" s="54">
        <v>339</v>
      </c>
      <c r="AR26" s="13">
        <f>AQ26*AP26</f>
        <v>0</v>
      </c>
      <c r="AS26" s="13"/>
      <c r="AT26" s="13"/>
      <c r="AU26" s="13"/>
      <c r="AV26" s="13"/>
      <c r="AW26" s="13">
        <v>2</v>
      </c>
      <c r="AX26" s="13">
        <f>AS26+AT26+AU26+AV26+AW26</f>
        <v>2</v>
      </c>
      <c r="AY26" s="54">
        <v>339</v>
      </c>
      <c r="AZ26" s="13">
        <f>AY26*AX26</f>
        <v>678</v>
      </c>
      <c r="BA26" s="13"/>
      <c r="BB26" s="13"/>
      <c r="BC26" s="13"/>
      <c r="BD26" s="13"/>
      <c r="BE26" s="13"/>
      <c r="BF26" s="13">
        <f>BA26+BB26+BC26+BD26+BE26</f>
        <v>0</v>
      </c>
      <c r="BG26" s="54">
        <v>339</v>
      </c>
      <c r="BH26" s="13">
        <f>BG26*BF26</f>
        <v>0</v>
      </c>
      <c r="BI26" s="13"/>
      <c r="BJ26" s="13"/>
      <c r="BK26" s="13"/>
      <c r="BL26" s="13"/>
      <c r="BM26" s="13">
        <v>2</v>
      </c>
      <c r="BN26" s="13">
        <f>BI26+BJ26+BK26+BL26+BM26</f>
        <v>2</v>
      </c>
      <c r="BO26" s="54">
        <v>339</v>
      </c>
      <c r="BP26" s="13">
        <f>BO26*BN26</f>
        <v>678</v>
      </c>
      <c r="BQ26" s="13"/>
      <c r="BR26" s="13"/>
      <c r="BS26" s="13"/>
      <c r="BT26" s="13"/>
      <c r="BU26" s="13"/>
      <c r="BV26" s="13">
        <f>BQ26+BR26+BS26+BT26+BU26</f>
        <v>0</v>
      </c>
      <c r="BW26" s="54">
        <v>339</v>
      </c>
      <c r="BX26" s="13">
        <f>BW26*BV26</f>
        <v>0</v>
      </c>
      <c r="BY26" s="13"/>
      <c r="BZ26" s="13"/>
      <c r="CA26" s="13"/>
      <c r="CB26" s="13"/>
      <c r="CC26" s="13"/>
      <c r="CD26" s="13">
        <f>BY26+BZ26+CA26+CB26+CC26</f>
        <v>0</v>
      </c>
      <c r="CE26" s="54">
        <v>339</v>
      </c>
      <c r="CF26" s="13">
        <f>CE26*CD26</f>
        <v>0</v>
      </c>
      <c r="CG26" s="55"/>
    </row>
    <row r="27" spans="1:246">
      <c r="A27" s="9" t="s">
        <v>7</v>
      </c>
      <c r="B27" s="10" t="s">
        <v>55</v>
      </c>
      <c r="C27" s="11"/>
      <c r="D27" s="12" t="s">
        <v>43</v>
      </c>
      <c r="E27" s="13"/>
      <c r="F27" s="13"/>
      <c r="G27" s="13"/>
      <c r="H27" s="13"/>
      <c r="I27" s="13"/>
      <c r="J27" s="13"/>
      <c r="K27" s="13">
        <v>1905</v>
      </c>
      <c r="L27" s="13">
        <f>J27*K27</f>
        <v>0</v>
      </c>
      <c r="M27" s="13"/>
      <c r="N27" s="13"/>
      <c r="O27" s="13"/>
      <c r="P27" s="13"/>
      <c r="Q27" s="13"/>
      <c r="R27" s="13">
        <f>M27+N27+O27+P27+Q27</f>
        <v>0</v>
      </c>
      <c r="S27" s="13">
        <v>1905</v>
      </c>
      <c r="T27" s="13">
        <f>S27*R27</f>
        <v>0</v>
      </c>
      <c r="U27" s="13"/>
      <c r="V27" s="13"/>
      <c r="W27" s="13"/>
      <c r="X27" s="13"/>
      <c r="Y27" s="13"/>
      <c r="Z27" s="13">
        <f>U27+V27+W27+X27+Y27</f>
        <v>0</v>
      </c>
      <c r="AA27" s="13">
        <v>1905</v>
      </c>
      <c r="AB27" s="13">
        <f>AA27*Z27</f>
        <v>0</v>
      </c>
      <c r="AC27" s="13"/>
      <c r="AD27" s="13"/>
      <c r="AE27" s="13"/>
      <c r="AF27" s="13"/>
      <c r="AG27" s="13"/>
      <c r="AH27" s="13">
        <f>AC27+AD27+AE27+AF27+AG27</f>
        <v>0</v>
      </c>
      <c r="AI27" s="13">
        <v>1905</v>
      </c>
      <c r="AJ27" s="13">
        <f>AI27*AH27</f>
        <v>0</v>
      </c>
      <c r="AK27" s="13"/>
      <c r="AL27" s="13"/>
      <c r="AM27" s="13"/>
      <c r="AN27" s="13"/>
      <c r="AO27" s="13"/>
      <c r="AP27" s="13">
        <f>AK27+AL27+AM27+AN27+AO27</f>
        <v>0</v>
      </c>
      <c r="AQ27" s="13">
        <v>1905</v>
      </c>
      <c r="AR27" s="13">
        <f>AQ27*AP27</f>
        <v>0</v>
      </c>
      <c r="AS27" s="13"/>
      <c r="AT27" s="13"/>
      <c r="AU27" s="13"/>
      <c r="AV27" s="13"/>
      <c r="AW27" s="13"/>
      <c r="AX27" s="13">
        <f>AS27+AT27+AU27+AV27+AW27</f>
        <v>0</v>
      </c>
      <c r="AY27" s="13">
        <v>1905</v>
      </c>
      <c r="AZ27" s="13">
        <f>AY27*AX27</f>
        <v>0</v>
      </c>
      <c r="BA27" s="13"/>
      <c r="BB27" s="13"/>
      <c r="BC27" s="13"/>
      <c r="BD27" s="13"/>
      <c r="BE27" s="13"/>
      <c r="BF27" s="13">
        <f>BA27+BB27+BC27+BD27+BE27</f>
        <v>0</v>
      </c>
      <c r="BG27" s="13">
        <v>1905</v>
      </c>
      <c r="BH27" s="13">
        <f>BG27*BF27</f>
        <v>0</v>
      </c>
      <c r="BI27" s="13"/>
      <c r="BJ27" s="13"/>
      <c r="BK27" s="13"/>
      <c r="BL27" s="13"/>
      <c r="BM27" s="13"/>
      <c r="BN27" s="13">
        <f>BI27+BJ27+BK27+BL27+BM27</f>
        <v>0</v>
      </c>
      <c r="BO27" s="13">
        <v>1905</v>
      </c>
      <c r="BP27" s="13">
        <f>BO27*BN27</f>
        <v>0</v>
      </c>
      <c r="BQ27" s="13"/>
      <c r="BR27" s="13"/>
      <c r="BS27" s="13"/>
      <c r="BT27" s="13"/>
      <c r="BU27" s="13"/>
      <c r="BV27" s="13">
        <f>BQ27+BR27+BS27+BT27+BU27</f>
        <v>0</v>
      </c>
      <c r="BW27" s="13">
        <v>1905</v>
      </c>
      <c r="BX27" s="13">
        <f>BW27*BV27</f>
        <v>0</v>
      </c>
      <c r="BY27" s="13"/>
      <c r="BZ27" s="13"/>
      <c r="CA27" s="13"/>
      <c r="CB27" s="13"/>
      <c r="CC27" s="13"/>
      <c r="CD27" s="13">
        <f>BY27+BZ27+CA27+CB27+CC27</f>
        <v>0</v>
      </c>
      <c r="CE27" s="13">
        <v>1905</v>
      </c>
      <c r="CF27" s="13">
        <f>CE27*CD27</f>
        <v>0</v>
      </c>
      <c r="CG27" s="15"/>
    </row>
    <row r="28" spans="1:246" ht="15">
      <c r="A28" s="47"/>
      <c r="B28" s="57"/>
      <c r="C28" s="58"/>
      <c r="D28" s="50"/>
      <c r="E28" s="52"/>
      <c r="F28" s="52"/>
      <c r="G28" s="52"/>
      <c r="H28" s="52"/>
      <c r="I28" s="52"/>
      <c r="J28" s="52"/>
      <c r="K28" s="52"/>
      <c r="L28" s="59">
        <f>SUM(L2:L27)</f>
        <v>3779</v>
      </c>
      <c r="M28" s="52"/>
      <c r="N28" s="52"/>
      <c r="O28" s="52"/>
      <c r="P28" s="52"/>
      <c r="Q28" s="52"/>
      <c r="R28" s="52"/>
      <c r="S28" s="52"/>
      <c r="T28" s="59">
        <f>SUM(T2:T27)</f>
        <v>5517</v>
      </c>
      <c r="U28" s="52"/>
      <c r="V28" s="52"/>
      <c r="W28" s="52"/>
      <c r="X28" s="52"/>
      <c r="Y28" s="52"/>
      <c r="Z28" s="52"/>
      <c r="AA28" s="52"/>
      <c r="AB28" s="59">
        <f>SUM(AB2:AB27)</f>
        <v>18140</v>
      </c>
      <c r="AC28" s="52"/>
      <c r="AD28" s="52"/>
      <c r="AE28" s="52"/>
      <c r="AF28" s="52"/>
      <c r="AG28" s="52"/>
      <c r="AH28" s="52"/>
      <c r="AI28" s="52"/>
      <c r="AJ28" s="59">
        <f>SUM(AJ2:AJ27)</f>
        <v>5517</v>
      </c>
      <c r="AK28" s="52"/>
      <c r="AL28" s="52"/>
      <c r="AM28" s="52"/>
      <c r="AN28" s="52"/>
      <c r="AO28" s="52"/>
      <c r="AP28" s="52"/>
      <c r="AQ28" s="52"/>
      <c r="AR28" s="59">
        <f>SUM(AR2:AR27)</f>
        <v>3779</v>
      </c>
      <c r="AS28" s="52"/>
      <c r="AT28" s="52"/>
      <c r="AU28" s="52"/>
      <c r="AV28" s="52"/>
      <c r="AW28" s="52"/>
      <c r="AX28" s="52"/>
      <c r="AY28" s="52"/>
      <c r="AZ28" s="59">
        <f>SUM(AZ2:AZ27)</f>
        <v>27968</v>
      </c>
      <c r="BA28" s="52"/>
      <c r="BB28" s="52"/>
      <c r="BC28" s="52"/>
      <c r="BD28" s="52"/>
      <c r="BE28" s="52"/>
      <c r="BF28" s="52"/>
      <c r="BG28" s="52"/>
      <c r="BH28" s="59">
        <f>SUM(BH2:BH27)</f>
        <v>4187</v>
      </c>
      <c r="BI28" s="52"/>
      <c r="BJ28" s="52"/>
      <c r="BK28" s="52"/>
      <c r="BL28" s="52"/>
      <c r="BM28" s="52"/>
      <c r="BN28" s="52"/>
      <c r="BO28" s="52"/>
      <c r="BP28" s="52"/>
      <c r="BQ28" s="52"/>
      <c r="BR28" s="52"/>
      <c r="BS28" s="52"/>
      <c r="BT28" s="52"/>
      <c r="BU28" s="52"/>
      <c r="BV28" s="52"/>
      <c r="BW28" s="52"/>
      <c r="BX28" s="52"/>
      <c r="BY28" s="52"/>
      <c r="BZ28" s="52"/>
      <c r="CA28" s="52"/>
      <c r="CB28" s="52"/>
      <c r="CC28" s="52"/>
      <c r="CD28" s="52"/>
      <c r="CE28" s="52"/>
      <c r="CF28" s="52"/>
      <c r="CG28" s="15"/>
    </row>
    <row r="29" spans="1:246">
      <c r="A29" s="47"/>
      <c r="B29" s="57"/>
      <c r="C29" s="58"/>
      <c r="D29" s="50"/>
      <c r="E29" s="52"/>
      <c r="F29" s="52"/>
      <c r="G29" s="52"/>
      <c r="H29" s="52"/>
      <c r="I29" s="52"/>
      <c r="J29" s="52"/>
      <c r="K29" s="52"/>
      <c r="L29" s="52"/>
      <c r="M29" s="52"/>
      <c r="N29" s="52"/>
      <c r="O29" s="52"/>
      <c r="P29" s="52"/>
      <c r="Q29" s="52"/>
      <c r="R29" s="52"/>
      <c r="S29" s="52"/>
      <c r="T29" s="52"/>
      <c r="U29" s="52"/>
      <c r="V29" s="52"/>
      <c r="W29" s="52"/>
      <c r="X29" s="52"/>
      <c r="Y29" s="52"/>
      <c r="Z29" s="52"/>
      <c r="AA29" s="52"/>
      <c r="AB29" s="52"/>
      <c r="AC29" s="52"/>
      <c r="AD29" s="52"/>
      <c r="AE29" s="52"/>
      <c r="AF29" s="52"/>
      <c r="AG29" s="52"/>
      <c r="AH29" s="52"/>
      <c r="AI29" s="52"/>
      <c r="AJ29" s="52"/>
      <c r="AK29" s="52"/>
      <c r="AL29" s="52"/>
      <c r="AM29" s="52"/>
      <c r="AN29" s="52"/>
      <c r="AO29" s="52"/>
      <c r="AP29" s="52"/>
      <c r="AQ29" s="52"/>
      <c r="AR29" s="52"/>
      <c r="AS29" s="52"/>
      <c r="AT29" s="52"/>
      <c r="AU29" s="52"/>
      <c r="AV29" s="52"/>
      <c r="AW29" s="52"/>
      <c r="AX29" s="52"/>
      <c r="AY29" s="52"/>
      <c r="AZ29" s="52"/>
      <c r="BA29" s="52"/>
      <c r="BB29" s="52"/>
      <c r="BC29" s="52"/>
      <c r="BD29" s="52"/>
      <c r="BE29" s="52"/>
      <c r="BF29" s="52"/>
      <c r="BG29" s="52"/>
      <c r="BH29" s="52"/>
      <c r="BI29" s="52"/>
      <c r="BJ29" s="52"/>
      <c r="BK29" s="52"/>
      <c r="BL29" s="52"/>
      <c r="BM29" s="52"/>
      <c r="BN29" s="52"/>
      <c r="BO29" s="52"/>
      <c r="BP29" s="52"/>
      <c r="BQ29" s="52"/>
      <c r="BR29" s="52"/>
      <c r="BS29" s="52"/>
      <c r="BT29" s="52"/>
      <c r="BU29" s="52"/>
      <c r="BV29" s="52"/>
      <c r="BW29" s="52"/>
      <c r="BX29" s="52"/>
      <c r="BY29" s="52"/>
      <c r="BZ29" s="52"/>
      <c r="CA29" s="52"/>
      <c r="CB29" s="52"/>
      <c r="CC29" s="52"/>
      <c r="CD29" s="52"/>
      <c r="CE29" s="52"/>
      <c r="CF29" s="52"/>
      <c r="CG29" s="15"/>
    </row>
    <row r="30" spans="1:246" s="44" customFormat="1">
      <c r="A30" s="47"/>
      <c r="B30" s="60"/>
      <c r="C30" s="49"/>
      <c r="D30" s="50"/>
      <c r="E30" s="51"/>
      <c r="F30" s="52"/>
      <c r="G30" s="52"/>
      <c r="H30" s="52"/>
      <c r="I30" s="51"/>
      <c r="J30" s="51"/>
      <c r="K30" s="53"/>
      <c r="L30" s="52">
        <f>J30*K30</f>
        <v>0</v>
      </c>
      <c r="M30" s="51"/>
      <c r="N30" s="52"/>
      <c r="O30" s="52"/>
      <c r="P30" s="52"/>
      <c r="Q30" s="51"/>
      <c r="R30" s="52">
        <f>M30+N30+O30+P30+Q30</f>
        <v>0</v>
      </c>
      <c r="S30" s="52">
        <f>K30*1.03</f>
        <v>0</v>
      </c>
      <c r="T30" s="52">
        <f>S30*R30</f>
        <v>0</v>
      </c>
      <c r="U30" s="51"/>
      <c r="V30" s="52"/>
      <c r="W30" s="52"/>
      <c r="X30" s="52"/>
      <c r="Y30" s="51"/>
      <c r="Z30" s="52">
        <f>U30+V30+W30+X30+Y30</f>
        <v>0</v>
      </c>
      <c r="AA30" s="52">
        <f>S30*1.03</f>
        <v>0</v>
      </c>
      <c r="AB30" s="52">
        <f>AA30*Z30</f>
        <v>0</v>
      </c>
      <c r="AC30" s="51"/>
      <c r="AD30" s="52"/>
      <c r="AE30" s="52"/>
      <c r="AF30" s="52"/>
      <c r="AG30" s="51"/>
      <c r="AH30" s="52">
        <f>AC30+AD30+AE30+AF30+AG30</f>
        <v>0</v>
      </c>
      <c r="AI30" s="52">
        <f>AA30*1.03</f>
        <v>0</v>
      </c>
      <c r="AJ30" s="52">
        <f>AI30*AH30</f>
        <v>0</v>
      </c>
      <c r="AK30" s="51"/>
      <c r="AL30" s="52"/>
      <c r="AM30" s="52"/>
      <c r="AN30" s="52"/>
      <c r="AO30" s="51"/>
      <c r="AP30" s="52">
        <f>AK30+AL30+AM30+AN30+AO30</f>
        <v>0</v>
      </c>
      <c r="AQ30" s="52">
        <f>AI30*1.03</f>
        <v>0</v>
      </c>
      <c r="AR30" s="52">
        <f>AQ30*AP30</f>
        <v>0</v>
      </c>
      <c r="AS30" s="51"/>
      <c r="AT30" s="52"/>
      <c r="AU30" s="52"/>
      <c r="AV30" s="52"/>
      <c r="AW30" s="51"/>
      <c r="AX30" s="52">
        <f>AS30+AT30+AU30+AV30+AW30</f>
        <v>0</v>
      </c>
      <c r="AY30" s="52">
        <f>AQ30*1.03</f>
        <v>0</v>
      </c>
      <c r="AZ30" s="52">
        <f>AY30*AX30</f>
        <v>0</v>
      </c>
      <c r="BA30" s="51"/>
      <c r="BB30" s="52"/>
      <c r="BC30" s="52"/>
      <c r="BD30" s="52"/>
      <c r="BE30" s="51"/>
      <c r="BF30" s="52">
        <f>BA30+BB30+BC30+BD30+BE30</f>
        <v>0</v>
      </c>
      <c r="BG30" s="52">
        <f>AY30*1.03</f>
        <v>0</v>
      </c>
      <c r="BH30" s="52">
        <f>BG30*BF30</f>
        <v>0</v>
      </c>
      <c r="BI30" s="51"/>
      <c r="BJ30" s="52"/>
      <c r="BK30" s="52"/>
      <c r="BL30" s="52"/>
      <c r="BM30" s="51"/>
      <c r="BN30" s="52">
        <f>BI30+BJ30+BK30+BL30+BM30</f>
        <v>0</v>
      </c>
      <c r="BO30" s="52">
        <f>BG30*1.03</f>
        <v>0</v>
      </c>
      <c r="BP30" s="52">
        <f>BO30*BN30</f>
        <v>0</v>
      </c>
      <c r="BQ30" s="51"/>
      <c r="BR30" s="52"/>
      <c r="BS30" s="52"/>
      <c r="BT30" s="52"/>
      <c r="BU30" s="51"/>
      <c r="BV30" s="52">
        <f>BQ30+BR30+BS30+BT30+BU30</f>
        <v>0</v>
      </c>
      <c r="BW30" s="52">
        <f>BO30*1.03</f>
        <v>0</v>
      </c>
      <c r="BX30" s="52">
        <f>BW30*BV30</f>
        <v>0</v>
      </c>
      <c r="BY30" s="51"/>
      <c r="BZ30" s="52"/>
      <c r="CA30" s="52"/>
      <c r="CB30" s="52"/>
      <c r="CC30" s="51"/>
      <c r="CD30" s="52">
        <f>BY30+BZ30+CA30+CB30+CC30</f>
        <v>0</v>
      </c>
      <c r="CE30" s="52">
        <f>BW30*1.03</f>
        <v>0</v>
      </c>
      <c r="CF30" s="52">
        <f>CE30*CD30</f>
        <v>0</v>
      </c>
      <c r="CG30" s="43"/>
    </row>
    <row r="31" spans="1:246" ht="30">
      <c r="A31" s="1" t="s">
        <v>0</v>
      </c>
      <c r="B31" s="2" t="s">
        <v>1</v>
      </c>
      <c r="C31" s="3" t="s">
        <v>2</v>
      </c>
      <c r="D31" s="3" t="s">
        <v>3</v>
      </c>
      <c r="E31" s="4">
        <v>500</v>
      </c>
      <c r="F31" s="4">
        <v>1000</v>
      </c>
      <c r="G31" s="4">
        <v>1500</v>
      </c>
      <c r="H31" s="4">
        <v>2000</v>
      </c>
      <c r="I31" s="4">
        <v>2500</v>
      </c>
      <c r="J31" s="5" t="s">
        <v>4</v>
      </c>
      <c r="K31" s="4" t="s">
        <v>5</v>
      </c>
      <c r="L31" s="6" t="s">
        <v>6</v>
      </c>
      <c r="M31" s="4">
        <v>3000</v>
      </c>
      <c r="N31" s="4">
        <v>3500</v>
      </c>
      <c r="O31" s="4">
        <v>4000</v>
      </c>
      <c r="P31" s="4">
        <v>4500</v>
      </c>
      <c r="Q31" s="4">
        <v>5000</v>
      </c>
      <c r="R31" s="5" t="s">
        <v>4</v>
      </c>
      <c r="S31" s="4" t="s">
        <v>5</v>
      </c>
      <c r="T31" s="6" t="s">
        <v>6</v>
      </c>
      <c r="U31" s="4">
        <v>5500</v>
      </c>
      <c r="V31" s="4">
        <v>6000</v>
      </c>
      <c r="W31" s="4">
        <v>6500</v>
      </c>
      <c r="X31" s="4">
        <v>7000</v>
      </c>
      <c r="Y31" s="4">
        <v>7500</v>
      </c>
      <c r="Z31" s="5" t="s">
        <v>4</v>
      </c>
      <c r="AA31" s="4" t="s">
        <v>5</v>
      </c>
      <c r="AB31" s="6" t="s">
        <v>6</v>
      </c>
      <c r="AC31" s="4">
        <v>8000</v>
      </c>
      <c r="AD31" s="4">
        <v>8500</v>
      </c>
      <c r="AE31" s="4">
        <v>9000</v>
      </c>
      <c r="AF31" s="4">
        <v>9500</v>
      </c>
      <c r="AG31" s="4">
        <v>10000</v>
      </c>
      <c r="AH31" s="6" t="s">
        <v>4</v>
      </c>
      <c r="AI31" s="4" t="s">
        <v>5</v>
      </c>
      <c r="AJ31" s="6" t="s">
        <v>6</v>
      </c>
      <c r="AK31" s="4">
        <v>10500</v>
      </c>
      <c r="AL31" s="4">
        <v>11000</v>
      </c>
      <c r="AM31" s="4">
        <v>11500</v>
      </c>
      <c r="AN31" s="4">
        <v>12000</v>
      </c>
      <c r="AO31" s="4">
        <v>12500</v>
      </c>
      <c r="AP31" s="6" t="s">
        <v>4</v>
      </c>
      <c r="AQ31" s="4" t="s">
        <v>5</v>
      </c>
      <c r="AR31" s="6" t="s">
        <v>6</v>
      </c>
      <c r="AS31" s="4">
        <v>13000</v>
      </c>
      <c r="AT31" s="4">
        <v>13500</v>
      </c>
      <c r="AU31" s="4">
        <v>14000</v>
      </c>
      <c r="AV31" s="4">
        <v>14500</v>
      </c>
      <c r="AW31" s="4">
        <v>15000</v>
      </c>
      <c r="AX31" s="6" t="s">
        <v>4</v>
      </c>
      <c r="AY31" s="4" t="s">
        <v>5</v>
      </c>
      <c r="AZ31" s="6" t="s">
        <v>6</v>
      </c>
      <c r="BA31" s="4">
        <v>15500</v>
      </c>
      <c r="BB31" s="4">
        <v>16000</v>
      </c>
      <c r="BC31" s="4">
        <v>16500</v>
      </c>
      <c r="BD31" s="4">
        <v>17000</v>
      </c>
      <c r="BE31" s="4">
        <v>17500</v>
      </c>
      <c r="BF31" s="6" t="s">
        <v>4</v>
      </c>
      <c r="BG31" s="4" t="s">
        <v>5</v>
      </c>
      <c r="BH31" s="6" t="s">
        <v>6</v>
      </c>
      <c r="BI31" s="4">
        <v>18000</v>
      </c>
      <c r="BJ31" s="4">
        <v>18500</v>
      </c>
      <c r="BK31" s="4">
        <v>19000</v>
      </c>
      <c r="BL31" s="4">
        <v>19500</v>
      </c>
      <c r="BM31" s="4">
        <v>20000</v>
      </c>
      <c r="BN31" s="6" t="s">
        <v>4</v>
      </c>
      <c r="BO31" s="4" t="s">
        <v>5</v>
      </c>
      <c r="BP31" s="6" t="s">
        <v>6</v>
      </c>
      <c r="BQ31" s="4">
        <v>20500</v>
      </c>
      <c r="BR31" s="4">
        <v>21000</v>
      </c>
      <c r="BS31" s="4">
        <v>21500</v>
      </c>
      <c r="BT31" s="4">
        <v>22000</v>
      </c>
      <c r="BU31" s="4">
        <v>22500</v>
      </c>
      <c r="BV31" s="6" t="s">
        <v>4</v>
      </c>
      <c r="BW31" s="4" t="s">
        <v>5</v>
      </c>
      <c r="BX31" s="6" t="s">
        <v>6</v>
      </c>
      <c r="BY31" s="4">
        <v>23000</v>
      </c>
      <c r="BZ31" s="4">
        <v>23500</v>
      </c>
      <c r="CA31" s="4">
        <v>24000</v>
      </c>
      <c r="CB31" s="4">
        <v>24500</v>
      </c>
      <c r="CC31" s="4">
        <v>25000</v>
      </c>
      <c r="CD31" s="6" t="s">
        <v>4</v>
      </c>
      <c r="CE31" s="4" t="s">
        <v>5</v>
      </c>
      <c r="CF31" s="6" t="s">
        <v>6</v>
      </c>
      <c r="CG31" s="7"/>
      <c r="CH31" s="7"/>
      <c r="CI31" s="7"/>
      <c r="CJ31" s="7"/>
      <c r="CK31" s="7"/>
      <c r="CL31" s="7"/>
      <c r="CM31" s="7"/>
      <c r="CN31" s="7"/>
      <c r="CO31" s="7"/>
      <c r="CP31" s="7"/>
      <c r="CQ31" s="7"/>
      <c r="CR31" s="7"/>
      <c r="CS31" s="7"/>
      <c r="CT31" s="7"/>
      <c r="CU31" s="7"/>
      <c r="CV31" s="7"/>
      <c r="CW31" s="7"/>
      <c r="CX31" s="7"/>
      <c r="CY31" s="7"/>
      <c r="CZ31" s="7"/>
      <c r="DA31" s="7"/>
      <c r="DB31" s="7"/>
      <c r="DC31" s="7"/>
      <c r="DD31" s="7"/>
      <c r="DE31" s="7"/>
      <c r="DF31" s="7"/>
      <c r="DG31" s="7"/>
      <c r="DH31" s="7"/>
      <c r="DI31" s="7"/>
      <c r="DJ31" s="7"/>
      <c r="DK31" s="7"/>
      <c r="DL31" s="7"/>
      <c r="DM31" s="7"/>
      <c r="DN31" s="7"/>
      <c r="DO31" s="7"/>
      <c r="DP31" s="7"/>
      <c r="DQ31" s="7"/>
      <c r="DR31" s="7"/>
      <c r="DS31" s="7"/>
      <c r="DT31" s="7"/>
      <c r="DU31" s="7"/>
      <c r="DV31" s="7"/>
      <c r="DW31" s="7"/>
      <c r="DX31" s="7"/>
      <c r="DY31" s="7"/>
      <c r="DZ31" s="7"/>
      <c r="EA31" s="7"/>
      <c r="EB31" s="7"/>
      <c r="EC31" s="7"/>
      <c r="ED31" s="7"/>
      <c r="EE31" s="7"/>
      <c r="EF31" s="7"/>
      <c r="EG31" s="7"/>
      <c r="EH31" s="7"/>
      <c r="EI31" s="7"/>
      <c r="EJ31" s="7"/>
      <c r="EK31" s="7"/>
      <c r="EL31" s="7"/>
      <c r="EM31" s="7"/>
      <c r="EN31" s="7"/>
      <c r="EO31" s="7"/>
      <c r="EP31" s="7"/>
      <c r="EQ31" s="7"/>
      <c r="ER31" s="7"/>
      <c r="ES31" s="7"/>
      <c r="ET31" s="7"/>
      <c r="EU31" s="7"/>
      <c r="EV31" s="7"/>
      <c r="EW31" s="7"/>
      <c r="EX31" s="7"/>
      <c r="EY31" s="7"/>
      <c r="EZ31" s="7"/>
      <c r="FA31" s="7"/>
      <c r="FB31" s="7"/>
      <c r="FC31" s="7"/>
      <c r="FD31" s="7"/>
      <c r="FE31" s="7"/>
      <c r="FF31" s="7"/>
      <c r="FG31" s="7"/>
      <c r="FH31" s="7"/>
      <c r="FI31" s="7"/>
      <c r="FJ31" s="7"/>
      <c r="FK31" s="7"/>
      <c r="FL31" s="7"/>
      <c r="FM31" s="7"/>
      <c r="FN31" s="7"/>
      <c r="FO31" s="7"/>
      <c r="FP31" s="7"/>
      <c r="FQ31" s="7"/>
      <c r="FR31" s="7"/>
      <c r="FS31" s="7"/>
      <c r="FT31" s="7"/>
      <c r="FU31" s="7"/>
      <c r="FV31" s="7"/>
      <c r="FW31" s="7"/>
      <c r="FX31" s="7"/>
      <c r="FY31" s="7"/>
      <c r="FZ31" s="7"/>
      <c r="GA31" s="7"/>
      <c r="GB31" s="7"/>
      <c r="GC31" s="7"/>
      <c r="GD31" s="7"/>
      <c r="GE31" s="7"/>
      <c r="GF31" s="7"/>
      <c r="GG31" s="7"/>
      <c r="GH31" s="7"/>
      <c r="GI31" s="7"/>
      <c r="GJ31" s="7"/>
      <c r="GK31" s="7"/>
      <c r="GL31" s="7"/>
      <c r="GM31" s="7"/>
      <c r="GN31" s="7"/>
      <c r="GO31" s="7"/>
      <c r="GP31" s="7"/>
      <c r="GQ31" s="7"/>
      <c r="GR31" s="7"/>
      <c r="GS31" s="7"/>
      <c r="GT31" s="7"/>
      <c r="GU31" s="7"/>
      <c r="GV31" s="7"/>
      <c r="GW31" s="7"/>
      <c r="GX31" s="7"/>
      <c r="GY31" s="7"/>
      <c r="GZ31" s="7"/>
      <c r="HA31" s="7"/>
      <c r="HB31" s="7"/>
      <c r="HC31" s="7"/>
      <c r="HD31" s="7"/>
      <c r="HE31" s="7"/>
      <c r="HF31" s="7"/>
      <c r="HG31" s="7"/>
      <c r="HH31" s="7"/>
      <c r="HI31" s="7"/>
      <c r="HJ31" s="7"/>
      <c r="HK31" s="7"/>
      <c r="HL31" s="7"/>
      <c r="HM31" s="7"/>
      <c r="HN31" s="7"/>
      <c r="HO31" s="7"/>
      <c r="HP31" s="7"/>
      <c r="HQ31" s="7"/>
      <c r="HR31" s="7"/>
      <c r="HS31" s="7"/>
      <c r="HT31" s="7"/>
      <c r="HU31" s="7"/>
      <c r="HV31" s="7"/>
      <c r="HW31" s="7"/>
      <c r="HX31" s="7"/>
      <c r="HY31" s="7"/>
      <c r="HZ31" s="7"/>
      <c r="IA31" s="7"/>
      <c r="IB31" s="7"/>
      <c r="IC31" s="7"/>
      <c r="ID31" s="7"/>
      <c r="IE31" s="7"/>
      <c r="IF31" s="7"/>
      <c r="IG31" s="7"/>
      <c r="IH31" s="7"/>
      <c r="II31" s="7"/>
      <c r="IJ31" s="7"/>
      <c r="IK31" s="7"/>
      <c r="IL31" s="7"/>
    </row>
    <row r="32" spans="1:246">
      <c r="A32" s="61" t="s">
        <v>56</v>
      </c>
      <c r="B32" s="10" t="s">
        <v>8</v>
      </c>
      <c r="C32" s="11"/>
      <c r="D32" s="12" t="s">
        <v>9</v>
      </c>
      <c r="E32" s="13">
        <v>1</v>
      </c>
      <c r="F32" s="13">
        <v>1</v>
      </c>
      <c r="G32" s="13">
        <v>1</v>
      </c>
      <c r="H32" s="13">
        <v>1</v>
      </c>
      <c r="I32" s="13">
        <v>1</v>
      </c>
      <c r="J32" s="13">
        <v>5</v>
      </c>
      <c r="K32" s="13">
        <v>154</v>
      </c>
      <c r="L32" s="13">
        <f>J32*K32</f>
        <v>770</v>
      </c>
      <c r="M32" s="13">
        <v>1</v>
      </c>
      <c r="N32" s="13">
        <v>1</v>
      </c>
      <c r="O32" s="13">
        <v>1</v>
      </c>
      <c r="P32" s="13">
        <v>1</v>
      </c>
      <c r="Q32" s="13">
        <v>1</v>
      </c>
      <c r="R32" s="13">
        <f>M32+N32+O32+P32+Q32</f>
        <v>5</v>
      </c>
      <c r="S32" s="13">
        <v>154</v>
      </c>
      <c r="T32" s="13">
        <f>S32*R32</f>
        <v>770</v>
      </c>
      <c r="U32" s="13">
        <v>1</v>
      </c>
      <c r="V32" s="13">
        <v>1</v>
      </c>
      <c r="W32" s="13">
        <v>1</v>
      </c>
      <c r="X32" s="13">
        <v>1</v>
      </c>
      <c r="Y32" s="13">
        <v>1</v>
      </c>
      <c r="Z32" s="13">
        <f>U32+V32+W32+X32+Y32</f>
        <v>5</v>
      </c>
      <c r="AA32" s="13">
        <v>154</v>
      </c>
      <c r="AB32" s="13">
        <f>AA32*Z32</f>
        <v>770</v>
      </c>
      <c r="AC32" s="13">
        <v>1</v>
      </c>
      <c r="AD32" s="13">
        <v>1</v>
      </c>
      <c r="AE32" s="13">
        <v>1</v>
      </c>
      <c r="AF32" s="13">
        <v>1</v>
      </c>
      <c r="AG32" s="13">
        <v>1</v>
      </c>
      <c r="AH32" s="13">
        <v>5</v>
      </c>
      <c r="AI32" s="13">
        <v>154</v>
      </c>
      <c r="AJ32" s="13">
        <f>AI32*AH32</f>
        <v>770</v>
      </c>
      <c r="AK32" s="13">
        <v>1</v>
      </c>
      <c r="AL32" s="13">
        <v>1</v>
      </c>
      <c r="AM32" s="13">
        <v>1</v>
      </c>
      <c r="AN32" s="13">
        <v>1</v>
      </c>
      <c r="AO32" s="13">
        <v>1</v>
      </c>
      <c r="AP32" s="13">
        <v>5</v>
      </c>
      <c r="AQ32" s="13">
        <v>154</v>
      </c>
      <c r="AR32" s="13">
        <f>AQ32*AP32</f>
        <v>770</v>
      </c>
      <c r="AS32" s="13">
        <v>1</v>
      </c>
      <c r="AT32" s="13">
        <v>1</v>
      </c>
      <c r="AU32" s="13">
        <v>1</v>
      </c>
      <c r="AV32" s="13">
        <v>1</v>
      </c>
      <c r="AW32" s="13">
        <v>1</v>
      </c>
      <c r="AX32" s="13">
        <f>AS32+AT32+AU32+AV32+AW32</f>
        <v>5</v>
      </c>
      <c r="AY32" s="13">
        <v>154</v>
      </c>
      <c r="AZ32" s="13">
        <f>AY32*AX32</f>
        <v>770</v>
      </c>
      <c r="BA32" s="13">
        <v>1</v>
      </c>
      <c r="BB32" s="13">
        <v>1</v>
      </c>
      <c r="BC32" s="13">
        <v>1</v>
      </c>
      <c r="BD32" s="13">
        <v>1</v>
      </c>
      <c r="BE32" s="13">
        <v>1</v>
      </c>
      <c r="BF32" s="13">
        <v>5</v>
      </c>
      <c r="BG32" s="13">
        <v>154</v>
      </c>
      <c r="BH32" s="13">
        <f>BG32*BF32</f>
        <v>770</v>
      </c>
      <c r="BI32" s="13">
        <v>1</v>
      </c>
      <c r="BJ32" s="13">
        <v>1</v>
      </c>
      <c r="BK32" s="13">
        <v>1</v>
      </c>
      <c r="BL32" s="13">
        <v>1</v>
      </c>
      <c r="BM32" s="13">
        <v>1</v>
      </c>
      <c r="BN32" s="13">
        <v>5</v>
      </c>
      <c r="BO32" s="13">
        <v>154</v>
      </c>
      <c r="BP32" s="13">
        <f>BO32*BN32</f>
        <v>770</v>
      </c>
      <c r="BQ32" s="13">
        <v>1</v>
      </c>
      <c r="BR32" s="13">
        <v>1</v>
      </c>
      <c r="BS32" s="13">
        <v>1</v>
      </c>
      <c r="BT32" s="13">
        <v>1</v>
      </c>
      <c r="BU32" s="13">
        <v>1</v>
      </c>
      <c r="BV32" s="13">
        <f t="shared" ref="BV32:BV42" si="17">BQ32+BR32+BS32+BT32+BU32</f>
        <v>5</v>
      </c>
      <c r="BW32" s="13">
        <v>154</v>
      </c>
      <c r="BX32" s="13">
        <f>BW32*BV32</f>
        <v>770</v>
      </c>
      <c r="BY32" s="13">
        <v>1</v>
      </c>
      <c r="BZ32" s="13">
        <v>1</v>
      </c>
      <c r="CA32" s="13">
        <v>1</v>
      </c>
      <c r="CB32" s="13">
        <v>1</v>
      </c>
      <c r="CC32" s="13">
        <v>1</v>
      </c>
      <c r="CD32" s="13">
        <v>5</v>
      </c>
      <c r="CE32" s="13">
        <v>154</v>
      </c>
      <c r="CF32" s="13">
        <f>CE32*CD32</f>
        <v>770</v>
      </c>
      <c r="CG32" s="15"/>
    </row>
    <row r="33" spans="1:85">
      <c r="A33" s="61" t="s">
        <v>56</v>
      </c>
      <c r="B33" s="16" t="s">
        <v>57</v>
      </c>
      <c r="C33" s="11"/>
      <c r="D33" s="17" t="s">
        <v>11</v>
      </c>
      <c r="E33" s="18"/>
      <c r="F33" s="13">
        <v>1</v>
      </c>
      <c r="G33" s="13"/>
      <c r="H33" s="13">
        <v>1</v>
      </c>
      <c r="I33" s="18"/>
      <c r="J33" s="13">
        <v>2</v>
      </c>
      <c r="K33" s="13">
        <v>156</v>
      </c>
      <c r="L33" s="13">
        <f t="shared" ref="L33:L54" si="18">J33*K33</f>
        <v>312</v>
      </c>
      <c r="M33" s="18"/>
      <c r="N33" s="13">
        <v>1</v>
      </c>
      <c r="O33" s="13"/>
      <c r="P33" s="13">
        <v>1</v>
      </c>
      <c r="Q33" s="18"/>
      <c r="R33" s="13">
        <f t="shared" ref="R33:R54" si="19">M33+N33+O33+P33+Q33</f>
        <v>2</v>
      </c>
      <c r="S33" s="13">
        <v>156</v>
      </c>
      <c r="T33" s="13">
        <f t="shared" ref="T33:T54" si="20">S33*R33</f>
        <v>312</v>
      </c>
      <c r="U33" s="18"/>
      <c r="V33" s="13">
        <v>1</v>
      </c>
      <c r="W33" s="13"/>
      <c r="X33" s="13">
        <v>1</v>
      </c>
      <c r="Y33" s="18"/>
      <c r="Z33" s="13">
        <f t="shared" ref="Z33:Z54" si="21">U33+V33+W33+X33+Y33</f>
        <v>2</v>
      </c>
      <c r="AA33" s="13">
        <v>156</v>
      </c>
      <c r="AB33" s="13">
        <f t="shared" ref="AB33:AB54" si="22">AA33*Z33</f>
        <v>312</v>
      </c>
      <c r="AC33" s="18"/>
      <c r="AD33" s="13">
        <v>1</v>
      </c>
      <c r="AE33" s="13"/>
      <c r="AF33" s="13">
        <v>1</v>
      </c>
      <c r="AG33" s="18"/>
      <c r="AH33" s="13">
        <v>2</v>
      </c>
      <c r="AI33" s="13">
        <v>156</v>
      </c>
      <c r="AJ33" s="13">
        <f t="shared" ref="AJ33:AJ54" si="23">AI33*AH33</f>
        <v>312</v>
      </c>
      <c r="AK33" s="18"/>
      <c r="AL33" s="13">
        <v>1</v>
      </c>
      <c r="AM33" s="13"/>
      <c r="AN33" s="13">
        <v>1</v>
      </c>
      <c r="AO33" s="18"/>
      <c r="AP33" s="13">
        <v>2</v>
      </c>
      <c r="AQ33" s="13">
        <v>156</v>
      </c>
      <c r="AR33" s="13">
        <f t="shared" ref="AR33:AR54" si="24">AQ33*AP33</f>
        <v>312</v>
      </c>
      <c r="AS33" s="18"/>
      <c r="AT33" s="13">
        <v>1</v>
      </c>
      <c r="AU33" s="13"/>
      <c r="AV33" s="13">
        <v>1</v>
      </c>
      <c r="AW33" s="18"/>
      <c r="AX33" s="13">
        <f t="shared" ref="AX33:AX54" si="25">AS33+AT33+AU33+AV33+AW33</f>
        <v>2</v>
      </c>
      <c r="AY33" s="13">
        <v>156</v>
      </c>
      <c r="AZ33" s="13">
        <f t="shared" ref="AZ33:AZ54" si="26">AY33*AX33</f>
        <v>312</v>
      </c>
      <c r="BA33" s="18"/>
      <c r="BB33" s="13">
        <v>1</v>
      </c>
      <c r="BC33" s="13"/>
      <c r="BD33" s="13">
        <v>1</v>
      </c>
      <c r="BE33" s="18"/>
      <c r="BF33" s="13">
        <v>2</v>
      </c>
      <c r="BG33" s="13">
        <v>156</v>
      </c>
      <c r="BH33" s="13">
        <f t="shared" ref="BH33:BH54" si="27">BG33*BF33</f>
        <v>312</v>
      </c>
      <c r="BI33" s="18"/>
      <c r="BJ33" s="13">
        <v>1</v>
      </c>
      <c r="BK33" s="13"/>
      <c r="BL33" s="13">
        <v>1</v>
      </c>
      <c r="BM33" s="18"/>
      <c r="BN33" s="13">
        <v>2</v>
      </c>
      <c r="BO33" s="13">
        <v>156</v>
      </c>
      <c r="BP33" s="13">
        <f t="shared" ref="BP33:BP54" si="28">BO33*BN33</f>
        <v>312</v>
      </c>
      <c r="BQ33" s="18"/>
      <c r="BR33" s="13">
        <v>1</v>
      </c>
      <c r="BS33" s="13"/>
      <c r="BT33" s="13">
        <v>1</v>
      </c>
      <c r="BU33" s="18"/>
      <c r="BV33" s="13">
        <f t="shared" si="17"/>
        <v>2</v>
      </c>
      <c r="BW33" s="13">
        <v>156</v>
      </c>
      <c r="BX33" s="13">
        <f t="shared" ref="BX33:BX54" si="29">BW33*BV33</f>
        <v>312</v>
      </c>
      <c r="BY33" s="18"/>
      <c r="BZ33" s="13">
        <v>1</v>
      </c>
      <c r="CA33" s="13"/>
      <c r="CB33" s="13">
        <v>1</v>
      </c>
      <c r="CC33" s="18"/>
      <c r="CD33" s="13">
        <v>2</v>
      </c>
      <c r="CE33" s="13">
        <v>156</v>
      </c>
      <c r="CF33" s="13">
        <f t="shared" ref="CF33:CF54" si="30">CE33*CD33</f>
        <v>312</v>
      </c>
      <c r="CG33" s="15"/>
    </row>
    <row r="34" spans="1:85">
      <c r="A34" s="61" t="s">
        <v>56</v>
      </c>
      <c r="B34" s="20" t="s">
        <v>58</v>
      </c>
      <c r="C34" s="11"/>
      <c r="D34" s="11" t="s">
        <v>13</v>
      </c>
      <c r="E34" s="18"/>
      <c r="F34" s="13">
        <v>1</v>
      </c>
      <c r="G34" s="13"/>
      <c r="H34" s="13">
        <v>1</v>
      </c>
      <c r="I34" s="18"/>
      <c r="J34" s="13">
        <v>2</v>
      </c>
      <c r="K34" s="13">
        <v>178</v>
      </c>
      <c r="L34" s="13">
        <f t="shared" si="18"/>
        <v>356</v>
      </c>
      <c r="M34" s="18"/>
      <c r="N34" s="13">
        <v>1</v>
      </c>
      <c r="O34" s="13"/>
      <c r="P34" s="13">
        <v>1</v>
      </c>
      <c r="Q34" s="18"/>
      <c r="R34" s="13">
        <f t="shared" si="19"/>
        <v>2</v>
      </c>
      <c r="S34" s="13">
        <v>178</v>
      </c>
      <c r="T34" s="13">
        <f t="shared" si="20"/>
        <v>356</v>
      </c>
      <c r="U34" s="18"/>
      <c r="V34" s="13">
        <v>1</v>
      </c>
      <c r="W34" s="13"/>
      <c r="X34" s="13">
        <v>1</v>
      </c>
      <c r="Y34" s="18"/>
      <c r="Z34" s="13">
        <f t="shared" si="21"/>
        <v>2</v>
      </c>
      <c r="AA34" s="13">
        <v>178</v>
      </c>
      <c r="AB34" s="13">
        <f t="shared" si="22"/>
        <v>356</v>
      </c>
      <c r="AC34" s="18"/>
      <c r="AD34" s="13">
        <v>1</v>
      </c>
      <c r="AE34" s="13"/>
      <c r="AF34" s="13">
        <v>1</v>
      </c>
      <c r="AG34" s="18"/>
      <c r="AH34" s="13">
        <v>2</v>
      </c>
      <c r="AI34" s="13">
        <v>178</v>
      </c>
      <c r="AJ34" s="13">
        <f t="shared" si="23"/>
        <v>356</v>
      </c>
      <c r="AK34" s="18"/>
      <c r="AL34" s="13">
        <v>1</v>
      </c>
      <c r="AM34" s="13"/>
      <c r="AN34" s="13">
        <v>1</v>
      </c>
      <c r="AO34" s="18"/>
      <c r="AP34" s="13">
        <v>2</v>
      </c>
      <c r="AQ34" s="13">
        <v>178</v>
      </c>
      <c r="AR34" s="13">
        <f t="shared" si="24"/>
        <v>356</v>
      </c>
      <c r="AS34" s="18"/>
      <c r="AT34" s="13">
        <v>1</v>
      </c>
      <c r="AU34" s="13"/>
      <c r="AV34" s="13">
        <v>1</v>
      </c>
      <c r="AW34" s="18"/>
      <c r="AX34" s="13">
        <f t="shared" si="25"/>
        <v>2</v>
      </c>
      <c r="AY34" s="13">
        <v>178</v>
      </c>
      <c r="AZ34" s="13">
        <f t="shared" si="26"/>
        <v>356</v>
      </c>
      <c r="BA34" s="18"/>
      <c r="BB34" s="13">
        <v>1</v>
      </c>
      <c r="BC34" s="13"/>
      <c r="BD34" s="13">
        <v>1</v>
      </c>
      <c r="BE34" s="18"/>
      <c r="BF34" s="13">
        <v>2</v>
      </c>
      <c r="BG34" s="13">
        <v>178</v>
      </c>
      <c r="BH34" s="13">
        <f t="shared" si="27"/>
        <v>356</v>
      </c>
      <c r="BI34" s="18"/>
      <c r="BJ34" s="13">
        <v>1</v>
      </c>
      <c r="BK34" s="13"/>
      <c r="BL34" s="13">
        <v>1</v>
      </c>
      <c r="BM34" s="18"/>
      <c r="BN34" s="13">
        <v>2</v>
      </c>
      <c r="BO34" s="13">
        <v>178</v>
      </c>
      <c r="BP34" s="13">
        <f t="shared" si="28"/>
        <v>356</v>
      </c>
      <c r="BQ34" s="18"/>
      <c r="BR34" s="13">
        <v>1</v>
      </c>
      <c r="BS34" s="13"/>
      <c r="BT34" s="13">
        <v>1</v>
      </c>
      <c r="BU34" s="18"/>
      <c r="BV34" s="13">
        <f t="shared" si="17"/>
        <v>2</v>
      </c>
      <c r="BW34" s="13">
        <v>178</v>
      </c>
      <c r="BX34" s="13">
        <f t="shared" si="29"/>
        <v>356</v>
      </c>
      <c r="BY34" s="18"/>
      <c r="BZ34" s="13">
        <v>1</v>
      </c>
      <c r="CA34" s="13"/>
      <c r="CB34" s="13">
        <v>1</v>
      </c>
      <c r="CC34" s="18"/>
      <c r="CD34" s="13">
        <v>2</v>
      </c>
      <c r="CE34" s="13">
        <v>178</v>
      </c>
      <c r="CF34" s="13">
        <f t="shared" si="30"/>
        <v>356</v>
      </c>
      <c r="CG34" s="15"/>
    </row>
    <row r="35" spans="1:85">
      <c r="A35" s="61" t="s">
        <v>56</v>
      </c>
      <c r="B35" s="10" t="s">
        <v>14</v>
      </c>
      <c r="C35" s="11"/>
      <c r="D35" s="11" t="s">
        <v>15</v>
      </c>
      <c r="E35" s="18"/>
      <c r="F35" s="13"/>
      <c r="G35" s="13"/>
      <c r="H35" s="13"/>
      <c r="I35" s="18"/>
      <c r="J35" s="13"/>
      <c r="K35" s="21">
        <v>166</v>
      </c>
      <c r="L35" s="13">
        <f t="shared" si="18"/>
        <v>0</v>
      </c>
      <c r="M35" s="18"/>
      <c r="N35" s="13"/>
      <c r="O35" s="13"/>
      <c r="P35" s="13"/>
      <c r="Q35" s="18"/>
      <c r="R35" s="13">
        <f t="shared" si="19"/>
        <v>0</v>
      </c>
      <c r="S35" s="21">
        <v>166</v>
      </c>
      <c r="T35" s="13">
        <f t="shared" si="20"/>
        <v>0</v>
      </c>
      <c r="U35" s="18"/>
      <c r="V35" s="13"/>
      <c r="W35" s="13"/>
      <c r="X35" s="13"/>
      <c r="Y35" s="18">
        <v>1</v>
      </c>
      <c r="Z35" s="13">
        <f t="shared" si="21"/>
        <v>1</v>
      </c>
      <c r="AA35" s="21">
        <v>166</v>
      </c>
      <c r="AB35" s="13">
        <f t="shared" si="22"/>
        <v>166</v>
      </c>
      <c r="AC35" s="18"/>
      <c r="AD35" s="13"/>
      <c r="AE35" s="13"/>
      <c r="AF35" s="13"/>
      <c r="AG35" s="18"/>
      <c r="AH35" s="13"/>
      <c r="AI35" s="21">
        <v>166</v>
      </c>
      <c r="AJ35" s="13">
        <f t="shared" si="23"/>
        <v>0</v>
      </c>
      <c r="AK35" s="18"/>
      <c r="AL35" s="13"/>
      <c r="AM35" s="13"/>
      <c r="AN35" s="13"/>
      <c r="AO35" s="18"/>
      <c r="AP35" s="13"/>
      <c r="AQ35" s="21">
        <v>166</v>
      </c>
      <c r="AR35" s="13">
        <f t="shared" si="24"/>
        <v>0</v>
      </c>
      <c r="AS35" s="18"/>
      <c r="AT35" s="13"/>
      <c r="AU35" s="13"/>
      <c r="AV35" s="13"/>
      <c r="AW35" s="18"/>
      <c r="AX35" s="13">
        <f t="shared" si="25"/>
        <v>0</v>
      </c>
      <c r="AY35" s="21">
        <v>166</v>
      </c>
      <c r="AZ35" s="13">
        <f t="shared" si="26"/>
        <v>0</v>
      </c>
      <c r="BA35" s="18"/>
      <c r="BB35" s="13"/>
      <c r="BC35" s="13"/>
      <c r="BD35" s="13"/>
      <c r="BE35" s="18"/>
      <c r="BF35" s="13"/>
      <c r="BG35" s="21">
        <v>166</v>
      </c>
      <c r="BH35" s="13">
        <f t="shared" si="27"/>
        <v>0</v>
      </c>
      <c r="BI35" s="18"/>
      <c r="BJ35" s="13"/>
      <c r="BK35" s="13"/>
      <c r="BL35" s="13"/>
      <c r="BM35" s="18"/>
      <c r="BN35" s="13"/>
      <c r="BO35" s="21">
        <v>166</v>
      </c>
      <c r="BP35" s="13">
        <f t="shared" si="28"/>
        <v>0</v>
      </c>
      <c r="BQ35" s="18"/>
      <c r="BR35" s="13"/>
      <c r="BS35" s="13"/>
      <c r="BT35" s="13"/>
      <c r="BU35" s="18">
        <v>1</v>
      </c>
      <c r="BV35" s="13">
        <f t="shared" si="17"/>
        <v>1</v>
      </c>
      <c r="BW35" s="21">
        <v>166</v>
      </c>
      <c r="BX35" s="13">
        <f t="shared" si="29"/>
        <v>166</v>
      </c>
      <c r="BY35" s="18"/>
      <c r="BZ35" s="13"/>
      <c r="CA35" s="13"/>
      <c r="CB35" s="13"/>
      <c r="CC35" s="18"/>
      <c r="CD35" s="13"/>
      <c r="CE35" s="21">
        <v>166</v>
      </c>
      <c r="CF35" s="13">
        <f t="shared" si="30"/>
        <v>0</v>
      </c>
      <c r="CG35" s="15"/>
    </row>
    <row r="36" spans="1:85">
      <c r="A36" s="61" t="s">
        <v>56</v>
      </c>
      <c r="B36" s="10" t="s">
        <v>16</v>
      </c>
      <c r="C36" s="11"/>
      <c r="D36" s="11" t="s">
        <v>17</v>
      </c>
      <c r="E36" s="18"/>
      <c r="F36" s="13"/>
      <c r="G36" s="13"/>
      <c r="H36" s="13"/>
      <c r="I36" s="18"/>
      <c r="J36" s="13"/>
      <c r="K36" s="21">
        <v>242</v>
      </c>
      <c r="L36" s="13">
        <f t="shared" si="18"/>
        <v>0</v>
      </c>
      <c r="M36" s="18"/>
      <c r="N36" s="13"/>
      <c r="O36" s="13"/>
      <c r="P36" s="13"/>
      <c r="Q36" s="18"/>
      <c r="R36" s="13">
        <f t="shared" si="19"/>
        <v>0</v>
      </c>
      <c r="S36" s="21">
        <v>242</v>
      </c>
      <c r="T36" s="13">
        <f t="shared" si="20"/>
        <v>0</v>
      </c>
      <c r="U36" s="18"/>
      <c r="V36" s="13"/>
      <c r="W36" s="13"/>
      <c r="X36" s="13"/>
      <c r="Y36" s="18">
        <v>1</v>
      </c>
      <c r="Z36" s="13">
        <f t="shared" si="21"/>
        <v>1</v>
      </c>
      <c r="AA36" s="21">
        <v>242</v>
      </c>
      <c r="AB36" s="13">
        <f t="shared" si="22"/>
        <v>242</v>
      </c>
      <c r="AC36" s="18"/>
      <c r="AD36" s="13"/>
      <c r="AE36" s="13"/>
      <c r="AF36" s="13"/>
      <c r="AG36" s="18"/>
      <c r="AH36" s="13"/>
      <c r="AI36" s="21">
        <v>242</v>
      </c>
      <c r="AJ36" s="13">
        <f t="shared" si="23"/>
        <v>0</v>
      </c>
      <c r="AK36" s="18"/>
      <c r="AL36" s="13"/>
      <c r="AM36" s="13"/>
      <c r="AN36" s="13"/>
      <c r="AO36" s="18"/>
      <c r="AP36" s="13"/>
      <c r="AQ36" s="21">
        <v>242</v>
      </c>
      <c r="AR36" s="13">
        <f t="shared" si="24"/>
        <v>0</v>
      </c>
      <c r="AS36" s="18"/>
      <c r="AT36" s="13"/>
      <c r="AU36" s="13"/>
      <c r="AV36" s="13"/>
      <c r="AW36" s="18"/>
      <c r="AX36" s="13">
        <f t="shared" si="25"/>
        <v>0</v>
      </c>
      <c r="AY36" s="21">
        <v>242</v>
      </c>
      <c r="AZ36" s="13">
        <f t="shared" si="26"/>
        <v>0</v>
      </c>
      <c r="BA36" s="18"/>
      <c r="BB36" s="13"/>
      <c r="BC36" s="13"/>
      <c r="BD36" s="13"/>
      <c r="BE36" s="18"/>
      <c r="BF36" s="13"/>
      <c r="BG36" s="21">
        <v>242</v>
      </c>
      <c r="BH36" s="13">
        <f t="shared" si="27"/>
        <v>0</v>
      </c>
      <c r="BI36" s="18"/>
      <c r="BJ36" s="13"/>
      <c r="BK36" s="13"/>
      <c r="BL36" s="13"/>
      <c r="BM36" s="18"/>
      <c r="BN36" s="13"/>
      <c r="BO36" s="21">
        <v>242</v>
      </c>
      <c r="BP36" s="13">
        <f t="shared" si="28"/>
        <v>0</v>
      </c>
      <c r="BQ36" s="18"/>
      <c r="BR36" s="13"/>
      <c r="BS36" s="13"/>
      <c r="BT36" s="13"/>
      <c r="BU36" s="18">
        <v>1</v>
      </c>
      <c r="BV36" s="13">
        <f t="shared" si="17"/>
        <v>1</v>
      </c>
      <c r="BW36" s="21">
        <v>242</v>
      </c>
      <c r="BX36" s="13">
        <f t="shared" si="29"/>
        <v>242</v>
      </c>
      <c r="BY36" s="18"/>
      <c r="BZ36" s="13"/>
      <c r="CA36" s="13"/>
      <c r="CB36" s="13"/>
      <c r="CC36" s="18"/>
      <c r="CD36" s="13"/>
      <c r="CE36" s="21">
        <v>242</v>
      </c>
      <c r="CF36" s="13">
        <f t="shared" si="30"/>
        <v>0</v>
      </c>
      <c r="CG36" s="15"/>
    </row>
    <row r="37" spans="1:85">
      <c r="A37" s="61" t="s">
        <v>56</v>
      </c>
      <c r="B37" s="10" t="s">
        <v>18</v>
      </c>
      <c r="C37" s="11"/>
      <c r="D37" s="12" t="s">
        <v>19</v>
      </c>
      <c r="E37" s="18"/>
      <c r="F37" s="13">
        <v>1</v>
      </c>
      <c r="G37" s="13"/>
      <c r="H37" s="13">
        <v>1</v>
      </c>
      <c r="I37" s="18"/>
      <c r="J37" s="13">
        <v>2</v>
      </c>
      <c r="K37" s="19">
        <v>25</v>
      </c>
      <c r="L37" s="13">
        <f t="shared" si="18"/>
        <v>50</v>
      </c>
      <c r="M37" s="18"/>
      <c r="N37" s="13">
        <v>1</v>
      </c>
      <c r="O37" s="13"/>
      <c r="P37" s="13">
        <v>1</v>
      </c>
      <c r="Q37" s="18"/>
      <c r="R37" s="13">
        <f t="shared" si="19"/>
        <v>2</v>
      </c>
      <c r="S37" s="19">
        <v>25</v>
      </c>
      <c r="T37" s="13">
        <f t="shared" si="20"/>
        <v>50</v>
      </c>
      <c r="U37" s="18"/>
      <c r="V37" s="13">
        <v>1</v>
      </c>
      <c r="W37" s="13"/>
      <c r="X37" s="13">
        <v>1</v>
      </c>
      <c r="Y37" s="18"/>
      <c r="Z37" s="13">
        <f t="shared" si="21"/>
        <v>2</v>
      </c>
      <c r="AA37" s="19">
        <v>25</v>
      </c>
      <c r="AB37" s="13">
        <f t="shared" si="22"/>
        <v>50</v>
      </c>
      <c r="AC37" s="18"/>
      <c r="AD37" s="13">
        <v>1</v>
      </c>
      <c r="AE37" s="13"/>
      <c r="AF37" s="13">
        <v>1</v>
      </c>
      <c r="AG37" s="18"/>
      <c r="AH37" s="13">
        <v>2</v>
      </c>
      <c r="AI37" s="19">
        <v>25</v>
      </c>
      <c r="AJ37" s="13">
        <f t="shared" si="23"/>
        <v>50</v>
      </c>
      <c r="AK37" s="18"/>
      <c r="AL37" s="13">
        <v>1</v>
      </c>
      <c r="AM37" s="13"/>
      <c r="AN37" s="13">
        <v>1</v>
      </c>
      <c r="AO37" s="18"/>
      <c r="AP37" s="13">
        <v>2</v>
      </c>
      <c r="AQ37" s="19">
        <v>25</v>
      </c>
      <c r="AR37" s="13">
        <f t="shared" si="24"/>
        <v>50</v>
      </c>
      <c r="AS37" s="18"/>
      <c r="AT37" s="13">
        <v>1</v>
      </c>
      <c r="AU37" s="13"/>
      <c r="AV37" s="13">
        <v>1</v>
      </c>
      <c r="AW37" s="18"/>
      <c r="AX37" s="13">
        <f t="shared" si="25"/>
        <v>2</v>
      </c>
      <c r="AY37" s="19">
        <v>25</v>
      </c>
      <c r="AZ37" s="13">
        <f t="shared" si="26"/>
        <v>50</v>
      </c>
      <c r="BA37" s="18"/>
      <c r="BB37" s="13">
        <v>1</v>
      </c>
      <c r="BC37" s="13"/>
      <c r="BD37" s="13">
        <v>1</v>
      </c>
      <c r="BE37" s="18"/>
      <c r="BF37" s="13">
        <v>2</v>
      </c>
      <c r="BG37" s="19">
        <v>25</v>
      </c>
      <c r="BH37" s="13">
        <f t="shared" si="27"/>
        <v>50</v>
      </c>
      <c r="BI37" s="18"/>
      <c r="BJ37" s="13">
        <v>1</v>
      </c>
      <c r="BK37" s="13"/>
      <c r="BL37" s="13">
        <v>1</v>
      </c>
      <c r="BM37" s="18"/>
      <c r="BN37" s="13">
        <v>2</v>
      </c>
      <c r="BO37" s="19">
        <v>25</v>
      </c>
      <c r="BP37" s="13">
        <f t="shared" si="28"/>
        <v>50</v>
      </c>
      <c r="BQ37" s="18"/>
      <c r="BR37" s="13">
        <v>1</v>
      </c>
      <c r="BS37" s="13"/>
      <c r="BT37" s="13">
        <v>1</v>
      </c>
      <c r="BU37" s="18"/>
      <c r="BV37" s="13">
        <f t="shared" si="17"/>
        <v>2</v>
      </c>
      <c r="BW37" s="19">
        <v>25</v>
      </c>
      <c r="BX37" s="13">
        <f t="shared" si="29"/>
        <v>50</v>
      </c>
      <c r="BY37" s="18"/>
      <c r="BZ37" s="13">
        <v>1</v>
      </c>
      <c r="CA37" s="13"/>
      <c r="CB37" s="13">
        <v>1</v>
      </c>
      <c r="CC37" s="18"/>
      <c r="CD37" s="13">
        <v>2</v>
      </c>
      <c r="CE37" s="19">
        <v>25</v>
      </c>
      <c r="CF37" s="13">
        <f t="shared" si="30"/>
        <v>50</v>
      </c>
      <c r="CG37" s="15"/>
    </row>
    <row r="38" spans="1:85">
      <c r="A38" s="61" t="s">
        <v>56</v>
      </c>
      <c r="B38" s="10" t="s">
        <v>20</v>
      </c>
      <c r="C38" s="11"/>
      <c r="D38" s="12" t="s">
        <v>21</v>
      </c>
      <c r="E38" s="18"/>
      <c r="F38" s="13">
        <v>1</v>
      </c>
      <c r="G38" s="13"/>
      <c r="H38" s="13">
        <v>1</v>
      </c>
      <c r="I38" s="18"/>
      <c r="J38" s="13">
        <v>2</v>
      </c>
      <c r="K38" s="21">
        <v>112</v>
      </c>
      <c r="L38" s="13">
        <f t="shared" si="18"/>
        <v>224</v>
      </c>
      <c r="M38" s="18"/>
      <c r="N38" s="13">
        <v>1</v>
      </c>
      <c r="O38" s="13"/>
      <c r="P38" s="13">
        <v>1</v>
      </c>
      <c r="Q38" s="18"/>
      <c r="R38" s="13">
        <f t="shared" si="19"/>
        <v>2</v>
      </c>
      <c r="S38" s="21">
        <v>112</v>
      </c>
      <c r="T38" s="13">
        <f t="shared" si="20"/>
        <v>224</v>
      </c>
      <c r="U38" s="18"/>
      <c r="V38" s="13">
        <v>1</v>
      </c>
      <c r="W38" s="13"/>
      <c r="X38" s="13">
        <v>1</v>
      </c>
      <c r="Y38" s="18"/>
      <c r="Z38" s="13">
        <f t="shared" si="21"/>
        <v>2</v>
      </c>
      <c r="AA38" s="21">
        <v>112</v>
      </c>
      <c r="AB38" s="13">
        <f t="shared" si="22"/>
        <v>224</v>
      </c>
      <c r="AC38" s="18"/>
      <c r="AD38" s="13">
        <v>1</v>
      </c>
      <c r="AE38" s="13"/>
      <c r="AF38" s="13">
        <v>1</v>
      </c>
      <c r="AG38" s="18"/>
      <c r="AH38" s="13">
        <v>2</v>
      </c>
      <c r="AI38" s="21">
        <v>112</v>
      </c>
      <c r="AJ38" s="13">
        <f t="shared" si="23"/>
        <v>224</v>
      </c>
      <c r="AK38" s="18"/>
      <c r="AL38" s="13">
        <v>1</v>
      </c>
      <c r="AM38" s="13"/>
      <c r="AN38" s="13">
        <v>1</v>
      </c>
      <c r="AO38" s="18"/>
      <c r="AP38" s="13">
        <v>2</v>
      </c>
      <c r="AQ38" s="21">
        <v>112</v>
      </c>
      <c r="AR38" s="13">
        <f t="shared" si="24"/>
        <v>224</v>
      </c>
      <c r="AS38" s="18"/>
      <c r="AT38" s="13">
        <v>1</v>
      </c>
      <c r="AU38" s="13"/>
      <c r="AV38" s="13">
        <v>1</v>
      </c>
      <c r="AW38" s="18"/>
      <c r="AX38" s="13">
        <f t="shared" si="25"/>
        <v>2</v>
      </c>
      <c r="AY38" s="21">
        <v>112</v>
      </c>
      <c r="AZ38" s="13">
        <f t="shared" si="26"/>
        <v>224</v>
      </c>
      <c r="BA38" s="18"/>
      <c r="BB38" s="13">
        <v>1</v>
      </c>
      <c r="BC38" s="13"/>
      <c r="BD38" s="13">
        <v>1</v>
      </c>
      <c r="BE38" s="18"/>
      <c r="BF38" s="13">
        <v>2</v>
      </c>
      <c r="BG38" s="21">
        <v>112</v>
      </c>
      <c r="BH38" s="13">
        <f t="shared" si="27"/>
        <v>224</v>
      </c>
      <c r="BI38" s="18"/>
      <c r="BJ38" s="13">
        <v>1</v>
      </c>
      <c r="BK38" s="13"/>
      <c r="BL38" s="13">
        <v>1</v>
      </c>
      <c r="BM38" s="18"/>
      <c r="BN38" s="13">
        <v>2</v>
      </c>
      <c r="BO38" s="21">
        <v>112</v>
      </c>
      <c r="BP38" s="13">
        <f t="shared" si="28"/>
        <v>224</v>
      </c>
      <c r="BQ38" s="18"/>
      <c r="BR38" s="13">
        <v>1</v>
      </c>
      <c r="BS38" s="13"/>
      <c r="BT38" s="13">
        <v>1</v>
      </c>
      <c r="BU38" s="18"/>
      <c r="BV38" s="13">
        <f t="shared" si="17"/>
        <v>2</v>
      </c>
      <c r="BW38" s="21">
        <v>112</v>
      </c>
      <c r="BX38" s="13">
        <f t="shared" si="29"/>
        <v>224</v>
      </c>
      <c r="BY38" s="18"/>
      <c r="BZ38" s="13">
        <v>1</v>
      </c>
      <c r="CA38" s="13"/>
      <c r="CB38" s="13">
        <v>1</v>
      </c>
      <c r="CC38" s="18"/>
      <c r="CD38" s="13">
        <v>2</v>
      </c>
      <c r="CE38" s="21">
        <v>112</v>
      </c>
      <c r="CF38" s="13">
        <f t="shared" si="30"/>
        <v>224</v>
      </c>
      <c r="CG38" s="15"/>
    </row>
    <row r="39" spans="1:85">
      <c r="A39" s="61" t="s">
        <v>56</v>
      </c>
      <c r="B39" s="10" t="s">
        <v>22</v>
      </c>
      <c r="C39" s="11"/>
      <c r="D39" s="11" t="s">
        <v>23</v>
      </c>
      <c r="E39" s="18"/>
      <c r="F39" s="13">
        <v>1</v>
      </c>
      <c r="G39" s="13"/>
      <c r="H39" s="13">
        <v>1</v>
      </c>
      <c r="I39" s="18"/>
      <c r="J39" s="13">
        <v>2</v>
      </c>
      <c r="K39" s="22">
        <v>275</v>
      </c>
      <c r="L39" s="13">
        <f t="shared" si="18"/>
        <v>550</v>
      </c>
      <c r="M39" s="18"/>
      <c r="N39" s="13">
        <v>1</v>
      </c>
      <c r="O39" s="13"/>
      <c r="P39" s="13">
        <v>1</v>
      </c>
      <c r="Q39" s="18"/>
      <c r="R39" s="13">
        <f t="shared" si="19"/>
        <v>2</v>
      </c>
      <c r="S39" s="22">
        <v>275</v>
      </c>
      <c r="T39" s="13">
        <f t="shared" si="20"/>
        <v>550</v>
      </c>
      <c r="U39" s="18"/>
      <c r="V39" s="13">
        <v>1</v>
      </c>
      <c r="W39" s="13"/>
      <c r="X39" s="13">
        <v>1</v>
      </c>
      <c r="Y39" s="18"/>
      <c r="Z39" s="13">
        <f t="shared" si="21"/>
        <v>2</v>
      </c>
      <c r="AA39" s="22">
        <v>275</v>
      </c>
      <c r="AB39" s="13">
        <f t="shared" si="22"/>
        <v>550</v>
      </c>
      <c r="AC39" s="18"/>
      <c r="AD39" s="13">
        <v>1</v>
      </c>
      <c r="AE39" s="13"/>
      <c r="AF39" s="13">
        <v>1</v>
      </c>
      <c r="AG39" s="18"/>
      <c r="AH39" s="13">
        <v>2</v>
      </c>
      <c r="AI39" s="22">
        <v>275</v>
      </c>
      <c r="AJ39" s="13">
        <f t="shared" si="23"/>
        <v>550</v>
      </c>
      <c r="AK39" s="18"/>
      <c r="AL39" s="13">
        <v>1</v>
      </c>
      <c r="AM39" s="13"/>
      <c r="AN39" s="13">
        <v>1</v>
      </c>
      <c r="AO39" s="18"/>
      <c r="AP39" s="13">
        <v>2</v>
      </c>
      <c r="AQ39" s="22">
        <v>275</v>
      </c>
      <c r="AR39" s="13">
        <f t="shared" si="24"/>
        <v>550</v>
      </c>
      <c r="AS39" s="18"/>
      <c r="AT39" s="13">
        <v>1</v>
      </c>
      <c r="AU39" s="13"/>
      <c r="AV39" s="13">
        <v>1</v>
      </c>
      <c r="AW39" s="18"/>
      <c r="AX39" s="13">
        <f t="shared" si="25"/>
        <v>2</v>
      </c>
      <c r="AY39" s="22">
        <v>275</v>
      </c>
      <c r="AZ39" s="13">
        <f t="shared" si="26"/>
        <v>550</v>
      </c>
      <c r="BA39" s="18"/>
      <c r="BB39" s="13">
        <v>1</v>
      </c>
      <c r="BC39" s="13"/>
      <c r="BD39" s="13">
        <v>1</v>
      </c>
      <c r="BE39" s="18"/>
      <c r="BF39" s="13">
        <v>2</v>
      </c>
      <c r="BG39" s="22">
        <v>275</v>
      </c>
      <c r="BH39" s="13">
        <f t="shared" si="27"/>
        <v>550</v>
      </c>
      <c r="BI39" s="18"/>
      <c r="BJ39" s="13">
        <v>1</v>
      </c>
      <c r="BK39" s="13"/>
      <c r="BL39" s="13">
        <v>1</v>
      </c>
      <c r="BM39" s="18"/>
      <c r="BN39" s="13">
        <v>2</v>
      </c>
      <c r="BO39" s="22">
        <v>275</v>
      </c>
      <c r="BP39" s="13">
        <f t="shared" si="28"/>
        <v>550</v>
      </c>
      <c r="BQ39" s="18"/>
      <c r="BR39" s="13">
        <v>1</v>
      </c>
      <c r="BS39" s="13"/>
      <c r="BT39" s="13">
        <v>1</v>
      </c>
      <c r="BU39" s="18"/>
      <c r="BV39" s="13">
        <f t="shared" si="17"/>
        <v>2</v>
      </c>
      <c r="BW39" s="22">
        <v>275</v>
      </c>
      <c r="BX39" s="13">
        <f t="shared" si="29"/>
        <v>550</v>
      </c>
      <c r="BY39" s="18"/>
      <c r="BZ39" s="13">
        <v>1</v>
      </c>
      <c r="CA39" s="13"/>
      <c r="CB39" s="13">
        <v>1</v>
      </c>
      <c r="CC39" s="18"/>
      <c r="CD39" s="13">
        <v>2</v>
      </c>
      <c r="CE39" s="22">
        <v>275</v>
      </c>
      <c r="CF39" s="13">
        <f t="shared" si="30"/>
        <v>550</v>
      </c>
      <c r="CG39" s="15"/>
    </row>
    <row r="40" spans="1:85">
      <c r="A40" s="61" t="s">
        <v>56</v>
      </c>
      <c r="B40" s="10" t="s">
        <v>59</v>
      </c>
      <c r="C40" s="11"/>
      <c r="D40" s="12" t="s">
        <v>60</v>
      </c>
      <c r="E40" s="18"/>
      <c r="F40" s="13"/>
      <c r="G40" s="13"/>
      <c r="H40" s="13"/>
      <c r="I40" s="18"/>
      <c r="J40" s="13"/>
      <c r="K40" s="13">
        <v>1213</v>
      </c>
      <c r="L40" s="13">
        <f t="shared" si="18"/>
        <v>0</v>
      </c>
      <c r="M40" s="18"/>
      <c r="N40" s="13"/>
      <c r="O40" s="13"/>
      <c r="P40" s="13"/>
      <c r="Q40" s="18"/>
      <c r="R40" s="13">
        <f t="shared" si="19"/>
        <v>0</v>
      </c>
      <c r="S40" s="13">
        <v>1213</v>
      </c>
      <c r="T40" s="13">
        <f t="shared" si="20"/>
        <v>0</v>
      </c>
      <c r="U40" s="18"/>
      <c r="V40" s="13"/>
      <c r="W40" s="13"/>
      <c r="X40" s="13"/>
      <c r="Y40" s="18">
        <v>1</v>
      </c>
      <c r="Z40" s="13">
        <f t="shared" si="21"/>
        <v>1</v>
      </c>
      <c r="AA40" s="13">
        <v>1213</v>
      </c>
      <c r="AB40" s="13">
        <f t="shared" si="22"/>
        <v>1213</v>
      </c>
      <c r="AC40" s="18"/>
      <c r="AD40" s="13"/>
      <c r="AE40" s="13"/>
      <c r="AF40" s="13"/>
      <c r="AG40" s="18"/>
      <c r="AH40" s="13"/>
      <c r="AI40" s="13">
        <v>1213</v>
      </c>
      <c r="AJ40" s="13">
        <f t="shared" si="23"/>
        <v>0</v>
      </c>
      <c r="AK40" s="18"/>
      <c r="AL40" s="13"/>
      <c r="AM40" s="13"/>
      <c r="AN40" s="13"/>
      <c r="AO40" s="18"/>
      <c r="AP40" s="13"/>
      <c r="AQ40" s="13">
        <v>1213</v>
      </c>
      <c r="AR40" s="13">
        <f t="shared" si="24"/>
        <v>0</v>
      </c>
      <c r="AS40" s="18"/>
      <c r="AT40" s="13"/>
      <c r="AU40" s="13"/>
      <c r="AV40" s="13"/>
      <c r="AW40" s="18">
        <v>1</v>
      </c>
      <c r="AX40" s="13">
        <f t="shared" si="25"/>
        <v>1</v>
      </c>
      <c r="AY40" s="13">
        <v>1213</v>
      </c>
      <c r="AZ40" s="13">
        <f t="shared" si="26"/>
        <v>1213</v>
      </c>
      <c r="BA40" s="18"/>
      <c r="BB40" s="13"/>
      <c r="BC40" s="13"/>
      <c r="BD40" s="13"/>
      <c r="BE40" s="18"/>
      <c r="BF40" s="13"/>
      <c r="BG40" s="13">
        <v>1213</v>
      </c>
      <c r="BH40" s="13">
        <f t="shared" si="27"/>
        <v>0</v>
      </c>
      <c r="BI40" s="18"/>
      <c r="BJ40" s="13"/>
      <c r="BK40" s="13"/>
      <c r="BL40" s="13"/>
      <c r="BM40" s="18"/>
      <c r="BN40" s="13"/>
      <c r="BO40" s="13">
        <v>1213</v>
      </c>
      <c r="BP40" s="13">
        <f t="shared" si="28"/>
        <v>0</v>
      </c>
      <c r="BQ40" s="18"/>
      <c r="BR40" s="13"/>
      <c r="BS40" s="13"/>
      <c r="BT40" s="13"/>
      <c r="BU40" s="18">
        <v>1</v>
      </c>
      <c r="BV40" s="13">
        <f t="shared" si="17"/>
        <v>1</v>
      </c>
      <c r="BW40" s="13">
        <v>1213</v>
      </c>
      <c r="BX40" s="13">
        <f t="shared" si="29"/>
        <v>1213</v>
      </c>
      <c r="BY40" s="18"/>
      <c r="BZ40" s="13"/>
      <c r="CA40" s="13"/>
      <c r="CB40" s="13"/>
      <c r="CC40" s="18"/>
      <c r="CD40" s="13"/>
      <c r="CE40" s="13">
        <v>1213</v>
      </c>
      <c r="CF40" s="13">
        <f t="shared" si="30"/>
        <v>0</v>
      </c>
      <c r="CG40" s="15"/>
    </row>
    <row r="41" spans="1:85">
      <c r="A41" s="61" t="s">
        <v>56</v>
      </c>
      <c r="B41" s="10" t="s">
        <v>26</v>
      </c>
      <c r="C41" s="11"/>
      <c r="D41" s="12" t="s">
        <v>27</v>
      </c>
      <c r="E41" s="18"/>
      <c r="F41" s="13"/>
      <c r="G41" s="13"/>
      <c r="H41" s="13"/>
      <c r="I41" s="18"/>
      <c r="J41" s="13"/>
      <c r="K41" s="19">
        <v>496</v>
      </c>
      <c r="L41" s="13">
        <f t="shared" si="18"/>
        <v>0</v>
      </c>
      <c r="M41" s="18"/>
      <c r="N41" s="13"/>
      <c r="O41" s="13"/>
      <c r="P41" s="13"/>
      <c r="Q41" s="18"/>
      <c r="R41" s="13">
        <f t="shared" si="19"/>
        <v>0</v>
      </c>
      <c r="S41" s="19">
        <v>496</v>
      </c>
      <c r="T41" s="13">
        <f t="shared" si="20"/>
        <v>0</v>
      </c>
      <c r="U41" s="18"/>
      <c r="V41" s="13"/>
      <c r="W41" s="13"/>
      <c r="X41" s="13"/>
      <c r="Y41" s="18">
        <v>1</v>
      </c>
      <c r="Z41" s="13">
        <f t="shared" si="21"/>
        <v>1</v>
      </c>
      <c r="AA41" s="19">
        <v>496</v>
      </c>
      <c r="AB41" s="13">
        <f t="shared" si="22"/>
        <v>496</v>
      </c>
      <c r="AC41" s="18"/>
      <c r="AD41" s="13"/>
      <c r="AE41" s="13"/>
      <c r="AF41" s="13"/>
      <c r="AG41" s="18"/>
      <c r="AH41" s="13"/>
      <c r="AI41" s="19">
        <v>496</v>
      </c>
      <c r="AJ41" s="13">
        <f t="shared" si="23"/>
        <v>0</v>
      </c>
      <c r="AK41" s="18"/>
      <c r="AL41" s="13"/>
      <c r="AM41" s="13"/>
      <c r="AN41" s="13"/>
      <c r="AO41" s="18"/>
      <c r="AP41" s="13"/>
      <c r="AQ41" s="19">
        <v>496</v>
      </c>
      <c r="AR41" s="13">
        <f t="shared" si="24"/>
        <v>0</v>
      </c>
      <c r="AS41" s="18"/>
      <c r="AT41" s="13"/>
      <c r="AU41" s="13"/>
      <c r="AV41" s="13"/>
      <c r="AW41" s="18">
        <v>1</v>
      </c>
      <c r="AX41" s="13">
        <f t="shared" si="25"/>
        <v>1</v>
      </c>
      <c r="AY41" s="19">
        <v>496</v>
      </c>
      <c r="AZ41" s="13">
        <f t="shared" si="26"/>
        <v>496</v>
      </c>
      <c r="BA41" s="18"/>
      <c r="BB41" s="13"/>
      <c r="BC41" s="13"/>
      <c r="BD41" s="13"/>
      <c r="BE41" s="18"/>
      <c r="BF41" s="13"/>
      <c r="BG41" s="19">
        <v>496</v>
      </c>
      <c r="BH41" s="13">
        <f t="shared" si="27"/>
        <v>0</v>
      </c>
      <c r="BI41" s="18"/>
      <c r="BJ41" s="13"/>
      <c r="BK41" s="13"/>
      <c r="BL41" s="13"/>
      <c r="BM41" s="18"/>
      <c r="BN41" s="13"/>
      <c r="BO41" s="19">
        <v>496</v>
      </c>
      <c r="BP41" s="13">
        <f t="shared" si="28"/>
        <v>0</v>
      </c>
      <c r="BQ41" s="18"/>
      <c r="BR41" s="13"/>
      <c r="BS41" s="13"/>
      <c r="BT41" s="13"/>
      <c r="BU41" s="18"/>
      <c r="BV41" s="13">
        <f t="shared" si="17"/>
        <v>0</v>
      </c>
      <c r="BW41" s="19">
        <v>496</v>
      </c>
      <c r="BX41" s="13">
        <f t="shared" si="29"/>
        <v>0</v>
      </c>
      <c r="BY41" s="18"/>
      <c r="BZ41" s="13"/>
      <c r="CA41" s="13"/>
      <c r="CB41" s="13"/>
      <c r="CC41" s="18"/>
      <c r="CD41" s="13"/>
      <c r="CE41" s="19">
        <v>496</v>
      </c>
      <c r="CF41" s="13">
        <f t="shared" si="30"/>
        <v>0</v>
      </c>
      <c r="CG41" s="15"/>
    </row>
    <row r="42" spans="1:85">
      <c r="A42" s="61" t="s">
        <v>56</v>
      </c>
      <c r="B42" s="10" t="s">
        <v>61</v>
      </c>
      <c r="C42" s="11"/>
      <c r="D42" s="11" t="s">
        <v>62</v>
      </c>
      <c r="E42" s="13"/>
      <c r="F42" s="13"/>
      <c r="G42" s="13"/>
      <c r="H42" s="13"/>
      <c r="I42" s="13"/>
      <c r="J42" s="13"/>
      <c r="K42" s="13">
        <v>3590</v>
      </c>
      <c r="L42" s="13">
        <f t="shared" si="18"/>
        <v>0</v>
      </c>
      <c r="M42" s="13"/>
      <c r="N42" s="13"/>
      <c r="O42" s="13"/>
      <c r="P42" s="13"/>
      <c r="Q42" s="13"/>
      <c r="R42" s="13">
        <f t="shared" si="19"/>
        <v>0</v>
      </c>
      <c r="S42" s="13">
        <v>3590</v>
      </c>
      <c r="T42" s="13">
        <f t="shared" si="20"/>
        <v>0</v>
      </c>
      <c r="U42" s="13"/>
      <c r="V42" s="13"/>
      <c r="W42" s="13"/>
      <c r="X42" s="13"/>
      <c r="Y42" s="13">
        <v>1</v>
      </c>
      <c r="Z42" s="13">
        <f t="shared" si="21"/>
        <v>1</v>
      </c>
      <c r="AA42" s="13">
        <v>3590</v>
      </c>
      <c r="AB42" s="13">
        <f t="shared" si="22"/>
        <v>3590</v>
      </c>
      <c r="AC42" s="13"/>
      <c r="AD42" s="13"/>
      <c r="AE42" s="13"/>
      <c r="AF42" s="13"/>
      <c r="AG42" s="13"/>
      <c r="AH42" s="13"/>
      <c r="AI42" s="13">
        <v>3590</v>
      </c>
      <c r="AJ42" s="13">
        <f t="shared" si="23"/>
        <v>0</v>
      </c>
      <c r="AK42" s="13"/>
      <c r="AL42" s="13"/>
      <c r="AM42" s="13"/>
      <c r="AN42" s="13"/>
      <c r="AO42" s="13"/>
      <c r="AP42" s="13"/>
      <c r="AQ42" s="13">
        <v>3590</v>
      </c>
      <c r="AR42" s="13">
        <f t="shared" si="24"/>
        <v>0</v>
      </c>
      <c r="AS42" s="13"/>
      <c r="AT42" s="13"/>
      <c r="AU42" s="13"/>
      <c r="AV42" s="13"/>
      <c r="AW42" s="13">
        <v>1</v>
      </c>
      <c r="AX42" s="13">
        <f t="shared" si="25"/>
        <v>1</v>
      </c>
      <c r="AY42" s="13">
        <v>3590</v>
      </c>
      <c r="AZ42" s="13">
        <f t="shared" si="26"/>
        <v>3590</v>
      </c>
      <c r="BA42" s="13"/>
      <c r="BB42" s="13"/>
      <c r="BC42" s="13"/>
      <c r="BD42" s="13"/>
      <c r="BE42" s="13"/>
      <c r="BF42" s="13"/>
      <c r="BG42" s="13">
        <v>3590</v>
      </c>
      <c r="BH42" s="13">
        <f t="shared" si="27"/>
        <v>0</v>
      </c>
      <c r="BI42" s="13"/>
      <c r="BJ42" s="13"/>
      <c r="BK42" s="13"/>
      <c r="BL42" s="13"/>
      <c r="BM42" s="13"/>
      <c r="BN42" s="13"/>
      <c r="BO42" s="13">
        <v>3590</v>
      </c>
      <c r="BP42" s="13">
        <f t="shared" si="28"/>
        <v>0</v>
      </c>
      <c r="BQ42" s="13"/>
      <c r="BR42" s="13"/>
      <c r="BS42" s="13"/>
      <c r="BT42" s="13"/>
      <c r="BU42" s="13">
        <v>1</v>
      </c>
      <c r="BV42" s="13">
        <f t="shared" si="17"/>
        <v>1</v>
      </c>
      <c r="BW42" s="13">
        <v>3590</v>
      </c>
      <c r="BX42" s="13">
        <f t="shared" si="29"/>
        <v>3590</v>
      </c>
      <c r="BY42" s="13"/>
      <c r="BZ42" s="13"/>
      <c r="CA42" s="13"/>
      <c r="CB42" s="13"/>
      <c r="CC42" s="13"/>
      <c r="CD42" s="13"/>
      <c r="CE42" s="13">
        <v>3590</v>
      </c>
      <c r="CF42" s="13">
        <f t="shared" si="30"/>
        <v>0</v>
      </c>
      <c r="CG42" s="15"/>
    </row>
    <row r="43" spans="1:85">
      <c r="A43" s="61" t="s">
        <v>56</v>
      </c>
      <c r="B43" s="10" t="s">
        <v>30</v>
      </c>
      <c r="C43" s="11"/>
      <c r="D43" s="11" t="s">
        <v>31</v>
      </c>
      <c r="E43" s="13"/>
      <c r="F43" s="13"/>
      <c r="G43" s="13"/>
      <c r="H43" s="13"/>
      <c r="I43" s="13"/>
      <c r="J43" s="13"/>
      <c r="K43" s="13">
        <v>2711</v>
      </c>
      <c r="L43" s="13">
        <f t="shared" si="18"/>
        <v>0</v>
      </c>
      <c r="M43" s="13"/>
      <c r="N43" s="13"/>
      <c r="O43" s="13"/>
      <c r="P43" s="13"/>
      <c r="Q43" s="13"/>
      <c r="R43" s="13">
        <f t="shared" si="19"/>
        <v>0</v>
      </c>
      <c r="S43" s="13">
        <v>2711</v>
      </c>
      <c r="T43" s="13">
        <f t="shared" si="20"/>
        <v>0</v>
      </c>
      <c r="U43" s="13"/>
      <c r="V43" s="13"/>
      <c r="W43" s="13"/>
      <c r="X43" s="13"/>
      <c r="Y43" s="13">
        <v>1</v>
      </c>
      <c r="Z43" s="13">
        <f t="shared" si="21"/>
        <v>1</v>
      </c>
      <c r="AA43" s="13">
        <v>2711</v>
      </c>
      <c r="AB43" s="13">
        <f t="shared" si="22"/>
        <v>2711</v>
      </c>
      <c r="AC43" s="13"/>
      <c r="AD43" s="13"/>
      <c r="AE43" s="13"/>
      <c r="AF43" s="13"/>
      <c r="AG43" s="13"/>
      <c r="AH43" s="13"/>
      <c r="AI43" s="13">
        <v>2711</v>
      </c>
      <c r="AJ43" s="13">
        <f t="shared" si="23"/>
        <v>0</v>
      </c>
      <c r="AK43" s="13"/>
      <c r="AL43" s="13"/>
      <c r="AM43" s="13"/>
      <c r="AN43" s="13"/>
      <c r="AO43" s="13"/>
      <c r="AP43" s="13"/>
      <c r="AQ43" s="13">
        <v>2711</v>
      </c>
      <c r="AR43" s="13">
        <f t="shared" si="24"/>
        <v>0</v>
      </c>
      <c r="AS43" s="13"/>
      <c r="AT43" s="13"/>
      <c r="AU43" s="13"/>
      <c r="AV43" s="13"/>
      <c r="AW43" s="13">
        <v>1</v>
      </c>
      <c r="AX43" s="13">
        <f t="shared" si="25"/>
        <v>1</v>
      </c>
      <c r="AY43" s="13">
        <v>2711</v>
      </c>
      <c r="AZ43" s="13">
        <f t="shared" si="26"/>
        <v>2711</v>
      </c>
      <c r="BA43" s="13"/>
      <c r="BB43" s="13"/>
      <c r="BC43" s="13"/>
      <c r="BD43" s="13"/>
      <c r="BE43" s="13"/>
      <c r="BF43" s="13"/>
      <c r="BG43" s="13">
        <v>2711</v>
      </c>
      <c r="BH43" s="13">
        <f t="shared" si="27"/>
        <v>0</v>
      </c>
      <c r="BI43" s="13"/>
      <c r="BJ43" s="13"/>
      <c r="BK43" s="13"/>
      <c r="BL43" s="13"/>
      <c r="BM43" s="13"/>
      <c r="BN43" s="13"/>
      <c r="BO43" s="13">
        <v>2711</v>
      </c>
      <c r="BP43" s="13">
        <f t="shared" si="28"/>
        <v>0</v>
      </c>
      <c r="BQ43" s="13"/>
      <c r="BR43" s="13"/>
      <c r="BS43" s="13"/>
      <c r="BT43" s="13"/>
      <c r="BU43" s="13">
        <v>1</v>
      </c>
      <c r="BV43" s="13">
        <v>1</v>
      </c>
      <c r="BW43" s="13">
        <v>2711</v>
      </c>
      <c r="BX43" s="13">
        <f t="shared" si="29"/>
        <v>2711</v>
      </c>
      <c r="BY43" s="13"/>
      <c r="BZ43" s="13"/>
      <c r="CA43" s="13"/>
      <c r="CB43" s="13"/>
      <c r="CC43" s="13"/>
      <c r="CD43" s="13"/>
      <c r="CE43" s="13">
        <v>2711</v>
      </c>
      <c r="CF43" s="13">
        <f t="shared" si="30"/>
        <v>0</v>
      </c>
      <c r="CG43" s="15"/>
    </row>
    <row r="44" spans="1:85">
      <c r="A44" s="61" t="s">
        <v>56</v>
      </c>
      <c r="B44" s="20" t="s">
        <v>63</v>
      </c>
      <c r="C44" s="11"/>
      <c r="D44" s="12" t="s">
        <v>64</v>
      </c>
      <c r="E44" s="13"/>
      <c r="F44" s="13"/>
      <c r="G44" s="13"/>
      <c r="H44" s="13"/>
      <c r="I44" s="13"/>
      <c r="J44" s="13"/>
      <c r="K44" s="13">
        <v>1779</v>
      </c>
      <c r="L44" s="13">
        <f t="shared" si="18"/>
        <v>0</v>
      </c>
      <c r="M44" s="13"/>
      <c r="N44" s="13"/>
      <c r="O44" s="13"/>
      <c r="P44" s="13"/>
      <c r="Q44" s="13"/>
      <c r="R44" s="13">
        <f t="shared" si="19"/>
        <v>0</v>
      </c>
      <c r="S44" s="13">
        <v>1779</v>
      </c>
      <c r="T44" s="13">
        <f t="shared" si="20"/>
        <v>0</v>
      </c>
      <c r="U44" s="13"/>
      <c r="V44" s="13"/>
      <c r="W44" s="13"/>
      <c r="X44" s="13"/>
      <c r="Y44" s="13">
        <v>1</v>
      </c>
      <c r="Z44" s="13">
        <f t="shared" si="21"/>
        <v>1</v>
      </c>
      <c r="AA44" s="13">
        <v>1779</v>
      </c>
      <c r="AB44" s="13">
        <f t="shared" si="22"/>
        <v>1779</v>
      </c>
      <c r="AC44" s="13"/>
      <c r="AD44" s="13"/>
      <c r="AE44" s="13"/>
      <c r="AF44" s="13"/>
      <c r="AG44" s="13"/>
      <c r="AH44" s="13"/>
      <c r="AI44" s="13">
        <v>1779</v>
      </c>
      <c r="AJ44" s="13">
        <f t="shared" si="23"/>
        <v>0</v>
      </c>
      <c r="AK44" s="13"/>
      <c r="AL44" s="13"/>
      <c r="AM44" s="13"/>
      <c r="AN44" s="13"/>
      <c r="AO44" s="13"/>
      <c r="AP44" s="13"/>
      <c r="AQ44" s="13">
        <v>1779</v>
      </c>
      <c r="AR44" s="13">
        <f t="shared" si="24"/>
        <v>0</v>
      </c>
      <c r="AS44" s="13"/>
      <c r="AT44" s="13"/>
      <c r="AU44" s="13"/>
      <c r="AV44" s="13"/>
      <c r="AW44" s="13">
        <v>1</v>
      </c>
      <c r="AX44" s="13">
        <f t="shared" si="25"/>
        <v>1</v>
      </c>
      <c r="AY44" s="13">
        <v>1779</v>
      </c>
      <c r="AZ44" s="13">
        <f t="shared" si="26"/>
        <v>1779</v>
      </c>
      <c r="BA44" s="13"/>
      <c r="BB44" s="13"/>
      <c r="BC44" s="13"/>
      <c r="BD44" s="13"/>
      <c r="BE44" s="13"/>
      <c r="BF44" s="13"/>
      <c r="BG44" s="13">
        <v>1779</v>
      </c>
      <c r="BH44" s="13">
        <f t="shared" si="27"/>
        <v>0</v>
      </c>
      <c r="BI44" s="13"/>
      <c r="BJ44" s="13"/>
      <c r="BK44" s="13"/>
      <c r="BL44" s="13"/>
      <c r="BM44" s="13"/>
      <c r="BN44" s="13"/>
      <c r="BO44" s="13">
        <v>1779</v>
      </c>
      <c r="BP44" s="13">
        <f t="shared" si="28"/>
        <v>0</v>
      </c>
      <c r="BQ44" s="13"/>
      <c r="BR44" s="13"/>
      <c r="BS44" s="13"/>
      <c r="BT44" s="13"/>
      <c r="BU44" s="13">
        <v>1</v>
      </c>
      <c r="BV44" s="13">
        <v>1</v>
      </c>
      <c r="BW44" s="13">
        <v>1779</v>
      </c>
      <c r="BX44" s="13">
        <f t="shared" si="29"/>
        <v>1779</v>
      </c>
      <c r="BY44" s="13"/>
      <c r="BZ44" s="13"/>
      <c r="CA44" s="13"/>
      <c r="CB44" s="13"/>
      <c r="CC44" s="13"/>
      <c r="CD44" s="13"/>
      <c r="CE44" s="13">
        <v>1779</v>
      </c>
      <c r="CF44" s="13">
        <f t="shared" si="30"/>
        <v>0</v>
      </c>
      <c r="CG44" s="15"/>
    </row>
    <row r="45" spans="1:85">
      <c r="A45" s="61" t="s">
        <v>56</v>
      </c>
      <c r="B45" s="20" t="s">
        <v>34</v>
      </c>
      <c r="C45" s="11"/>
      <c r="D45" s="12" t="s">
        <v>35</v>
      </c>
      <c r="E45" s="13"/>
      <c r="F45" s="13"/>
      <c r="G45" s="13"/>
      <c r="H45" s="13"/>
      <c r="I45" s="13"/>
      <c r="J45" s="13"/>
      <c r="K45" s="13">
        <v>1286</v>
      </c>
      <c r="L45" s="13">
        <f t="shared" si="18"/>
        <v>0</v>
      </c>
      <c r="M45" s="13"/>
      <c r="N45" s="13"/>
      <c r="O45" s="13"/>
      <c r="P45" s="13"/>
      <c r="Q45" s="13"/>
      <c r="R45" s="13">
        <f t="shared" si="19"/>
        <v>0</v>
      </c>
      <c r="S45" s="13">
        <v>1286</v>
      </c>
      <c r="T45" s="13">
        <f t="shared" si="20"/>
        <v>0</v>
      </c>
      <c r="U45" s="13"/>
      <c r="V45" s="13"/>
      <c r="W45" s="13"/>
      <c r="X45" s="13"/>
      <c r="Y45" s="13">
        <v>1</v>
      </c>
      <c r="Z45" s="13">
        <f t="shared" si="21"/>
        <v>1</v>
      </c>
      <c r="AA45" s="13">
        <v>1286</v>
      </c>
      <c r="AB45" s="13">
        <f t="shared" si="22"/>
        <v>1286</v>
      </c>
      <c r="AC45" s="13"/>
      <c r="AD45" s="13"/>
      <c r="AE45" s="13"/>
      <c r="AF45" s="13"/>
      <c r="AG45" s="13"/>
      <c r="AH45" s="13"/>
      <c r="AI45" s="13">
        <v>1286</v>
      </c>
      <c r="AJ45" s="13">
        <f t="shared" si="23"/>
        <v>0</v>
      </c>
      <c r="AK45" s="13"/>
      <c r="AL45" s="13"/>
      <c r="AM45" s="13"/>
      <c r="AN45" s="13"/>
      <c r="AO45" s="13"/>
      <c r="AP45" s="13"/>
      <c r="AQ45" s="13">
        <v>1286</v>
      </c>
      <c r="AR45" s="13">
        <f t="shared" si="24"/>
        <v>0</v>
      </c>
      <c r="AS45" s="13"/>
      <c r="AT45" s="13"/>
      <c r="AU45" s="13"/>
      <c r="AV45" s="13"/>
      <c r="AW45" s="13">
        <v>1</v>
      </c>
      <c r="AX45" s="13">
        <f t="shared" si="25"/>
        <v>1</v>
      </c>
      <c r="AY45" s="13">
        <v>1286</v>
      </c>
      <c r="AZ45" s="13">
        <f t="shared" si="26"/>
        <v>1286</v>
      </c>
      <c r="BA45" s="13"/>
      <c r="BB45" s="13"/>
      <c r="BC45" s="13"/>
      <c r="BD45" s="13"/>
      <c r="BE45" s="13"/>
      <c r="BF45" s="13"/>
      <c r="BG45" s="13">
        <v>1286</v>
      </c>
      <c r="BH45" s="13">
        <f t="shared" si="27"/>
        <v>0</v>
      </c>
      <c r="BI45" s="13"/>
      <c r="BJ45" s="13"/>
      <c r="BK45" s="13"/>
      <c r="BL45" s="13"/>
      <c r="BM45" s="13"/>
      <c r="BN45" s="13"/>
      <c r="BO45" s="13">
        <v>1286</v>
      </c>
      <c r="BP45" s="13">
        <f t="shared" si="28"/>
        <v>0</v>
      </c>
      <c r="BQ45" s="13"/>
      <c r="BR45" s="13"/>
      <c r="BS45" s="13"/>
      <c r="BT45" s="13"/>
      <c r="BU45" s="13">
        <v>1</v>
      </c>
      <c r="BV45" s="13">
        <v>1</v>
      </c>
      <c r="BW45" s="13">
        <v>1286</v>
      </c>
      <c r="BX45" s="13">
        <f t="shared" si="29"/>
        <v>1286</v>
      </c>
      <c r="BY45" s="13"/>
      <c r="BZ45" s="13"/>
      <c r="CA45" s="13"/>
      <c r="CB45" s="13"/>
      <c r="CC45" s="13"/>
      <c r="CD45" s="13"/>
      <c r="CE45" s="13">
        <v>1286</v>
      </c>
      <c r="CF45" s="13">
        <f t="shared" si="30"/>
        <v>0</v>
      </c>
      <c r="CG45" s="15"/>
    </row>
    <row r="46" spans="1:85">
      <c r="A46" s="61" t="s">
        <v>56</v>
      </c>
      <c r="B46" s="10" t="s">
        <v>36</v>
      </c>
      <c r="C46" s="11"/>
      <c r="D46" s="11" t="s">
        <v>37</v>
      </c>
      <c r="E46" s="13"/>
      <c r="F46" s="13"/>
      <c r="G46" s="13"/>
      <c r="H46" s="13"/>
      <c r="I46" s="13"/>
      <c r="J46" s="13"/>
      <c r="K46" s="13">
        <v>8090</v>
      </c>
      <c r="L46" s="13">
        <f t="shared" si="18"/>
        <v>0</v>
      </c>
      <c r="M46" s="13"/>
      <c r="N46" s="13"/>
      <c r="O46" s="13"/>
      <c r="P46" s="13"/>
      <c r="Q46" s="13"/>
      <c r="R46" s="13">
        <f t="shared" si="19"/>
        <v>0</v>
      </c>
      <c r="S46" s="13">
        <v>8090</v>
      </c>
      <c r="T46" s="13">
        <f t="shared" si="20"/>
        <v>0</v>
      </c>
      <c r="U46" s="13"/>
      <c r="V46" s="13"/>
      <c r="W46" s="13"/>
      <c r="X46" s="13"/>
      <c r="Y46" s="13"/>
      <c r="Z46" s="13">
        <f t="shared" si="21"/>
        <v>0</v>
      </c>
      <c r="AA46" s="13">
        <v>8090</v>
      </c>
      <c r="AB46" s="13">
        <f t="shared" si="22"/>
        <v>0</v>
      </c>
      <c r="AC46" s="13"/>
      <c r="AD46" s="13"/>
      <c r="AE46" s="13"/>
      <c r="AF46" s="13"/>
      <c r="AG46" s="13"/>
      <c r="AH46" s="13"/>
      <c r="AI46" s="13">
        <v>8090</v>
      </c>
      <c r="AJ46" s="13">
        <f t="shared" si="23"/>
        <v>0</v>
      </c>
      <c r="AK46" s="13"/>
      <c r="AL46" s="13"/>
      <c r="AM46" s="13"/>
      <c r="AN46" s="13"/>
      <c r="AO46" s="13"/>
      <c r="AP46" s="13"/>
      <c r="AQ46" s="13">
        <v>8090</v>
      </c>
      <c r="AR46" s="13">
        <f t="shared" si="24"/>
        <v>0</v>
      </c>
      <c r="AS46" s="13"/>
      <c r="AT46" s="13"/>
      <c r="AU46" s="13"/>
      <c r="AV46" s="13"/>
      <c r="AW46" s="13">
        <v>1</v>
      </c>
      <c r="AX46" s="13">
        <f t="shared" si="25"/>
        <v>1</v>
      </c>
      <c r="AY46" s="13">
        <v>8090</v>
      </c>
      <c r="AZ46" s="13">
        <f t="shared" si="26"/>
        <v>8090</v>
      </c>
      <c r="BA46" s="13"/>
      <c r="BB46" s="13"/>
      <c r="BC46" s="13"/>
      <c r="BD46" s="13"/>
      <c r="BE46" s="13"/>
      <c r="BF46" s="13"/>
      <c r="BG46" s="13">
        <v>8090</v>
      </c>
      <c r="BH46" s="13">
        <f t="shared" si="27"/>
        <v>0</v>
      </c>
      <c r="BI46" s="13"/>
      <c r="BJ46" s="13"/>
      <c r="BK46" s="13"/>
      <c r="BL46" s="13"/>
      <c r="BM46" s="13"/>
      <c r="BN46" s="13"/>
      <c r="BO46" s="13">
        <v>8090</v>
      </c>
      <c r="BP46" s="13">
        <f t="shared" si="28"/>
        <v>0</v>
      </c>
      <c r="BQ46" s="13"/>
      <c r="BR46" s="13"/>
      <c r="BS46" s="13"/>
      <c r="BT46" s="13"/>
      <c r="BU46" s="13"/>
      <c r="BV46" s="13">
        <f t="shared" ref="BV46:BV54" si="31">BQ46+BR46+BS46+BT46+BU46</f>
        <v>0</v>
      </c>
      <c r="BW46" s="13">
        <v>8090</v>
      </c>
      <c r="BX46" s="13">
        <f t="shared" si="29"/>
        <v>0</v>
      </c>
      <c r="BY46" s="13"/>
      <c r="BZ46" s="13"/>
      <c r="CA46" s="13"/>
      <c r="CB46" s="13"/>
      <c r="CC46" s="13"/>
      <c r="CD46" s="13"/>
      <c r="CE46" s="13">
        <v>8090</v>
      </c>
      <c r="CF46" s="13">
        <f t="shared" si="30"/>
        <v>0</v>
      </c>
      <c r="CG46" s="15"/>
    </row>
    <row r="47" spans="1:85">
      <c r="A47" s="61" t="s">
        <v>56</v>
      </c>
      <c r="B47" s="10" t="s">
        <v>65</v>
      </c>
      <c r="C47" s="11"/>
      <c r="D47" s="12" t="s">
        <v>39</v>
      </c>
      <c r="E47" s="13"/>
      <c r="F47" s="13"/>
      <c r="G47" s="13"/>
      <c r="H47" s="13"/>
      <c r="I47" s="13"/>
      <c r="J47" s="13"/>
      <c r="K47" s="13">
        <v>462</v>
      </c>
      <c r="L47" s="13">
        <f t="shared" si="18"/>
        <v>0</v>
      </c>
      <c r="M47" s="13"/>
      <c r="N47" s="13"/>
      <c r="O47" s="13"/>
      <c r="P47" s="13"/>
      <c r="Q47" s="13">
        <v>2</v>
      </c>
      <c r="R47" s="13">
        <f t="shared" si="19"/>
        <v>2</v>
      </c>
      <c r="S47" s="13">
        <v>462</v>
      </c>
      <c r="T47" s="13">
        <f t="shared" si="20"/>
        <v>924</v>
      </c>
      <c r="U47" s="13"/>
      <c r="V47" s="13"/>
      <c r="W47" s="13"/>
      <c r="X47" s="13"/>
      <c r="Y47" s="13"/>
      <c r="Z47" s="13">
        <f t="shared" si="21"/>
        <v>0</v>
      </c>
      <c r="AA47" s="13">
        <v>462</v>
      </c>
      <c r="AB47" s="13">
        <f t="shared" si="22"/>
        <v>0</v>
      </c>
      <c r="AC47" s="13"/>
      <c r="AD47" s="13"/>
      <c r="AE47" s="13"/>
      <c r="AF47" s="13"/>
      <c r="AG47" s="13">
        <v>2</v>
      </c>
      <c r="AH47" s="13">
        <v>2</v>
      </c>
      <c r="AI47" s="13">
        <v>462</v>
      </c>
      <c r="AJ47" s="13">
        <f t="shared" si="23"/>
        <v>924</v>
      </c>
      <c r="AK47" s="13"/>
      <c r="AL47" s="13"/>
      <c r="AM47" s="13"/>
      <c r="AN47" s="13"/>
      <c r="AO47" s="13"/>
      <c r="AP47" s="13"/>
      <c r="AQ47" s="13">
        <v>462</v>
      </c>
      <c r="AR47" s="13">
        <f t="shared" si="24"/>
        <v>0</v>
      </c>
      <c r="AS47" s="13"/>
      <c r="AT47" s="13"/>
      <c r="AU47" s="13"/>
      <c r="AV47" s="13"/>
      <c r="AW47" s="13">
        <v>2</v>
      </c>
      <c r="AX47" s="13">
        <f t="shared" si="25"/>
        <v>2</v>
      </c>
      <c r="AY47" s="13">
        <v>462</v>
      </c>
      <c r="AZ47" s="13">
        <f t="shared" si="26"/>
        <v>924</v>
      </c>
      <c r="BA47" s="13"/>
      <c r="BB47" s="13"/>
      <c r="BC47" s="13"/>
      <c r="BD47" s="13"/>
      <c r="BE47" s="13"/>
      <c r="BF47" s="13"/>
      <c r="BG47" s="13">
        <v>462</v>
      </c>
      <c r="BH47" s="13">
        <f t="shared" si="27"/>
        <v>0</v>
      </c>
      <c r="BI47" s="13"/>
      <c r="BJ47" s="13"/>
      <c r="BK47" s="13"/>
      <c r="BL47" s="13"/>
      <c r="BM47" s="13">
        <v>2</v>
      </c>
      <c r="BN47" s="13">
        <v>2</v>
      </c>
      <c r="BO47" s="13">
        <v>462</v>
      </c>
      <c r="BP47" s="13">
        <f t="shared" si="28"/>
        <v>924</v>
      </c>
      <c r="BQ47" s="13"/>
      <c r="BR47" s="13"/>
      <c r="BS47" s="13"/>
      <c r="BT47" s="13"/>
      <c r="BU47" s="13"/>
      <c r="BV47" s="13">
        <f t="shared" si="31"/>
        <v>0</v>
      </c>
      <c r="BW47" s="13">
        <v>462</v>
      </c>
      <c r="BX47" s="13">
        <f t="shared" si="29"/>
        <v>0</v>
      </c>
      <c r="BY47" s="13"/>
      <c r="BZ47" s="13"/>
      <c r="CA47" s="13"/>
      <c r="CB47" s="13"/>
      <c r="CC47" s="13">
        <v>2</v>
      </c>
      <c r="CD47" s="13">
        <v>2</v>
      </c>
      <c r="CE47" s="13">
        <v>462</v>
      </c>
      <c r="CF47" s="13">
        <f t="shared" si="30"/>
        <v>924</v>
      </c>
      <c r="CG47" s="15"/>
    </row>
    <row r="48" spans="1:85">
      <c r="A48" s="61" t="s">
        <v>56</v>
      </c>
      <c r="B48" s="10" t="s">
        <v>66</v>
      </c>
      <c r="C48" s="11"/>
      <c r="D48" s="11" t="s">
        <v>41</v>
      </c>
      <c r="E48" s="13"/>
      <c r="F48" s="13"/>
      <c r="G48" s="13"/>
      <c r="H48" s="13"/>
      <c r="I48" s="13"/>
      <c r="J48" s="13"/>
      <c r="K48" s="13">
        <v>814</v>
      </c>
      <c r="L48" s="13">
        <f t="shared" si="18"/>
        <v>0</v>
      </c>
      <c r="M48" s="13"/>
      <c r="N48" s="13"/>
      <c r="O48" s="13"/>
      <c r="P48" s="13"/>
      <c r="Q48" s="13"/>
      <c r="R48" s="13">
        <f t="shared" si="19"/>
        <v>0</v>
      </c>
      <c r="S48" s="13">
        <v>814</v>
      </c>
      <c r="T48" s="13">
        <f t="shared" si="20"/>
        <v>0</v>
      </c>
      <c r="U48" s="13"/>
      <c r="V48" s="13"/>
      <c r="W48" s="13"/>
      <c r="X48" s="13"/>
      <c r="Y48" s="13">
        <v>1</v>
      </c>
      <c r="Z48" s="13">
        <f t="shared" si="21"/>
        <v>1</v>
      </c>
      <c r="AA48" s="13">
        <v>814</v>
      </c>
      <c r="AB48" s="13">
        <f t="shared" si="22"/>
        <v>814</v>
      </c>
      <c r="AC48" s="13"/>
      <c r="AD48" s="13"/>
      <c r="AE48" s="13"/>
      <c r="AF48" s="13"/>
      <c r="AG48" s="13"/>
      <c r="AH48" s="13"/>
      <c r="AI48" s="13">
        <v>814</v>
      </c>
      <c r="AJ48" s="13">
        <f t="shared" si="23"/>
        <v>0</v>
      </c>
      <c r="AK48" s="13"/>
      <c r="AL48" s="13"/>
      <c r="AM48" s="13"/>
      <c r="AN48" s="13"/>
      <c r="AO48" s="13"/>
      <c r="AP48" s="13"/>
      <c r="AQ48" s="13">
        <v>814</v>
      </c>
      <c r="AR48" s="13">
        <f t="shared" si="24"/>
        <v>0</v>
      </c>
      <c r="AS48" s="13"/>
      <c r="AT48" s="13"/>
      <c r="AU48" s="13"/>
      <c r="AV48" s="13"/>
      <c r="AW48" s="13">
        <v>1</v>
      </c>
      <c r="AX48" s="13">
        <f t="shared" si="25"/>
        <v>1</v>
      </c>
      <c r="AY48" s="13">
        <v>814</v>
      </c>
      <c r="AZ48" s="13">
        <f t="shared" si="26"/>
        <v>814</v>
      </c>
      <c r="BA48" s="13"/>
      <c r="BB48" s="13"/>
      <c r="BC48" s="13"/>
      <c r="BD48" s="13"/>
      <c r="BE48" s="13"/>
      <c r="BF48" s="13"/>
      <c r="BG48" s="13">
        <v>814</v>
      </c>
      <c r="BH48" s="13">
        <f t="shared" si="27"/>
        <v>0</v>
      </c>
      <c r="BI48" s="13"/>
      <c r="BJ48" s="13"/>
      <c r="BK48" s="13"/>
      <c r="BL48" s="13"/>
      <c r="BM48" s="13"/>
      <c r="BN48" s="13"/>
      <c r="BO48" s="13">
        <v>814</v>
      </c>
      <c r="BP48" s="13">
        <f t="shared" si="28"/>
        <v>0</v>
      </c>
      <c r="BQ48" s="13"/>
      <c r="BR48" s="13"/>
      <c r="BS48" s="13"/>
      <c r="BT48" s="13"/>
      <c r="BU48" s="13">
        <v>1</v>
      </c>
      <c r="BV48" s="13">
        <f t="shared" si="31"/>
        <v>1</v>
      </c>
      <c r="BW48" s="13">
        <v>814</v>
      </c>
      <c r="BX48" s="13">
        <f t="shared" si="29"/>
        <v>814</v>
      </c>
      <c r="BY48" s="13"/>
      <c r="BZ48" s="13"/>
      <c r="CA48" s="13"/>
      <c r="CB48" s="13"/>
      <c r="CC48" s="13"/>
      <c r="CD48" s="13"/>
      <c r="CE48" s="13">
        <v>814</v>
      </c>
      <c r="CF48" s="13">
        <f t="shared" si="30"/>
        <v>0</v>
      </c>
      <c r="CG48" s="15"/>
    </row>
    <row r="49" spans="1:246">
      <c r="A49" s="61" t="s">
        <v>56</v>
      </c>
      <c r="B49" s="10" t="s">
        <v>67</v>
      </c>
      <c r="C49" s="11"/>
      <c r="D49" s="12" t="s">
        <v>43</v>
      </c>
      <c r="E49" s="13"/>
      <c r="F49" s="13"/>
      <c r="G49" s="13"/>
      <c r="H49" s="13"/>
      <c r="I49" s="13"/>
      <c r="J49" s="13"/>
      <c r="K49" s="13">
        <v>2442</v>
      </c>
      <c r="L49" s="13">
        <f t="shared" si="18"/>
        <v>0</v>
      </c>
      <c r="M49" s="13"/>
      <c r="N49" s="13"/>
      <c r="O49" s="13"/>
      <c r="P49" s="13"/>
      <c r="Q49" s="13"/>
      <c r="R49" s="13">
        <f t="shared" si="19"/>
        <v>0</v>
      </c>
      <c r="S49" s="13">
        <v>2442</v>
      </c>
      <c r="T49" s="13">
        <f t="shared" si="20"/>
        <v>0</v>
      </c>
      <c r="U49" s="13"/>
      <c r="V49" s="13"/>
      <c r="W49" s="13"/>
      <c r="X49" s="13"/>
      <c r="Y49" s="13">
        <v>1</v>
      </c>
      <c r="Z49" s="13">
        <f t="shared" si="21"/>
        <v>1</v>
      </c>
      <c r="AA49" s="13">
        <v>2442</v>
      </c>
      <c r="AB49" s="13">
        <f t="shared" si="22"/>
        <v>2442</v>
      </c>
      <c r="AC49" s="13"/>
      <c r="AD49" s="13"/>
      <c r="AE49" s="13"/>
      <c r="AF49" s="13"/>
      <c r="AG49" s="13"/>
      <c r="AH49" s="13"/>
      <c r="AI49" s="13">
        <v>2442</v>
      </c>
      <c r="AJ49" s="13">
        <f t="shared" si="23"/>
        <v>0</v>
      </c>
      <c r="AK49" s="13"/>
      <c r="AL49" s="13"/>
      <c r="AM49" s="13"/>
      <c r="AN49" s="13"/>
      <c r="AO49" s="13"/>
      <c r="AP49" s="13"/>
      <c r="AQ49" s="13">
        <v>2442</v>
      </c>
      <c r="AR49" s="13">
        <f t="shared" si="24"/>
        <v>0</v>
      </c>
      <c r="AS49" s="13"/>
      <c r="AT49" s="13"/>
      <c r="AU49" s="13"/>
      <c r="AV49" s="13"/>
      <c r="AW49" s="13">
        <v>1</v>
      </c>
      <c r="AX49" s="13">
        <f t="shared" si="25"/>
        <v>1</v>
      </c>
      <c r="AY49" s="13">
        <v>2442</v>
      </c>
      <c r="AZ49" s="13">
        <f t="shared" si="26"/>
        <v>2442</v>
      </c>
      <c r="BA49" s="13"/>
      <c r="BB49" s="13"/>
      <c r="BC49" s="13"/>
      <c r="BD49" s="13"/>
      <c r="BE49" s="13"/>
      <c r="BF49" s="13"/>
      <c r="BG49" s="13">
        <v>2442</v>
      </c>
      <c r="BH49" s="13">
        <f t="shared" si="27"/>
        <v>0</v>
      </c>
      <c r="BI49" s="13"/>
      <c r="BJ49" s="13"/>
      <c r="BK49" s="13"/>
      <c r="BL49" s="13"/>
      <c r="BM49" s="13"/>
      <c r="BN49" s="13"/>
      <c r="BO49" s="13">
        <v>2442</v>
      </c>
      <c r="BP49" s="13">
        <f t="shared" si="28"/>
        <v>0</v>
      </c>
      <c r="BQ49" s="13"/>
      <c r="BR49" s="13"/>
      <c r="BS49" s="13"/>
      <c r="BT49" s="13"/>
      <c r="BU49" s="13">
        <v>1</v>
      </c>
      <c r="BV49" s="13">
        <f t="shared" si="31"/>
        <v>1</v>
      </c>
      <c r="BW49" s="13">
        <v>2442</v>
      </c>
      <c r="BX49" s="13">
        <f t="shared" si="29"/>
        <v>2442</v>
      </c>
      <c r="BY49" s="13"/>
      <c r="BZ49" s="13"/>
      <c r="CA49" s="13"/>
      <c r="CB49" s="13"/>
      <c r="CC49" s="13"/>
      <c r="CD49" s="13"/>
      <c r="CE49" s="13">
        <v>2442</v>
      </c>
      <c r="CF49" s="13">
        <f t="shared" si="30"/>
        <v>0</v>
      </c>
      <c r="CG49" s="15"/>
    </row>
    <row r="50" spans="1:246">
      <c r="A50" s="61" t="s">
        <v>56</v>
      </c>
      <c r="B50" s="23" t="s">
        <v>44</v>
      </c>
      <c r="C50" s="11"/>
      <c r="D50" s="10" t="s">
        <v>45</v>
      </c>
      <c r="E50" s="25"/>
      <c r="F50" s="13"/>
      <c r="G50" s="13"/>
      <c r="H50" s="13"/>
      <c r="I50" s="25"/>
      <c r="J50" s="25"/>
      <c r="K50" s="19">
        <v>674</v>
      </c>
      <c r="L50" s="13">
        <f t="shared" si="18"/>
        <v>0</v>
      </c>
      <c r="M50" s="25"/>
      <c r="N50" s="13"/>
      <c r="O50" s="13"/>
      <c r="P50" s="13"/>
      <c r="Q50" s="25"/>
      <c r="R50" s="13">
        <f t="shared" si="19"/>
        <v>0</v>
      </c>
      <c r="S50" s="19">
        <v>674</v>
      </c>
      <c r="T50" s="13">
        <f t="shared" si="20"/>
        <v>0</v>
      </c>
      <c r="U50" s="25"/>
      <c r="V50" s="13"/>
      <c r="W50" s="13"/>
      <c r="X50" s="13"/>
      <c r="Y50" s="25">
        <v>1</v>
      </c>
      <c r="Z50" s="13">
        <f t="shared" si="21"/>
        <v>1</v>
      </c>
      <c r="AA50" s="19">
        <v>674</v>
      </c>
      <c r="AB50" s="13">
        <f t="shared" si="22"/>
        <v>674</v>
      </c>
      <c r="AC50" s="25"/>
      <c r="AD50" s="13"/>
      <c r="AE50" s="13"/>
      <c r="AF50" s="13"/>
      <c r="AG50" s="25"/>
      <c r="AH50" s="25"/>
      <c r="AI50" s="19">
        <v>674</v>
      </c>
      <c r="AJ50" s="13">
        <f t="shared" si="23"/>
        <v>0</v>
      </c>
      <c r="AK50" s="25"/>
      <c r="AL50" s="13"/>
      <c r="AM50" s="13"/>
      <c r="AN50" s="13"/>
      <c r="AO50" s="25"/>
      <c r="AP50" s="25"/>
      <c r="AQ50" s="19">
        <v>674</v>
      </c>
      <c r="AR50" s="13">
        <f t="shared" si="24"/>
        <v>0</v>
      </c>
      <c r="AS50" s="25"/>
      <c r="AT50" s="13"/>
      <c r="AU50" s="13"/>
      <c r="AV50" s="13"/>
      <c r="AW50" s="25">
        <v>1</v>
      </c>
      <c r="AX50" s="13">
        <f t="shared" si="25"/>
        <v>1</v>
      </c>
      <c r="AY50" s="19">
        <v>674</v>
      </c>
      <c r="AZ50" s="13">
        <f t="shared" si="26"/>
        <v>674</v>
      </c>
      <c r="BA50" s="25"/>
      <c r="BB50" s="13"/>
      <c r="BC50" s="13"/>
      <c r="BD50" s="13"/>
      <c r="BE50" s="25"/>
      <c r="BF50" s="25"/>
      <c r="BG50" s="19">
        <v>674</v>
      </c>
      <c r="BH50" s="13">
        <f t="shared" si="27"/>
        <v>0</v>
      </c>
      <c r="BI50" s="25"/>
      <c r="BJ50" s="13"/>
      <c r="BK50" s="13"/>
      <c r="BL50" s="13"/>
      <c r="BM50" s="25"/>
      <c r="BN50" s="25"/>
      <c r="BO50" s="19">
        <v>674</v>
      </c>
      <c r="BP50" s="13">
        <f t="shared" si="28"/>
        <v>0</v>
      </c>
      <c r="BQ50" s="25"/>
      <c r="BR50" s="13"/>
      <c r="BS50" s="13"/>
      <c r="BT50" s="13"/>
      <c r="BU50" s="25">
        <v>1</v>
      </c>
      <c r="BV50" s="13">
        <f t="shared" si="31"/>
        <v>1</v>
      </c>
      <c r="BW50" s="19">
        <v>674</v>
      </c>
      <c r="BX50" s="13">
        <f t="shared" si="29"/>
        <v>674</v>
      </c>
      <c r="BY50" s="25"/>
      <c r="BZ50" s="13"/>
      <c r="CA50" s="13"/>
      <c r="CB50" s="13"/>
      <c r="CC50" s="25"/>
      <c r="CD50" s="25"/>
      <c r="CE50" s="19">
        <v>674</v>
      </c>
      <c r="CF50" s="13">
        <f t="shared" si="30"/>
        <v>0</v>
      </c>
      <c r="CG50" s="15"/>
    </row>
    <row r="51" spans="1:246">
      <c r="A51" s="61" t="s">
        <v>56</v>
      </c>
      <c r="B51" s="10" t="s">
        <v>68</v>
      </c>
      <c r="C51" s="11"/>
      <c r="D51" s="12" t="s">
        <v>47</v>
      </c>
      <c r="E51" s="13"/>
      <c r="F51" s="13"/>
      <c r="G51" s="13"/>
      <c r="H51" s="13"/>
      <c r="I51" s="13">
        <v>1</v>
      </c>
      <c r="J51" s="13">
        <v>1</v>
      </c>
      <c r="K51" s="13">
        <v>2005</v>
      </c>
      <c r="L51" s="13">
        <f t="shared" si="18"/>
        <v>2005</v>
      </c>
      <c r="M51" s="13"/>
      <c r="N51" s="13"/>
      <c r="O51" s="13"/>
      <c r="P51" s="13"/>
      <c r="Q51" s="13">
        <v>1</v>
      </c>
      <c r="R51" s="13">
        <f t="shared" si="19"/>
        <v>1</v>
      </c>
      <c r="S51" s="13">
        <v>2005</v>
      </c>
      <c r="T51" s="13">
        <f t="shared" si="20"/>
        <v>2005</v>
      </c>
      <c r="U51" s="13"/>
      <c r="V51" s="13"/>
      <c r="W51" s="13"/>
      <c r="X51" s="13"/>
      <c r="Y51" s="13">
        <v>1</v>
      </c>
      <c r="Z51" s="13">
        <f t="shared" si="21"/>
        <v>1</v>
      </c>
      <c r="AA51" s="13">
        <v>2005</v>
      </c>
      <c r="AB51" s="13">
        <f t="shared" si="22"/>
        <v>2005</v>
      </c>
      <c r="AC51" s="13"/>
      <c r="AD51" s="13"/>
      <c r="AE51" s="13"/>
      <c r="AF51" s="13"/>
      <c r="AG51" s="13">
        <v>1</v>
      </c>
      <c r="AH51" s="13">
        <v>1</v>
      </c>
      <c r="AI51" s="13">
        <v>2005</v>
      </c>
      <c r="AJ51" s="13">
        <f t="shared" si="23"/>
        <v>2005</v>
      </c>
      <c r="AK51" s="13"/>
      <c r="AL51" s="13"/>
      <c r="AM51" s="13"/>
      <c r="AN51" s="13"/>
      <c r="AO51" s="13">
        <v>1</v>
      </c>
      <c r="AP51" s="13">
        <v>1</v>
      </c>
      <c r="AQ51" s="13">
        <v>2005</v>
      </c>
      <c r="AR51" s="13">
        <f t="shared" si="24"/>
        <v>2005</v>
      </c>
      <c r="AS51" s="13"/>
      <c r="AT51" s="13"/>
      <c r="AU51" s="13"/>
      <c r="AV51" s="13"/>
      <c r="AW51" s="13">
        <v>1</v>
      </c>
      <c r="AX51" s="13">
        <f t="shared" si="25"/>
        <v>1</v>
      </c>
      <c r="AY51" s="13">
        <v>2005</v>
      </c>
      <c r="AZ51" s="13">
        <f t="shared" si="26"/>
        <v>2005</v>
      </c>
      <c r="BA51" s="13"/>
      <c r="BB51" s="13"/>
      <c r="BC51" s="13"/>
      <c r="BD51" s="13"/>
      <c r="BE51" s="13">
        <v>1</v>
      </c>
      <c r="BF51" s="13">
        <v>1</v>
      </c>
      <c r="BG51" s="13">
        <v>2005</v>
      </c>
      <c r="BH51" s="13">
        <f t="shared" si="27"/>
        <v>2005</v>
      </c>
      <c r="BI51" s="13"/>
      <c r="BJ51" s="13"/>
      <c r="BK51" s="13"/>
      <c r="BL51" s="13"/>
      <c r="BM51" s="13">
        <v>1</v>
      </c>
      <c r="BN51" s="13">
        <v>1</v>
      </c>
      <c r="BO51" s="13">
        <v>2005</v>
      </c>
      <c r="BP51" s="13">
        <f t="shared" si="28"/>
        <v>2005</v>
      </c>
      <c r="BQ51" s="13"/>
      <c r="BR51" s="13"/>
      <c r="BS51" s="13"/>
      <c r="BT51" s="13"/>
      <c r="BU51" s="13">
        <v>1</v>
      </c>
      <c r="BV51" s="13">
        <f t="shared" si="31"/>
        <v>1</v>
      </c>
      <c r="BW51" s="13">
        <v>2005</v>
      </c>
      <c r="BX51" s="13">
        <f t="shared" si="29"/>
        <v>2005</v>
      </c>
      <c r="BY51" s="13"/>
      <c r="BZ51" s="13"/>
      <c r="CA51" s="13"/>
      <c r="CB51" s="13"/>
      <c r="CC51" s="13">
        <v>1</v>
      </c>
      <c r="CD51" s="13">
        <v>1</v>
      </c>
      <c r="CE51" s="13">
        <v>2005</v>
      </c>
      <c r="CF51" s="13">
        <f t="shared" si="30"/>
        <v>2005</v>
      </c>
      <c r="CG51" s="15"/>
    </row>
    <row r="52" spans="1:246">
      <c r="A52" s="61" t="s">
        <v>56</v>
      </c>
      <c r="B52" s="26" t="s">
        <v>48</v>
      </c>
      <c r="C52" s="11"/>
      <c r="D52" s="12" t="s">
        <v>49</v>
      </c>
      <c r="E52" s="28"/>
      <c r="F52" s="28"/>
      <c r="G52" s="28"/>
      <c r="H52" s="28"/>
      <c r="I52" s="28"/>
      <c r="J52" s="28"/>
      <c r="K52" s="29">
        <v>322</v>
      </c>
      <c r="L52" s="13">
        <f t="shared" si="18"/>
        <v>0</v>
      </c>
      <c r="M52" s="28"/>
      <c r="N52" s="28"/>
      <c r="O52" s="28"/>
      <c r="P52" s="28"/>
      <c r="Q52" s="28"/>
      <c r="R52" s="13">
        <f t="shared" si="19"/>
        <v>0</v>
      </c>
      <c r="S52" s="29">
        <v>322</v>
      </c>
      <c r="T52" s="13">
        <f t="shared" si="20"/>
        <v>0</v>
      </c>
      <c r="U52" s="28"/>
      <c r="V52" s="28"/>
      <c r="W52" s="28"/>
      <c r="X52" s="28"/>
      <c r="Y52" s="28">
        <v>1</v>
      </c>
      <c r="Z52" s="13">
        <f t="shared" si="21"/>
        <v>1</v>
      </c>
      <c r="AA52" s="29">
        <v>322</v>
      </c>
      <c r="AB52" s="13">
        <f t="shared" si="22"/>
        <v>322</v>
      </c>
      <c r="AC52" s="28"/>
      <c r="AD52" s="28"/>
      <c r="AE52" s="28"/>
      <c r="AF52" s="28"/>
      <c r="AG52" s="28"/>
      <c r="AH52" s="28"/>
      <c r="AI52" s="29">
        <v>322</v>
      </c>
      <c r="AJ52" s="13">
        <f t="shared" si="23"/>
        <v>0</v>
      </c>
      <c r="AK52" s="28"/>
      <c r="AL52" s="28"/>
      <c r="AM52" s="28"/>
      <c r="AN52" s="28"/>
      <c r="AO52" s="28"/>
      <c r="AP52" s="28"/>
      <c r="AQ52" s="29">
        <v>322</v>
      </c>
      <c r="AR52" s="13">
        <f t="shared" si="24"/>
        <v>0</v>
      </c>
      <c r="AS52" s="28"/>
      <c r="AT52" s="28"/>
      <c r="AU52" s="28"/>
      <c r="AV52" s="28"/>
      <c r="AW52" s="28">
        <v>1</v>
      </c>
      <c r="AX52" s="13">
        <f t="shared" si="25"/>
        <v>1</v>
      </c>
      <c r="AY52" s="29">
        <v>322</v>
      </c>
      <c r="AZ52" s="13">
        <f t="shared" si="26"/>
        <v>322</v>
      </c>
      <c r="BA52" s="28"/>
      <c r="BB52" s="28"/>
      <c r="BC52" s="28"/>
      <c r="BD52" s="28"/>
      <c r="BE52" s="28"/>
      <c r="BF52" s="28"/>
      <c r="BG52" s="29">
        <v>322</v>
      </c>
      <c r="BH52" s="13">
        <f t="shared" si="27"/>
        <v>0</v>
      </c>
      <c r="BI52" s="28"/>
      <c r="BJ52" s="28"/>
      <c r="BK52" s="28"/>
      <c r="BL52" s="28"/>
      <c r="BM52" s="28"/>
      <c r="BN52" s="28"/>
      <c r="BO52" s="29">
        <v>322</v>
      </c>
      <c r="BP52" s="13">
        <f t="shared" si="28"/>
        <v>0</v>
      </c>
      <c r="BQ52" s="28"/>
      <c r="BR52" s="28"/>
      <c r="BS52" s="28"/>
      <c r="BT52" s="28"/>
      <c r="BU52" s="28">
        <v>1</v>
      </c>
      <c r="BV52" s="13">
        <f t="shared" si="31"/>
        <v>1</v>
      </c>
      <c r="BW52" s="29">
        <v>322</v>
      </c>
      <c r="BX52" s="13">
        <f t="shared" si="29"/>
        <v>322</v>
      </c>
      <c r="BY52" s="28"/>
      <c r="BZ52" s="28"/>
      <c r="CA52" s="28"/>
      <c r="CB52" s="28"/>
      <c r="CC52" s="28"/>
      <c r="CD52" s="28"/>
      <c r="CE52" s="29">
        <v>322</v>
      </c>
      <c r="CF52" s="13">
        <f t="shared" si="30"/>
        <v>0</v>
      </c>
      <c r="CG52" s="15"/>
    </row>
    <row r="53" spans="1:246" ht="15">
      <c r="A53" s="61" t="s">
        <v>56</v>
      </c>
      <c r="B53" s="31" t="s">
        <v>50</v>
      </c>
      <c r="C53" s="11"/>
      <c r="D53" s="33" t="s">
        <v>51</v>
      </c>
      <c r="E53" s="34"/>
      <c r="F53" s="34"/>
      <c r="G53" s="34"/>
      <c r="H53" s="34"/>
      <c r="I53" s="34"/>
      <c r="J53" s="34"/>
      <c r="K53" s="35">
        <v>190</v>
      </c>
      <c r="L53" s="13">
        <f t="shared" si="18"/>
        <v>0</v>
      </c>
      <c r="M53" s="34"/>
      <c r="N53" s="34"/>
      <c r="O53" s="34"/>
      <c r="P53" s="34"/>
      <c r="Q53" s="34"/>
      <c r="R53" s="28">
        <f t="shared" si="19"/>
        <v>0</v>
      </c>
      <c r="S53" s="35">
        <v>190</v>
      </c>
      <c r="T53" s="13">
        <f t="shared" si="20"/>
        <v>0</v>
      </c>
      <c r="U53" s="34"/>
      <c r="V53" s="34"/>
      <c r="W53" s="34"/>
      <c r="X53" s="34"/>
      <c r="Y53" s="34">
        <v>1</v>
      </c>
      <c r="Z53" s="28">
        <f t="shared" si="21"/>
        <v>1</v>
      </c>
      <c r="AA53" s="35">
        <v>190</v>
      </c>
      <c r="AB53" s="13">
        <f t="shared" si="22"/>
        <v>190</v>
      </c>
      <c r="AC53" s="34"/>
      <c r="AD53" s="34"/>
      <c r="AE53" s="34"/>
      <c r="AF53" s="34"/>
      <c r="AG53" s="34"/>
      <c r="AH53" s="34"/>
      <c r="AI53" s="35">
        <v>190</v>
      </c>
      <c r="AJ53" s="28">
        <f t="shared" si="23"/>
        <v>0</v>
      </c>
      <c r="AK53" s="34"/>
      <c r="AL53" s="34"/>
      <c r="AM53" s="34"/>
      <c r="AN53" s="34"/>
      <c r="AO53" s="34"/>
      <c r="AP53" s="34"/>
      <c r="AQ53" s="35">
        <v>190</v>
      </c>
      <c r="AR53" s="28">
        <f t="shared" si="24"/>
        <v>0</v>
      </c>
      <c r="AS53" s="34"/>
      <c r="AT53" s="34"/>
      <c r="AU53" s="34"/>
      <c r="AV53" s="34"/>
      <c r="AW53" s="34">
        <v>1</v>
      </c>
      <c r="AX53" s="28">
        <f t="shared" si="25"/>
        <v>1</v>
      </c>
      <c r="AY53" s="35">
        <v>190</v>
      </c>
      <c r="AZ53" s="28">
        <f t="shared" si="26"/>
        <v>190</v>
      </c>
      <c r="BA53" s="34"/>
      <c r="BB53" s="34"/>
      <c r="BC53" s="34"/>
      <c r="BD53" s="34"/>
      <c r="BE53" s="34"/>
      <c r="BF53" s="34"/>
      <c r="BG53" s="35">
        <v>190</v>
      </c>
      <c r="BH53" s="28">
        <f t="shared" si="27"/>
        <v>0</v>
      </c>
      <c r="BI53" s="34"/>
      <c r="BJ53" s="34"/>
      <c r="BK53" s="34"/>
      <c r="BL53" s="34"/>
      <c r="BM53" s="34"/>
      <c r="BN53" s="34"/>
      <c r="BO53" s="35">
        <v>190</v>
      </c>
      <c r="BP53" s="28">
        <f t="shared" si="28"/>
        <v>0</v>
      </c>
      <c r="BQ53" s="34"/>
      <c r="BR53" s="34"/>
      <c r="BS53" s="34"/>
      <c r="BT53" s="34"/>
      <c r="BU53" s="34">
        <v>1</v>
      </c>
      <c r="BV53" s="28">
        <f t="shared" si="31"/>
        <v>1</v>
      </c>
      <c r="BW53" s="35">
        <v>190</v>
      </c>
      <c r="BX53" s="28">
        <f t="shared" si="29"/>
        <v>190</v>
      </c>
      <c r="BY53" s="34"/>
      <c r="BZ53" s="34"/>
      <c r="CA53" s="34"/>
      <c r="CB53" s="34"/>
      <c r="CC53" s="34"/>
      <c r="CD53" s="34"/>
      <c r="CE53" s="35">
        <v>190</v>
      </c>
      <c r="CF53" s="28">
        <f t="shared" si="30"/>
        <v>0</v>
      </c>
      <c r="CG53" s="15"/>
    </row>
    <row r="54" spans="1:246">
      <c r="A54" s="61" t="s">
        <v>56</v>
      </c>
      <c r="B54" s="37" t="s">
        <v>52</v>
      </c>
      <c r="C54" s="11"/>
      <c r="D54" s="39" t="s">
        <v>53</v>
      </c>
      <c r="E54" s="40"/>
      <c r="F54" s="41"/>
      <c r="G54" s="41"/>
      <c r="H54" s="41"/>
      <c r="I54" s="40"/>
      <c r="J54" s="40"/>
      <c r="K54" s="42">
        <v>628</v>
      </c>
      <c r="L54" s="13">
        <f t="shared" si="18"/>
        <v>0</v>
      </c>
      <c r="M54" s="40"/>
      <c r="N54" s="41"/>
      <c r="O54" s="41"/>
      <c r="P54" s="41"/>
      <c r="Q54" s="40"/>
      <c r="R54" s="41">
        <f t="shared" si="19"/>
        <v>0</v>
      </c>
      <c r="S54" s="42">
        <v>628</v>
      </c>
      <c r="T54" s="13">
        <f t="shared" si="20"/>
        <v>0</v>
      </c>
      <c r="U54" s="40"/>
      <c r="V54" s="41"/>
      <c r="W54" s="41"/>
      <c r="X54" s="41"/>
      <c r="Y54" s="40">
        <v>1</v>
      </c>
      <c r="Z54" s="41">
        <f t="shared" si="21"/>
        <v>1</v>
      </c>
      <c r="AA54" s="42">
        <v>628</v>
      </c>
      <c r="AB54" s="13">
        <f t="shared" si="22"/>
        <v>628</v>
      </c>
      <c r="AC54" s="40"/>
      <c r="AD54" s="41"/>
      <c r="AE54" s="41"/>
      <c r="AF54" s="41"/>
      <c r="AG54" s="40"/>
      <c r="AH54" s="40"/>
      <c r="AI54" s="42">
        <v>628</v>
      </c>
      <c r="AJ54" s="41">
        <f t="shared" si="23"/>
        <v>0</v>
      </c>
      <c r="AK54" s="40"/>
      <c r="AL54" s="41"/>
      <c r="AM54" s="41"/>
      <c r="AN54" s="41"/>
      <c r="AO54" s="40"/>
      <c r="AP54" s="40"/>
      <c r="AQ54" s="42">
        <v>628</v>
      </c>
      <c r="AR54" s="41">
        <f t="shared" si="24"/>
        <v>0</v>
      </c>
      <c r="AS54" s="40"/>
      <c r="AT54" s="41"/>
      <c r="AU54" s="41"/>
      <c r="AV54" s="41"/>
      <c r="AW54" s="40">
        <v>1</v>
      </c>
      <c r="AX54" s="41">
        <f t="shared" si="25"/>
        <v>1</v>
      </c>
      <c r="AY54" s="42">
        <v>628</v>
      </c>
      <c r="AZ54" s="41">
        <f t="shared" si="26"/>
        <v>628</v>
      </c>
      <c r="BA54" s="40"/>
      <c r="BB54" s="41"/>
      <c r="BC54" s="41"/>
      <c r="BD54" s="41"/>
      <c r="BE54" s="40"/>
      <c r="BF54" s="40"/>
      <c r="BG54" s="42">
        <v>628</v>
      </c>
      <c r="BH54" s="41">
        <f t="shared" si="27"/>
        <v>0</v>
      </c>
      <c r="BI54" s="40"/>
      <c r="BJ54" s="41"/>
      <c r="BK54" s="41"/>
      <c r="BL54" s="41"/>
      <c r="BM54" s="40"/>
      <c r="BN54" s="40"/>
      <c r="BO54" s="42">
        <v>628</v>
      </c>
      <c r="BP54" s="41">
        <f t="shared" si="28"/>
        <v>0</v>
      </c>
      <c r="BQ54" s="40"/>
      <c r="BR54" s="41"/>
      <c r="BS54" s="41"/>
      <c r="BT54" s="41"/>
      <c r="BU54" s="40">
        <v>1</v>
      </c>
      <c r="BV54" s="41">
        <f t="shared" si="31"/>
        <v>1</v>
      </c>
      <c r="BW54" s="42">
        <v>628</v>
      </c>
      <c r="BX54" s="41">
        <f t="shared" si="29"/>
        <v>628</v>
      </c>
      <c r="BY54" s="40"/>
      <c r="BZ54" s="41"/>
      <c r="CA54" s="41"/>
      <c r="CB54" s="41"/>
      <c r="CC54" s="40"/>
      <c r="CD54" s="40"/>
      <c r="CE54" s="42">
        <v>628</v>
      </c>
      <c r="CF54" s="41">
        <f t="shared" si="30"/>
        <v>0</v>
      </c>
      <c r="CG54" s="15"/>
    </row>
    <row r="55" spans="1:246">
      <c r="A55" s="62"/>
      <c r="B55" s="60"/>
      <c r="C55" s="58"/>
      <c r="D55" s="49"/>
      <c r="E55" s="51"/>
      <c r="F55" s="52"/>
      <c r="G55" s="52"/>
      <c r="H55" s="52"/>
      <c r="I55" s="51"/>
      <c r="J55" s="51"/>
      <c r="K55" s="52"/>
      <c r="L55" s="51"/>
      <c r="M55" s="51"/>
      <c r="N55" s="52"/>
      <c r="O55" s="52"/>
      <c r="P55" s="52"/>
      <c r="Q55" s="51"/>
      <c r="R55" s="51"/>
      <c r="S55" s="52"/>
      <c r="T55" s="51"/>
      <c r="U55" s="51"/>
      <c r="V55" s="52"/>
      <c r="W55" s="52"/>
      <c r="X55" s="52"/>
      <c r="Y55" s="51"/>
      <c r="Z55" s="51"/>
      <c r="AA55" s="52"/>
      <c r="AB55" s="51"/>
      <c r="AC55" s="51"/>
      <c r="AD55" s="52"/>
      <c r="AE55" s="52"/>
      <c r="AF55" s="52"/>
      <c r="AG55" s="51"/>
      <c r="AH55" s="51"/>
      <c r="AI55" s="52"/>
      <c r="AJ55" s="51"/>
      <c r="AK55" s="51"/>
      <c r="AL55" s="52"/>
      <c r="AM55" s="52"/>
      <c r="AN55" s="52"/>
      <c r="AO55" s="51"/>
      <c r="AP55" s="51"/>
      <c r="AQ55" s="52"/>
      <c r="AR55" s="51"/>
      <c r="AS55" s="51"/>
      <c r="AT55" s="52"/>
      <c r="AU55" s="52"/>
      <c r="AV55" s="52"/>
      <c r="AW55" s="51"/>
      <c r="AX55" s="51"/>
      <c r="AY55" s="52"/>
      <c r="AZ55" s="51"/>
      <c r="BA55" s="51"/>
      <c r="BB55" s="52"/>
      <c r="BC55" s="52"/>
      <c r="BD55" s="52"/>
      <c r="BE55" s="51"/>
      <c r="BF55" s="51"/>
      <c r="BG55" s="52"/>
      <c r="BH55" s="51"/>
      <c r="BI55" s="51"/>
      <c r="BJ55" s="52"/>
      <c r="BK55" s="52"/>
      <c r="BL55" s="52"/>
      <c r="BM55" s="51"/>
      <c r="BN55" s="51"/>
      <c r="BO55" s="52"/>
      <c r="BP55" s="51"/>
      <c r="BQ55" s="51"/>
      <c r="BR55" s="52"/>
      <c r="BS55" s="52"/>
      <c r="BT55" s="52"/>
      <c r="BU55" s="51"/>
      <c r="BV55" s="51"/>
      <c r="BW55" s="52"/>
      <c r="BX55" s="51"/>
      <c r="BY55" s="51"/>
      <c r="BZ55" s="52"/>
      <c r="CA55" s="52"/>
      <c r="CB55" s="52"/>
      <c r="CC55" s="51"/>
      <c r="CD55" s="51"/>
      <c r="CE55" s="52"/>
      <c r="CF55" s="51"/>
      <c r="CG55" s="15"/>
    </row>
    <row r="56" spans="1:246">
      <c r="A56" s="62"/>
      <c r="B56" s="60"/>
      <c r="C56" s="58"/>
      <c r="D56" s="49"/>
      <c r="E56" s="51"/>
      <c r="F56" s="52"/>
      <c r="G56" s="52"/>
      <c r="H56" s="52"/>
      <c r="I56" s="51"/>
      <c r="J56" s="51"/>
      <c r="K56" s="52"/>
      <c r="L56" s="51"/>
      <c r="M56" s="51"/>
      <c r="N56" s="52"/>
      <c r="O56" s="52"/>
      <c r="P56" s="52"/>
      <c r="Q56" s="51"/>
      <c r="R56" s="51"/>
      <c r="S56" s="52"/>
      <c r="T56" s="51"/>
      <c r="U56" s="51"/>
      <c r="V56" s="52"/>
      <c r="W56" s="52"/>
      <c r="X56" s="52"/>
      <c r="Y56" s="51"/>
      <c r="Z56" s="51"/>
      <c r="AA56" s="52"/>
      <c r="AB56" s="51"/>
      <c r="AC56" s="51"/>
      <c r="AD56" s="52"/>
      <c r="AE56" s="52"/>
      <c r="AF56" s="52"/>
      <c r="AG56" s="51"/>
      <c r="AH56" s="51"/>
      <c r="AI56" s="52"/>
      <c r="AJ56" s="51"/>
      <c r="AK56" s="51"/>
      <c r="AL56" s="52"/>
      <c r="AM56" s="52"/>
      <c r="AN56" s="52"/>
      <c r="AO56" s="51"/>
      <c r="AP56" s="51"/>
      <c r="AQ56" s="52"/>
      <c r="AR56" s="51"/>
      <c r="AS56" s="51"/>
      <c r="AT56" s="52"/>
      <c r="AU56" s="52"/>
      <c r="AV56" s="52"/>
      <c r="AW56" s="51"/>
      <c r="AX56" s="51"/>
      <c r="AY56" s="52"/>
      <c r="AZ56" s="51"/>
      <c r="BA56" s="51"/>
      <c r="BB56" s="52"/>
      <c r="BC56" s="52"/>
      <c r="BD56" s="52"/>
      <c r="BE56" s="51"/>
      <c r="BF56" s="51"/>
      <c r="BG56" s="52"/>
      <c r="BH56" s="51"/>
      <c r="BI56" s="51"/>
      <c r="BJ56" s="52"/>
      <c r="BK56" s="52"/>
      <c r="BL56" s="52"/>
      <c r="BM56" s="51"/>
      <c r="BN56" s="51"/>
      <c r="BO56" s="52"/>
      <c r="BP56" s="51"/>
      <c r="BQ56" s="51"/>
      <c r="BR56" s="52"/>
      <c r="BS56" s="52"/>
      <c r="BT56" s="52"/>
      <c r="BU56" s="51"/>
      <c r="BV56" s="51"/>
      <c r="BW56" s="52"/>
      <c r="BX56" s="51"/>
      <c r="BY56" s="51"/>
      <c r="BZ56" s="52"/>
      <c r="CA56" s="52"/>
      <c r="CB56" s="52"/>
      <c r="CC56" s="51"/>
      <c r="CD56" s="51"/>
      <c r="CE56" s="52"/>
      <c r="CF56" s="51"/>
      <c r="CG56" s="15"/>
    </row>
    <row r="57" spans="1:246">
      <c r="A57" s="62"/>
      <c r="B57" s="60"/>
      <c r="C57" s="58"/>
      <c r="D57" s="49"/>
      <c r="E57" s="51"/>
      <c r="F57" s="52"/>
      <c r="G57" s="52"/>
      <c r="H57" s="52"/>
      <c r="I57" s="51"/>
      <c r="J57" s="51"/>
      <c r="K57" s="52"/>
      <c r="L57" s="51"/>
      <c r="M57" s="51"/>
      <c r="N57" s="52"/>
      <c r="O57" s="52"/>
      <c r="P57" s="52"/>
      <c r="Q57" s="51"/>
      <c r="R57" s="51"/>
      <c r="S57" s="52"/>
      <c r="T57" s="51"/>
      <c r="U57" s="51"/>
      <c r="V57" s="52"/>
      <c r="W57" s="52"/>
      <c r="X57" s="52"/>
      <c r="Y57" s="51"/>
      <c r="Z57" s="51"/>
      <c r="AA57" s="52"/>
      <c r="AB57" s="51"/>
      <c r="AC57" s="51"/>
      <c r="AD57" s="52"/>
      <c r="AE57" s="52"/>
      <c r="AF57" s="52"/>
      <c r="AG57" s="51"/>
      <c r="AH57" s="51"/>
      <c r="AI57" s="52"/>
      <c r="AJ57" s="51"/>
      <c r="AK57" s="51"/>
      <c r="AL57" s="52"/>
      <c r="AM57" s="52"/>
      <c r="AN57" s="52"/>
      <c r="AO57" s="51"/>
      <c r="AP57" s="51"/>
      <c r="AQ57" s="52"/>
      <c r="AR57" s="51"/>
      <c r="AS57" s="51"/>
      <c r="AT57" s="52"/>
      <c r="AU57" s="52"/>
      <c r="AV57" s="52"/>
      <c r="AW57" s="51"/>
      <c r="AX57" s="51"/>
      <c r="AY57" s="52"/>
      <c r="AZ57" s="51"/>
      <c r="BA57" s="51"/>
      <c r="BB57" s="52"/>
      <c r="BC57" s="52"/>
      <c r="BD57" s="52"/>
      <c r="BE57" s="51"/>
      <c r="BF57" s="51"/>
      <c r="BG57" s="52"/>
      <c r="BH57" s="51"/>
      <c r="BI57" s="51"/>
      <c r="BJ57" s="52"/>
      <c r="BK57" s="52"/>
      <c r="BL57" s="52"/>
      <c r="BM57" s="51"/>
      <c r="BN57" s="51"/>
      <c r="BO57" s="52"/>
      <c r="BP57" s="51"/>
      <c r="BQ57" s="51"/>
      <c r="BR57" s="52"/>
      <c r="BS57" s="52"/>
      <c r="BT57" s="52"/>
      <c r="BU57" s="51"/>
      <c r="BV57" s="51"/>
      <c r="BW57" s="52"/>
      <c r="BX57" s="51"/>
      <c r="BY57" s="51"/>
      <c r="BZ57" s="52"/>
      <c r="CA57" s="52"/>
      <c r="CB57" s="52"/>
      <c r="CC57" s="51"/>
      <c r="CD57" s="51"/>
      <c r="CE57" s="52"/>
      <c r="CF57" s="51"/>
      <c r="CG57" s="15"/>
    </row>
    <row r="58" spans="1:246">
      <c r="A58" s="62"/>
      <c r="B58" s="60"/>
      <c r="C58" s="58"/>
      <c r="D58" s="49"/>
      <c r="E58" s="51"/>
      <c r="F58" s="52"/>
      <c r="G58" s="52"/>
      <c r="H58" s="52"/>
      <c r="I58" s="51"/>
      <c r="J58" s="51"/>
      <c r="K58" s="52"/>
      <c r="L58" s="51"/>
      <c r="M58" s="51"/>
      <c r="N58" s="52"/>
      <c r="O58" s="52"/>
      <c r="P58" s="52"/>
      <c r="Q58" s="51"/>
      <c r="R58" s="51"/>
      <c r="S58" s="52"/>
      <c r="T58" s="51"/>
      <c r="U58" s="51"/>
      <c r="V58" s="52"/>
      <c r="W58" s="52"/>
      <c r="X58" s="52"/>
      <c r="Y58" s="51"/>
      <c r="Z58" s="51"/>
      <c r="AA58" s="52"/>
      <c r="AB58" s="51"/>
      <c r="AC58" s="51"/>
      <c r="AD58" s="52"/>
      <c r="AE58" s="52"/>
      <c r="AF58" s="52"/>
      <c r="AG58" s="51"/>
      <c r="AH58" s="51"/>
      <c r="AI58" s="52"/>
      <c r="AJ58" s="51"/>
      <c r="AK58" s="51"/>
      <c r="AL58" s="52"/>
      <c r="AM58" s="52"/>
      <c r="AN58" s="52"/>
      <c r="AO58" s="51"/>
      <c r="AP58" s="51"/>
      <c r="AQ58" s="52"/>
      <c r="AR58" s="51"/>
      <c r="AS58" s="51"/>
      <c r="AT58" s="52"/>
      <c r="AU58" s="52"/>
      <c r="AV58" s="52"/>
      <c r="AW58" s="51"/>
      <c r="AX58" s="51"/>
      <c r="AY58" s="52"/>
      <c r="AZ58" s="51"/>
      <c r="BA58" s="51"/>
      <c r="BB58" s="52"/>
      <c r="BC58" s="52"/>
      <c r="BD58" s="52"/>
      <c r="BE58" s="51"/>
      <c r="BF58" s="51"/>
      <c r="BG58" s="52"/>
      <c r="BH58" s="51"/>
      <c r="BI58" s="51"/>
      <c r="BJ58" s="52"/>
      <c r="BK58" s="52"/>
      <c r="BL58" s="52"/>
      <c r="BM58" s="51"/>
      <c r="BN58" s="51"/>
      <c r="BO58" s="52"/>
      <c r="BP58" s="51"/>
      <c r="BQ58" s="51"/>
      <c r="BR58" s="52"/>
      <c r="BS58" s="52"/>
      <c r="BT58" s="52"/>
      <c r="BU58" s="51"/>
      <c r="BV58" s="51"/>
      <c r="BW58" s="52"/>
      <c r="BX58" s="51"/>
      <c r="BY58" s="51"/>
      <c r="BZ58" s="52"/>
      <c r="CA58" s="52"/>
      <c r="CB58" s="52"/>
      <c r="CC58" s="51"/>
      <c r="CD58" s="51"/>
      <c r="CE58" s="52"/>
      <c r="CF58" s="51"/>
      <c r="CG58" s="15"/>
    </row>
    <row r="59" spans="1:246" ht="30">
      <c r="A59" s="1" t="s">
        <v>0</v>
      </c>
      <c r="B59" s="2" t="s">
        <v>1</v>
      </c>
      <c r="C59" s="3" t="s">
        <v>2</v>
      </c>
      <c r="D59" s="3" t="s">
        <v>3</v>
      </c>
      <c r="E59" s="4">
        <v>500</v>
      </c>
      <c r="F59" s="4">
        <v>1000</v>
      </c>
      <c r="G59" s="4">
        <v>1500</v>
      </c>
      <c r="H59" s="4">
        <v>2000</v>
      </c>
      <c r="I59" s="4">
        <v>2500</v>
      </c>
      <c r="J59" s="5" t="s">
        <v>4</v>
      </c>
      <c r="K59" s="4" t="s">
        <v>5</v>
      </c>
      <c r="L59" s="6" t="s">
        <v>6</v>
      </c>
      <c r="M59" s="4">
        <v>3000</v>
      </c>
      <c r="N59" s="4">
        <v>3500</v>
      </c>
      <c r="O59" s="4">
        <v>4000</v>
      </c>
      <c r="P59" s="4">
        <v>4500</v>
      </c>
      <c r="Q59" s="4">
        <v>5000</v>
      </c>
      <c r="R59" s="5" t="s">
        <v>4</v>
      </c>
      <c r="S59" s="4" t="s">
        <v>5</v>
      </c>
      <c r="T59" s="6" t="s">
        <v>6</v>
      </c>
      <c r="U59" s="4">
        <v>5500</v>
      </c>
      <c r="V59" s="4">
        <v>6000</v>
      </c>
      <c r="W59" s="4">
        <v>6500</v>
      </c>
      <c r="X59" s="4">
        <v>7000</v>
      </c>
      <c r="Y59" s="4">
        <v>7500</v>
      </c>
      <c r="Z59" s="5" t="s">
        <v>4</v>
      </c>
      <c r="AA59" s="4" t="s">
        <v>5</v>
      </c>
      <c r="AB59" s="6" t="s">
        <v>6</v>
      </c>
      <c r="AC59" s="4">
        <v>8000</v>
      </c>
      <c r="AD59" s="4">
        <v>8500</v>
      </c>
      <c r="AE59" s="4">
        <v>9000</v>
      </c>
      <c r="AF59" s="4">
        <v>9500</v>
      </c>
      <c r="AG59" s="4">
        <v>10000</v>
      </c>
      <c r="AH59" s="6" t="s">
        <v>4</v>
      </c>
      <c r="AI59" s="4" t="s">
        <v>5</v>
      </c>
      <c r="AJ59" s="6" t="s">
        <v>6</v>
      </c>
      <c r="AK59" s="4">
        <v>10500</v>
      </c>
      <c r="AL59" s="4">
        <v>11000</v>
      </c>
      <c r="AM59" s="4">
        <v>11500</v>
      </c>
      <c r="AN59" s="4">
        <v>12000</v>
      </c>
      <c r="AO59" s="4">
        <v>12500</v>
      </c>
      <c r="AP59" s="6" t="s">
        <v>4</v>
      </c>
      <c r="AQ59" s="4" t="s">
        <v>5</v>
      </c>
      <c r="AR59" s="6" t="s">
        <v>6</v>
      </c>
      <c r="AS59" s="4">
        <v>13000</v>
      </c>
      <c r="AT59" s="4">
        <v>13500</v>
      </c>
      <c r="AU59" s="4">
        <v>14000</v>
      </c>
      <c r="AV59" s="4">
        <v>14500</v>
      </c>
      <c r="AW59" s="4">
        <v>15000</v>
      </c>
      <c r="AX59" s="6" t="s">
        <v>4</v>
      </c>
      <c r="AY59" s="4" t="s">
        <v>5</v>
      </c>
      <c r="AZ59" s="6" t="s">
        <v>6</v>
      </c>
      <c r="BA59" s="4">
        <v>15500</v>
      </c>
      <c r="BB59" s="4">
        <v>16000</v>
      </c>
      <c r="BC59" s="4">
        <v>16500</v>
      </c>
      <c r="BD59" s="4">
        <v>17000</v>
      </c>
      <c r="BE59" s="4">
        <v>17500</v>
      </c>
      <c r="BF59" s="6" t="s">
        <v>4</v>
      </c>
      <c r="BG59" s="4" t="s">
        <v>5</v>
      </c>
      <c r="BH59" s="6" t="s">
        <v>6</v>
      </c>
      <c r="BI59" s="4">
        <v>18000</v>
      </c>
      <c r="BJ59" s="4">
        <v>18500</v>
      </c>
      <c r="BK59" s="4">
        <v>19000</v>
      </c>
      <c r="BL59" s="4">
        <v>19500</v>
      </c>
      <c r="BM59" s="4">
        <v>20000</v>
      </c>
      <c r="BN59" s="6" t="s">
        <v>4</v>
      </c>
      <c r="BO59" s="4" t="s">
        <v>5</v>
      </c>
      <c r="BP59" s="6" t="s">
        <v>6</v>
      </c>
      <c r="BQ59" s="4">
        <v>20500</v>
      </c>
      <c r="BR59" s="4">
        <v>21000</v>
      </c>
      <c r="BS59" s="4">
        <v>21500</v>
      </c>
      <c r="BT59" s="4">
        <v>22000</v>
      </c>
      <c r="BU59" s="4">
        <v>22500</v>
      </c>
      <c r="BV59" s="6" t="s">
        <v>4</v>
      </c>
      <c r="BW59" s="4" t="s">
        <v>5</v>
      </c>
      <c r="BX59" s="6" t="s">
        <v>6</v>
      </c>
      <c r="BY59" s="4">
        <v>23000</v>
      </c>
      <c r="BZ59" s="4">
        <v>23500</v>
      </c>
      <c r="CA59" s="4">
        <v>24000</v>
      </c>
      <c r="CB59" s="4">
        <v>24500</v>
      </c>
      <c r="CC59" s="4">
        <v>25000</v>
      </c>
      <c r="CD59" s="6" t="s">
        <v>4</v>
      </c>
      <c r="CE59" s="4" t="s">
        <v>5</v>
      </c>
      <c r="CF59" s="6" t="s">
        <v>6</v>
      </c>
      <c r="CG59" s="7"/>
      <c r="CH59" s="7"/>
      <c r="CI59" s="7"/>
      <c r="CJ59" s="7"/>
      <c r="CK59" s="7"/>
      <c r="CL59" s="7"/>
      <c r="CM59" s="7"/>
      <c r="CN59" s="7"/>
      <c r="CO59" s="7"/>
      <c r="CP59" s="7"/>
      <c r="CQ59" s="7"/>
      <c r="CR59" s="7"/>
      <c r="CS59" s="7"/>
      <c r="CT59" s="7"/>
      <c r="CU59" s="7"/>
      <c r="CV59" s="7"/>
      <c r="CW59" s="7"/>
      <c r="CX59" s="7"/>
      <c r="CY59" s="7"/>
      <c r="CZ59" s="7"/>
      <c r="DA59" s="7"/>
      <c r="DB59" s="7"/>
      <c r="DC59" s="7"/>
      <c r="DD59" s="7"/>
      <c r="DE59" s="7"/>
      <c r="DF59" s="7"/>
      <c r="DG59" s="7"/>
      <c r="DH59" s="7"/>
      <c r="DI59" s="7"/>
      <c r="DJ59" s="7"/>
      <c r="DK59" s="7"/>
      <c r="DL59" s="7"/>
      <c r="DM59" s="7"/>
      <c r="DN59" s="7"/>
      <c r="DO59" s="7"/>
      <c r="DP59" s="7"/>
      <c r="DQ59" s="7"/>
      <c r="DR59" s="7"/>
      <c r="DS59" s="7"/>
      <c r="DT59" s="7"/>
      <c r="DU59" s="7"/>
      <c r="DV59" s="7"/>
      <c r="DW59" s="7"/>
      <c r="DX59" s="7"/>
      <c r="DY59" s="7"/>
      <c r="DZ59" s="7"/>
      <c r="EA59" s="7"/>
      <c r="EB59" s="7"/>
      <c r="EC59" s="7"/>
      <c r="ED59" s="7"/>
      <c r="EE59" s="7"/>
      <c r="EF59" s="7"/>
      <c r="EG59" s="7"/>
      <c r="EH59" s="7"/>
      <c r="EI59" s="7"/>
      <c r="EJ59" s="7"/>
      <c r="EK59" s="7"/>
      <c r="EL59" s="7"/>
      <c r="EM59" s="7"/>
      <c r="EN59" s="7"/>
      <c r="EO59" s="7"/>
      <c r="EP59" s="7"/>
      <c r="EQ59" s="7"/>
      <c r="ER59" s="7"/>
      <c r="ES59" s="7"/>
      <c r="ET59" s="7"/>
      <c r="EU59" s="7"/>
      <c r="EV59" s="7"/>
      <c r="EW59" s="7"/>
      <c r="EX59" s="7"/>
      <c r="EY59" s="7"/>
      <c r="EZ59" s="7"/>
      <c r="FA59" s="7"/>
      <c r="FB59" s="7"/>
      <c r="FC59" s="7"/>
      <c r="FD59" s="7"/>
      <c r="FE59" s="7"/>
      <c r="FF59" s="7"/>
      <c r="FG59" s="7"/>
      <c r="FH59" s="7"/>
      <c r="FI59" s="7"/>
      <c r="FJ59" s="7"/>
      <c r="FK59" s="7"/>
      <c r="FL59" s="7"/>
      <c r="FM59" s="7"/>
      <c r="FN59" s="7"/>
      <c r="FO59" s="7"/>
      <c r="FP59" s="7"/>
      <c r="FQ59" s="7"/>
      <c r="FR59" s="7"/>
      <c r="FS59" s="7"/>
      <c r="FT59" s="7"/>
      <c r="FU59" s="7"/>
      <c r="FV59" s="7"/>
      <c r="FW59" s="7"/>
      <c r="FX59" s="7"/>
      <c r="FY59" s="7"/>
      <c r="FZ59" s="7"/>
      <c r="GA59" s="7"/>
      <c r="GB59" s="7"/>
      <c r="GC59" s="7"/>
      <c r="GD59" s="7"/>
      <c r="GE59" s="7"/>
      <c r="GF59" s="7"/>
      <c r="GG59" s="7"/>
      <c r="GH59" s="7"/>
      <c r="GI59" s="7"/>
      <c r="GJ59" s="7"/>
      <c r="GK59" s="7"/>
      <c r="GL59" s="7"/>
      <c r="GM59" s="7"/>
      <c r="GN59" s="7"/>
      <c r="GO59" s="7"/>
      <c r="GP59" s="7"/>
      <c r="GQ59" s="7"/>
      <c r="GR59" s="7"/>
      <c r="GS59" s="7"/>
      <c r="GT59" s="7"/>
      <c r="GU59" s="7"/>
      <c r="GV59" s="7"/>
      <c r="GW59" s="7"/>
      <c r="GX59" s="7"/>
      <c r="GY59" s="7"/>
      <c r="GZ59" s="7"/>
      <c r="HA59" s="7"/>
      <c r="HB59" s="7"/>
      <c r="HC59" s="7"/>
      <c r="HD59" s="7"/>
      <c r="HE59" s="7"/>
      <c r="HF59" s="7"/>
      <c r="HG59" s="7"/>
      <c r="HH59" s="7"/>
      <c r="HI59" s="7"/>
      <c r="HJ59" s="7"/>
      <c r="HK59" s="7"/>
      <c r="HL59" s="7"/>
      <c r="HM59" s="7"/>
      <c r="HN59" s="7"/>
      <c r="HO59" s="7"/>
      <c r="HP59" s="7"/>
      <c r="HQ59" s="7"/>
      <c r="HR59" s="7"/>
      <c r="HS59" s="7"/>
      <c r="HT59" s="7"/>
      <c r="HU59" s="7"/>
      <c r="HV59" s="7"/>
      <c r="HW59" s="7"/>
      <c r="HX59" s="7"/>
      <c r="HY59" s="7"/>
      <c r="HZ59" s="7"/>
      <c r="IA59" s="7"/>
      <c r="IB59" s="7"/>
      <c r="IC59" s="7"/>
      <c r="ID59" s="7"/>
      <c r="IE59" s="7"/>
      <c r="IF59" s="7"/>
      <c r="IG59" s="7"/>
      <c r="IH59" s="7"/>
      <c r="II59" s="7"/>
      <c r="IJ59" s="7"/>
      <c r="IK59" s="7"/>
      <c r="IL59" s="7"/>
    </row>
    <row r="60" spans="1:246">
      <c r="A60" s="61" t="s">
        <v>69</v>
      </c>
      <c r="B60" s="10" t="s">
        <v>8</v>
      </c>
      <c r="C60" s="11"/>
      <c r="D60" s="12" t="s">
        <v>9</v>
      </c>
      <c r="E60" s="13">
        <v>1</v>
      </c>
      <c r="F60" s="13">
        <v>1</v>
      </c>
      <c r="G60" s="13">
        <v>1</v>
      </c>
      <c r="H60" s="13">
        <v>1</v>
      </c>
      <c r="I60" s="13">
        <v>1</v>
      </c>
      <c r="J60" s="13">
        <v>5</v>
      </c>
      <c r="K60" s="13">
        <v>154</v>
      </c>
      <c r="L60" s="13">
        <f>J60*K60</f>
        <v>770</v>
      </c>
      <c r="M60" s="13">
        <v>1</v>
      </c>
      <c r="N60" s="13">
        <v>1</v>
      </c>
      <c r="O60" s="13">
        <v>1</v>
      </c>
      <c r="P60" s="13">
        <v>1</v>
      </c>
      <c r="Q60" s="13">
        <v>1</v>
      </c>
      <c r="R60" s="13">
        <f>M60+N60+O60+P60+Q60</f>
        <v>5</v>
      </c>
      <c r="S60" s="13">
        <v>154</v>
      </c>
      <c r="T60" s="13">
        <f>S60*R60</f>
        <v>770</v>
      </c>
      <c r="U60" s="13">
        <v>1</v>
      </c>
      <c r="V60" s="13">
        <v>1</v>
      </c>
      <c r="W60" s="13">
        <v>1</v>
      </c>
      <c r="X60" s="13">
        <v>1</v>
      </c>
      <c r="Y60" s="13">
        <v>1</v>
      </c>
      <c r="Z60" s="13">
        <f>U60+V60+W60+X60+Y60</f>
        <v>5</v>
      </c>
      <c r="AA60" s="13">
        <v>154</v>
      </c>
      <c r="AB60" s="13">
        <f>AA60*Z60</f>
        <v>770</v>
      </c>
      <c r="AC60" s="13">
        <v>1</v>
      </c>
      <c r="AD60" s="13">
        <v>1</v>
      </c>
      <c r="AE60" s="13">
        <v>1</v>
      </c>
      <c r="AF60" s="13">
        <v>1</v>
      </c>
      <c r="AG60" s="13">
        <v>1</v>
      </c>
      <c r="AH60" s="13">
        <f>AC60+AD60+AE60+AF60+AG60</f>
        <v>5</v>
      </c>
      <c r="AI60" s="13">
        <v>154</v>
      </c>
      <c r="AJ60" s="13">
        <f>AI60*AH60</f>
        <v>770</v>
      </c>
      <c r="AK60" s="13">
        <v>1</v>
      </c>
      <c r="AL60" s="13">
        <v>1</v>
      </c>
      <c r="AM60" s="13">
        <v>1</v>
      </c>
      <c r="AN60" s="13">
        <v>1</v>
      </c>
      <c r="AO60" s="13">
        <v>1</v>
      </c>
      <c r="AP60" s="13">
        <f>AK60+AL60+AM60+AN60+AO60</f>
        <v>5</v>
      </c>
      <c r="AQ60" s="13">
        <v>154</v>
      </c>
      <c r="AR60" s="13">
        <f>AQ60*AP60</f>
        <v>770</v>
      </c>
      <c r="AS60" s="13">
        <v>1</v>
      </c>
      <c r="AT60" s="13">
        <v>1</v>
      </c>
      <c r="AU60" s="13">
        <v>1</v>
      </c>
      <c r="AV60" s="13">
        <v>1</v>
      </c>
      <c r="AW60" s="13">
        <v>1</v>
      </c>
      <c r="AX60" s="13">
        <f>AS60+AT60+AU60+AV60+AW60</f>
        <v>5</v>
      </c>
      <c r="AY60" s="13">
        <v>154</v>
      </c>
      <c r="AZ60" s="13">
        <f>AY60*AX60</f>
        <v>770</v>
      </c>
      <c r="BA60" s="13">
        <v>1</v>
      </c>
      <c r="BB60" s="13">
        <v>1</v>
      </c>
      <c r="BC60" s="13">
        <v>1</v>
      </c>
      <c r="BD60" s="13">
        <v>1</v>
      </c>
      <c r="BE60" s="13">
        <v>1</v>
      </c>
      <c r="BF60" s="13">
        <f>BA60+BB60+BC60+BD60+BE60</f>
        <v>5</v>
      </c>
      <c r="BG60" s="13">
        <v>154</v>
      </c>
      <c r="BH60" s="13">
        <f>BG60*BF60</f>
        <v>770</v>
      </c>
      <c r="BI60" s="13">
        <v>1</v>
      </c>
      <c r="BJ60" s="13">
        <v>1</v>
      </c>
      <c r="BK60" s="13">
        <v>1</v>
      </c>
      <c r="BL60" s="13">
        <v>1</v>
      </c>
      <c r="BM60" s="13">
        <v>1</v>
      </c>
      <c r="BN60" s="13">
        <f>BI60+BJ60+BK60+BL60+BM60</f>
        <v>5</v>
      </c>
      <c r="BO60" s="13">
        <v>154</v>
      </c>
      <c r="BP60" s="13">
        <f>BO60*BN60</f>
        <v>770</v>
      </c>
      <c r="BQ60" s="13">
        <v>1</v>
      </c>
      <c r="BR60" s="13">
        <v>1</v>
      </c>
      <c r="BS60" s="13">
        <v>1</v>
      </c>
      <c r="BT60" s="13">
        <v>1</v>
      </c>
      <c r="BU60" s="13">
        <v>1</v>
      </c>
      <c r="BV60" s="13">
        <f t="shared" ref="BV60:BV69" si="32">BQ60+BR60+BS60+BT60+BU60</f>
        <v>5</v>
      </c>
      <c r="BW60" s="13">
        <v>154</v>
      </c>
      <c r="BX60" s="13">
        <f>BW60*BV60</f>
        <v>770</v>
      </c>
      <c r="BY60" s="13">
        <v>1</v>
      </c>
      <c r="BZ60" s="13">
        <v>1</v>
      </c>
      <c r="CA60" s="13">
        <v>1</v>
      </c>
      <c r="CB60" s="13">
        <v>1</v>
      </c>
      <c r="CC60" s="13">
        <v>1</v>
      </c>
      <c r="CD60" s="13">
        <f t="shared" ref="CD60:CD70" si="33">BY60+BZ60+CA60+CB60+CC60</f>
        <v>5</v>
      </c>
      <c r="CE60" s="13">
        <v>154</v>
      </c>
      <c r="CF60" s="13">
        <f>CE60*CD60</f>
        <v>770</v>
      </c>
      <c r="CG60" s="15"/>
    </row>
    <row r="61" spans="1:246">
      <c r="A61" s="61" t="s">
        <v>69</v>
      </c>
      <c r="B61" s="16" t="s">
        <v>70</v>
      </c>
      <c r="C61" s="11"/>
      <c r="D61" s="16" t="s">
        <v>71</v>
      </c>
      <c r="E61" s="18"/>
      <c r="F61" s="13">
        <v>1</v>
      </c>
      <c r="G61" s="13"/>
      <c r="H61" s="13">
        <v>1</v>
      </c>
      <c r="I61" s="18"/>
      <c r="J61" s="13">
        <v>2</v>
      </c>
      <c r="K61" s="13">
        <v>195</v>
      </c>
      <c r="L61" s="13">
        <f t="shared" ref="L61:L81" si="34">J61*K61</f>
        <v>390</v>
      </c>
      <c r="M61" s="18"/>
      <c r="N61" s="13">
        <v>1</v>
      </c>
      <c r="O61" s="13"/>
      <c r="P61" s="13">
        <v>1</v>
      </c>
      <c r="Q61" s="18"/>
      <c r="R61" s="13">
        <f t="shared" ref="R61:R81" si="35">M61+N61+O61+P61+Q61</f>
        <v>2</v>
      </c>
      <c r="S61" s="13">
        <v>195</v>
      </c>
      <c r="T61" s="13">
        <f t="shared" ref="T61:T81" si="36">S61*R61</f>
        <v>390</v>
      </c>
      <c r="U61" s="18"/>
      <c r="V61" s="13">
        <v>1</v>
      </c>
      <c r="W61" s="13"/>
      <c r="X61" s="13">
        <v>1</v>
      </c>
      <c r="Y61" s="18"/>
      <c r="Z61" s="13">
        <f t="shared" ref="Z61:Z81" si="37">U61+V61+W61+X61+Y61</f>
        <v>2</v>
      </c>
      <c r="AA61" s="13">
        <v>195</v>
      </c>
      <c r="AB61" s="13">
        <f t="shared" ref="AB61:AB81" si="38">Z61*AA61</f>
        <v>390</v>
      </c>
      <c r="AC61" s="18"/>
      <c r="AD61" s="13">
        <v>1</v>
      </c>
      <c r="AE61" s="13"/>
      <c r="AF61" s="13">
        <v>1</v>
      </c>
      <c r="AG61" s="18"/>
      <c r="AH61" s="13">
        <f t="shared" ref="AH61:AH74" si="39">AC61+AD61+AE61+AF61+AG61</f>
        <v>2</v>
      </c>
      <c r="AI61" s="13">
        <v>195</v>
      </c>
      <c r="AJ61" s="13">
        <f t="shared" ref="AJ61:AJ81" si="40">AI61*AH61</f>
        <v>390</v>
      </c>
      <c r="AK61" s="18"/>
      <c r="AL61" s="13">
        <v>1</v>
      </c>
      <c r="AM61" s="13"/>
      <c r="AN61" s="13">
        <v>1</v>
      </c>
      <c r="AO61" s="18"/>
      <c r="AP61" s="13">
        <f t="shared" ref="AP61:AP81" si="41">AK61+AL61+AM61+AN61+AO61</f>
        <v>2</v>
      </c>
      <c r="AQ61" s="13">
        <v>195</v>
      </c>
      <c r="AR61" s="13">
        <f t="shared" ref="AR61:AR81" si="42">AQ61*AP61</f>
        <v>390</v>
      </c>
      <c r="AS61" s="18"/>
      <c r="AT61" s="13">
        <v>1</v>
      </c>
      <c r="AU61" s="13"/>
      <c r="AV61" s="13">
        <v>1</v>
      </c>
      <c r="AW61" s="18"/>
      <c r="AX61" s="13">
        <f t="shared" ref="AX61:AX81" si="43">AS61+AT61+AU61+AV61+AW61</f>
        <v>2</v>
      </c>
      <c r="AY61" s="13">
        <v>195</v>
      </c>
      <c r="AZ61" s="13">
        <f t="shared" ref="AZ61:AZ81" si="44">AY61*AX61</f>
        <v>390</v>
      </c>
      <c r="BA61" s="18"/>
      <c r="BB61" s="13">
        <v>1</v>
      </c>
      <c r="BC61" s="13"/>
      <c r="BD61" s="13">
        <v>1</v>
      </c>
      <c r="BE61" s="18"/>
      <c r="BF61" s="13">
        <f t="shared" ref="BF61:BF81" si="45">BA61+BB61+BC61+BD61+BE61</f>
        <v>2</v>
      </c>
      <c r="BG61" s="13">
        <v>195</v>
      </c>
      <c r="BH61" s="13">
        <f t="shared" ref="BH61:BH81" si="46">BG61*BF61</f>
        <v>390</v>
      </c>
      <c r="BI61" s="18"/>
      <c r="BJ61" s="13">
        <v>1</v>
      </c>
      <c r="BK61" s="13"/>
      <c r="BL61" s="13">
        <v>1</v>
      </c>
      <c r="BM61" s="18"/>
      <c r="BN61" s="13">
        <f t="shared" ref="BN61:BN74" si="47">BI61+BJ61+BK61+BL61+BM61</f>
        <v>2</v>
      </c>
      <c r="BO61" s="13">
        <v>195</v>
      </c>
      <c r="BP61" s="13">
        <f t="shared" ref="BP61:BP81" si="48">BO61*BN61</f>
        <v>390</v>
      </c>
      <c r="BQ61" s="18"/>
      <c r="BR61" s="13">
        <v>1</v>
      </c>
      <c r="BS61" s="13"/>
      <c r="BT61" s="13">
        <v>1</v>
      </c>
      <c r="BU61" s="18"/>
      <c r="BV61" s="13">
        <f t="shared" si="32"/>
        <v>2</v>
      </c>
      <c r="BW61" s="13">
        <v>195</v>
      </c>
      <c r="BX61" s="13">
        <f t="shared" ref="BX61:BX81" si="49">BW61*BV61</f>
        <v>390</v>
      </c>
      <c r="BY61" s="18"/>
      <c r="BZ61" s="13">
        <v>1</v>
      </c>
      <c r="CA61" s="13"/>
      <c r="CB61" s="13">
        <v>1</v>
      </c>
      <c r="CC61" s="18"/>
      <c r="CD61" s="13">
        <f t="shared" si="33"/>
        <v>2</v>
      </c>
      <c r="CE61" s="13">
        <v>195</v>
      </c>
      <c r="CF61" s="13">
        <f t="shared" ref="CF61:CF81" si="50">CE61*CD61</f>
        <v>390</v>
      </c>
      <c r="CG61" s="15"/>
    </row>
    <row r="62" spans="1:246">
      <c r="A62" s="61" t="s">
        <v>69</v>
      </c>
      <c r="B62" s="20" t="s">
        <v>12</v>
      </c>
      <c r="C62" s="11"/>
      <c r="D62" s="11" t="s">
        <v>13</v>
      </c>
      <c r="E62" s="18"/>
      <c r="F62" s="13">
        <v>1</v>
      </c>
      <c r="G62" s="13"/>
      <c r="H62" s="13">
        <v>1</v>
      </c>
      <c r="I62" s="18"/>
      <c r="J62" s="13">
        <v>2</v>
      </c>
      <c r="K62" s="19">
        <v>306</v>
      </c>
      <c r="L62" s="13">
        <f t="shared" si="34"/>
        <v>612</v>
      </c>
      <c r="M62" s="18"/>
      <c r="N62" s="13">
        <v>1</v>
      </c>
      <c r="O62" s="13"/>
      <c r="P62" s="13">
        <v>1</v>
      </c>
      <c r="Q62" s="18"/>
      <c r="R62" s="13">
        <f t="shared" si="35"/>
        <v>2</v>
      </c>
      <c r="S62" s="19">
        <v>306</v>
      </c>
      <c r="T62" s="13">
        <f t="shared" si="36"/>
        <v>612</v>
      </c>
      <c r="U62" s="18"/>
      <c r="V62" s="13">
        <v>1</v>
      </c>
      <c r="W62" s="13"/>
      <c r="X62" s="13">
        <v>1</v>
      </c>
      <c r="Y62" s="18"/>
      <c r="Z62" s="13">
        <f t="shared" si="37"/>
        <v>2</v>
      </c>
      <c r="AA62" s="19">
        <v>306</v>
      </c>
      <c r="AB62" s="13">
        <f t="shared" si="38"/>
        <v>612</v>
      </c>
      <c r="AC62" s="18"/>
      <c r="AD62" s="13">
        <v>1</v>
      </c>
      <c r="AE62" s="13"/>
      <c r="AF62" s="13">
        <v>1</v>
      </c>
      <c r="AG62" s="18"/>
      <c r="AH62" s="13">
        <f t="shared" si="39"/>
        <v>2</v>
      </c>
      <c r="AI62" s="19">
        <v>306</v>
      </c>
      <c r="AJ62" s="13">
        <f t="shared" si="40"/>
        <v>612</v>
      </c>
      <c r="AK62" s="18"/>
      <c r="AL62" s="13">
        <v>1</v>
      </c>
      <c r="AM62" s="13"/>
      <c r="AN62" s="13">
        <v>1</v>
      </c>
      <c r="AO62" s="18"/>
      <c r="AP62" s="13">
        <f t="shared" si="41"/>
        <v>2</v>
      </c>
      <c r="AQ62" s="19">
        <v>306</v>
      </c>
      <c r="AR62" s="13">
        <f t="shared" si="42"/>
        <v>612</v>
      </c>
      <c r="AS62" s="18"/>
      <c r="AT62" s="13">
        <v>1</v>
      </c>
      <c r="AU62" s="13"/>
      <c r="AV62" s="13">
        <v>1</v>
      </c>
      <c r="AW62" s="18"/>
      <c r="AX62" s="13">
        <f t="shared" si="43"/>
        <v>2</v>
      </c>
      <c r="AY62" s="19">
        <v>306</v>
      </c>
      <c r="AZ62" s="13">
        <f t="shared" si="44"/>
        <v>612</v>
      </c>
      <c r="BA62" s="18"/>
      <c r="BB62" s="13">
        <v>1</v>
      </c>
      <c r="BC62" s="13"/>
      <c r="BD62" s="13">
        <v>1</v>
      </c>
      <c r="BE62" s="18"/>
      <c r="BF62" s="13">
        <f t="shared" si="45"/>
        <v>2</v>
      </c>
      <c r="BG62" s="19">
        <v>306</v>
      </c>
      <c r="BH62" s="13">
        <f t="shared" si="46"/>
        <v>612</v>
      </c>
      <c r="BI62" s="18"/>
      <c r="BJ62" s="13">
        <v>1</v>
      </c>
      <c r="BK62" s="13"/>
      <c r="BL62" s="13">
        <v>1</v>
      </c>
      <c r="BM62" s="18"/>
      <c r="BN62" s="13">
        <f t="shared" si="47"/>
        <v>2</v>
      </c>
      <c r="BO62" s="19">
        <v>306</v>
      </c>
      <c r="BP62" s="13">
        <f t="shared" si="48"/>
        <v>612</v>
      </c>
      <c r="BQ62" s="18"/>
      <c r="BR62" s="13">
        <v>1</v>
      </c>
      <c r="BS62" s="13"/>
      <c r="BT62" s="13">
        <v>1</v>
      </c>
      <c r="BU62" s="18"/>
      <c r="BV62" s="13">
        <f t="shared" si="32"/>
        <v>2</v>
      </c>
      <c r="BW62" s="19">
        <v>306</v>
      </c>
      <c r="BX62" s="13">
        <f t="shared" si="49"/>
        <v>612</v>
      </c>
      <c r="BY62" s="18"/>
      <c r="BZ62" s="13">
        <v>1</v>
      </c>
      <c r="CA62" s="13"/>
      <c r="CB62" s="13">
        <v>1</v>
      </c>
      <c r="CC62" s="18"/>
      <c r="CD62" s="13">
        <f t="shared" si="33"/>
        <v>2</v>
      </c>
      <c r="CE62" s="19">
        <v>306</v>
      </c>
      <c r="CF62" s="13">
        <f t="shared" si="50"/>
        <v>612</v>
      </c>
      <c r="CG62" s="15"/>
    </row>
    <row r="63" spans="1:246">
      <c r="A63" s="61" t="s">
        <v>69</v>
      </c>
      <c r="B63" s="10" t="s">
        <v>14</v>
      </c>
      <c r="C63" s="11"/>
      <c r="D63" s="11" t="s">
        <v>15</v>
      </c>
      <c r="E63" s="18"/>
      <c r="F63" s="13"/>
      <c r="G63" s="13"/>
      <c r="H63" s="13"/>
      <c r="I63" s="18"/>
      <c r="J63" s="13"/>
      <c r="K63" s="21">
        <v>166</v>
      </c>
      <c r="L63" s="13">
        <f t="shared" si="34"/>
        <v>0</v>
      </c>
      <c r="M63" s="18"/>
      <c r="N63" s="13"/>
      <c r="O63" s="13"/>
      <c r="P63" s="13"/>
      <c r="Q63" s="18"/>
      <c r="R63" s="13">
        <f t="shared" si="35"/>
        <v>0</v>
      </c>
      <c r="S63" s="21">
        <v>166</v>
      </c>
      <c r="T63" s="13">
        <f t="shared" si="36"/>
        <v>0</v>
      </c>
      <c r="U63" s="18"/>
      <c r="V63" s="13"/>
      <c r="W63" s="13"/>
      <c r="X63" s="13"/>
      <c r="Y63" s="18">
        <v>1</v>
      </c>
      <c r="Z63" s="13">
        <f t="shared" si="37"/>
        <v>1</v>
      </c>
      <c r="AA63" s="21">
        <v>166</v>
      </c>
      <c r="AB63" s="13">
        <f t="shared" si="38"/>
        <v>166</v>
      </c>
      <c r="AC63" s="18"/>
      <c r="AD63" s="13"/>
      <c r="AE63" s="13"/>
      <c r="AF63" s="13"/>
      <c r="AG63" s="18">
        <v>1</v>
      </c>
      <c r="AH63" s="13">
        <f t="shared" si="39"/>
        <v>1</v>
      </c>
      <c r="AI63" s="21">
        <v>166</v>
      </c>
      <c r="AJ63" s="13">
        <f t="shared" si="40"/>
        <v>166</v>
      </c>
      <c r="AK63" s="18"/>
      <c r="AL63" s="13"/>
      <c r="AM63" s="13"/>
      <c r="AN63" s="13"/>
      <c r="AO63" s="18">
        <v>1</v>
      </c>
      <c r="AP63" s="13">
        <f t="shared" si="41"/>
        <v>1</v>
      </c>
      <c r="AQ63" s="21">
        <v>166</v>
      </c>
      <c r="AR63" s="13">
        <f t="shared" si="42"/>
        <v>166</v>
      </c>
      <c r="AS63" s="18"/>
      <c r="AT63" s="13"/>
      <c r="AU63" s="13"/>
      <c r="AV63" s="13"/>
      <c r="AW63" s="18">
        <v>1</v>
      </c>
      <c r="AX63" s="13">
        <f t="shared" si="43"/>
        <v>1</v>
      </c>
      <c r="AY63" s="21">
        <v>166</v>
      </c>
      <c r="AZ63" s="13">
        <f t="shared" si="44"/>
        <v>166</v>
      </c>
      <c r="BA63" s="18"/>
      <c r="BB63" s="13"/>
      <c r="BC63" s="13"/>
      <c r="BD63" s="13"/>
      <c r="BE63" s="18">
        <v>1</v>
      </c>
      <c r="BF63" s="13">
        <f t="shared" si="45"/>
        <v>1</v>
      </c>
      <c r="BG63" s="21">
        <v>166</v>
      </c>
      <c r="BH63" s="13">
        <f t="shared" si="46"/>
        <v>166</v>
      </c>
      <c r="BI63" s="18"/>
      <c r="BJ63" s="13"/>
      <c r="BK63" s="13"/>
      <c r="BL63" s="13"/>
      <c r="BM63" s="18">
        <v>1</v>
      </c>
      <c r="BN63" s="13">
        <f t="shared" si="47"/>
        <v>1</v>
      </c>
      <c r="BO63" s="21">
        <v>166</v>
      </c>
      <c r="BP63" s="13">
        <f t="shared" si="48"/>
        <v>166</v>
      </c>
      <c r="BQ63" s="18"/>
      <c r="BR63" s="13"/>
      <c r="BS63" s="13"/>
      <c r="BT63" s="13"/>
      <c r="BU63" s="18">
        <v>1</v>
      </c>
      <c r="BV63" s="13">
        <f t="shared" si="32"/>
        <v>1</v>
      </c>
      <c r="BW63" s="21">
        <v>166</v>
      </c>
      <c r="BX63" s="13">
        <f t="shared" si="49"/>
        <v>166</v>
      </c>
      <c r="BY63" s="18"/>
      <c r="BZ63" s="13"/>
      <c r="CA63" s="13"/>
      <c r="CB63" s="13"/>
      <c r="CC63" s="18">
        <v>1</v>
      </c>
      <c r="CD63" s="13">
        <f t="shared" si="33"/>
        <v>1</v>
      </c>
      <c r="CE63" s="21">
        <v>166</v>
      </c>
      <c r="CF63" s="13">
        <f t="shared" si="50"/>
        <v>166</v>
      </c>
      <c r="CG63" s="15"/>
    </row>
    <row r="64" spans="1:246">
      <c r="A64" s="61" t="s">
        <v>69</v>
      </c>
      <c r="B64" s="10" t="s">
        <v>16</v>
      </c>
      <c r="C64" s="11"/>
      <c r="D64" s="11" t="s">
        <v>17</v>
      </c>
      <c r="E64" s="18"/>
      <c r="F64" s="13"/>
      <c r="G64" s="13"/>
      <c r="H64" s="13"/>
      <c r="I64" s="18"/>
      <c r="J64" s="13"/>
      <c r="K64" s="21">
        <v>242</v>
      </c>
      <c r="L64" s="13">
        <f t="shared" si="34"/>
        <v>0</v>
      </c>
      <c r="M64" s="18"/>
      <c r="N64" s="13"/>
      <c r="O64" s="13"/>
      <c r="P64" s="13"/>
      <c r="Q64" s="18"/>
      <c r="R64" s="13">
        <f t="shared" si="35"/>
        <v>0</v>
      </c>
      <c r="S64" s="21">
        <v>242</v>
      </c>
      <c r="T64" s="13">
        <f t="shared" si="36"/>
        <v>0</v>
      </c>
      <c r="U64" s="18"/>
      <c r="V64" s="13"/>
      <c r="W64" s="13"/>
      <c r="X64" s="13"/>
      <c r="Y64" s="18">
        <v>1</v>
      </c>
      <c r="Z64" s="13">
        <f t="shared" si="37"/>
        <v>1</v>
      </c>
      <c r="AA64" s="21">
        <v>242</v>
      </c>
      <c r="AB64" s="13">
        <f t="shared" si="38"/>
        <v>242</v>
      </c>
      <c r="AC64" s="18"/>
      <c r="AD64" s="13"/>
      <c r="AE64" s="13"/>
      <c r="AF64" s="13"/>
      <c r="AG64" s="18">
        <v>1</v>
      </c>
      <c r="AH64" s="13">
        <f t="shared" si="39"/>
        <v>1</v>
      </c>
      <c r="AI64" s="21">
        <v>242</v>
      </c>
      <c r="AJ64" s="13">
        <f t="shared" si="40"/>
        <v>242</v>
      </c>
      <c r="AK64" s="18"/>
      <c r="AL64" s="13"/>
      <c r="AM64" s="13"/>
      <c r="AN64" s="13"/>
      <c r="AO64" s="18">
        <v>1</v>
      </c>
      <c r="AP64" s="13">
        <f t="shared" si="41"/>
        <v>1</v>
      </c>
      <c r="AQ64" s="21">
        <v>242</v>
      </c>
      <c r="AR64" s="13">
        <f t="shared" si="42"/>
        <v>242</v>
      </c>
      <c r="AS64" s="18"/>
      <c r="AT64" s="13"/>
      <c r="AU64" s="13"/>
      <c r="AV64" s="13"/>
      <c r="AW64" s="18">
        <v>1</v>
      </c>
      <c r="AX64" s="13">
        <f t="shared" si="43"/>
        <v>1</v>
      </c>
      <c r="AY64" s="21">
        <v>242</v>
      </c>
      <c r="AZ64" s="13">
        <f t="shared" si="44"/>
        <v>242</v>
      </c>
      <c r="BA64" s="18"/>
      <c r="BB64" s="13"/>
      <c r="BC64" s="13"/>
      <c r="BD64" s="13"/>
      <c r="BE64" s="18">
        <v>1</v>
      </c>
      <c r="BF64" s="13">
        <f t="shared" si="45"/>
        <v>1</v>
      </c>
      <c r="BG64" s="21">
        <v>242</v>
      </c>
      <c r="BH64" s="13">
        <f t="shared" si="46"/>
        <v>242</v>
      </c>
      <c r="BI64" s="18"/>
      <c r="BJ64" s="13"/>
      <c r="BK64" s="13"/>
      <c r="BL64" s="13"/>
      <c r="BM64" s="18">
        <v>1</v>
      </c>
      <c r="BN64" s="13">
        <f t="shared" si="47"/>
        <v>1</v>
      </c>
      <c r="BO64" s="21">
        <v>242</v>
      </c>
      <c r="BP64" s="13">
        <f t="shared" si="48"/>
        <v>242</v>
      </c>
      <c r="BQ64" s="18"/>
      <c r="BR64" s="13"/>
      <c r="BS64" s="13"/>
      <c r="BT64" s="13"/>
      <c r="BU64" s="18">
        <v>1</v>
      </c>
      <c r="BV64" s="13">
        <f t="shared" si="32"/>
        <v>1</v>
      </c>
      <c r="BW64" s="21">
        <v>242</v>
      </c>
      <c r="BX64" s="13">
        <f t="shared" si="49"/>
        <v>242</v>
      </c>
      <c r="BY64" s="18"/>
      <c r="BZ64" s="13"/>
      <c r="CA64" s="13"/>
      <c r="CB64" s="13"/>
      <c r="CC64" s="18">
        <v>1</v>
      </c>
      <c r="CD64" s="13">
        <f t="shared" si="33"/>
        <v>1</v>
      </c>
      <c r="CE64" s="21">
        <v>242</v>
      </c>
      <c r="CF64" s="13">
        <f t="shared" si="50"/>
        <v>242</v>
      </c>
      <c r="CG64" s="15"/>
    </row>
    <row r="65" spans="1:122">
      <c r="A65" s="61" t="s">
        <v>69</v>
      </c>
      <c r="B65" s="10" t="s">
        <v>18</v>
      </c>
      <c r="C65" s="11"/>
      <c r="D65" s="12" t="s">
        <v>19</v>
      </c>
      <c r="E65" s="18"/>
      <c r="F65" s="13">
        <v>1</v>
      </c>
      <c r="G65" s="13"/>
      <c r="H65" s="13">
        <v>1</v>
      </c>
      <c r="I65" s="18"/>
      <c r="J65" s="13">
        <v>2</v>
      </c>
      <c r="K65" s="19">
        <v>25</v>
      </c>
      <c r="L65" s="13">
        <f t="shared" si="34"/>
        <v>50</v>
      </c>
      <c r="M65" s="18"/>
      <c r="N65" s="13">
        <v>1</v>
      </c>
      <c r="O65" s="13"/>
      <c r="P65" s="13">
        <v>1</v>
      </c>
      <c r="Q65" s="18"/>
      <c r="R65" s="13">
        <f t="shared" si="35"/>
        <v>2</v>
      </c>
      <c r="S65" s="19">
        <v>25</v>
      </c>
      <c r="T65" s="13">
        <f t="shared" si="36"/>
        <v>50</v>
      </c>
      <c r="U65" s="18"/>
      <c r="V65" s="13">
        <v>1</v>
      </c>
      <c r="W65" s="13"/>
      <c r="X65" s="13">
        <v>1</v>
      </c>
      <c r="Y65" s="18"/>
      <c r="Z65" s="13">
        <f t="shared" si="37"/>
        <v>2</v>
      </c>
      <c r="AA65" s="19">
        <v>25</v>
      </c>
      <c r="AB65" s="13">
        <f t="shared" si="38"/>
        <v>50</v>
      </c>
      <c r="AC65" s="18"/>
      <c r="AD65" s="13">
        <v>1</v>
      </c>
      <c r="AE65" s="13"/>
      <c r="AF65" s="13">
        <v>1</v>
      </c>
      <c r="AG65" s="18"/>
      <c r="AH65" s="13">
        <f t="shared" si="39"/>
        <v>2</v>
      </c>
      <c r="AI65" s="19">
        <v>25</v>
      </c>
      <c r="AJ65" s="13">
        <f t="shared" si="40"/>
        <v>50</v>
      </c>
      <c r="AK65" s="18"/>
      <c r="AL65" s="13">
        <v>1</v>
      </c>
      <c r="AM65" s="13"/>
      <c r="AN65" s="13">
        <v>1</v>
      </c>
      <c r="AO65" s="18"/>
      <c r="AP65" s="13">
        <f t="shared" si="41"/>
        <v>2</v>
      </c>
      <c r="AQ65" s="19">
        <v>25</v>
      </c>
      <c r="AR65" s="13">
        <f t="shared" si="42"/>
        <v>50</v>
      </c>
      <c r="AS65" s="18"/>
      <c r="AT65" s="13">
        <v>1</v>
      </c>
      <c r="AU65" s="13"/>
      <c r="AV65" s="13">
        <v>1</v>
      </c>
      <c r="AW65" s="18"/>
      <c r="AX65" s="13">
        <f t="shared" si="43"/>
        <v>2</v>
      </c>
      <c r="AY65" s="19">
        <v>25</v>
      </c>
      <c r="AZ65" s="13">
        <f t="shared" si="44"/>
        <v>50</v>
      </c>
      <c r="BA65" s="18"/>
      <c r="BB65" s="13">
        <v>1</v>
      </c>
      <c r="BC65" s="13"/>
      <c r="BD65" s="13">
        <v>1</v>
      </c>
      <c r="BE65" s="18"/>
      <c r="BF65" s="13">
        <f t="shared" si="45"/>
        <v>2</v>
      </c>
      <c r="BG65" s="19">
        <v>25</v>
      </c>
      <c r="BH65" s="13">
        <f t="shared" si="46"/>
        <v>50</v>
      </c>
      <c r="BI65" s="18"/>
      <c r="BJ65" s="13">
        <v>1</v>
      </c>
      <c r="BK65" s="13"/>
      <c r="BL65" s="13">
        <v>1</v>
      </c>
      <c r="BM65" s="18"/>
      <c r="BN65" s="13">
        <f t="shared" si="47"/>
        <v>2</v>
      </c>
      <c r="BO65" s="19">
        <v>25</v>
      </c>
      <c r="BP65" s="13">
        <f t="shared" si="48"/>
        <v>50</v>
      </c>
      <c r="BQ65" s="18"/>
      <c r="BR65" s="13">
        <v>1</v>
      </c>
      <c r="BS65" s="13"/>
      <c r="BT65" s="13">
        <v>1</v>
      </c>
      <c r="BU65" s="18"/>
      <c r="BV65" s="13">
        <f t="shared" si="32"/>
        <v>2</v>
      </c>
      <c r="BW65" s="19">
        <v>25</v>
      </c>
      <c r="BX65" s="13">
        <f t="shared" si="49"/>
        <v>50</v>
      </c>
      <c r="BY65" s="18"/>
      <c r="BZ65" s="13">
        <v>1</v>
      </c>
      <c r="CA65" s="13"/>
      <c r="CB65" s="13">
        <v>1</v>
      </c>
      <c r="CC65" s="18"/>
      <c r="CD65" s="13">
        <f t="shared" si="33"/>
        <v>2</v>
      </c>
      <c r="CE65" s="19">
        <v>25</v>
      </c>
      <c r="CF65" s="13">
        <f t="shared" si="50"/>
        <v>50</v>
      </c>
      <c r="CG65" s="15"/>
    </row>
    <row r="66" spans="1:122">
      <c r="A66" s="61" t="s">
        <v>69</v>
      </c>
      <c r="B66" s="10" t="s">
        <v>20</v>
      </c>
      <c r="C66" s="11"/>
      <c r="D66" s="12" t="s">
        <v>21</v>
      </c>
      <c r="E66" s="18"/>
      <c r="F66" s="13">
        <v>1</v>
      </c>
      <c r="G66" s="13"/>
      <c r="H66" s="13">
        <v>1</v>
      </c>
      <c r="I66" s="18"/>
      <c r="J66" s="13">
        <v>2</v>
      </c>
      <c r="K66" s="21">
        <v>112</v>
      </c>
      <c r="L66" s="13">
        <f t="shared" si="34"/>
        <v>224</v>
      </c>
      <c r="M66" s="18"/>
      <c r="N66" s="13">
        <v>1</v>
      </c>
      <c r="O66" s="13"/>
      <c r="P66" s="13">
        <v>1</v>
      </c>
      <c r="Q66" s="18"/>
      <c r="R66" s="13">
        <f t="shared" si="35"/>
        <v>2</v>
      </c>
      <c r="S66" s="21">
        <v>112</v>
      </c>
      <c r="T66" s="13">
        <f t="shared" si="36"/>
        <v>224</v>
      </c>
      <c r="U66" s="18"/>
      <c r="V66" s="13">
        <v>1</v>
      </c>
      <c r="W66" s="13"/>
      <c r="X66" s="13">
        <v>1</v>
      </c>
      <c r="Y66" s="18"/>
      <c r="Z66" s="13">
        <f t="shared" si="37"/>
        <v>2</v>
      </c>
      <c r="AA66" s="21">
        <v>112</v>
      </c>
      <c r="AB66" s="13">
        <f t="shared" si="38"/>
        <v>224</v>
      </c>
      <c r="AC66" s="18"/>
      <c r="AD66" s="13">
        <v>1</v>
      </c>
      <c r="AE66" s="13"/>
      <c r="AF66" s="13">
        <v>1</v>
      </c>
      <c r="AG66" s="18"/>
      <c r="AH66" s="13">
        <f t="shared" si="39"/>
        <v>2</v>
      </c>
      <c r="AI66" s="21">
        <v>112</v>
      </c>
      <c r="AJ66" s="13">
        <f t="shared" si="40"/>
        <v>224</v>
      </c>
      <c r="AK66" s="18"/>
      <c r="AL66" s="13">
        <v>1</v>
      </c>
      <c r="AM66" s="13"/>
      <c r="AN66" s="13">
        <v>1</v>
      </c>
      <c r="AO66" s="18"/>
      <c r="AP66" s="13">
        <f t="shared" si="41"/>
        <v>2</v>
      </c>
      <c r="AQ66" s="21">
        <v>112</v>
      </c>
      <c r="AR66" s="13">
        <f t="shared" si="42"/>
        <v>224</v>
      </c>
      <c r="AS66" s="18"/>
      <c r="AT66" s="13">
        <v>1</v>
      </c>
      <c r="AU66" s="13"/>
      <c r="AV66" s="13">
        <v>1</v>
      </c>
      <c r="AW66" s="18"/>
      <c r="AX66" s="13">
        <f t="shared" si="43"/>
        <v>2</v>
      </c>
      <c r="AY66" s="21">
        <v>112</v>
      </c>
      <c r="AZ66" s="13">
        <f t="shared" si="44"/>
        <v>224</v>
      </c>
      <c r="BA66" s="18"/>
      <c r="BB66" s="13">
        <v>1</v>
      </c>
      <c r="BC66" s="13"/>
      <c r="BD66" s="13">
        <v>1</v>
      </c>
      <c r="BE66" s="18"/>
      <c r="BF66" s="13">
        <f t="shared" si="45"/>
        <v>2</v>
      </c>
      <c r="BG66" s="21">
        <v>112</v>
      </c>
      <c r="BH66" s="13">
        <f t="shared" si="46"/>
        <v>224</v>
      </c>
      <c r="BI66" s="18"/>
      <c r="BJ66" s="13">
        <v>1</v>
      </c>
      <c r="BK66" s="13"/>
      <c r="BL66" s="13">
        <v>1</v>
      </c>
      <c r="BM66" s="18"/>
      <c r="BN66" s="13">
        <f t="shared" si="47"/>
        <v>2</v>
      </c>
      <c r="BO66" s="21">
        <v>112</v>
      </c>
      <c r="BP66" s="13">
        <f t="shared" si="48"/>
        <v>224</v>
      </c>
      <c r="BQ66" s="18"/>
      <c r="BR66" s="13">
        <v>1</v>
      </c>
      <c r="BS66" s="13"/>
      <c r="BT66" s="13">
        <v>1</v>
      </c>
      <c r="BU66" s="18"/>
      <c r="BV66" s="13">
        <f t="shared" si="32"/>
        <v>2</v>
      </c>
      <c r="BW66" s="21">
        <v>112</v>
      </c>
      <c r="BX66" s="13">
        <f t="shared" si="49"/>
        <v>224</v>
      </c>
      <c r="BY66" s="18"/>
      <c r="BZ66" s="13">
        <v>1</v>
      </c>
      <c r="CA66" s="13"/>
      <c r="CB66" s="13">
        <v>1</v>
      </c>
      <c r="CC66" s="18"/>
      <c r="CD66" s="13">
        <f t="shared" si="33"/>
        <v>2</v>
      </c>
      <c r="CE66" s="21">
        <v>112</v>
      </c>
      <c r="CF66" s="13">
        <f t="shared" si="50"/>
        <v>224</v>
      </c>
      <c r="CG66" s="15"/>
    </row>
    <row r="67" spans="1:122">
      <c r="A67" s="61" t="s">
        <v>69</v>
      </c>
      <c r="B67" s="10" t="s">
        <v>72</v>
      </c>
      <c r="C67" s="11"/>
      <c r="D67" s="11" t="s">
        <v>23</v>
      </c>
      <c r="E67" s="18"/>
      <c r="F67" s="13">
        <v>1</v>
      </c>
      <c r="G67" s="13"/>
      <c r="H67" s="13">
        <v>1</v>
      </c>
      <c r="I67" s="18"/>
      <c r="J67" s="13">
        <v>2</v>
      </c>
      <c r="K67" s="13">
        <v>108</v>
      </c>
      <c r="L67" s="13">
        <f t="shared" si="34"/>
        <v>216</v>
      </c>
      <c r="M67" s="18"/>
      <c r="N67" s="13">
        <v>1</v>
      </c>
      <c r="O67" s="13"/>
      <c r="P67" s="13">
        <v>1</v>
      </c>
      <c r="Q67" s="18"/>
      <c r="R67" s="13">
        <f t="shared" si="35"/>
        <v>2</v>
      </c>
      <c r="S67" s="13">
        <v>108</v>
      </c>
      <c r="T67" s="13">
        <f t="shared" si="36"/>
        <v>216</v>
      </c>
      <c r="U67" s="18"/>
      <c r="V67" s="13">
        <v>1</v>
      </c>
      <c r="W67" s="13"/>
      <c r="X67" s="13">
        <v>1</v>
      </c>
      <c r="Y67" s="18"/>
      <c r="Z67" s="13">
        <f t="shared" si="37"/>
        <v>2</v>
      </c>
      <c r="AA67" s="13">
        <v>108</v>
      </c>
      <c r="AB67" s="13">
        <f t="shared" si="38"/>
        <v>216</v>
      </c>
      <c r="AC67" s="18"/>
      <c r="AD67" s="13">
        <v>1</v>
      </c>
      <c r="AE67" s="13"/>
      <c r="AF67" s="13">
        <v>1</v>
      </c>
      <c r="AG67" s="18"/>
      <c r="AH67" s="13">
        <f t="shared" si="39"/>
        <v>2</v>
      </c>
      <c r="AI67" s="13">
        <v>108</v>
      </c>
      <c r="AJ67" s="13">
        <f t="shared" si="40"/>
        <v>216</v>
      </c>
      <c r="AK67" s="18"/>
      <c r="AL67" s="13">
        <v>1</v>
      </c>
      <c r="AM67" s="13"/>
      <c r="AN67" s="13">
        <v>1</v>
      </c>
      <c r="AO67" s="18"/>
      <c r="AP67" s="13">
        <f t="shared" si="41"/>
        <v>2</v>
      </c>
      <c r="AQ67" s="13">
        <v>108</v>
      </c>
      <c r="AR67" s="13">
        <f t="shared" si="42"/>
        <v>216</v>
      </c>
      <c r="AS67" s="18"/>
      <c r="AT67" s="13">
        <v>1</v>
      </c>
      <c r="AU67" s="13"/>
      <c r="AV67" s="13">
        <v>1</v>
      </c>
      <c r="AW67" s="18"/>
      <c r="AX67" s="13">
        <f t="shared" si="43"/>
        <v>2</v>
      </c>
      <c r="AY67" s="13">
        <v>108</v>
      </c>
      <c r="AZ67" s="13">
        <f t="shared" si="44"/>
        <v>216</v>
      </c>
      <c r="BA67" s="18"/>
      <c r="BB67" s="13">
        <v>1</v>
      </c>
      <c r="BC67" s="13"/>
      <c r="BD67" s="13">
        <v>1</v>
      </c>
      <c r="BE67" s="18"/>
      <c r="BF67" s="13">
        <f t="shared" si="45"/>
        <v>2</v>
      </c>
      <c r="BG67" s="13">
        <v>108</v>
      </c>
      <c r="BH67" s="13">
        <f t="shared" si="46"/>
        <v>216</v>
      </c>
      <c r="BI67" s="18"/>
      <c r="BJ67" s="13">
        <v>1</v>
      </c>
      <c r="BK67" s="13"/>
      <c r="BL67" s="13">
        <v>1</v>
      </c>
      <c r="BM67" s="18"/>
      <c r="BN67" s="13">
        <f t="shared" si="47"/>
        <v>2</v>
      </c>
      <c r="BO67" s="13">
        <v>108</v>
      </c>
      <c r="BP67" s="13">
        <f t="shared" si="48"/>
        <v>216</v>
      </c>
      <c r="BQ67" s="18"/>
      <c r="BR67" s="13">
        <v>1</v>
      </c>
      <c r="BS67" s="13"/>
      <c r="BT67" s="13">
        <v>1</v>
      </c>
      <c r="BU67" s="18"/>
      <c r="BV67" s="13">
        <f t="shared" si="32"/>
        <v>2</v>
      </c>
      <c r="BW67" s="13">
        <v>108</v>
      </c>
      <c r="BX67" s="13">
        <f t="shared" si="49"/>
        <v>216</v>
      </c>
      <c r="BY67" s="18"/>
      <c r="BZ67" s="13">
        <v>1</v>
      </c>
      <c r="CA67" s="13"/>
      <c r="CB67" s="13">
        <v>1</v>
      </c>
      <c r="CC67" s="18"/>
      <c r="CD67" s="13">
        <f t="shared" si="33"/>
        <v>2</v>
      </c>
      <c r="CE67" s="13">
        <v>108</v>
      </c>
      <c r="CF67" s="13">
        <f t="shared" si="50"/>
        <v>216</v>
      </c>
      <c r="CG67" s="15"/>
    </row>
    <row r="68" spans="1:122">
      <c r="A68" s="61" t="s">
        <v>69</v>
      </c>
      <c r="B68" s="10" t="s">
        <v>73</v>
      </c>
      <c r="C68" s="11"/>
      <c r="D68" s="12" t="s">
        <v>74</v>
      </c>
      <c r="E68" s="18"/>
      <c r="F68" s="13"/>
      <c r="G68" s="13"/>
      <c r="H68" s="13"/>
      <c r="I68" s="18"/>
      <c r="J68" s="13"/>
      <c r="K68" s="13">
        <v>734</v>
      </c>
      <c r="L68" s="13">
        <f t="shared" si="34"/>
        <v>0</v>
      </c>
      <c r="M68" s="18"/>
      <c r="N68" s="13"/>
      <c r="O68" s="13"/>
      <c r="P68" s="13"/>
      <c r="Q68" s="18"/>
      <c r="R68" s="13">
        <f t="shared" si="35"/>
        <v>0</v>
      </c>
      <c r="S68" s="13">
        <v>734</v>
      </c>
      <c r="T68" s="13">
        <f t="shared" si="36"/>
        <v>0</v>
      </c>
      <c r="U68" s="18"/>
      <c r="V68" s="13"/>
      <c r="W68" s="13"/>
      <c r="X68" s="13"/>
      <c r="Y68" s="18">
        <v>1</v>
      </c>
      <c r="Z68" s="13">
        <f t="shared" si="37"/>
        <v>1</v>
      </c>
      <c r="AA68" s="13">
        <v>734</v>
      </c>
      <c r="AB68" s="13">
        <f t="shared" si="38"/>
        <v>734</v>
      </c>
      <c r="AC68" s="18"/>
      <c r="AD68" s="13"/>
      <c r="AE68" s="13"/>
      <c r="AF68" s="13"/>
      <c r="AG68" s="18">
        <v>1</v>
      </c>
      <c r="AH68" s="13">
        <f t="shared" si="39"/>
        <v>1</v>
      </c>
      <c r="AI68" s="13">
        <v>734</v>
      </c>
      <c r="AJ68" s="13">
        <f t="shared" si="40"/>
        <v>734</v>
      </c>
      <c r="AK68" s="18"/>
      <c r="AL68" s="13"/>
      <c r="AM68" s="13"/>
      <c r="AN68" s="13"/>
      <c r="AO68" s="18"/>
      <c r="AP68" s="13">
        <f t="shared" si="41"/>
        <v>0</v>
      </c>
      <c r="AQ68" s="13">
        <v>734</v>
      </c>
      <c r="AR68" s="13">
        <f t="shared" si="42"/>
        <v>0</v>
      </c>
      <c r="AS68" s="18"/>
      <c r="AT68" s="13"/>
      <c r="AU68" s="13"/>
      <c r="AV68" s="13"/>
      <c r="AW68" s="18">
        <v>1</v>
      </c>
      <c r="AX68" s="13">
        <f t="shared" si="43"/>
        <v>1</v>
      </c>
      <c r="AY68" s="13">
        <v>734</v>
      </c>
      <c r="AZ68" s="13">
        <f t="shared" si="44"/>
        <v>734</v>
      </c>
      <c r="BA68" s="18"/>
      <c r="BB68" s="13"/>
      <c r="BC68" s="13"/>
      <c r="BD68" s="13"/>
      <c r="BE68" s="18"/>
      <c r="BF68" s="13">
        <f t="shared" si="45"/>
        <v>0</v>
      </c>
      <c r="BG68" s="13">
        <v>734</v>
      </c>
      <c r="BH68" s="13">
        <f t="shared" si="46"/>
        <v>0</v>
      </c>
      <c r="BI68" s="18"/>
      <c r="BJ68" s="13"/>
      <c r="BK68" s="13"/>
      <c r="BL68" s="13"/>
      <c r="BM68" s="18">
        <v>1</v>
      </c>
      <c r="BN68" s="13">
        <f t="shared" si="47"/>
        <v>1</v>
      </c>
      <c r="BO68" s="13">
        <v>734</v>
      </c>
      <c r="BP68" s="13">
        <f t="shared" si="48"/>
        <v>734</v>
      </c>
      <c r="BQ68" s="18"/>
      <c r="BR68" s="13"/>
      <c r="BS68" s="13"/>
      <c r="BT68" s="13"/>
      <c r="BU68" s="18">
        <v>1</v>
      </c>
      <c r="BV68" s="13">
        <f t="shared" si="32"/>
        <v>1</v>
      </c>
      <c r="BW68" s="13">
        <v>734</v>
      </c>
      <c r="BX68" s="13">
        <f t="shared" si="49"/>
        <v>734</v>
      </c>
      <c r="BY68" s="18"/>
      <c r="BZ68" s="13"/>
      <c r="CA68" s="13"/>
      <c r="CB68" s="13"/>
      <c r="CC68" s="18"/>
      <c r="CD68" s="13">
        <f t="shared" si="33"/>
        <v>0</v>
      </c>
      <c r="CE68" s="13">
        <v>734</v>
      </c>
      <c r="CF68" s="13">
        <f t="shared" si="50"/>
        <v>0</v>
      </c>
      <c r="CG68" s="15"/>
    </row>
    <row r="69" spans="1:122">
      <c r="A69" s="61" t="s">
        <v>69</v>
      </c>
      <c r="B69" s="10" t="s">
        <v>75</v>
      </c>
      <c r="C69" s="11"/>
      <c r="D69" s="12" t="s">
        <v>27</v>
      </c>
      <c r="E69" s="18"/>
      <c r="F69" s="13"/>
      <c r="G69" s="13"/>
      <c r="H69" s="13"/>
      <c r="I69" s="18"/>
      <c r="J69" s="13"/>
      <c r="K69" s="13">
        <v>658</v>
      </c>
      <c r="L69" s="13">
        <f t="shared" si="34"/>
        <v>0</v>
      </c>
      <c r="M69" s="18"/>
      <c r="N69" s="13"/>
      <c r="O69" s="13"/>
      <c r="P69" s="13"/>
      <c r="Q69" s="18"/>
      <c r="R69" s="13">
        <f t="shared" si="35"/>
        <v>0</v>
      </c>
      <c r="S69" s="13">
        <v>658</v>
      </c>
      <c r="T69" s="13">
        <f t="shared" si="36"/>
        <v>0</v>
      </c>
      <c r="U69" s="18"/>
      <c r="V69" s="13"/>
      <c r="W69" s="13"/>
      <c r="X69" s="13"/>
      <c r="Y69" s="18">
        <v>1</v>
      </c>
      <c r="Z69" s="13">
        <f t="shared" si="37"/>
        <v>1</v>
      </c>
      <c r="AA69" s="13">
        <v>658</v>
      </c>
      <c r="AB69" s="13">
        <f t="shared" si="38"/>
        <v>658</v>
      </c>
      <c r="AC69" s="18"/>
      <c r="AD69" s="13"/>
      <c r="AE69" s="13"/>
      <c r="AF69" s="13"/>
      <c r="AG69" s="18"/>
      <c r="AH69" s="13">
        <f t="shared" si="39"/>
        <v>0</v>
      </c>
      <c r="AI69" s="13">
        <v>658</v>
      </c>
      <c r="AJ69" s="13">
        <f t="shared" si="40"/>
        <v>0</v>
      </c>
      <c r="AK69" s="18"/>
      <c r="AL69" s="13"/>
      <c r="AM69" s="13"/>
      <c r="AN69" s="13"/>
      <c r="AO69" s="18"/>
      <c r="AP69" s="13">
        <f t="shared" si="41"/>
        <v>0</v>
      </c>
      <c r="AQ69" s="13">
        <v>658</v>
      </c>
      <c r="AR69" s="13">
        <f t="shared" si="42"/>
        <v>0</v>
      </c>
      <c r="AS69" s="18"/>
      <c r="AT69" s="13"/>
      <c r="AU69" s="13"/>
      <c r="AV69" s="13"/>
      <c r="AW69" s="18"/>
      <c r="AX69" s="13">
        <f t="shared" si="43"/>
        <v>0</v>
      </c>
      <c r="AY69" s="13">
        <v>658</v>
      </c>
      <c r="AZ69" s="13">
        <f t="shared" si="44"/>
        <v>0</v>
      </c>
      <c r="BA69" s="18"/>
      <c r="BB69" s="13"/>
      <c r="BC69" s="13"/>
      <c r="BD69" s="13"/>
      <c r="BE69" s="18"/>
      <c r="BF69" s="13">
        <f t="shared" si="45"/>
        <v>0</v>
      </c>
      <c r="BG69" s="13">
        <v>658</v>
      </c>
      <c r="BH69" s="13">
        <f t="shared" si="46"/>
        <v>0</v>
      </c>
      <c r="BI69" s="18"/>
      <c r="BJ69" s="13"/>
      <c r="BK69" s="13"/>
      <c r="BL69" s="13"/>
      <c r="BM69" s="18"/>
      <c r="BN69" s="13">
        <f t="shared" si="47"/>
        <v>0</v>
      </c>
      <c r="BO69" s="13">
        <v>658</v>
      </c>
      <c r="BP69" s="13">
        <f t="shared" si="48"/>
        <v>0</v>
      </c>
      <c r="BQ69" s="18"/>
      <c r="BR69" s="13"/>
      <c r="BS69" s="13"/>
      <c r="BT69" s="13"/>
      <c r="BU69" s="18"/>
      <c r="BV69" s="13">
        <f t="shared" si="32"/>
        <v>0</v>
      </c>
      <c r="BW69" s="13">
        <v>658</v>
      </c>
      <c r="BX69" s="13">
        <f t="shared" si="49"/>
        <v>0</v>
      </c>
      <c r="BY69" s="18"/>
      <c r="BZ69" s="13"/>
      <c r="CA69" s="13"/>
      <c r="CB69" s="13"/>
      <c r="CC69" s="18"/>
      <c r="CD69" s="13">
        <f t="shared" si="33"/>
        <v>0</v>
      </c>
      <c r="CE69" s="13">
        <v>658</v>
      </c>
      <c r="CF69" s="13">
        <f t="shared" si="50"/>
        <v>0</v>
      </c>
      <c r="CG69" s="15"/>
    </row>
    <row r="70" spans="1:122">
      <c r="A70" s="61" t="s">
        <v>69</v>
      </c>
      <c r="B70" s="10" t="s">
        <v>76</v>
      </c>
      <c r="C70" s="11"/>
      <c r="D70" s="11" t="s">
        <v>77</v>
      </c>
      <c r="E70" s="13"/>
      <c r="F70" s="13"/>
      <c r="G70" s="13"/>
      <c r="H70" s="13"/>
      <c r="I70" s="13"/>
      <c r="J70" s="13"/>
      <c r="K70" s="13">
        <v>3037</v>
      </c>
      <c r="L70" s="13">
        <f t="shared" si="34"/>
        <v>0</v>
      </c>
      <c r="M70" s="13"/>
      <c r="N70" s="13"/>
      <c r="O70" s="13"/>
      <c r="P70" s="13"/>
      <c r="Q70" s="13"/>
      <c r="R70" s="13">
        <f t="shared" si="35"/>
        <v>0</v>
      </c>
      <c r="S70" s="13">
        <v>3037</v>
      </c>
      <c r="T70" s="13">
        <f t="shared" si="36"/>
        <v>0</v>
      </c>
      <c r="U70" s="13"/>
      <c r="V70" s="13"/>
      <c r="W70" s="13"/>
      <c r="X70" s="13"/>
      <c r="Y70" s="13">
        <v>1</v>
      </c>
      <c r="Z70" s="13">
        <f t="shared" si="37"/>
        <v>1</v>
      </c>
      <c r="AA70" s="13">
        <v>3037</v>
      </c>
      <c r="AB70" s="13">
        <f t="shared" si="38"/>
        <v>3037</v>
      </c>
      <c r="AC70" s="13"/>
      <c r="AD70" s="13"/>
      <c r="AE70" s="13"/>
      <c r="AF70" s="13"/>
      <c r="AG70" s="13">
        <v>1</v>
      </c>
      <c r="AH70" s="13">
        <f t="shared" si="39"/>
        <v>1</v>
      </c>
      <c r="AI70" s="13">
        <v>3037</v>
      </c>
      <c r="AJ70" s="13">
        <f t="shared" si="40"/>
        <v>3037</v>
      </c>
      <c r="AK70" s="13"/>
      <c r="AL70" s="13"/>
      <c r="AM70" s="13"/>
      <c r="AN70" s="13"/>
      <c r="AO70" s="13"/>
      <c r="AP70" s="13">
        <f t="shared" si="41"/>
        <v>0</v>
      </c>
      <c r="AQ70" s="13">
        <v>3037</v>
      </c>
      <c r="AR70" s="13">
        <f t="shared" si="42"/>
        <v>0</v>
      </c>
      <c r="AS70" s="13"/>
      <c r="AT70" s="13"/>
      <c r="AU70" s="13"/>
      <c r="AV70" s="13"/>
      <c r="AW70" s="13">
        <v>1</v>
      </c>
      <c r="AX70" s="13">
        <f t="shared" si="43"/>
        <v>1</v>
      </c>
      <c r="AY70" s="13">
        <v>3037</v>
      </c>
      <c r="AZ70" s="13">
        <f t="shared" si="44"/>
        <v>3037</v>
      </c>
      <c r="BA70" s="13"/>
      <c r="BB70" s="13"/>
      <c r="BC70" s="13"/>
      <c r="BD70" s="13"/>
      <c r="BE70" s="13"/>
      <c r="BF70" s="13">
        <f t="shared" si="45"/>
        <v>0</v>
      </c>
      <c r="BG70" s="13">
        <v>3037</v>
      </c>
      <c r="BH70" s="13">
        <f t="shared" si="46"/>
        <v>0</v>
      </c>
      <c r="BI70" s="13"/>
      <c r="BJ70" s="13"/>
      <c r="BK70" s="13"/>
      <c r="BL70" s="13"/>
      <c r="BM70" s="13">
        <v>1</v>
      </c>
      <c r="BN70" s="13">
        <f t="shared" si="47"/>
        <v>1</v>
      </c>
      <c r="BO70" s="13">
        <v>3037</v>
      </c>
      <c r="BP70" s="13">
        <f t="shared" si="48"/>
        <v>3037</v>
      </c>
      <c r="BQ70" s="13"/>
      <c r="BR70" s="13"/>
      <c r="BS70" s="13"/>
      <c r="BT70" s="13"/>
      <c r="BU70" s="13">
        <v>1</v>
      </c>
      <c r="BV70" s="13">
        <v>1</v>
      </c>
      <c r="BW70" s="13">
        <v>3037</v>
      </c>
      <c r="BX70" s="13">
        <f t="shared" si="49"/>
        <v>3037</v>
      </c>
      <c r="BY70" s="13"/>
      <c r="BZ70" s="13"/>
      <c r="CA70" s="13"/>
      <c r="CB70" s="13"/>
      <c r="CC70" s="13"/>
      <c r="CD70" s="13">
        <f t="shared" si="33"/>
        <v>0</v>
      </c>
      <c r="CE70" s="13">
        <v>3037</v>
      </c>
      <c r="CF70" s="13">
        <f t="shared" si="50"/>
        <v>0</v>
      </c>
      <c r="CG70" s="15"/>
    </row>
    <row r="71" spans="1:122">
      <c r="A71" s="61" t="s">
        <v>69</v>
      </c>
      <c r="B71" s="10" t="s">
        <v>78</v>
      </c>
      <c r="C71" s="11"/>
      <c r="D71" s="11" t="s">
        <v>31</v>
      </c>
      <c r="E71" s="13"/>
      <c r="F71" s="13"/>
      <c r="G71" s="13"/>
      <c r="H71" s="13"/>
      <c r="I71" s="13"/>
      <c r="J71" s="13"/>
      <c r="K71" s="13">
        <v>3124</v>
      </c>
      <c r="L71" s="13">
        <f t="shared" si="34"/>
        <v>0</v>
      </c>
      <c r="M71" s="13"/>
      <c r="N71" s="13"/>
      <c r="O71" s="13"/>
      <c r="P71" s="13"/>
      <c r="Q71" s="13"/>
      <c r="R71" s="13">
        <f t="shared" si="35"/>
        <v>0</v>
      </c>
      <c r="S71" s="13">
        <v>3124</v>
      </c>
      <c r="T71" s="13">
        <f t="shared" si="36"/>
        <v>0</v>
      </c>
      <c r="U71" s="13"/>
      <c r="V71" s="13"/>
      <c r="W71" s="13"/>
      <c r="X71" s="13"/>
      <c r="Y71" s="13">
        <v>1</v>
      </c>
      <c r="Z71" s="13">
        <f t="shared" si="37"/>
        <v>1</v>
      </c>
      <c r="AA71" s="13">
        <v>3124</v>
      </c>
      <c r="AB71" s="13">
        <f t="shared" si="38"/>
        <v>3124</v>
      </c>
      <c r="AC71" s="13"/>
      <c r="AD71" s="13"/>
      <c r="AE71" s="13"/>
      <c r="AF71" s="13"/>
      <c r="AG71" s="13"/>
      <c r="AH71" s="13">
        <f t="shared" si="39"/>
        <v>0</v>
      </c>
      <c r="AI71" s="13">
        <v>3124</v>
      </c>
      <c r="AJ71" s="13">
        <f t="shared" si="40"/>
        <v>0</v>
      </c>
      <c r="AK71" s="13"/>
      <c r="AL71" s="13"/>
      <c r="AM71" s="13"/>
      <c r="AN71" s="13"/>
      <c r="AO71" s="13"/>
      <c r="AP71" s="13">
        <f t="shared" si="41"/>
        <v>0</v>
      </c>
      <c r="AQ71" s="13">
        <v>3124</v>
      </c>
      <c r="AR71" s="13">
        <f t="shared" si="42"/>
        <v>0</v>
      </c>
      <c r="AS71" s="13"/>
      <c r="AT71" s="13"/>
      <c r="AU71" s="13"/>
      <c r="AV71" s="13"/>
      <c r="AW71" s="13">
        <v>1</v>
      </c>
      <c r="AX71" s="13">
        <f t="shared" si="43"/>
        <v>1</v>
      </c>
      <c r="AY71" s="13">
        <v>3124</v>
      </c>
      <c r="AZ71" s="13">
        <f t="shared" si="44"/>
        <v>3124</v>
      </c>
      <c r="BA71" s="13"/>
      <c r="BB71" s="13"/>
      <c r="BC71" s="13"/>
      <c r="BD71" s="13"/>
      <c r="BE71" s="13"/>
      <c r="BF71" s="13">
        <f t="shared" si="45"/>
        <v>0</v>
      </c>
      <c r="BG71" s="13">
        <v>3124</v>
      </c>
      <c r="BH71" s="13">
        <f t="shared" si="46"/>
        <v>0</v>
      </c>
      <c r="BI71" s="13"/>
      <c r="BJ71" s="13"/>
      <c r="BK71" s="13"/>
      <c r="BL71" s="13"/>
      <c r="BM71" s="13"/>
      <c r="BN71" s="13">
        <f t="shared" si="47"/>
        <v>0</v>
      </c>
      <c r="BO71" s="13">
        <v>3124</v>
      </c>
      <c r="BP71" s="13">
        <f t="shared" si="48"/>
        <v>0</v>
      </c>
      <c r="BQ71" s="13"/>
      <c r="BR71" s="13"/>
      <c r="BS71" s="13"/>
      <c r="BT71" s="13"/>
      <c r="BU71" s="13">
        <v>1</v>
      </c>
      <c r="BV71" s="13">
        <v>1</v>
      </c>
      <c r="BW71" s="13">
        <v>3124</v>
      </c>
      <c r="BX71" s="13">
        <f t="shared" si="49"/>
        <v>3124</v>
      </c>
      <c r="BY71" s="13"/>
      <c r="BZ71" s="13"/>
      <c r="CA71" s="13"/>
      <c r="CB71" s="13"/>
      <c r="CC71" s="13"/>
      <c r="CD71" s="13"/>
      <c r="CE71" s="13">
        <v>3124</v>
      </c>
      <c r="CF71" s="13">
        <f t="shared" si="50"/>
        <v>0</v>
      </c>
      <c r="CG71" s="15"/>
    </row>
    <row r="72" spans="1:122">
      <c r="A72" s="61" t="s">
        <v>69</v>
      </c>
      <c r="B72" s="20" t="s">
        <v>79</v>
      </c>
      <c r="C72" s="11"/>
      <c r="D72" s="12" t="s">
        <v>80</v>
      </c>
      <c r="E72" s="13"/>
      <c r="F72" s="13"/>
      <c r="G72" s="13"/>
      <c r="H72" s="13"/>
      <c r="I72" s="13"/>
      <c r="J72" s="13"/>
      <c r="K72" s="13">
        <v>1478</v>
      </c>
      <c r="L72" s="13">
        <f t="shared" si="34"/>
        <v>0</v>
      </c>
      <c r="M72" s="13"/>
      <c r="N72" s="13"/>
      <c r="O72" s="13"/>
      <c r="P72" s="13"/>
      <c r="Q72" s="13"/>
      <c r="R72" s="13">
        <f t="shared" si="35"/>
        <v>0</v>
      </c>
      <c r="S72" s="13">
        <v>1478</v>
      </c>
      <c r="T72" s="13">
        <f t="shared" si="36"/>
        <v>0</v>
      </c>
      <c r="U72" s="13"/>
      <c r="V72" s="13"/>
      <c r="W72" s="13"/>
      <c r="X72" s="13"/>
      <c r="Y72" s="13">
        <v>1</v>
      </c>
      <c r="Z72" s="13">
        <f t="shared" si="37"/>
        <v>1</v>
      </c>
      <c r="AA72" s="13">
        <v>1478</v>
      </c>
      <c r="AB72" s="13">
        <f t="shared" si="38"/>
        <v>1478</v>
      </c>
      <c r="AC72" s="13"/>
      <c r="AD72" s="13"/>
      <c r="AE72" s="13"/>
      <c r="AF72" s="13"/>
      <c r="AG72" s="13"/>
      <c r="AH72" s="13">
        <f t="shared" si="39"/>
        <v>0</v>
      </c>
      <c r="AI72" s="13">
        <v>1478</v>
      </c>
      <c r="AJ72" s="13">
        <f t="shared" si="40"/>
        <v>0</v>
      </c>
      <c r="AK72" s="13"/>
      <c r="AL72" s="13"/>
      <c r="AM72" s="13"/>
      <c r="AN72" s="13"/>
      <c r="AO72" s="13"/>
      <c r="AP72" s="13">
        <f t="shared" si="41"/>
        <v>0</v>
      </c>
      <c r="AQ72" s="13">
        <v>1478</v>
      </c>
      <c r="AR72" s="13">
        <f t="shared" si="42"/>
        <v>0</v>
      </c>
      <c r="AS72" s="13"/>
      <c r="AT72" s="13"/>
      <c r="AU72" s="13"/>
      <c r="AV72" s="13"/>
      <c r="AW72" s="13">
        <v>1</v>
      </c>
      <c r="AX72" s="13">
        <f t="shared" si="43"/>
        <v>1</v>
      </c>
      <c r="AY72" s="13">
        <v>1478</v>
      </c>
      <c r="AZ72" s="13">
        <f t="shared" si="44"/>
        <v>1478</v>
      </c>
      <c r="BA72" s="13"/>
      <c r="BB72" s="13"/>
      <c r="BC72" s="13"/>
      <c r="BD72" s="13"/>
      <c r="BE72" s="13"/>
      <c r="BF72" s="13">
        <f t="shared" si="45"/>
        <v>0</v>
      </c>
      <c r="BG72" s="13">
        <v>1478</v>
      </c>
      <c r="BH72" s="13">
        <f t="shared" si="46"/>
        <v>0</v>
      </c>
      <c r="BI72" s="13"/>
      <c r="BJ72" s="13"/>
      <c r="BK72" s="13"/>
      <c r="BL72" s="13"/>
      <c r="BM72" s="13"/>
      <c r="BN72" s="13">
        <f t="shared" si="47"/>
        <v>0</v>
      </c>
      <c r="BO72" s="13">
        <v>1478</v>
      </c>
      <c r="BP72" s="13">
        <f t="shared" si="48"/>
        <v>0</v>
      </c>
      <c r="BQ72" s="13"/>
      <c r="BR72" s="13"/>
      <c r="BS72" s="13"/>
      <c r="BT72" s="13"/>
      <c r="BU72" s="13">
        <v>1</v>
      </c>
      <c r="BV72" s="13">
        <v>1</v>
      </c>
      <c r="BW72" s="13">
        <v>1478</v>
      </c>
      <c r="BX72" s="13">
        <f t="shared" si="49"/>
        <v>1478</v>
      </c>
      <c r="BY72" s="13"/>
      <c r="BZ72" s="13"/>
      <c r="CA72" s="13"/>
      <c r="CB72" s="13"/>
      <c r="CC72" s="13"/>
      <c r="CD72" s="13"/>
      <c r="CE72" s="13">
        <v>1478</v>
      </c>
      <c r="CF72" s="13">
        <f t="shared" si="50"/>
        <v>0</v>
      </c>
      <c r="CG72" s="15"/>
    </row>
    <row r="73" spans="1:122">
      <c r="A73" s="61" t="s">
        <v>69</v>
      </c>
      <c r="B73" s="20" t="s">
        <v>81</v>
      </c>
      <c r="C73" s="11"/>
      <c r="D73" s="12" t="s">
        <v>35</v>
      </c>
      <c r="E73" s="13"/>
      <c r="F73" s="13"/>
      <c r="G73" s="13"/>
      <c r="H73" s="13"/>
      <c r="I73" s="13"/>
      <c r="J73" s="13"/>
      <c r="K73" s="13">
        <v>2028</v>
      </c>
      <c r="L73" s="13">
        <f t="shared" si="34"/>
        <v>0</v>
      </c>
      <c r="M73" s="13"/>
      <c r="N73" s="13"/>
      <c r="O73" s="13"/>
      <c r="P73" s="13"/>
      <c r="Q73" s="13"/>
      <c r="R73" s="13">
        <f t="shared" si="35"/>
        <v>0</v>
      </c>
      <c r="S73" s="13">
        <v>2028</v>
      </c>
      <c r="T73" s="13">
        <f t="shared" si="36"/>
        <v>0</v>
      </c>
      <c r="U73" s="13"/>
      <c r="V73" s="13"/>
      <c r="W73" s="13"/>
      <c r="X73" s="13"/>
      <c r="Y73" s="13">
        <v>1</v>
      </c>
      <c r="Z73" s="13">
        <f t="shared" si="37"/>
        <v>1</v>
      </c>
      <c r="AA73" s="13">
        <v>2028</v>
      </c>
      <c r="AB73" s="13">
        <f t="shared" si="38"/>
        <v>2028</v>
      </c>
      <c r="AC73" s="13"/>
      <c r="AD73" s="13"/>
      <c r="AE73" s="13"/>
      <c r="AF73" s="13"/>
      <c r="AG73" s="13"/>
      <c r="AH73" s="13">
        <f t="shared" si="39"/>
        <v>0</v>
      </c>
      <c r="AI73" s="13">
        <v>2028</v>
      </c>
      <c r="AJ73" s="13">
        <f t="shared" si="40"/>
        <v>0</v>
      </c>
      <c r="AK73" s="13"/>
      <c r="AL73" s="13"/>
      <c r="AM73" s="13"/>
      <c r="AN73" s="13"/>
      <c r="AO73" s="13"/>
      <c r="AP73" s="13">
        <f t="shared" si="41"/>
        <v>0</v>
      </c>
      <c r="AQ73" s="13">
        <v>2028</v>
      </c>
      <c r="AR73" s="13">
        <f t="shared" si="42"/>
        <v>0</v>
      </c>
      <c r="AS73" s="13"/>
      <c r="AT73" s="13"/>
      <c r="AU73" s="13"/>
      <c r="AV73" s="13"/>
      <c r="AW73" s="13">
        <v>1</v>
      </c>
      <c r="AX73" s="13">
        <f t="shared" si="43"/>
        <v>1</v>
      </c>
      <c r="AY73" s="13">
        <v>2028</v>
      </c>
      <c r="AZ73" s="13">
        <f t="shared" si="44"/>
        <v>2028</v>
      </c>
      <c r="BA73" s="13"/>
      <c r="BB73" s="13"/>
      <c r="BC73" s="13"/>
      <c r="BD73" s="13"/>
      <c r="BE73" s="13"/>
      <c r="BF73" s="13">
        <f t="shared" si="45"/>
        <v>0</v>
      </c>
      <c r="BG73" s="13">
        <v>2028</v>
      </c>
      <c r="BH73" s="13">
        <f t="shared" si="46"/>
        <v>0</v>
      </c>
      <c r="BI73" s="13"/>
      <c r="BJ73" s="13"/>
      <c r="BK73" s="13"/>
      <c r="BL73" s="13"/>
      <c r="BM73" s="13"/>
      <c r="BN73" s="13">
        <f t="shared" si="47"/>
        <v>0</v>
      </c>
      <c r="BO73" s="13">
        <v>2028</v>
      </c>
      <c r="BP73" s="13">
        <f t="shared" si="48"/>
        <v>0</v>
      </c>
      <c r="BQ73" s="13"/>
      <c r="BR73" s="13"/>
      <c r="BS73" s="13"/>
      <c r="BT73" s="13"/>
      <c r="BU73" s="13">
        <v>1</v>
      </c>
      <c r="BV73" s="13">
        <v>1</v>
      </c>
      <c r="BW73" s="13">
        <v>2028</v>
      </c>
      <c r="BX73" s="13">
        <f t="shared" si="49"/>
        <v>2028</v>
      </c>
      <c r="BY73" s="13"/>
      <c r="BZ73" s="13"/>
      <c r="CA73" s="13"/>
      <c r="CB73" s="13"/>
      <c r="CC73" s="13"/>
      <c r="CD73" s="13"/>
      <c r="CE73" s="13">
        <v>2028</v>
      </c>
      <c r="CF73" s="13">
        <f t="shared" si="50"/>
        <v>0</v>
      </c>
      <c r="CG73" s="15"/>
    </row>
    <row r="74" spans="1:122">
      <c r="A74" s="61" t="s">
        <v>69</v>
      </c>
      <c r="B74" s="10" t="s">
        <v>82</v>
      </c>
      <c r="C74" s="11"/>
      <c r="D74" s="11" t="s">
        <v>37</v>
      </c>
      <c r="E74" s="13"/>
      <c r="F74" s="13"/>
      <c r="G74" s="13"/>
      <c r="H74" s="13"/>
      <c r="I74" s="13"/>
      <c r="J74" s="13"/>
      <c r="K74" s="13">
        <v>8480</v>
      </c>
      <c r="L74" s="13">
        <f t="shared" si="34"/>
        <v>0</v>
      </c>
      <c r="M74" s="13"/>
      <c r="N74" s="13"/>
      <c r="O74" s="13"/>
      <c r="P74" s="13"/>
      <c r="Q74" s="13"/>
      <c r="R74" s="13">
        <f t="shared" si="35"/>
        <v>0</v>
      </c>
      <c r="S74" s="13">
        <v>8480</v>
      </c>
      <c r="T74" s="13">
        <f t="shared" si="36"/>
        <v>0</v>
      </c>
      <c r="U74" s="13"/>
      <c r="V74" s="13"/>
      <c r="W74" s="13"/>
      <c r="X74" s="13"/>
      <c r="Y74" s="13"/>
      <c r="Z74" s="13">
        <f t="shared" si="37"/>
        <v>0</v>
      </c>
      <c r="AA74" s="13">
        <v>8480</v>
      </c>
      <c r="AB74" s="13">
        <f t="shared" si="38"/>
        <v>0</v>
      </c>
      <c r="AC74" s="13"/>
      <c r="AD74" s="13"/>
      <c r="AE74" s="13"/>
      <c r="AF74" s="13"/>
      <c r="AG74" s="13"/>
      <c r="AH74" s="13">
        <f t="shared" si="39"/>
        <v>0</v>
      </c>
      <c r="AI74" s="13">
        <v>8480</v>
      </c>
      <c r="AJ74" s="13">
        <f t="shared" si="40"/>
        <v>0</v>
      </c>
      <c r="AK74" s="13"/>
      <c r="AL74" s="13"/>
      <c r="AM74" s="13"/>
      <c r="AN74" s="13"/>
      <c r="AO74" s="13"/>
      <c r="AP74" s="13">
        <f t="shared" si="41"/>
        <v>0</v>
      </c>
      <c r="AQ74" s="13">
        <v>8480</v>
      </c>
      <c r="AR74" s="13">
        <f t="shared" si="42"/>
        <v>0</v>
      </c>
      <c r="AS74" s="13"/>
      <c r="AT74" s="13"/>
      <c r="AU74" s="13"/>
      <c r="AV74" s="13"/>
      <c r="AW74" s="13">
        <v>1</v>
      </c>
      <c r="AX74" s="13">
        <f t="shared" si="43"/>
        <v>1</v>
      </c>
      <c r="AY74" s="13">
        <v>8480</v>
      </c>
      <c r="AZ74" s="13">
        <f t="shared" si="44"/>
        <v>8480</v>
      </c>
      <c r="BA74" s="13"/>
      <c r="BB74" s="13"/>
      <c r="BC74" s="13"/>
      <c r="BD74" s="13"/>
      <c r="BE74" s="13"/>
      <c r="BF74" s="13">
        <f t="shared" si="45"/>
        <v>0</v>
      </c>
      <c r="BG74" s="13">
        <v>8480</v>
      </c>
      <c r="BH74" s="13">
        <f t="shared" si="46"/>
        <v>0</v>
      </c>
      <c r="BI74" s="13"/>
      <c r="BJ74" s="13"/>
      <c r="BK74" s="13"/>
      <c r="BL74" s="13"/>
      <c r="BM74" s="13"/>
      <c r="BN74" s="13">
        <f t="shared" si="47"/>
        <v>0</v>
      </c>
      <c r="BO74" s="13">
        <v>8480</v>
      </c>
      <c r="BP74" s="13">
        <f t="shared" si="48"/>
        <v>0</v>
      </c>
      <c r="BQ74" s="13"/>
      <c r="BR74" s="13"/>
      <c r="BS74" s="13"/>
      <c r="BT74" s="13"/>
      <c r="BU74" s="13"/>
      <c r="BV74" s="13"/>
      <c r="BW74" s="13">
        <v>8480</v>
      </c>
      <c r="BX74" s="13">
        <f t="shared" si="49"/>
        <v>0</v>
      </c>
      <c r="BY74" s="13"/>
      <c r="BZ74" s="13"/>
      <c r="CA74" s="13"/>
      <c r="CB74" s="13"/>
      <c r="CC74" s="13"/>
      <c r="CD74" s="13">
        <f t="shared" ref="CD74:CD81" si="51">BY74+BZ74+CA74+CB74+CC74</f>
        <v>0</v>
      </c>
      <c r="CE74" s="13">
        <v>8480</v>
      </c>
      <c r="CF74" s="13">
        <f t="shared" si="50"/>
        <v>0</v>
      </c>
      <c r="CG74" s="15"/>
    </row>
    <row r="75" spans="1:122">
      <c r="A75" s="61" t="s">
        <v>69</v>
      </c>
      <c r="B75" s="10" t="s">
        <v>83</v>
      </c>
      <c r="C75" s="11"/>
      <c r="D75" s="12" t="s">
        <v>84</v>
      </c>
      <c r="E75" s="13"/>
      <c r="F75" s="13"/>
      <c r="G75" s="13"/>
      <c r="H75" s="13"/>
      <c r="I75" s="13"/>
      <c r="J75" s="13"/>
      <c r="K75" s="13">
        <v>479</v>
      </c>
      <c r="L75" s="13">
        <f t="shared" si="34"/>
        <v>0</v>
      </c>
      <c r="M75" s="13"/>
      <c r="N75" s="13"/>
      <c r="O75" s="13"/>
      <c r="P75" s="13"/>
      <c r="Q75" s="13">
        <v>1</v>
      </c>
      <c r="R75" s="13">
        <f t="shared" si="35"/>
        <v>1</v>
      </c>
      <c r="S75" s="13">
        <v>479</v>
      </c>
      <c r="T75" s="13">
        <f t="shared" si="36"/>
        <v>479</v>
      </c>
      <c r="U75" s="13"/>
      <c r="V75" s="13"/>
      <c r="W75" s="13"/>
      <c r="X75" s="13"/>
      <c r="Y75" s="13"/>
      <c r="Z75" s="13">
        <f t="shared" si="37"/>
        <v>0</v>
      </c>
      <c r="AA75" s="13">
        <v>479</v>
      </c>
      <c r="AB75" s="13">
        <f t="shared" si="38"/>
        <v>0</v>
      </c>
      <c r="AC75" s="13"/>
      <c r="AD75" s="13"/>
      <c r="AE75" s="13"/>
      <c r="AF75" s="13"/>
      <c r="AG75" s="13">
        <v>1</v>
      </c>
      <c r="AH75" s="13">
        <v>1</v>
      </c>
      <c r="AI75" s="13">
        <v>479</v>
      </c>
      <c r="AJ75" s="13">
        <f t="shared" si="40"/>
        <v>479</v>
      </c>
      <c r="AK75" s="13"/>
      <c r="AL75" s="13"/>
      <c r="AM75" s="13"/>
      <c r="AN75" s="13"/>
      <c r="AO75" s="13"/>
      <c r="AP75" s="13">
        <f t="shared" si="41"/>
        <v>0</v>
      </c>
      <c r="AQ75" s="13">
        <v>479</v>
      </c>
      <c r="AR75" s="13">
        <f t="shared" si="42"/>
        <v>0</v>
      </c>
      <c r="AS75" s="13"/>
      <c r="AT75" s="13"/>
      <c r="AU75" s="13"/>
      <c r="AV75" s="13"/>
      <c r="AW75" s="13">
        <v>1</v>
      </c>
      <c r="AX75" s="13">
        <f t="shared" si="43"/>
        <v>1</v>
      </c>
      <c r="AY75" s="13">
        <v>479</v>
      </c>
      <c r="AZ75" s="13">
        <f t="shared" si="44"/>
        <v>479</v>
      </c>
      <c r="BA75" s="13"/>
      <c r="BB75" s="13"/>
      <c r="BC75" s="13"/>
      <c r="BD75" s="13"/>
      <c r="BE75" s="13"/>
      <c r="BF75" s="13">
        <f t="shared" si="45"/>
        <v>0</v>
      </c>
      <c r="BG75" s="13">
        <v>479</v>
      </c>
      <c r="BH75" s="13">
        <f t="shared" si="46"/>
        <v>0</v>
      </c>
      <c r="BI75" s="13"/>
      <c r="BJ75" s="13"/>
      <c r="BK75" s="13"/>
      <c r="BL75" s="13"/>
      <c r="BM75" s="13">
        <v>1</v>
      </c>
      <c r="BN75" s="13">
        <v>1</v>
      </c>
      <c r="BO75" s="13">
        <v>479</v>
      </c>
      <c r="BP75" s="13">
        <f t="shared" si="48"/>
        <v>479</v>
      </c>
      <c r="BQ75" s="13"/>
      <c r="BR75" s="13"/>
      <c r="BS75" s="13"/>
      <c r="BT75" s="13"/>
      <c r="BU75" s="13"/>
      <c r="BV75" s="13"/>
      <c r="BW75" s="13">
        <v>479</v>
      </c>
      <c r="BX75" s="13">
        <f t="shared" si="49"/>
        <v>0</v>
      </c>
      <c r="BY75" s="13"/>
      <c r="BZ75" s="13"/>
      <c r="CA75" s="13"/>
      <c r="CB75" s="13"/>
      <c r="CC75" s="13">
        <v>2</v>
      </c>
      <c r="CD75" s="13">
        <v>2</v>
      </c>
      <c r="CE75" s="13">
        <v>479</v>
      </c>
      <c r="CF75" s="13">
        <f t="shared" si="50"/>
        <v>958</v>
      </c>
      <c r="CG75" s="15"/>
    </row>
    <row r="76" spans="1:122">
      <c r="A76" s="61" t="s">
        <v>69</v>
      </c>
      <c r="B76" s="10" t="s">
        <v>85</v>
      </c>
      <c r="C76" s="11"/>
      <c r="D76" s="11" t="s">
        <v>41</v>
      </c>
      <c r="E76" s="13"/>
      <c r="F76" s="13"/>
      <c r="G76" s="13"/>
      <c r="H76" s="13"/>
      <c r="I76" s="13"/>
      <c r="J76" s="13"/>
      <c r="K76" s="13">
        <v>759</v>
      </c>
      <c r="L76" s="13">
        <f t="shared" si="34"/>
        <v>0</v>
      </c>
      <c r="M76" s="13"/>
      <c r="N76" s="13"/>
      <c r="O76" s="13"/>
      <c r="P76" s="13"/>
      <c r="Q76" s="13"/>
      <c r="R76" s="13">
        <f t="shared" si="35"/>
        <v>0</v>
      </c>
      <c r="S76" s="13">
        <v>759</v>
      </c>
      <c r="T76" s="13">
        <f t="shared" si="36"/>
        <v>0</v>
      </c>
      <c r="U76" s="13"/>
      <c r="V76" s="13"/>
      <c r="W76" s="13"/>
      <c r="X76" s="13"/>
      <c r="Y76" s="13">
        <v>1</v>
      </c>
      <c r="Z76" s="13">
        <f t="shared" si="37"/>
        <v>1</v>
      </c>
      <c r="AA76" s="13">
        <v>759</v>
      </c>
      <c r="AB76" s="13">
        <f t="shared" si="38"/>
        <v>759</v>
      </c>
      <c r="AC76" s="13"/>
      <c r="AD76" s="13"/>
      <c r="AE76" s="13"/>
      <c r="AF76" s="13"/>
      <c r="AG76" s="13"/>
      <c r="AH76" s="13"/>
      <c r="AI76" s="13">
        <v>759</v>
      </c>
      <c r="AJ76" s="13">
        <f t="shared" si="40"/>
        <v>0</v>
      </c>
      <c r="AK76" s="13"/>
      <c r="AL76" s="13"/>
      <c r="AM76" s="13"/>
      <c r="AN76" s="13"/>
      <c r="AO76" s="13"/>
      <c r="AP76" s="13">
        <f t="shared" si="41"/>
        <v>0</v>
      </c>
      <c r="AQ76" s="13">
        <v>759</v>
      </c>
      <c r="AR76" s="13">
        <f t="shared" si="42"/>
        <v>0</v>
      </c>
      <c r="AS76" s="13"/>
      <c r="AT76" s="13"/>
      <c r="AU76" s="13"/>
      <c r="AV76" s="13"/>
      <c r="AW76" s="13">
        <v>1</v>
      </c>
      <c r="AX76" s="13">
        <f t="shared" si="43"/>
        <v>1</v>
      </c>
      <c r="AY76" s="13">
        <v>759</v>
      </c>
      <c r="AZ76" s="13">
        <f t="shared" si="44"/>
        <v>759</v>
      </c>
      <c r="BA76" s="13"/>
      <c r="BB76" s="13"/>
      <c r="BC76" s="13"/>
      <c r="BD76" s="13"/>
      <c r="BE76" s="13"/>
      <c r="BF76" s="13">
        <f t="shared" si="45"/>
        <v>0</v>
      </c>
      <c r="BG76" s="13">
        <v>759</v>
      </c>
      <c r="BH76" s="13">
        <f t="shared" si="46"/>
        <v>0</v>
      </c>
      <c r="BI76" s="13"/>
      <c r="BJ76" s="13"/>
      <c r="BK76" s="13"/>
      <c r="BL76" s="13"/>
      <c r="BM76" s="13"/>
      <c r="BN76" s="13">
        <f t="shared" ref="BN76:BN81" si="52">BI76+BJ76+BK76+BL76+BM76</f>
        <v>0</v>
      </c>
      <c r="BO76" s="13">
        <v>759</v>
      </c>
      <c r="BP76" s="13">
        <f t="shared" si="48"/>
        <v>0</v>
      </c>
      <c r="BQ76" s="13"/>
      <c r="BR76" s="13"/>
      <c r="BS76" s="13"/>
      <c r="BT76" s="13"/>
      <c r="BU76" s="13">
        <v>1</v>
      </c>
      <c r="BV76" s="13">
        <f t="shared" ref="BV76:BV81" si="53">BQ76+BR76+BS76+BT76+BU76</f>
        <v>1</v>
      </c>
      <c r="BW76" s="13">
        <v>759</v>
      </c>
      <c r="BX76" s="13">
        <f t="shared" si="49"/>
        <v>759</v>
      </c>
      <c r="BY76" s="13"/>
      <c r="BZ76" s="13"/>
      <c r="CA76" s="13"/>
      <c r="CB76" s="13"/>
      <c r="CC76" s="13"/>
      <c r="CD76" s="13">
        <f t="shared" si="51"/>
        <v>0</v>
      </c>
      <c r="CE76" s="13">
        <v>759</v>
      </c>
      <c r="CF76" s="13">
        <f t="shared" si="50"/>
        <v>0</v>
      </c>
      <c r="CG76" s="15"/>
    </row>
    <row r="77" spans="1:122">
      <c r="A77" s="61" t="s">
        <v>69</v>
      </c>
      <c r="B77" s="10" t="s">
        <v>86</v>
      </c>
      <c r="C77" s="11"/>
      <c r="D77" s="12" t="s">
        <v>43</v>
      </c>
      <c r="E77" s="13"/>
      <c r="F77" s="13"/>
      <c r="G77" s="13"/>
      <c r="H77" s="13"/>
      <c r="I77" s="13"/>
      <c r="J77" s="13"/>
      <c r="K77" s="13">
        <v>1749</v>
      </c>
      <c r="L77" s="13">
        <f t="shared" si="34"/>
        <v>0</v>
      </c>
      <c r="M77" s="13"/>
      <c r="N77" s="13"/>
      <c r="O77" s="13"/>
      <c r="P77" s="13"/>
      <c r="Q77" s="13"/>
      <c r="R77" s="13">
        <f t="shared" si="35"/>
        <v>0</v>
      </c>
      <c r="S77" s="13">
        <v>1749</v>
      </c>
      <c r="T77" s="13">
        <f t="shared" si="36"/>
        <v>0</v>
      </c>
      <c r="U77" s="13"/>
      <c r="V77" s="13"/>
      <c r="W77" s="13"/>
      <c r="X77" s="13"/>
      <c r="Y77" s="13">
        <v>1</v>
      </c>
      <c r="Z77" s="13">
        <f t="shared" si="37"/>
        <v>1</v>
      </c>
      <c r="AA77" s="13">
        <v>1749</v>
      </c>
      <c r="AB77" s="13">
        <f t="shared" si="38"/>
        <v>1749</v>
      </c>
      <c r="AC77" s="13"/>
      <c r="AD77" s="13"/>
      <c r="AE77" s="13"/>
      <c r="AF77" s="13"/>
      <c r="AG77" s="13"/>
      <c r="AH77" s="13">
        <f>AC77+AD77+AE77+AF77+AG77</f>
        <v>0</v>
      </c>
      <c r="AI77" s="13">
        <v>1749</v>
      </c>
      <c r="AJ77" s="13">
        <f t="shared" si="40"/>
        <v>0</v>
      </c>
      <c r="AK77" s="13"/>
      <c r="AL77" s="13"/>
      <c r="AM77" s="13"/>
      <c r="AN77" s="13"/>
      <c r="AO77" s="13"/>
      <c r="AP77" s="13">
        <f t="shared" si="41"/>
        <v>0</v>
      </c>
      <c r="AQ77" s="13">
        <v>1749</v>
      </c>
      <c r="AR77" s="13">
        <f t="shared" si="42"/>
        <v>0</v>
      </c>
      <c r="AS77" s="13"/>
      <c r="AT77" s="13"/>
      <c r="AU77" s="13"/>
      <c r="AV77" s="13"/>
      <c r="AW77" s="13">
        <v>1</v>
      </c>
      <c r="AX77" s="13">
        <f t="shared" si="43"/>
        <v>1</v>
      </c>
      <c r="AY77" s="13">
        <v>1749</v>
      </c>
      <c r="AZ77" s="13">
        <f t="shared" si="44"/>
        <v>1749</v>
      </c>
      <c r="BA77" s="13"/>
      <c r="BB77" s="13"/>
      <c r="BC77" s="13"/>
      <c r="BD77" s="13"/>
      <c r="BE77" s="13"/>
      <c r="BF77" s="13">
        <f t="shared" si="45"/>
        <v>0</v>
      </c>
      <c r="BG77" s="13">
        <v>1749</v>
      </c>
      <c r="BH77" s="13">
        <f t="shared" si="46"/>
        <v>0</v>
      </c>
      <c r="BI77" s="13"/>
      <c r="BJ77" s="13"/>
      <c r="BK77" s="13"/>
      <c r="BL77" s="13"/>
      <c r="BM77" s="13">
        <v>1</v>
      </c>
      <c r="BN77" s="13">
        <f t="shared" si="52"/>
        <v>1</v>
      </c>
      <c r="BO77" s="13">
        <v>1749</v>
      </c>
      <c r="BP77" s="13">
        <f t="shared" si="48"/>
        <v>1749</v>
      </c>
      <c r="BQ77" s="13"/>
      <c r="BR77" s="13"/>
      <c r="BS77" s="13"/>
      <c r="BT77" s="13"/>
      <c r="BU77" s="13">
        <v>1</v>
      </c>
      <c r="BV77" s="13">
        <f t="shared" si="53"/>
        <v>1</v>
      </c>
      <c r="BW77" s="13">
        <v>1749</v>
      </c>
      <c r="BX77" s="13">
        <f t="shared" si="49"/>
        <v>1749</v>
      </c>
      <c r="BY77" s="13"/>
      <c r="BZ77" s="13"/>
      <c r="CA77" s="13"/>
      <c r="CB77" s="13"/>
      <c r="CC77" s="13"/>
      <c r="CD77" s="13">
        <f t="shared" si="51"/>
        <v>0</v>
      </c>
      <c r="CE77" s="13">
        <v>1749</v>
      </c>
      <c r="CF77" s="13">
        <f t="shared" si="50"/>
        <v>0</v>
      </c>
      <c r="CG77" s="15"/>
    </row>
    <row r="78" spans="1:122">
      <c r="A78" s="61" t="s">
        <v>69</v>
      </c>
      <c r="B78" s="23" t="s">
        <v>44</v>
      </c>
      <c r="C78" s="11"/>
      <c r="D78" s="10" t="s">
        <v>45</v>
      </c>
      <c r="E78" s="25"/>
      <c r="F78" s="13"/>
      <c r="G78" s="13"/>
      <c r="H78" s="13"/>
      <c r="I78" s="25"/>
      <c r="J78" s="25"/>
      <c r="K78" s="19">
        <v>674</v>
      </c>
      <c r="L78" s="13">
        <f t="shared" si="34"/>
        <v>0</v>
      </c>
      <c r="M78" s="25"/>
      <c r="N78" s="13"/>
      <c r="O78" s="13"/>
      <c r="P78" s="13"/>
      <c r="Q78" s="25"/>
      <c r="R78" s="13">
        <f t="shared" si="35"/>
        <v>0</v>
      </c>
      <c r="S78" s="19">
        <v>674</v>
      </c>
      <c r="T78" s="13">
        <f t="shared" si="36"/>
        <v>0</v>
      </c>
      <c r="U78" s="25"/>
      <c r="V78" s="13"/>
      <c r="W78" s="13"/>
      <c r="X78" s="13"/>
      <c r="Y78" s="25">
        <v>1</v>
      </c>
      <c r="Z78" s="13">
        <f t="shared" si="37"/>
        <v>1</v>
      </c>
      <c r="AA78" s="19">
        <v>674</v>
      </c>
      <c r="AB78" s="13">
        <f t="shared" si="38"/>
        <v>674</v>
      </c>
      <c r="AC78" s="25"/>
      <c r="AD78" s="13"/>
      <c r="AE78" s="13"/>
      <c r="AF78" s="13"/>
      <c r="AG78" s="25"/>
      <c r="AH78" s="13">
        <f>AC78+AD78+AE78+AF78+AG78</f>
        <v>0</v>
      </c>
      <c r="AI78" s="19">
        <v>674</v>
      </c>
      <c r="AJ78" s="13">
        <f t="shared" si="40"/>
        <v>0</v>
      </c>
      <c r="AK78" s="25"/>
      <c r="AL78" s="13"/>
      <c r="AM78" s="13"/>
      <c r="AN78" s="13"/>
      <c r="AO78" s="25"/>
      <c r="AP78" s="13">
        <f t="shared" si="41"/>
        <v>0</v>
      </c>
      <c r="AQ78" s="19">
        <v>674</v>
      </c>
      <c r="AR78" s="13">
        <f t="shared" si="42"/>
        <v>0</v>
      </c>
      <c r="AS78" s="25"/>
      <c r="AT78" s="13"/>
      <c r="AU78" s="13"/>
      <c r="AV78" s="13"/>
      <c r="AW78" s="25">
        <v>1</v>
      </c>
      <c r="AX78" s="13">
        <f t="shared" si="43"/>
        <v>1</v>
      </c>
      <c r="AY78" s="19">
        <v>674</v>
      </c>
      <c r="AZ78" s="13">
        <f t="shared" si="44"/>
        <v>674</v>
      </c>
      <c r="BA78" s="25"/>
      <c r="BB78" s="13"/>
      <c r="BC78" s="13"/>
      <c r="BD78" s="13"/>
      <c r="BE78" s="25"/>
      <c r="BF78" s="13">
        <f t="shared" si="45"/>
        <v>0</v>
      </c>
      <c r="BG78" s="19">
        <v>674</v>
      </c>
      <c r="BH78" s="13">
        <f t="shared" si="46"/>
        <v>0</v>
      </c>
      <c r="BI78" s="25"/>
      <c r="BJ78" s="13"/>
      <c r="BK78" s="13"/>
      <c r="BL78" s="13"/>
      <c r="BM78" s="25"/>
      <c r="BN78" s="13">
        <f t="shared" si="52"/>
        <v>0</v>
      </c>
      <c r="BO78" s="19">
        <v>674</v>
      </c>
      <c r="BP78" s="13">
        <f t="shared" si="48"/>
        <v>0</v>
      </c>
      <c r="BQ78" s="25"/>
      <c r="BR78" s="13"/>
      <c r="BS78" s="13"/>
      <c r="BT78" s="13"/>
      <c r="BU78" s="25">
        <v>1</v>
      </c>
      <c r="BV78" s="13">
        <f t="shared" si="53"/>
        <v>1</v>
      </c>
      <c r="BW78" s="19">
        <v>674</v>
      </c>
      <c r="BX78" s="13">
        <f t="shared" si="49"/>
        <v>674</v>
      </c>
      <c r="BY78" s="25"/>
      <c r="BZ78" s="13"/>
      <c r="CA78" s="13"/>
      <c r="CB78" s="13"/>
      <c r="CC78" s="25"/>
      <c r="CD78" s="13">
        <f t="shared" si="51"/>
        <v>0</v>
      </c>
      <c r="CE78" s="19">
        <v>674</v>
      </c>
      <c r="CF78" s="13">
        <f t="shared" si="50"/>
        <v>0</v>
      </c>
      <c r="CG78" s="15"/>
    </row>
    <row r="79" spans="1:122">
      <c r="A79" s="61" t="s">
        <v>69</v>
      </c>
      <c r="B79" s="10" t="s">
        <v>87</v>
      </c>
      <c r="C79" s="11"/>
      <c r="D79" s="12" t="s">
        <v>47</v>
      </c>
      <c r="E79" s="13"/>
      <c r="F79" s="13"/>
      <c r="G79" s="13"/>
      <c r="H79" s="13"/>
      <c r="I79" s="13">
        <v>1</v>
      </c>
      <c r="J79" s="13">
        <v>1</v>
      </c>
      <c r="K79" s="41">
        <v>1358</v>
      </c>
      <c r="L79" s="13">
        <f t="shared" si="34"/>
        <v>1358</v>
      </c>
      <c r="M79" s="13"/>
      <c r="N79" s="13"/>
      <c r="O79" s="13"/>
      <c r="P79" s="13"/>
      <c r="Q79" s="13">
        <v>1</v>
      </c>
      <c r="R79" s="13">
        <f t="shared" si="35"/>
        <v>1</v>
      </c>
      <c r="S79" s="41">
        <v>1358</v>
      </c>
      <c r="T79" s="13">
        <f t="shared" si="36"/>
        <v>1358</v>
      </c>
      <c r="U79" s="13"/>
      <c r="V79" s="13"/>
      <c r="W79" s="13"/>
      <c r="X79" s="13"/>
      <c r="Y79" s="13">
        <v>1</v>
      </c>
      <c r="Z79" s="13">
        <f t="shared" si="37"/>
        <v>1</v>
      </c>
      <c r="AA79" s="41">
        <v>1358</v>
      </c>
      <c r="AB79" s="13">
        <f t="shared" si="38"/>
        <v>1358</v>
      </c>
      <c r="AC79" s="13"/>
      <c r="AD79" s="13"/>
      <c r="AE79" s="13"/>
      <c r="AF79" s="13"/>
      <c r="AG79" s="13"/>
      <c r="AH79" s="13">
        <f>AC79+AD79+AE79+AF79+AG79</f>
        <v>0</v>
      </c>
      <c r="AI79" s="41">
        <v>1358</v>
      </c>
      <c r="AJ79" s="13">
        <f t="shared" si="40"/>
        <v>0</v>
      </c>
      <c r="AK79" s="13"/>
      <c r="AL79" s="13"/>
      <c r="AM79" s="13"/>
      <c r="AN79" s="13"/>
      <c r="AO79" s="13">
        <v>1</v>
      </c>
      <c r="AP79" s="13">
        <f t="shared" si="41"/>
        <v>1</v>
      </c>
      <c r="AQ79" s="41">
        <v>1358</v>
      </c>
      <c r="AR79" s="13">
        <f t="shared" si="42"/>
        <v>1358</v>
      </c>
      <c r="AS79" s="13"/>
      <c r="AT79" s="13"/>
      <c r="AU79" s="13"/>
      <c r="AV79" s="13"/>
      <c r="AW79" s="13">
        <v>1</v>
      </c>
      <c r="AX79" s="13">
        <f t="shared" si="43"/>
        <v>1</v>
      </c>
      <c r="AY79" s="41">
        <v>1358</v>
      </c>
      <c r="AZ79" s="13">
        <f t="shared" si="44"/>
        <v>1358</v>
      </c>
      <c r="BA79" s="13"/>
      <c r="BB79" s="13"/>
      <c r="BC79" s="13"/>
      <c r="BD79" s="13"/>
      <c r="BE79" s="13">
        <v>1</v>
      </c>
      <c r="BF79" s="13">
        <f t="shared" si="45"/>
        <v>1</v>
      </c>
      <c r="BG79" s="41">
        <v>1358</v>
      </c>
      <c r="BH79" s="13">
        <f t="shared" si="46"/>
        <v>1358</v>
      </c>
      <c r="BI79" s="13"/>
      <c r="BJ79" s="13"/>
      <c r="BK79" s="13"/>
      <c r="BL79" s="13"/>
      <c r="BM79" s="13">
        <v>1</v>
      </c>
      <c r="BN79" s="13">
        <f t="shared" si="52"/>
        <v>1</v>
      </c>
      <c r="BO79" s="41">
        <v>1358</v>
      </c>
      <c r="BP79" s="13">
        <f t="shared" si="48"/>
        <v>1358</v>
      </c>
      <c r="BQ79" s="13"/>
      <c r="BR79" s="13"/>
      <c r="BS79" s="13"/>
      <c r="BT79" s="13"/>
      <c r="BU79" s="13">
        <v>1</v>
      </c>
      <c r="BV79" s="13">
        <f t="shared" si="53"/>
        <v>1</v>
      </c>
      <c r="BW79" s="41">
        <v>1358</v>
      </c>
      <c r="BX79" s="13">
        <f t="shared" si="49"/>
        <v>1358</v>
      </c>
      <c r="BY79" s="13"/>
      <c r="BZ79" s="13"/>
      <c r="CA79" s="13"/>
      <c r="CB79" s="13"/>
      <c r="CC79" s="13"/>
      <c r="CD79" s="13">
        <f t="shared" si="51"/>
        <v>0</v>
      </c>
      <c r="CE79" s="41">
        <v>1358</v>
      </c>
      <c r="CF79" s="13">
        <f t="shared" si="50"/>
        <v>0</v>
      </c>
      <c r="CG79" s="15"/>
    </row>
    <row r="80" spans="1:122">
      <c r="A80" s="63" t="s">
        <v>69</v>
      </c>
      <c r="B80" s="31" t="s">
        <v>50</v>
      </c>
      <c r="C80" s="27"/>
      <c r="D80" s="33" t="s">
        <v>51</v>
      </c>
      <c r="E80" s="28"/>
      <c r="F80" s="28"/>
      <c r="G80" s="28"/>
      <c r="H80" s="28"/>
      <c r="I80" s="28"/>
      <c r="J80" s="28"/>
      <c r="K80" s="28">
        <v>190</v>
      </c>
      <c r="L80" s="13">
        <f t="shared" si="34"/>
        <v>0</v>
      </c>
      <c r="M80" s="28"/>
      <c r="N80" s="28"/>
      <c r="O80" s="28"/>
      <c r="P80" s="28"/>
      <c r="Q80" s="28"/>
      <c r="R80" s="13">
        <f t="shared" si="35"/>
        <v>0</v>
      </c>
      <c r="S80" s="28">
        <v>190</v>
      </c>
      <c r="T80" s="13">
        <f t="shared" si="36"/>
        <v>0</v>
      </c>
      <c r="U80" s="28"/>
      <c r="V80" s="28"/>
      <c r="W80" s="28"/>
      <c r="X80" s="28"/>
      <c r="Y80" s="28">
        <v>1</v>
      </c>
      <c r="Z80" s="13">
        <f t="shared" si="37"/>
        <v>1</v>
      </c>
      <c r="AA80" s="28">
        <v>190</v>
      </c>
      <c r="AB80" s="13">
        <f t="shared" si="38"/>
        <v>190</v>
      </c>
      <c r="AC80" s="28"/>
      <c r="AD80" s="28"/>
      <c r="AE80" s="28"/>
      <c r="AF80" s="28"/>
      <c r="AG80" s="28"/>
      <c r="AH80" s="13">
        <f>AC80+AD80+AE80+AF80+AG80</f>
        <v>0</v>
      </c>
      <c r="AI80" s="28">
        <v>190</v>
      </c>
      <c r="AJ80" s="13">
        <f t="shared" si="40"/>
        <v>0</v>
      </c>
      <c r="AK80" s="28"/>
      <c r="AL80" s="28"/>
      <c r="AM80" s="28"/>
      <c r="AN80" s="28"/>
      <c r="AO80" s="28"/>
      <c r="AP80" s="13">
        <f t="shared" si="41"/>
        <v>0</v>
      </c>
      <c r="AQ80" s="28">
        <v>190</v>
      </c>
      <c r="AR80" s="13">
        <f t="shared" si="42"/>
        <v>0</v>
      </c>
      <c r="AS80" s="28"/>
      <c r="AT80" s="28"/>
      <c r="AU80" s="28"/>
      <c r="AV80" s="28"/>
      <c r="AW80" s="28">
        <v>1</v>
      </c>
      <c r="AX80" s="13">
        <f t="shared" si="43"/>
        <v>1</v>
      </c>
      <c r="AY80" s="28">
        <v>190</v>
      </c>
      <c r="AZ80" s="13">
        <f t="shared" si="44"/>
        <v>190</v>
      </c>
      <c r="BA80" s="28"/>
      <c r="BB80" s="28"/>
      <c r="BC80" s="28"/>
      <c r="BD80" s="28"/>
      <c r="BE80" s="28"/>
      <c r="BF80" s="13">
        <f t="shared" si="45"/>
        <v>0</v>
      </c>
      <c r="BG80" s="28">
        <v>190</v>
      </c>
      <c r="BH80" s="13">
        <f t="shared" si="46"/>
        <v>0</v>
      </c>
      <c r="BI80" s="28"/>
      <c r="BJ80" s="28"/>
      <c r="BK80" s="28"/>
      <c r="BL80" s="28"/>
      <c r="BM80" s="28"/>
      <c r="BN80" s="13">
        <f t="shared" si="52"/>
        <v>0</v>
      </c>
      <c r="BO80" s="28">
        <v>190</v>
      </c>
      <c r="BP80" s="13">
        <f t="shared" si="48"/>
        <v>0</v>
      </c>
      <c r="BQ80" s="28"/>
      <c r="BR80" s="28"/>
      <c r="BS80" s="28"/>
      <c r="BT80" s="28"/>
      <c r="BU80" s="28">
        <v>1</v>
      </c>
      <c r="BV80" s="13">
        <f t="shared" si="53"/>
        <v>1</v>
      </c>
      <c r="BW80" s="28">
        <v>190</v>
      </c>
      <c r="BX80" s="13">
        <f t="shared" si="49"/>
        <v>190</v>
      </c>
      <c r="BY80" s="28"/>
      <c r="BZ80" s="28"/>
      <c r="CA80" s="28"/>
      <c r="CB80" s="28"/>
      <c r="CC80" s="28"/>
      <c r="CD80" s="13">
        <f t="shared" si="51"/>
        <v>0</v>
      </c>
      <c r="CE80" s="28">
        <v>190</v>
      </c>
      <c r="CF80" s="13">
        <f t="shared" si="50"/>
        <v>0</v>
      </c>
      <c r="CG80" s="43"/>
      <c r="CH80" s="44"/>
      <c r="CI80" s="44"/>
      <c r="CJ80" s="44"/>
      <c r="CK80" s="44"/>
      <c r="CL80" s="44"/>
      <c r="CM80" s="44"/>
      <c r="CN80" s="44"/>
      <c r="CO80" s="44"/>
      <c r="CP80" s="44"/>
      <c r="CQ80" s="44"/>
      <c r="CR80" s="44"/>
      <c r="CS80" s="44"/>
      <c r="CT80" s="44"/>
      <c r="CU80" s="44"/>
      <c r="CV80" s="44"/>
      <c r="CW80" s="44"/>
      <c r="CX80" s="44"/>
      <c r="CY80" s="44"/>
      <c r="CZ80" s="44"/>
      <c r="DA80" s="44"/>
      <c r="DB80" s="44"/>
      <c r="DC80" s="44"/>
      <c r="DD80" s="44"/>
      <c r="DE80" s="44"/>
      <c r="DF80" s="44"/>
      <c r="DG80" s="44"/>
      <c r="DH80" s="44"/>
      <c r="DI80" s="44"/>
      <c r="DJ80" s="44"/>
      <c r="DK80" s="44"/>
      <c r="DL80" s="44"/>
      <c r="DM80" s="44"/>
      <c r="DN80" s="44"/>
      <c r="DO80" s="44"/>
      <c r="DP80" s="44"/>
      <c r="DQ80" s="44"/>
      <c r="DR80" s="44"/>
    </row>
    <row r="81" spans="1:246" s="46" customFormat="1">
      <c r="A81" s="64" t="s">
        <v>69</v>
      </c>
      <c r="B81" s="37" t="s">
        <v>88</v>
      </c>
      <c r="C81" s="65"/>
      <c r="D81" s="39" t="s">
        <v>53</v>
      </c>
      <c r="E81" s="66"/>
      <c r="F81" s="66"/>
      <c r="G81" s="66"/>
      <c r="H81" s="66"/>
      <c r="I81" s="66"/>
      <c r="J81" s="66"/>
      <c r="K81" s="41">
        <v>628</v>
      </c>
      <c r="L81" s="13">
        <f t="shared" si="34"/>
        <v>0</v>
      </c>
      <c r="M81" s="66"/>
      <c r="N81" s="66"/>
      <c r="O81" s="66"/>
      <c r="P81" s="66"/>
      <c r="Q81" s="66"/>
      <c r="R81" s="67">
        <f t="shared" si="35"/>
        <v>0</v>
      </c>
      <c r="S81" s="41">
        <v>628</v>
      </c>
      <c r="T81" s="13">
        <f t="shared" si="36"/>
        <v>0</v>
      </c>
      <c r="U81" s="68"/>
      <c r="V81" s="66"/>
      <c r="W81" s="66"/>
      <c r="X81" s="66"/>
      <c r="Y81" s="66">
        <v>1</v>
      </c>
      <c r="Z81" s="67">
        <f t="shared" si="37"/>
        <v>1</v>
      </c>
      <c r="AA81" s="41">
        <v>628</v>
      </c>
      <c r="AB81" s="13">
        <f t="shared" si="38"/>
        <v>628</v>
      </c>
      <c r="AC81" s="66"/>
      <c r="AD81" s="66"/>
      <c r="AE81" s="66"/>
      <c r="AF81" s="66"/>
      <c r="AG81" s="66"/>
      <c r="AH81" s="67">
        <f>AC81+AD81+AE81+AF81+AG81</f>
        <v>0</v>
      </c>
      <c r="AI81" s="41">
        <v>628</v>
      </c>
      <c r="AJ81" s="67">
        <f t="shared" si="40"/>
        <v>0</v>
      </c>
      <c r="AK81" s="66"/>
      <c r="AL81" s="66"/>
      <c r="AM81" s="66"/>
      <c r="AN81" s="66"/>
      <c r="AO81" s="66"/>
      <c r="AP81" s="67">
        <f t="shared" si="41"/>
        <v>0</v>
      </c>
      <c r="AQ81" s="41">
        <v>628</v>
      </c>
      <c r="AR81" s="67">
        <f t="shared" si="42"/>
        <v>0</v>
      </c>
      <c r="AS81" s="66"/>
      <c r="AT81" s="66"/>
      <c r="AU81" s="66"/>
      <c r="AV81" s="66"/>
      <c r="AW81" s="66">
        <v>1</v>
      </c>
      <c r="AX81" s="67">
        <f t="shared" si="43"/>
        <v>1</v>
      </c>
      <c r="AY81" s="41">
        <v>628</v>
      </c>
      <c r="AZ81" s="67">
        <f t="shared" si="44"/>
        <v>628</v>
      </c>
      <c r="BA81" s="66"/>
      <c r="BB81" s="66"/>
      <c r="BC81" s="66"/>
      <c r="BD81" s="66"/>
      <c r="BE81" s="66"/>
      <c r="BF81" s="67">
        <f t="shared" si="45"/>
        <v>0</v>
      </c>
      <c r="BG81" s="41">
        <v>628</v>
      </c>
      <c r="BH81" s="67">
        <f t="shared" si="46"/>
        <v>0</v>
      </c>
      <c r="BI81" s="66"/>
      <c r="BJ81" s="66"/>
      <c r="BK81" s="66"/>
      <c r="BL81" s="66"/>
      <c r="BM81" s="66"/>
      <c r="BN81" s="67">
        <f t="shared" si="52"/>
        <v>0</v>
      </c>
      <c r="BO81" s="41">
        <v>628</v>
      </c>
      <c r="BP81" s="67">
        <f t="shared" si="48"/>
        <v>0</v>
      </c>
      <c r="BQ81" s="66"/>
      <c r="BR81" s="66"/>
      <c r="BS81" s="66"/>
      <c r="BT81" s="66"/>
      <c r="BU81" s="66">
        <v>1</v>
      </c>
      <c r="BV81" s="67">
        <f t="shared" si="53"/>
        <v>1</v>
      </c>
      <c r="BW81" s="41">
        <v>628</v>
      </c>
      <c r="BX81" s="67">
        <f t="shared" si="49"/>
        <v>628</v>
      </c>
      <c r="BY81" s="66"/>
      <c r="BZ81" s="66"/>
      <c r="CA81" s="66"/>
      <c r="CB81" s="66"/>
      <c r="CC81" s="66"/>
      <c r="CD81" s="67">
        <f t="shared" si="51"/>
        <v>0</v>
      </c>
      <c r="CE81" s="41">
        <v>628</v>
      </c>
      <c r="CF81" s="67">
        <f t="shared" si="50"/>
        <v>0</v>
      </c>
      <c r="CG81" s="43"/>
      <c r="CH81" s="44"/>
      <c r="CI81" s="44"/>
      <c r="CJ81" s="44"/>
      <c r="CK81" s="44"/>
      <c r="CL81" s="44"/>
      <c r="CM81" s="44"/>
      <c r="CN81" s="44"/>
      <c r="CO81" s="44"/>
      <c r="CP81" s="44"/>
      <c r="CQ81" s="44"/>
      <c r="CR81" s="44"/>
      <c r="CS81" s="44"/>
      <c r="CT81" s="44"/>
      <c r="CU81" s="44"/>
      <c r="CV81" s="44"/>
      <c r="CW81" s="44"/>
      <c r="CX81" s="44"/>
      <c r="CY81" s="44"/>
      <c r="CZ81" s="44"/>
      <c r="DA81" s="44"/>
      <c r="DB81" s="44"/>
      <c r="DC81" s="44"/>
      <c r="DD81" s="44"/>
      <c r="DE81" s="44"/>
      <c r="DF81" s="44"/>
      <c r="DG81" s="44"/>
      <c r="DH81" s="44"/>
      <c r="DI81" s="44"/>
      <c r="DJ81" s="44"/>
      <c r="DK81" s="44"/>
      <c r="DL81" s="44"/>
      <c r="DM81" s="44"/>
      <c r="DN81" s="44"/>
      <c r="DO81" s="44"/>
      <c r="DP81" s="44"/>
      <c r="DQ81" s="44"/>
      <c r="DR81" s="44"/>
      <c r="DS81" s="45"/>
    </row>
    <row r="82" spans="1:246">
      <c r="A82" s="62"/>
      <c r="B82" s="60"/>
      <c r="C82" s="58"/>
      <c r="D82" s="50"/>
      <c r="E82" s="51"/>
      <c r="F82" s="52"/>
      <c r="G82" s="52"/>
      <c r="H82" s="52"/>
      <c r="I82" s="51"/>
      <c r="J82" s="51"/>
      <c r="K82" s="52"/>
      <c r="L82" s="51"/>
      <c r="M82" s="51"/>
      <c r="N82" s="52"/>
      <c r="O82" s="52"/>
      <c r="P82" s="52"/>
      <c r="Q82" s="51"/>
      <c r="R82" s="51"/>
      <c r="S82" s="52"/>
      <c r="T82" s="51"/>
      <c r="U82" s="51"/>
      <c r="V82" s="52"/>
      <c r="W82" s="52"/>
      <c r="X82" s="52"/>
      <c r="Y82" s="51"/>
      <c r="Z82" s="51"/>
      <c r="AA82" s="52"/>
      <c r="AB82" s="51"/>
      <c r="AC82" s="51"/>
      <c r="AD82" s="52"/>
      <c r="AE82" s="52"/>
      <c r="AF82" s="52"/>
      <c r="AG82" s="51"/>
      <c r="AH82" s="51"/>
      <c r="AI82" s="52"/>
      <c r="AJ82" s="51"/>
      <c r="AK82" s="51"/>
      <c r="AL82" s="52"/>
      <c r="AM82" s="52"/>
      <c r="AN82" s="52"/>
      <c r="AO82" s="51"/>
      <c r="AP82" s="51"/>
      <c r="AQ82" s="52"/>
      <c r="AR82" s="51"/>
      <c r="AS82" s="51"/>
      <c r="AT82" s="52"/>
      <c r="AU82" s="52"/>
      <c r="AV82" s="52"/>
      <c r="AW82" s="51"/>
      <c r="AX82" s="51"/>
      <c r="AY82" s="52"/>
      <c r="AZ82" s="51"/>
      <c r="BA82" s="51"/>
      <c r="BB82" s="52"/>
      <c r="BC82" s="52"/>
      <c r="BD82" s="52"/>
      <c r="BE82" s="51"/>
      <c r="BF82" s="51"/>
      <c r="BG82" s="52"/>
      <c r="BH82" s="51"/>
      <c r="BI82" s="51"/>
      <c r="BJ82" s="52"/>
      <c r="BK82" s="52"/>
      <c r="BL82" s="52"/>
      <c r="BM82" s="51"/>
      <c r="BN82" s="51"/>
      <c r="BO82" s="52"/>
      <c r="BP82" s="51"/>
      <c r="BQ82" s="51"/>
      <c r="BR82" s="52"/>
      <c r="BS82" s="52"/>
      <c r="BT82" s="52"/>
      <c r="BU82" s="51"/>
      <c r="BV82" s="51"/>
      <c r="BW82" s="52"/>
      <c r="BX82" s="51"/>
      <c r="BY82" s="51"/>
      <c r="BZ82" s="52"/>
      <c r="CA82" s="52"/>
      <c r="CB82" s="52"/>
      <c r="CC82" s="51"/>
      <c r="CD82" s="51"/>
      <c r="CE82" s="52"/>
      <c r="CF82" s="51"/>
      <c r="CG82" s="15"/>
    </row>
    <row r="83" spans="1:246">
      <c r="A83" s="62"/>
      <c r="B83" s="60"/>
      <c r="C83" s="58"/>
      <c r="D83" s="50"/>
      <c r="E83" s="51"/>
      <c r="F83" s="52"/>
      <c r="G83" s="52"/>
      <c r="H83" s="52"/>
      <c r="I83" s="51"/>
      <c r="J83" s="51"/>
      <c r="K83" s="52"/>
      <c r="L83" s="51"/>
      <c r="M83" s="51"/>
      <c r="N83" s="52"/>
      <c r="O83" s="52"/>
      <c r="P83" s="52"/>
      <c r="Q83" s="51"/>
      <c r="R83" s="51"/>
      <c r="S83" s="52"/>
      <c r="T83" s="51"/>
      <c r="U83" s="51"/>
      <c r="V83" s="52"/>
      <c r="W83" s="52"/>
      <c r="X83" s="52"/>
      <c r="Y83" s="51"/>
      <c r="Z83" s="51"/>
      <c r="AA83" s="52"/>
      <c r="AB83" s="51"/>
      <c r="AC83" s="51"/>
      <c r="AD83" s="52"/>
      <c r="AE83" s="52"/>
      <c r="AF83" s="52"/>
      <c r="AG83" s="51"/>
      <c r="AH83" s="51"/>
      <c r="AI83" s="52"/>
      <c r="AJ83" s="51"/>
      <c r="AK83" s="51"/>
      <c r="AL83" s="52"/>
      <c r="AM83" s="52"/>
      <c r="AN83" s="52"/>
      <c r="AO83" s="51"/>
      <c r="AP83" s="51"/>
      <c r="AQ83" s="52"/>
      <c r="AR83" s="51"/>
      <c r="AS83" s="51"/>
      <c r="AT83" s="52"/>
      <c r="AU83" s="52"/>
      <c r="AV83" s="52"/>
      <c r="AW83" s="51"/>
      <c r="AX83" s="51"/>
      <c r="AY83" s="52"/>
      <c r="AZ83" s="51"/>
      <c r="BA83" s="51"/>
      <c r="BB83" s="52"/>
      <c r="BC83" s="52"/>
      <c r="BD83" s="52"/>
      <c r="BE83" s="51"/>
      <c r="BF83" s="51"/>
      <c r="BG83" s="52"/>
      <c r="BH83" s="51"/>
      <c r="BI83" s="51"/>
      <c r="BJ83" s="52"/>
      <c r="BK83" s="52"/>
      <c r="BL83" s="52"/>
      <c r="BM83" s="51"/>
      <c r="BN83" s="51"/>
      <c r="BO83" s="52"/>
      <c r="BP83" s="51"/>
      <c r="BQ83" s="51"/>
      <c r="BR83" s="52"/>
      <c r="BS83" s="52"/>
      <c r="BT83" s="52"/>
      <c r="BU83" s="51"/>
      <c r="BV83" s="51"/>
      <c r="BW83" s="52"/>
      <c r="BX83" s="51"/>
      <c r="BY83" s="51"/>
      <c r="BZ83" s="52"/>
      <c r="CA83" s="52"/>
      <c r="CB83" s="52"/>
      <c r="CC83" s="51"/>
      <c r="CD83" s="51"/>
      <c r="CE83" s="52"/>
      <c r="CF83" s="51"/>
      <c r="CG83" s="15"/>
    </row>
    <row r="84" spans="1:246">
      <c r="A84" s="62"/>
      <c r="B84" s="60"/>
      <c r="C84" s="58"/>
      <c r="D84" s="49"/>
      <c r="E84" s="51"/>
      <c r="F84" s="52"/>
      <c r="G84" s="52"/>
      <c r="H84" s="52"/>
      <c r="I84" s="51"/>
      <c r="J84" s="51"/>
      <c r="K84" s="52"/>
      <c r="L84" s="51"/>
      <c r="M84" s="51"/>
      <c r="N84" s="52"/>
      <c r="O84" s="52"/>
      <c r="P84" s="52"/>
      <c r="Q84" s="51"/>
      <c r="R84" s="51"/>
      <c r="S84" s="52"/>
      <c r="T84" s="51"/>
      <c r="U84" s="51"/>
      <c r="V84" s="52"/>
      <c r="W84" s="52"/>
      <c r="X84" s="52"/>
      <c r="Y84" s="51"/>
      <c r="Z84" s="51"/>
      <c r="AA84" s="52"/>
      <c r="AB84" s="51"/>
      <c r="AC84" s="51"/>
      <c r="AD84" s="52"/>
      <c r="AE84" s="52"/>
      <c r="AF84" s="52"/>
      <c r="AG84" s="51"/>
      <c r="AH84" s="51"/>
      <c r="AI84" s="52"/>
      <c r="AJ84" s="51"/>
      <c r="AK84" s="51"/>
      <c r="AL84" s="52"/>
      <c r="AM84" s="52"/>
      <c r="AN84" s="52"/>
      <c r="AO84" s="51"/>
      <c r="AP84" s="51"/>
      <c r="AQ84" s="52"/>
      <c r="AR84" s="51"/>
      <c r="AS84" s="51"/>
      <c r="AT84" s="52"/>
      <c r="AU84" s="52"/>
      <c r="AV84" s="52"/>
      <c r="AW84" s="51"/>
      <c r="AX84" s="51"/>
      <c r="AY84" s="52"/>
      <c r="AZ84" s="51"/>
      <c r="BA84" s="51"/>
      <c r="BB84" s="52"/>
      <c r="BC84" s="52"/>
      <c r="BD84" s="52"/>
      <c r="BE84" s="51"/>
      <c r="BF84" s="51"/>
      <c r="BG84" s="52"/>
      <c r="BH84" s="51"/>
      <c r="BI84" s="51"/>
      <c r="BJ84" s="52"/>
      <c r="BK84" s="52"/>
      <c r="BL84" s="52"/>
      <c r="BM84" s="51"/>
      <c r="BN84" s="51"/>
      <c r="BO84" s="52"/>
      <c r="BP84" s="51"/>
      <c r="BQ84" s="51"/>
      <c r="BR84" s="52"/>
      <c r="BS84" s="52"/>
      <c r="BT84" s="52"/>
      <c r="BU84" s="51"/>
      <c r="BV84" s="51"/>
      <c r="BW84" s="52"/>
      <c r="BX84" s="51"/>
      <c r="BY84" s="51"/>
      <c r="BZ84" s="52"/>
      <c r="CA84" s="52"/>
      <c r="CB84" s="52"/>
      <c r="CC84" s="51"/>
      <c r="CD84" s="51"/>
      <c r="CE84" s="52"/>
      <c r="CF84" s="51"/>
      <c r="CG84" s="15"/>
    </row>
    <row r="85" spans="1:246" ht="30">
      <c r="A85" s="1" t="s">
        <v>0</v>
      </c>
      <c r="B85" s="2" t="s">
        <v>1</v>
      </c>
      <c r="C85" s="3" t="s">
        <v>2</v>
      </c>
      <c r="D85" s="3" t="s">
        <v>3</v>
      </c>
      <c r="E85" s="4">
        <v>500</v>
      </c>
      <c r="F85" s="4">
        <v>1000</v>
      </c>
      <c r="G85" s="4">
        <v>1500</v>
      </c>
      <c r="H85" s="4">
        <v>2000</v>
      </c>
      <c r="I85" s="4">
        <v>2500</v>
      </c>
      <c r="J85" s="5" t="s">
        <v>4</v>
      </c>
      <c r="K85" s="4" t="s">
        <v>5</v>
      </c>
      <c r="L85" s="6" t="s">
        <v>6</v>
      </c>
      <c r="M85" s="4">
        <v>3000</v>
      </c>
      <c r="N85" s="4">
        <v>3500</v>
      </c>
      <c r="O85" s="4">
        <v>4000</v>
      </c>
      <c r="P85" s="4">
        <v>4500</v>
      </c>
      <c r="Q85" s="4">
        <v>5000</v>
      </c>
      <c r="R85" s="5" t="s">
        <v>4</v>
      </c>
      <c r="S85" s="4" t="s">
        <v>5</v>
      </c>
      <c r="T85" s="6" t="s">
        <v>6</v>
      </c>
      <c r="U85" s="4">
        <v>5500</v>
      </c>
      <c r="V85" s="4">
        <v>6000</v>
      </c>
      <c r="W85" s="4">
        <v>6500</v>
      </c>
      <c r="X85" s="4">
        <v>7000</v>
      </c>
      <c r="Y85" s="4">
        <v>7500</v>
      </c>
      <c r="Z85" s="5" t="s">
        <v>4</v>
      </c>
      <c r="AA85" s="4" t="s">
        <v>5</v>
      </c>
      <c r="AB85" s="6" t="s">
        <v>6</v>
      </c>
      <c r="AC85" s="4">
        <v>8000</v>
      </c>
      <c r="AD85" s="4">
        <v>8500</v>
      </c>
      <c r="AE85" s="4">
        <v>9000</v>
      </c>
      <c r="AF85" s="4">
        <v>9500</v>
      </c>
      <c r="AG85" s="4">
        <v>10000</v>
      </c>
      <c r="AH85" s="6" t="s">
        <v>4</v>
      </c>
      <c r="AI85" s="4" t="s">
        <v>5</v>
      </c>
      <c r="AJ85" s="6" t="s">
        <v>6</v>
      </c>
      <c r="AK85" s="4">
        <v>10500</v>
      </c>
      <c r="AL85" s="4">
        <v>11000</v>
      </c>
      <c r="AM85" s="4">
        <v>11500</v>
      </c>
      <c r="AN85" s="4">
        <v>12000</v>
      </c>
      <c r="AO85" s="4">
        <v>12500</v>
      </c>
      <c r="AP85" s="6" t="s">
        <v>4</v>
      </c>
      <c r="AQ85" s="4" t="s">
        <v>5</v>
      </c>
      <c r="AR85" s="6" t="s">
        <v>6</v>
      </c>
      <c r="AS85" s="4">
        <v>13000</v>
      </c>
      <c r="AT85" s="4">
        <v>13500</v>
      </c>
      <c r="AU85" s="4">
        <v>14000</v>
      </c>
      <c r="AV85" s="4">
        <v>14500</v>
      </c>
      <c r="AW85" s="4">
        <v>15000</v>
      </c>
      <c r="AX85" s="6" t="s">
        <v>4</v>
      </c>
      <c r="AY85" s="4" t="s">
        <v>5</v>
      </c>
      <c r="AZ85" s="6" t="s">
        <v>6</v>
      </c>
      <c r="BA85" s="4">
        <v>15500</v>
      </c>
      <c r="BB85" s="4">
        <v>16000</v>
      </c>
      <c r="BC85" s="4">
        <v>16500</v>
      </c>
      <c r="BD85" s="4">
        <v>17000</v>
      </c>
      <c r="BE85" s="4">
        <v>17500</v>
      </c>
      <c r="BF85" s="6" t="s">
        <v>4</v>
      </c>
      <c r="BG85" s="4" t="s">
        <v>5</v>
      </c>
      <c r="BH85" s="6" t="s">
        <v>6</v>
      </c>
      <c r="BI85" s="4">
        <v>18000</v>
      </c>
      <c r="BJ85" s="4">
        <v>18500</v>
      </c>
      <c r="BK85" s="4">
        <v>19000</v>
      </c>
      <c r="BL85" s="4">
        <v>19500</v>
      </c>
      <c r="BM85" s="4">
        <v>20000</v>
      </c>
      <c r="BN85" s="6" t="s">
        <v>4</v>
      </c>
      <c r="BO85" s="4" t="s">
        <v>5</v>
      </c>
      <c r="BP85" s="6" t="s">
        <v>6</v>
      </c>
      <c r="BQ85" s="4">
        <v>20500</v>
      </c>
      <c r="BR85" s="4">
        <v>21000</v>
      </c>
      <c r="BS85" s="4">
        <v>21500</v>
      </c>
      <c r="BT85" s="4">
        <v>22000</v>
      </c>
      <c r="BU85" s="4">
        <v>22500</v>
      </c>
      <c r="BV85" s="6" t="s">
        <v>4</v>
      </c>
      <c r="BW85" s="4" t="s">
        <v>5</v>
      </c>
      <c r="BX85" s="6" t="s">
        <v>6</v>
      </c>
      <c r="BY85" s="4">
        <v>23000</v>
      </c>
      <c r="BZ85" s="4">
        <v>23500</v>
      </c>
      <c r="CA85" s="4">
        <v>24000</v>
      </c>
      <c r="CB85" s="4">
        <v>24500</v>
      </c>
      <c r="CC85" s="4">
        <v>25000</v>
      </c>
      <c r="CD85" s="6" t="s">
        <v>4</v>
      </c>
      <c r="CE85" s="4" t="s">
        <v>5</v>
      </c>
      <c r="CF85" s="6" t="s">
        <v>6</v>
      </c>
      <c r="CG85" s="7"/>
      <c r="CH85" s="7"/>
      <c r="CI85" s="7"/>
      <c r="CJ85" s="7"/>
      <c r="CK85" s="7"/>
      <c r="CL85" s="7"/>
      <c r="CM85" s="7"/>
      <c r="CN85" s="7"/>
      <c r="CO85" s="7"/>
      <c r="CP85" s="7"/>
      <c r="CQ85" s="7"/>
      <c r="CR85" s="7"/>
      <c r="CS85" s="7"/>
      <c r="CT85" s="7"/>
      <c r="CU85" s="7"/>
      <c r="CV85" s="7"/>
      <c r="CW85" s="7"/>
      <c r="CX85" s="7"/>
      <c r="CY85" s="7"/>
      <c r="CZ85" s="7"/>
      <c r="DA85" s="7"/>
      <c r="DB85" s="7"/>
      <c r="DC85" s="7"/>
      <c r="DD85" s="7"/>
      <c r="DE85" s="7"/>
      <c r="DF85" s="7"/>
      <c r="DG85" s="7"/>
      <c r="DH85" s="7"/>
      <c r="DI85" s="7"/>
      <c r="DJ85" s="7"/>
      <c r="DK85" s="7"/>
      <c r="DL85" s="7"/>
      <c r="DM85" s="7"/>
      <c r="DN85" s="7"/>
      <c r="DO85" s="7"/>
      <c r="DP85" s="7"/>
      <c r="DQ85" s="7"/>
      <c r="DR85" s="7"/>
      <c r="DS85" s="7"/>
      <c r="DT85" s="7"/>
      <c r="DU85" s="7"/>
      <c r="DV85" s="7"/>
      <c r="DW85" s="7"/>
      <c r="DX85" s="7"/>
      <c r="DY85" s="7"/>
      <c r="DZ85" s="7"/>
      <c r="EA85" s="7"/>
      <c r="EB85" s="7"/>
      <c r="EC85" s="7"/>
      <c r="ED85" s="7"/>
      <c r="EE85" s="7"/>
      <c r="EF85" s="7"/>
      <c r="EG85" s="7"/>
      <c r="EH85" s="7"/>
      <c r="EI85" s="7"/>
      <c r="EJ85" s="7"/>
      <c r="EK85" s="7"/>
      <c r="EL85" s="7"/>
      <c r="EM85" s="7"/>
      <c r="EN85" s="7"/>
      <c r="EO85" s="7"/>
      <c r="EP85" s="7"/>
      <c r="EQ85" s="7"/>
      <c r="ER85" s="7"/>
      <c r="ES85" s="7"/>
      <c r="ET85" s="7"/>
      <c r="EU85" s="7"/>
      <c r="EV85" s="7"/>
      <c r="EW85" s="7"/>
      <c r="EX85" s="7"/>
      <c r="EY85" s="7"/>
      <c r="EZ85" s="7"/>
      <c r="FA85" s="7"/>
      <c r="FB85" s="7"/>
      <c r="FC85" s="7"/>
      <c r="FD85" s="7"/>
      <c r="FE85" s="7"/>
      <c r="FF85" s="7"/>
      <c r="FG85" s="7"/>
      <c r="FH85" s="7"/>
      <c r="FI85" s="7"/>
      <c r="FJ85" s="7"/>
      <c r="FK85" s="7"/>
      <c r="FL85" s="7"/>
      <c r="FM85" s="7"/>
      <c r="FN85" s="7"/>
      <c r="FO85" s="7"/>
      <c r="FP85" s="7"/>
      <c r="FQ85" s="7"/>
      <c r="FR85" s="7"/>
      <c r="FS85" s="7"/>
      <c r="FT85" s="7"/>
      <c r="FU85" s="7"/>
      <c r="FV85" s="7"/>
      <c r="FW85" s="7"/>
      <c r="FX85" s="7"/>
      <c r="FY85" s="7"/>
      <c r="FZ85" s="7"/>
      <c r="GA85" s="7"/>
      <c r="GB85" s="7"/>
      <c r="GC85" s="7"/>
      <c r="GD85" s="7"/>
      <c r="GE85" s="7"/>
      <c r="GF85" s="7"/>
      <c r="GG85" s="7"/>
      <c r="GH85" s="7"/>
      <c r="GI85" s="7"/>
      <c r="GJ85" s="7"/>
      <c r="GK85" s="7"/>
      <c r="GL85" s="7"/>
      <c r="GM85" s="7"/>
      <c r="GN85" s="7"/>
      <c r="GO85" s="7"/>
      <c r="GP85" s="7"/>
      <c r="GQ85" s="7"/>
      <c r="GR85" s="7"/>
      <c r="GS85" s="7"/>
      <c r="GT85" s="7"/>
      <c r="GU85" s="7"/>
      <c r="GV85" s="7"/>
      <c r="GW85" s="7"/>
      <c r="GX85" s="7"/>
      <c r="GY85" s="7"/>
      <c r="GZ85" s="7"/>
      <c r="HA85" s="7"/>
      <c r="HB85" s="7"/>
      <c r="HC85" s="7"/>
      <c r="HD85" s="7"/>
      <c r="HE85" s="7"/>
      <c r="HF85" s="7"/>
      <c r="HG85" s="7"/>
      <c r="HH85" s="7"/>
      <c r="HI85" s="7"/>
      <c r="HJ85" s="7"/>
      <c r="HK85" s="7"/>
      <c r="HL85" s="7"/>
      <c r="HM85" s="7"/>
      <c r="HN85" s="7"/>
      <c r="HO85" s="7"/>
      <c r="HP85" s="7"/>
      <c r="HQ85" s="7"/>
      <c r="HR85" s="7"/>
      <c r="HS85" s="7"/>
      <c r="HT85" s="7"/>
      <c r="HU85" s="7"/>
      <c r="HV85" s="7"/>
      <c r="HW85" s="7"/>
      <c r="HX85" s="7"/>
      <c r="HY85" s="7"/>
      <c r="HZ85" s="7"/>
      <c r="IA85" s="7"/>
      <c r="IB85" s="7"/>
      <c r="IC85" s="7"/>
      <c r="ID85" s="7"/>
      <c r="IE85" s="7"/>
      <c r="IF85" s="7"/>
      <c r="IG85" s="7"/>
      <c r="IH85" s="7"/>
      <c r="II85" s="7"/>
      <c r="IJ85" s="7"/>
      <c r="IK85" s="7"/>
      <c r="IL85" s="7"/>
    </row>
    <row r="86" spans="1:246" ht="15">
      <c r="A86" s="61" t="s">
        <v>89</v>
      </c>
      <c r="B86" s="10" t="s">
        <v>8</v>
      </c>
      <c r="C86" s="11"/>
      <c r="D86" s="12" t="s">
        <v>9</v>
      </c>
      <c r="E86" s="13">
        <v>1</v>
      </c>
      <c r="F86" s="13">
        <v>1</v>
      </c>
      <c r="G86" s="13">
        <v>1</v>
      </c>
      <c r="H86" s="13">
        <v>1</v>
      </c>
      <c r="I86" s="13">
        <v>1</v>
      </c>
      <c r="J86" s="13">
        <v>5</v>
      </c>
      <c r="K86" s="14">
        <v>154</v>
      </c>
      <c r="L86" s="13">
        <f>J86*K86</f>
        <v>770</v>
      </c>
      <c r="M86" s="13">
        <v>1</v>
      </c>
      <c r="N86" s="13">
        <v>1</v>
      </c>
      <c r="O86" s="13">
        <v>1</v>
      </c>
      <c r="P86" s="13">
        <v>1</v>
      </c>
      <c r="Q86" s="13">
        <v>1</v>
      </c>
      <c r="R86" s="13">
        <f>M86+N86+O86+P86+Q86</f>
        <v>5</v>
      </c>
      <c r="S86" s="14">
        <v>154</v>
      </c>
      <c r="T86" s="13">
        <f>S86*R86</f>
        <v>770</v>
      </c>
      <c r="U86" s="13">
        <v>1</v>
      </c>
      <c r="V86" s="13">
        <v>1</v>
      </c>
      <c r="W86" s="13">
        <v>1</v>
      </c>
      <c r="X86" s="13">
        <v>1</v>
      </c>
      <c r="Y86" s="13">
        <v>1</v>
      </c>
      <c r="Z86" s="13">
        <f>U86+V86+W86+X86+Y86</f>
        <v>5</v>
      </c>
      <c r="AA86" s="14">
        <v>154</v>
      </c>
      <c r="AB86" s="13">
        <f>AA86*Z86</f>
        <v>770</v>
      </c>
      <c r="AC86" s="13">
        <v>1</v>
      </c>
      <c r="AD86" s="13">
        <v>1</v>
      </c>
      <c r="AE86" s="13">
        <v>1</v>
      </c>
      <c r="AF86" s="13">
        <v>1</v>
      </c>
      <c r="AG86" s="13">
        <v>1</v>
      </c>
      <c r="AH86" s="13">
        <f>AC86+AD86+AE86+AF86+AG86</f>
        <v>5</v>
      </c>
      <c r="AI86" s="14">
        <v>154</v>
      </c>
      <c r="AJ86" s="13">
        <f>AI86*AH86</f>
        <v>770</v>
      </c>
      <c r="AK86" s="13">
        <v>1</v>
      </c>
      <c r="AL86" s="13">
        <v>1</v>
      </c>
      <c r="AM86" s="13">
        <v>1</v>
      </c>
      <c r="AN86" s="13">
        <v>1</v>
      </c>
      <c r="AO86" s="13">
        <v>1</v>
      </c>
      <c r="AP86" s="13">
        <f>AK86+AL86+AM86+AN86+AO86</f>
        <v>5</v>
      </c>
      <c r="AQ86" s="14">
        <v>154</v>
      </c>
      <c r="AR86" s="13">
        <f>AQ86*AP86</f>
        <v>770</v>
      </c>
      <c r="AS86" s="13">
        <v>1</v>
      </c>
      <c r="AT86" s="13">
        <v>1</v>
      </c>
      <c r="AU86" s="13">
        <v>1</v>
      </c>
      <c r="AV86" s="13">
        <v>1</v>
      </c>
      <c r="AW86" s="13">
        <v>1</v>
      </c>
      <c r="AX86" s="13">
        <f>AS86+AT86+AU86+AV86+AW86</f>
        <v>5</v>
      </c>
      <c r="AY86" s="14">
        <v>154</v>
      </c>
      <c r="AZ86" s="13">
        <f>AY86*AX86</f>
        <v>770</v>
      </c>
      <c r="BA86" s="13">
        <v>1</v>
      </c>
      <c r="BB86" s="13">
        <v>1</v>
      </c>
      <c r="BC86" s="13">
        <v>1</v>
      </c>
      <c r="BD86" s="13">
        <v>1</v>
      </c>
      <c r="BE86" s="13">
        <v>1</v>
      </c>
      <c r="BF86" s="13">
        <f>BA86+BB86+BC86+BD86+BE86</f>
        <v>5</v>
      </c>
      <c r="BG86" s="14">
        <v>154</v>
      </c>
      <c r="BH86" s="13">
        <f>BG86*BF86</f>
        <v>770</v>
      </c>
      <c r="BI86" s="13">
        <v>1</v>
      </c>
      <c r="BJ86" s="13">
        <v>1</v>
      </c>
      <c r="BK86" s="13">
        <v>1</v>
      </c>
      <c r="BL86" s="13">
        <v>1</v>
      </c>
      <c r="BM86" s="13">
        <v>1</v>
      </c>
      <c r="BN86" s="13">
        <f>BI86+BJ86+BK86+BL86+BM86</f>
        <v>5</v>
      </c>
      <c r="BO86" s="14">
        <v>154</v>
      </c>
      <c r="BP86" s="13">
        <f>BO86*BN86</f>
        <v>770</v>
      </c>
      <c r="BQ86" s="13">
        <v>1</v>
      </c>
      <c r="BR86" s="13">
        <v>1</v>
      </c>
      <c r="BS86" s="13">
        <v>1</v>
      </c>
      <c r="BT86" s="13">
        <v>1</v>
      </c>
      <c r="BU86" s="13">
        <v>1</v>
      </c>
      <c r="BV86" s="13">
        <f t="shared" ref="BV86:BV96" si="54">BQ86+BR86+BS86+BT86+BU86</f>
        <v>5</v>
      </c>
      <c r="BW86" s="14">
        <v>154</v>
      </c>
      <c r="BX86" s="13">
        <f>BW86*BV86</f>
        <v>770</v>
      </c>
      <c r="BY86" s="13">
        <v>1</v>
      </c>
      <c r="BZ86" s="13">
        <v>1</v>
      </c>
      <c r="CA86" s="13">
        <v>1</v>
      </c>
      <c r="CB86" s="13">
        <v>1</v>
      </c>
      <c r="CC86" s="13">
        <v>1</v>
      </c>
      <c r="CD86" s="13">
        <f t="shared" ref="CD86:CD95" si="55">BY86+BZ86+CA86+CB86+CC86</f>
        <v>5</v>
      </c>
      <c r="CE86" s="14">
        <v>154</v>
      </c>
      <c r="CF86" s="13">
        <f>CE86*CD86</f>
        <v>770</v>
      </c>
      <c r="CG86" s="15"/>
    </row>
    <row r="87" spans="1:246">
      <c r="A87" s="61" t="s">
        <v>89</v>
      </c>
      <c r="B87" s="16" t="s">
        <v>57</v>
      </c>
      <c r="C87" s="11"/>
      <c r="D87" s="17" t="s">
        <v>11</v>
      </c>
      <c r="E87" s="18"/>
      <c r="F87" s="13">
        <v>1</v>
      </c>
      <c r="G87" s="13"/>
      <c r="H87" s="13">
        <v>1</v>
      </c>
      <c r="I87" s="18"/>
      <c r="J87" s="13">
        <v>2</v>
      </c>
      <c r="K87" s="19">
        <v>156</v>
      </c>
      <c r="L87" s="13">
        <f t="shared" ref="L87:L108" si="56">J87*K87</f>
        <v>312</v>
      </c>
      <c r="M87" s="18"/>
      <c r="N87" s="13">
        <v>1</v>
      </c>
      <c r="O87" s="13"/>
      <c r="P87" s="13">
        <v>1</v>
      </c>
      <c r="Q87" s="18"/>
      <c r="R87" s="13">
        <f t="shared" ref="R87:R108" si="57">M87+N87+O87+P87+Q87</f>
        <v>2</v>
      </c>
      <c r="S87" s="19">
        <v>156</v>
      </c>
      <c r="T87" s="13">
        <f t="shared" ref="T87:T108" si="58">S87*R87</f>
        <v>312</v>
      </c>
      <c r="U87" s="18"/>
      <c r="V87" s="13">
        <v>1</v>
      </c>
      <c r="W87" s="13"/>
      <c r="X87" s="13">
        <v>1</v>
      </c>
      <c r="Y87" s="18"/>
      <c r="Z87" s="13">
        <f t="shared" ref="Z87:Z108" si="59">U87+V87+W87+X87+Y87</f>
        <v>2</v>
      </c>
      <c r="AA87" s="19">
        <v>156</v>
      </c>
      <c r="AB87" s="13">
        <f t="shared" ref="AB87:AB108" si="60">AA87*Z87</f>
        <v>312</v>
      </c>
      <c r="AC87" s="18"/>
      <c r="AD87" s="13">
        <v>1</v>
      </c>
      <c r="AE87" s="13"/>
      <c r="AF87" s="13">
        <v>1</v>
      </c>
      <c r="AG87" s="18"/>
      <c r="AH87" s="13">
        <f t="shared" ref="AH87:AH108" si="61">AC87+AD87+AE87+AF87+AG87</f>
        <v>2</v>
      </c>
      <c r="AI87" s="19">
        <v>156</v>
      </c>
      <c r="AJ87" s="13">
        <f t="shared" ref="AJ87:AJ108" si="62">AI87*AH87</f>
        <v>312</v>
      </c>
      <c r="AK87" s="18"/>
      <c r="AL87" s="13">
        <v>1</v>
      </c>
      <c r="AM87" s="13"/>
      <c r="AN87" s="13">
        <v>1</v>
      </c>
      <c r="AO87" s="18"/>
      <c r="AP87" s="13">
        <f t="shared" ref="AP87:AP108" si="63">AK87+AL87+AM87+AN87+AO87</f>
        <v>2</v>
      </c>
      <c r="AQ87" s="19">
        <v>156</v>
      </c>
      <c r="AR87" s="13">
        <f t="shared" ref="AR87:AR108" si="64">AQ87*AP87</f>
        <v>312</v>
      </c>
      <c r="AS87" s="18"/>
      <c r="AT87" s="13">
        <v>1</v>
      </c>
      <c r="AU87" s="13"/>
      <c r="AV87" s="13">
        <v>1</v>
      </c>
      <c r="AW87" s="18"/>
      <c r="AX87" s="13">
        <f t="shared" ref="AX87:AX108" si="65">AS87+AT87+AU87+AV87+AW87</f>
        <v>2</v>
      </c>
      <c r="AY87" s="19">
        <v>156</v>
      </c>
      <c r="AZ87" s="13">
        <f t="shared" ref="AZ87:AZ108" si="66">AY87*AX87</f>
        <v>312</v>
      </c>
      <c r="BA87" s="18"/>
      <c r="BB87" s="13">
        <v>1</v>
      </c>
      <c r="BC87" s="13"/>
      <c r="BD87" s="13">
        <v>1</v>
      </c>
      <c r="BE87" s="18"/>
      <c r="BF87" s="13">
        <f t="shared" ref="BF87:BF108" si="67">BA87+BB87+BC87+BD87+BE87</f>
        <v>2</v>
      </c>
      <c r="BG87" s="19">
        <v>156</v>
      </c>
      <c r="BH87" s="13">
        <f t="shared" ref="BH87:BH108" si="68">BG87*BF87</f>
        <v>312</v>
      </c>
      <c r="BI87" s="18"/>
      <c r="BJ87" s="13">
        <v>1</v>
      </c>
      <c r="BK87" s="13"/>
      <c r="BL87" s="13">
        <v>1</v>
      </c>
      <c r="BM87" s="18"/>
      <c r="BN87" s="13">
        <f t="shared" ref="BN87:BN100" si="69">BI87+BJ87+BK87+BL87+BM87</f>
        <v>2</v>
      </c>
      <c r="BO87" s="19">
        <v>156</v>
      </c>
      <c r="BP87" s="13">
        <f t="shared" ref="BP87:BP108" si="70">BO87*BN87</f>
        <v>312</v>
      </c>
      <c r="BQ87" s="18"/>
      <c r="BR87" s="13">
        <v>1</v>
      </c>
      <c r="BS87" s="13"/>
      <c r="BT87" s="13">
        <v>1</v>
      </c>
      <c r="BU87" s="18"/>
      <c r="BV87" s="13">
        <f t="shared" si="54"/>
        <v>2</v>
      </c>
      <c r="BW87" s="19">
        <v>156</v>
      </c>
      <c r="BX87" s="13">
        <f t="shared" ref="BX87:BX108" si="71">BW87*BV87</f>
        <v>312</v>
      </c>
      <c r="BY87" s="18"/>
      <c r="BZ87" s="13">
        <v>1</v>
      </c>
      <c r="CA87" s="13"/>
      <c r="CB87" s="13">
        <v>1</v>
      </c>
      <c r="CC87" s="18"/>
      <c r="CD87" s="13">
        <f t="shared" si="55"/>
        <v>2</v>
      </c>
      <c r="CE87" s="19">
        <v>156</v>
      </c>
      <c r="CF87" s="13">
        <f t="shared" ref="CF87:CF108" si="72">CE87*CD87</f>
        <v>312</v>
      </c>
      <c r="CG87" s="15"/>
    </row>
    <row r="88" spans="1:246">
      <c r="A88" s="61" t="s">
        <v>89</v>
      </c>
      <c r="B88" s="20" t="s">
        <v>12</v>
      </c>
      <c r="C88" s="11"/>
      <c r="D88" s="11" t="s">
        <v>13</v>
      </c>
      <c r="E88" s="18"/>
      <c r="F88" s="13">
        <v>1</v>
      </c>
      <c r="G88" s="13"/>
      <c r="H88" s="13">
        <v>1</v>
      </c>
      <c r="I88" s="18"/>
      <c r="J88" s="13">
        <v>2</v>
      </c>
      <c r="K88" s="19">
        <v>306</v>
      </c>
      <c r="L88" s="13">
        <f t="shared" si="56"/>
        <v>612</v>
      </c>
      <c r="M88" s="18"/>
      <c r="N88" s="13">
        <v>1</v>
      </c>
      <c r="O88" s="13"/>
      <c r="P88" s="13">
        <v>1</v>
      </c>
      <c r="Q88" s="18"/>
      <c r="R88" s="13">
        <f t="shared" si="57"/>
        <v>2</v>
      </c>
      <c r="S88" s="19">
        <v>306</v>
      </c>
      <c r="T88" s="13">
        <f t="shared" si="58"/>
        <v>612</v>
      </c>
      <c r="U88" s="18"/>
      <c r="V88" s="13">
        <v>1</v>
      </c>
      <c r="W88" s="13"/>
      <c r="X88" s="13">
        <v>1</v>
      </c>
      <c r="Y88" s="18"/>
      <c r="Z88" s="13">
        <f t="shared" si="59"/>
        <v>2</v>
      </c>
      <c r="AA88" s="19">
        <v>306</v>
      </c>
      <c r="AB88" s="13">
        <f t="shared" si="60"/>
        <v>612</v>
      </c>
      <c r="AC88" s="18"/>
      <c r="AD88" s="13">
        <v>1</v>
      </c>
      <c r="AE88" s="13"/>
      <c r="AF88" s="13">
        <v>1</v>
      </c>
      <c r="AG88" s="18"/>
      <c r="AH88" s="13">
        <f t="shared" si="61"/>
        <v>2</v>
      </c>
      <c r="AI88" s="19">
        <v>306</v>
      </c>
      <c r="AJ88" s="13">
        <f t="shared" si="62"/>
        <v>612</v>
      </c>
      <c r="AK88" s="18"/>
      <c r="AL88" s="13">
        <v>1</v>
      </c>
      <c r="AM88" s="13"/>
      <c r="AN88" s="13">
        <v>1</v>
      </c>
      <c r="AO88" s="18"/>
      <c r="AP88" s="13">
        <f t="shared" si="63"/>
        <v>2</v>
      </c>
      <c r="AQ88" s="19">
        <v>306</v>
      </c>
      <c r="AR88" s="13">
        <f t="shared" si="64"/>
        <v>612</v>
      </c>
      <c r="AS88" s="18"/>
      <c r="AT88" s="13">
        <v>1</v>
      </c>
      <c r="AU88" s="13"/>
      <c r="AV88" s="13">
        <v>1</v>
      </c>
      <c r="AW88" s="18"/>
      <c r="AX88" s="13">
        <f t="shared" si="65"/>
        <v>2</v>
      </c>
      <c r="AY88" s="19">
        <v>306</v>
      </c>
      <c r="AZ88" s="13">
        <f t="shared" si="66"/>
        <v>612</v>
      </c>
      <c r="BA88" s="18"/>
      <c r="BB88" s="13">
        <v>1</v>
      </c>
      <c r="BC88" s="13"/>
      <c r="BD88" s="13">
        <v>1</v>
      </c>
      <c r="BE88" s="18"/>
      <c r="BF88" s="13">
        <f t="shared" si="67"/>
        <v>2</v>
      </c>
      <c r="BG88" s="19">
        <v>306</v>
      </c>
      <c r="BH88" s="13">
        <f t="shared" si="68"/>
        <v>612</v>
      </c>
      <c r="BI88" s="18"/>
      <c r="BJ88" s="13">
        <v>1</v>
      </c>
      <c r="BK88" s="13"/>
      <c r="BL88" s="13">
        <v>1</v>
      </c>
      <c r="BM88" s="18"/>
      <c r="BN88" s="13">
        <f t="shared" si="69"/>
        <v>2</v>
      </c>
      <c r="BO88" s="19">
        <v>306</v>
      </c>
      <c r="BP88" s="13">
        <f t="shared" si="70"/>
        <v>612</v>
      </c>
      <c r="BQ88" s="18"/>
      <c r="BR88" s="13">
        <v>1</v>
      </c>
      <c r="BS88" s="13"/>
      <c r="BT88" s="13">
        <v>1</v>
      </c>
      <c r="BU88" s="18"/>
      <c r="BV88" s="13">
        <f t="shared" si="54"/>
        <v>2</v>
      </c>
      <c r="BW88" s="19">
        <v>306</v>
      </c>
      <c r="BX88" s="13">
        <f t="shared" si="71"/>
        <v>612</v>
      </c>
      <c r="BY88" s="18"/>
      <c r="BZ88" s="13">
        <v>1</v>
      </c>
      <c r="CA88" s="13"/>
      <c r="CB88" s="13">
        <v>1</v>
      </c>
      <c r="CC88" s="18"/>
      <c r="CD88" s="13">
        <f t="shared" si="55"/>
        <v>2</v>
      </c>
      <c r="CE88" s="19">
        <v>306</v>
      </c>
      <c r="CF88" s="13">
        <f t="shared" si="72"/>
        <v>612</v>
      </c>
      <c r="CG88" s="15"/>
    </row>
    <row r="89" spans="1:246">
      <c r="A89" s="61" t="s">
        <v>89</v>
      </c>
      <c r="B89" s="10" t="s">
        <v>90</v>
      </c>
      <c r="C89" s="11"/>
      <c r="D89" s="11" t="s">
        <v>91</v>
      </c>
      <c r="E89" s="18"/>
      <c r="F89" s="13"/>
      <c r="G89" s="13"/>
      <c r="H89" s="13"/>
      <c r="I89" s="18"/>
      <c r="J89" s="13"/>
      <c r="K89" s="21">
        <v>143</v>
      </c>
      <c r="L89" s="13">
        <f t="shared" si="56"/>
        <v>0</v>
      </c>
      <c r="M89" s="18"/>
      <c r="N89" s="13"/>
      <c r="O89" s="13"/>
      <c r="P89" s="13"/>
      <c r="Q89" s="18">
        <v>1</v>
      </c>
      <c r="R89" s="13">
        <f t="shared" si="57"/>
        <v>1</v>
      </c>
      <c r="S89" s="21">
        <v>143</v>
      </c>
      <c r="T89" s="13">
        <f t="shared" si="58"/>
        <v>143</v>
      </c>
      <c r="U89" s="18"/>
      <c r="V89" s="13"/>
      <c r="W89" s="13"/>
      <c r="X89" s="13"/>
      <c r="Y89" s="18">
        <v>1</v>
      </c>
      <c r="Z89" s="13">
        <f t="shared" si="59"/>
        <v>1</v>
      </c>
      <c r="AA89" s="21">
        <v>143</v>
      </c>
      <c r="AB89" s="13">
        <f t="shared" si="60"/>
        <v>143</v>
      </c>
      <c r="AC89" s="18"/>
      <c r="AD89" s="13"/>
      <c r="AE89" s="13"/>
      <c r="AF89" s="13"/>
      <c r="AG89" s="18">
        <v>1</v>
      </c>
      <c r="AH89" s="13">
        <f t="shared" si="61"/>
        <v>1</v>
      </c>
      <c r="AI89" s="21">
        <v>143</v>
      </c>
      <c r="AJ89" s="13">
        <f t="shared" si="62"/>
        <v>143</v>
      </c>
      <c r="AK89" s="18"/>
      <c r="AL89" s="13"/>
      <c r="AM89" s="13"/>
      <c r="AN89" s="13"/>
      <c r="AO89" s="18">
        <v>1</v>
      </c>
      <c r="AP89" s="13">
        <f t="shared" si="63"/>
        <v>1</v>
      </c>
      <c r="AQ89" s="21">
        <v>143</v>
      </c>
      <c r="AR89" s="13">
        <f t="shared" si="64"/>
        <v>143</v>
      </c>
      <c r="AS89" s="18"/>
      <c r="AT89" s="13"/>
      <c r="AU89" s="13"/>
      <c r="AV89" s="13"/>
      <c r="AW89" s="18"/>
      <c r="AX89" s="13">
        <f t="shared" si="65"/>
        <v>0</v>
      </c>
      <c r="AY89" s="21">
        <v>143</v>
      </c>
      <c r="AZ89" s="13">
        <f t="shared" si="66"/>
        <v>0</v>
      </c>
      <c r="BA89" s="18"/>
      <c r="BB89" s="13"/>
      <c r="BC89" s="13"/>
      <c r="BD89" s="13"/>
      <c r="BE89" s="18"/>
      <c r="BF89" s="13">
        <f t="shared" si="67"/>
        <v>0</v>
      </c>
      <c r="BG89" s="21">
        <v>143</v>
      </c>
      <c r="BH89" s="13">
        <f t="shared" si="68"/>
        <v>0</v>
      </c>
      <c r="BI89" s="18"/>
      <c r="BJ89" s="13"/>
      <c r="BK89" s="13"/>
      <c r="BL89" s="13"/>
      <c r="BM89" s="18">
        <v>1</v>
      </c>
      <c r="BN89" s="13">
        <f t="shared" si="69"/>
        <v>1</v>
      </c>
      <c r="BO89" s="21">
        <v>143</v>
      </c>
      <c r="BP89" s="13">
        <f t="shared" si="70"/>
        <v>143</v>
      </c>
      <c r="BQ89" s="18"/>
      <c r="BR89" s="13"/>
      <c r="BS89" s="13"/>
      <c r="BT89" s="13"/>
      <c r="BU89" s="18">
        <v>1</v>
      </c>
      <c r="BV89" s="13">
        <f t="shared" si="54"/>
        <v>1</v>
      </c>
      <c r="BW89" s="21">
        <v>143</v>
      </c>
      <c r="BX89" s="13">
        <f t="shared" si="71"/>
        <v>143</v>
      </c>
      <c r="BY89" s="18"/>
      <c r="BZ89" s="13"/>
      <c r="CA89" s="13"/>
      <c r="CB89" s="13"/>
      <c r="CC89" s="18"/>
      <c r="CD89" s="13">
        <f t="shared" si="55"/>
        <v>0</v>
      </c>
      <c r="CE89" s="21">
        <v>143</v>
      </c>
      <c r="CF89" s="13">
        <f t="shared" si="72"/>
        <v>0</v>
      </c>
      <c r="CG89" s="15"/>
    </row>
    <row r="90" spans="1:246">
      <c r="A90" s="61" t="s">
        <v>89</v>
      </c>
      <c r="B90" s="10" t="s">
        <v>14</v>
      </c>
      <c r="C90" s="11"/>
      <c r="D90" s="11" t="s">
        <v>92</v>
      </c>
      <c r="E90" s="18"/>
      <c r="F90" s="13"/>
      <c r="G90" s="13"/>
      <c r="H90" s="13"/>
      <c r="I90" s="18"/>
      <c r="J90" s="13"/>
      <c r="K90" s="21">
        <v>242</v>
      </c>
      <c r="L90" s="13">
        <f t="shared" si="56"/>
        <v>0</v>
      </c>
      <c r="M90" s="18"/>
      <c r="N90" s="13"/>
      <c r="O90" s="13"/>
      <c r="P90" s="13"/>
      <c r="Q90" s="18">
        <v>1</v>
      </c>
      <c r="R90" s="13">
        <f t="shared" si="57"/>
        <v>1</v>
      </c>
      <c r="S90" s="21">
        <v>242</v>
      </c>
      <c r="T90" s="13">
        <f t="shared" si="58"/>
        <v>242</v>
      </c>
      <c r="U90" s="18"/>
      <c r="V90" s="13"/>
      <c r="W90" s="13"/>
      <c r="X90" s="13"/>
      <c r="Y90" s="18">
        <v>1</v>
      </c>
      <c r="Z90" s="13">
        <f t="shared" si="59"/>
        <v>1</v>
      </c>
      <c r="AA90" s="21">
        <v>242</v>
      </c>
      <c r="AB90" s="13">
        <f t="shared" si="60"/>
        <v>242</v>
      </c>
      <c r="AC90" s="18"/>
      <c r="AD90" s="13"/>
      <c r="AE90" s="13"/>
      <c r="AF90" s="13"/>
      <c r="AG90" s="18">
        <v>1</v>
      </c>
      <c r="AH90" s="13">
        <f t="shared" si="61"/>
        <v>1</v>
      </c>
      <c r="AI90" s="21">
        <v>242</v>
      </c>
      <c r="AJ90" s="13">
        <f t="shared" si="62"/>
        <v>242</v>
      </c>
      <c r="AK90" s="18"/>
      <c r="AL90" s="13"/>
      <c r="AM90" s="13"/>
      <c r="AN90" s="13"/>
      <c r="AO90" s="18">
        <v>1</v>
      </c>
      <c r="AP90" s="13">
        <f t="shared" si="63"/>
        <v>1</v>
      </c>
      <c r="AQ90" s="21">
        <v>242</v>
      </c>
      <c r="AR90" s="13">
        <f t="shared" si="64"/>
        <v>242</v>
      </c>
      <c r="AS90" s="18"/>
      <c r="AT90" s="13"/>
      <c r="AU90" s="13"/>
      <c r="AV90" s="13"/>
      <c r="AW90" s="18"/>
      <c r="AX90" s="13">
        <f t="shared" si="65"/>
        <v>0</v>
      </c>
      <c r="AY90" s="21">
        <v>242</v>
      </c>
      <c r="AZ90" s="13">
        <f t="shared" si="66"/>
        <v>0</v>
      </c>
      <c r="BA90" s="18"/>
      <c r="BB90" s="13"/>
      <c r="BC90" s="13"/>
      <c r="BD90" s="13"/>
      <c r="BE90" s="18"/>
      <c r="BF90" s="13">
        <f t="shared" si="67"/>
        <v>0</v>
      </c>
      <c r="BG90" s="21">
        <v>242</v>
      </c>
      <c r="BH90" s="13">
        <f t="shared" si="68"/>
        <v>0</v>
      </c>
      <c r="BI90" s="18"/>
      <c r="BJ90" s="13"/>
      <c r="BK90" s="13"/>
      <c r="BL90" s="13"/>
      <c r="BM90" s="18">
        <v>1</v>
      </c>
      <c r="BN90" s="13">
        <f t="shared" si="69"/>
        <v>1</v>
      </c>
      <c r="BO90" s="21">
        <v>242</v>
      </c>
      <c r="BP90" s="13">
        <f t="shared" si="70"/>
        <v>242</v>
      </c>
      <c r="BQ90" s="18"/>
      <c r="BR90" s="13"/>
      <c r="BS90" s="13"/>
      <c r="BT90" s="13"/>
      <c r="BU90" s="18">
        <v>1</v>
      </c>
      <c r="BV90" s="13">
        <f t="shared" si="54"/>
        <v>1</v>
      </c>
      <c r="BW90" s="21">
        <v>242</v>
      </c>
      <c r="BX90" s="13">
        <f t="shared" si="71"/>
        <v>242</v>
      </c>
      <c r="BY90" s="18"/>
      <c r="BZ90" s="13"/>
      <c r="CA90" s="13"/>
      <c r="CB90" s="13"/>
      <c r="CC90" s="18"/>
      <c r="CD90" s="13">
        <f t="shared" si="55"/>
        <v>0</v>
      </c>
      <c r="CE90" s="21">
        <v>242</v>
      </c>
      <c r="CF90" s="13">
        <f t="shared" si="72"/>
        <v>0</v>
      </c>
      <c r="CG90" s="15"/>
    </row>
    <row r="91" spans="1:246">
      <c r="A91" s="61" t="s">
        <v>89</v>
      </c>
      <c r="B91" s="10" t="s">
        <v>18</v>
      </c>
      <c r="C91" s="11"/>
      <c r="D91" s="12" t="s">
        <v>19</v>
      </c>
      <c r="E91" s="18"/>
      <c r="F91" s="13">
        <v>1</v>
      </c>
      <c r="G91" s="13"/>
      <c r="H91" s="13">
        <v>1</v>
      </c>
      <c r="I91" s="18"/>
      <c r="J91" s="13">
        <v>2</v>
      </c>
      <c r="K91" s="19">
        <v>25</v>
      </c>
      <c r="L91" s="13">
        <f t="shared" si="56"/>
        <v>50</v>
      </c>
      <c r="M91" s="18"/>
      <c r="N91" s="13">
        <v>1</v>
      </c>
      <c r="O91" s="13"/>
      <c r="P91" s="13">
        <v>1</v>
      </c>
      <c r="Q91" s="18"/>
      <c r="R91" s="13">
        <f t="shared" si="57"/>
        <v>2</v>
      </c>
      <c r="S91" s="19">
        <v>25</v>
      </c>
      <c r="T91" s="13">
        <f t="shared" si="58"/>
        <v>50</v>
      </c>
      <c r="U91" s="18"/>
      <c r="V91" s="13">
        <v>1</v>
      </c>
      <c r="W91" s="13"/>
      <c r="X91" s="13">
        <v>1</v>
      </c>
      <c r="Y91" s="18"/>
      <c r="Z91" s="13">
        <f t="shared" si="59"/>
        <v>2</v>
      </c>
      <c r="AA91" s="19">
        <v>25</v>
      </c>
      <c r="AB91" s="13">
        <f t="shared" si="60"/>
        <v>50</v>
      </c>
      <c r="AC91" s="18"/>
      <c r="AD91" s="13">
        <v>1</v>
      </c>
      <c r="AE91" s="13"/>
      <c r="AF91" s="13">
        <v>1</v>
      </c>
      <c r="AG91" s="18"/>
      <c r="AH91" s="13">
        <f t="shared" si="61"/>
        <v>2</v>
      </c>
      <c r="AI91" s="19">
        <v>25</v>
      </c>
      <c r="AJ91" s="13">
        <f t="shared" si="62"/>
        <v>50</v>
      </c>
      <c r="AK91" s="18"/>
      <c r="AL91" s="13">
        <v>1</v>
      </c>
      <c r="AM91" s="13"/>
      <c r="AN91" s="13">
        <v>1</v>
      </c>
      <c r="AO91" s="18"/>
      <c r="AP91" s="13">
        <f t="shared" si="63"/>
        <v>2</v>
      </c>
      <c r="AQ91" s="19">
        <v>25</v>
      </c>
      <c r="AR91" s="13">
        <f t="shared" si="64"/>
        <v>50</v>
      </c>
      <c r="AS91" s="18"/>
      <c r="AT91" s="13">
        <v>1</v>
      </c>
      <c r="AU91" s="13"/>
      <c r="AV91" s="13">
        <v>1</v>
      </c>
      <c r="AW91" s="18"/>
      <c r="AX91" s="13">
        <f t="shared" si="65"/>
        <v>2</v>
      </c>
      <c r="AY91" s="19">
        <v>25</v>
      </c>
      <c r="AZ91" s="13">
        <f t="shared" si="66"/>
        <v>50</v>
      </c>
      <c r="BA91" s="18"/>
      <c r="BB91" s="13">
        <v>1</v>
      </c>
      <c r="BC91" s="13"/>
      <c r="BD91" s="13">
        <v>1</v>
      </c>
      <c r="BE91" s="18"/>
      <c r="BF91" s="13">
        <f t="shared" si="67"/>
        <v>2</v>
      </c>
      <c r="BG91" s="19">
        <v>25</v>
      </c>
      <c r="BH91" s="13">
        <f t="shared" si="68"/>
        <v>50</v>
      </c>
      <c r="BI91" s="18"/>
      <c r="BJ91" s="13">
        <v>1</v>
      </c>
      <c r="BK91" s="13"/>
      <c r="BL91" s="13">
        <v>1</v>
      </c>
      <c r="BM91" s="18"/>
      <c r="BN91" s="13">
        <f t="shared" si="69"/>
        <v>2</v>
      </c>
      <c r="BO91" s="19">
        <v>25</v>
      </c>
      <c r="BP91" s="13">
        <f t="shared" si="70"/>
        <v>50</v>
      </c>
      <c r="BQ91" s="18"/>
      <c r="BR91" s="13">
        <v>1</v>
      </c>
      <c r="BS91" s="13"/>
      <c r="BT91" s="13">
        <v>1</v>
      </c>
      <c r="BU91" s="18"/>
      <c r="BV91" s="13">
        <f t="shared" si="54"/>
        <v>2</v>
      </c>
      <c r="BW91" s="19">
        <v>25</v>
      </c>
      <c r="BX91" s="13">
        <f t="shared" si="71"/>
        <v>50</v>
      </c>
      <c r="BY91" s="18"/>
      <c r="BZ91" s="13">
        <v>1</v>
      </c>
      <c r="CA91" s="13"/>
      <c r="CB91" s="13">
        <v>1</v>
      </c>
      <c r="CC91" s="18"/>
      <c r="CD91" s="13">
        <f t="shared" si="55"/>
        <v>2</v>
      </c>
      <c r="CE91" s="19">
        <v>25</v>
      </c>
      <c r="CF91" s="13">
        <f t="shared" si="72"/>
        <v>50</v>
      </c>
      <c r="CG91" s="15"/>
    </row>
    <row r="92" spans="1:246">
      <c r="A92" s="61" t="s">
        <v>89</v>
      </c>
      <c r="B92" s="10" t="s">
        <v>20</v>
      </c>
      <c r="C92" s="11"/>
      <c r="D92" s="12" t="s">
        <v>21</v>
      </c>
      <c r="E92" s="18"/>
      <c r="F92" s="13">
        <v>1</v>
      </c>
      <c r="G92" s="13"/>
      <c r="H92" s="13">
        <v>1</v>
      </c>
      <c r="I92" s="18"/>
      <c r="J92" s="13">
        <v>2</v>
      </c>
      <c r="K92" s="21">
        <v>112</v>
      </c>
      <c r="L92" s="13">
        <f t="shared" si="56"/>
        <v>224</v>
      </c>
      <c r="M92" s="18"/>
      <c r="N92" s="13">
        <v>1</v>
      </c>
      <c r="O92" s="13"/>
      <c r="P92" s="13">
        <v>1</v>
      </c>
      <c r="Q92" s="18"/>
      <c r="R92" s="13">
        <f t="shared" si="57"/>
        <v>2</v>
      </c>
      <c r="S92" s="21">
        <v>112</v>
      </c>
      <c r="T92" s="13">
        <f t="shared" si="58"/>
        <v>224</v>
      </c>
      <c r="U92" s="18"/>
      <c r="V92" s="13">
        <v>1</v>
      </c>
      <c r="W92" s="13"/>
      <c r="X92" s="13">
        <v>1</v>
      </c>
      <c r="Y92" s="18"/>
      <c r="Z92" s="13">
        <f t="shared" si="59"/>
        <v>2</v>
      </c>
      <c r="AA92" s="21">
        <v>112</v>
      </c>
      <c r="AB92" s="13">
        <f t="shared" si="60"/>
        <v>224</v>
      </c>
      <c r="AC92" s="18"/>
      <c r="AD92" s="13">
        <v>1</v>
      </c>
      <c r="AE92" s="13"/>
      <c r="AF92" s="13">
        <v>1</v>
      </c>
      <c r="AG92" s="18"/>
      <c r="AH92" s="13">
        <f t="shared" si="61"/>
        <v>2</v>
      </c>
      <c r="AI92" s="21">
        <v>112</v>
      </c>
      <c r="AJ92" s="13">
        <f t="shared" si="62"/>
        <v>224</v>
      </c>
      <c r="AK92" s="18"/>
      <c r="AL92" s="13">
        <v>1</v>
      </c>
      <c r="AM92" s="13"/>
      <c r="AN92" s="13">
        <v>1</v>
      </c>
      <c r="AO92" s="18"/>
      <c r="AP92" s="13">
        <f t="shared" si="63"/>
        <v>2</v>
      </c>
      <c r="AQ92" s="21">
        <v>112</v>
      </c>
      <c r="AR92" s="13">
        <f t="shared" si="64"/>
        <v>224</v>
      </c>
      <c r="AS92" s="18"/>
      <c r="AT92" s="13">
        <v>1</v>
      </c>
      <c r="AU92" s="13"/>
      <c r="AV92" s="13">
        <v>1</v>
      </c>
      <c r="AW92" s="18"/>
      <c r="AX92" s="13">
        <f t="shared" si="65"/>
        <v>2</v>
      </c>
      <c r="AY92" s="21">
        <v>112</v>
      </c>
      <c r="AZ92" s="13">
        <f t="shared" si="66"/>
        <v>224</v>
      </c>
      <c r="BA92" s="18"/>
      <c r="BB92" s="13">
        <v>1</v>
      </c>
      <c r="BC92" s="13"/>
      <c r="BD92" s="13">
        <v>1</v>
      </c>
      <c r="BE92" s="18"/>
      <c r="BF92" s="13">
        <f t="shared" si="67"/>
        <v>2</v>
      </c>
      <c r="BG92" s="21">
        <v>112</v>
      </c>
      <c r="BH92" s="13">
        <f t="shared" si="68"/>
        <v>224</v>
      </c>
      <c r="BI92" s="18"/>
      <c r="BJ92" s="13">
        <v>1</v>
      </c>
      <c r="BK92" s="13"/>
      <c r="BL92" s="13">
        <v>1</v>
      </c>
      <c r="BM92" s="18"/>
      <c r="BN92" s="13">
        <f t="shared" si="69"/>
        <v>2</v>
      </c>
      <c r="BO92" s="21">
        <v>112</v>
      </c>
      <c r="BP92" s="13">
        <f t="shared" si="70"/>
        <v>224</v>
      </c>
      <c r="BQ92" s="18"/>
      <c r="BR92" s="13">
        <v>1</v>
      </c>
      <c r="BS92" s="13"/>
      <c r="BT92" s="13">
        <v>1</v>
      </c>
      <c r="BU92" s="18"/>
      <c r="BV92" s="13">
        <f t="shared" si="54"/>
        <v>2</v>
      </c>
      <c r="BW92" s="21">
        <v>112</v>
      </c>
      <c r="BX92" s="13">
        <f t="shared" si="71"/>
        <v>224</v>
      </c>
      <c r="BY92" s="18"/>
      <c r="BZ92" s="13">
        <v>1</v>
      </c>
      <c r="CA92" s="13"/>
      <c r="CB92" s="13">
        <v>1</v>
      </c>
      <c r="CC92" s="18"/>
      <c r="CD92" s="13">
        <f t="shared" si="55"/>
        <v>2</v>
      </c>
      <c r="CE92" s="21">
        <v>112</v>
      </c>
      <c r="CF92" s="13">
        <f t="shared" si="72"/>
        <v>224</v>
      </c>
      <c r="CG92" s="15"/>
    </row>
    <row r="93" spans="1:246">
      <c r="A93" s="61" t="s">
        <v>89</v>
      </c>
      <c r="B93" s="10" t="s">
        <v>22</v>
      </c>
      <c r="C93" s="11"/>
      <c r="D93" s="11" t="s">
        <v>23</v>
      </c>
      <c r="E93" s="18"/>
      <c r="F93" s="13">
        <v>1</v>
      </c>
      <c r="G93" s="13"/>
      <c r="H93" s="13">
        <v>1</v>
      </c>
      <c r="I93" s="18"/>
      <c r="J93" s="13">
        <v>2</v>
      </c>
      <c r="K93" s="22">
        <v>275</v>
      </c>
      <c r="L93" s="13">
        <f t="shared" si="56"/>
        <v>550</v>
      </c>
      <c r="M93" s="18"/>
      <c r="N93" s="13">
        <v>1</v>
      </c>
      <c r="O93" s="13"/>
      <c r="P93" s="13">
        <v>1</v>
      </c>
      <c r="Q93" s="18"/>
      <c r="R93" s="13">
        <f t="shared" si="57"/>
        <v>2</v>
      </c>
      <c r="S93" s="22">
        <v>275</v>
      </c>
      <c r="T93" s="13">
        <f t="shared" si="58"/>
        <v>550</v>
      </c>
      <c r="U93" s="18"/>
      <c r="V93" s="13">
        <v>1</v>
      </c>
      <c r="W93" s="13"/>
      <c r="X93" s="13">
        <v>1</v>
      </c>
      <c r="Y93" s="18"/>
      <c r="Z93" s="13">
        <f t="shared" si="59"/>
        <v>2</v>
      </c>
      <c r="AA93" s="22">
        <v>275</v>
      </c>
      <c r="AB93" s="13">
        <f t="shared" si="60"/>
        <v>550</v>
      </c>
      <c r="AC93" s="18"/>
      <c r="AD93" s="13">
        <v>1</v>
      </c>
      <c r="AE93" s="13"/>
      <c r="AF93" s="13">
        <v>1</v>
      </c>
      <c r="AG93" s="18"/>
      <c r="AH93" s="13">
        <f t="shared" si="61"/>
        <v>2</v>
      </c>
      <c r="AI93" s="22">
        <v>275</v>
      </c>
      <c r="AJ93" s="13">
        <f t="shared" si="62"/>
        <v>550</v>
      </c>
      <c r="AK93" s="18"/>
      <c r="AL93" s="13">
        <v>1</v>
      </c>
      <c r="AM93" s="13"/>
      <c r="AN93" s="13">
        <v>1</v>
      </c>
      <c r="AO93" s="18"/>
      <c r="AP93" s="13">
        <f t="shared" si="63"/>
        <v>2</v>
      </c>
      <c r="AQ93" s="22">
        <v>275</v>
      </c>
      <c r="AR93" s="13">
        <f t="shared" si="64"/>
        <v>550</v>
      </c>
      <c r="AS93" s="18"/>
      <c r="AT93" s="13">
        <v>1</v>
      </c>
      <c r="AU93" s="13"/>
      <c r="AV93" s="13">
        <v>1</v>
      </c>
      <c r="AW93" s="18"/>
      <c r="AX93" s="13">
        <f t="shared" si="65"/>
        <v>2</v>
      </c>
      <c r="AY93" s="22">
        <v>275</v>
      </c>
      <c r="AZ93" s="13">
        <f t="shared" si="66"/>
        <v>550</v>
      </c>
      <c r="BA93" s="18"/>
      <c r="BB93" s="13">
        <v>1</v>
      </c>
      <c r="BC93" s="13"/>
      <c r="BD93" s="13">
        <v>1</v>
      </c>
      <c r="BE93" s="18"/>
      <c r="BF93" s="13">
        <f t="shared" si="67"/>
        <v>2</v>
      </c>
      <c r="BG93" s="22">
        <v>275</v>
      </c>
      <c r="BH93" s="13">
        <f t="shared" si="68"/>
        <v>550</v>
      </c>
      <c r="BI93" s="18"/>
      <c r="BJ93" s="13">
        <v>1</v>
      </c>
      <c r="BK93" s="13"/>
      <c r="BL93" s="13">
        <v>1</v>
      </c>
      <c r="BM93" s="18"/>
      <c r="BN93" s="13">
        <f t="shared" si="69"/>
        <v>2</v>
      </c>
      <c r="BO93" s="22">
        <v>275</v>
      </c>
      <c r="BP93" s="13">
        <f t="shared" si="70"/>
        <v>550</v>
      </c>
      <c r="BQ93" s="18"/>
      <c r="BR93" s="13">
        <v>1</v>
      </c>
      <c r="BS93" s="13"/>
      <c r="BT93" s="13">
        <v>1</v>
      </c>
      <c r="BU93" s="18"/>
      <c r="BV93" s="13">
        <f t="shared" si="54"/>
        <v>2</v>
      </c>
      <c r="BW93" s="22">
        <v>275</v>
      </c>
      <c r="BX93" s="13">
        <f t="shared" si="71"/>
        <v>550</v>
      </c>
      <c r="BY93" s="18"/>
      <c r="BZ93" s="13">
        <v>1</v>
      </c>
      <c r="CA93" s="13"/>
      <c r="CB93" s="13">
        <v>1</v>
      </c>
      <c r="CC93" s="18"/>
      <c r="CD93" s="13">
        <f t="shared" si="55"/>
        <v>2</v>
      </c>
      <c r="CE93" s="22">
        <v>275</v>
      </c>
      <c r="CF93" s="13">
        <f t="shared" si="72"/>
        <v>550</v>
      </c>
      <c r="CG93" s="15"/>
    </row>
    <row r="94" spans="1:246">
      <c r="A94" s="61" t="s">
        <v>89</v>
      </c>
      <c r="B94" s="10" t="s">
        <v>93</v>
      </c>
      <c r="C94" s="11"/>
      <c r="D94" s="12" t="s">
        <v>94</v>
      </c>
      <c r="E94" s="18"/>
      <c r="F94" s="13"/>
      <c r="G94" s="13"/>
      <c r="H94" s="13"/>
      <c r="I94" s="18"/>
      <c r="J94" s="13"/>
      <c r="K94" s="22">
        <v>1529</v>
      </c>
      <c r="L94" s="13">
        <f t="shared" si="56"/>
        <v>0</v>
      </c>
      <c r="M94" s="18"/>
      <c r="N94" s="13"/>
      <c r="O94" s="13"/>
      <c r="P94" s="13"/>
      <c r="Q94" s="18"/>
      <c r="R94" s="13">
        <f t="shared" si="57"/>
        <v>0</v>
      </c>
      <c r="S94" s="22">
        <v>1529</v>
      </c>
      <c r="T94" s="13">
        <f t="shared" si="58"/>
        <v>0</v>
      </c>
      <c r="U94" s="18"/>
      <c r="V94" s="13"/>
      <c r="W94" s="13"/>
      <c r="X94" s="13"/>
      <c r="Y94" s="18">
        <v>1</v>
      </c>
      <c r="Z94" s="13">
        <f t="shared" si="59"/>
        <v>1</v>
      </c>
      <c r="AA94" s="22">
        <v>1529</v>
      </c>
      <c r="AB94" s="13">
        <f t="shared" si="60"/>
        <v>1529</v>
      </c>
      <c r="AC94" s="18"/>
      <c r="AD94" s="13"/>
      <c r="AE94" s="13"/>
      <c r="AF94" s="13"/>
      <c r="AG94" s="18"/>
      <c r="AH94" s="13">
        <f t="shared" si="61"/>
        <v>0</v>
      </c>
      <c r="AI94" s="22">
        <v>1529</v>
      </c>
      <c r="AJ94" s="13">
        <f t="shared" si="62"/>
        <v>0</v>
      </c>
      <c r="AK94" s="18"/>
      <c r="AL94" s="13"/>
      <c r="AM94" s="13"/>
      <c r="AN94" s="13"/>
      <c r="AO94" s="18"/>
      <c r="AP94" s="13">
        <f t="shared" si="63"/>
        <v>0</v>
      </c>
      <c r="AQ94" s="22">
        <v>1529</v>
      </c>
      <c r="AR94" s="13">
        <f t="shared" si="64"/>
        <v>0</v>
      </c>
      <c r="AS94" s="18"/>
      <c r="AT94" s="13"/>
      <c r="AU94" s="13"/>
      <c r="AV94" s="13"/>
      <c r="AW94" s="18">
        <v>1</v>
      </c>
      <c r="AX94" s="13">
        <f t="shared" si="65"/>
        <v>1</v>
      </c>
      <c r="AY94" s="22">
        <v>1529</v>
      </c>
      <c r="AZ94" s="13">
        <f t="shared" si="66"/>
        <v>1529</v>
      </c>
      <c r="BA94" s="18"/>
      <c r="BB94" s="13"/>
      <c r="BC94" s="13"/>
      <c r="BD94" s="13"/>
      <c r="BE94" s="18"/>
      <c r="BF94" s="13">
        <f t="shared" si="67"/>
        <v>0</v>
      </c>
      <c r="BG94" s="22">
        <v>1529</v>
      </c>
      <c r="BH94" s="13">
        <f t="shared" si="68"/>
        <v>0</v>
      </c>
      <c r="BI94" s="18"/>
      <c r="BJ94" s="13"/>
      <c r="BK94" s="13"/>
      <c r="BL94" s="13"/>
      <c r="BM94" s="18"/>
      <c r="BN94" s="13">
        <f t="shared" si="69"/>
        <v>0</v>
      </c>
      <c r="BO94" s="22">
        <v>1529</v>
      </c>
      <c r="BP94" s="13">
        <f t="shared" si="70"/>
        <v>0</v>
      </c>
      <c r="BQ94" s="18"/>
      <c r="BR94" s="13"/>
      <c r="BS94" s="13"/>
      <c r="BT94" s="13"/>
      <c r="BU94" s="18">
        <v>1</v>
      </c>
      <c r="BV94" s="13">
        <f t="shared" si="54"/>
        <v>1</v>
      </c>
      <c r="BW94" s="22">
        <v>1529</v>
      </c>
      <c r="BX94" s="13">
        <f t="shared" si="71"/>
        <v>1529</v>
      </c>
      <c r="BY94" s="18"/>
      <c r="BZ94" s="13"/>
      <c r="CA94" s="13"/>
      <c r="CB94" s="13"/>
      <c r="CC94" s="18"/>
      <c r="CD94" s="13"/>
      <c r="CE94" s="22">
        <v>1529</v>
      </c>
      <c r="CF94" s="13">
        <f t="shared" si="72"/>
        <v>0</v>
      </c>
      <c r="CG94" s="15"/>
    </row>
    <row r="95" spans="1:246">
      <c r="A95" s="61" t="s">
        <v>89</v>
      </c>
      <c r="B95" s="10" t="s">
        <v>95</v>
      </c>
      <c r="C95" s="11"/>
      <c r="D95" s="12" t="s">
        <v>96</v>
      </c>
      <c r="E95" s="18"/>
      <c r="F95" s="13"/>
      <c r="G95" s="13"/>
      <c r="H95" s="13"/>
      <c r="I95" s="18"/>
      <c r="J95" s="13"/>
      <c r="K95" s="19">
        <v>564</v>
      </c>
      <c r="L95" s="13">
        <f t="shared" si="56"/>
        <v>0</v>
      </c>
      <c r="M95" s="18"/>
      <c r="N95" s="13"/>
      <c r="O95" s="13"/>
      <c r="P95" s="13"/>
      <c r="Q95" s="18"/>
      <c r="R95" s="13">
        <f t="shared" si="57"/>
        <v>0</v>
      </c>
      <c r="S95" s="19">
        <v>564</v>
      </c>
      <c r="T95" s="13">
        <f t="shared" si="58"/>
        <v>0</v>
      </c>
      <c r="U95" s="18"/>
      <c r="V95" s="13"/>
      <c r="W95" s="13"/>
      <c r="X95" s="13"/>
      <c r="Y95" s="18">
        <v>1</v>
      </c>
      <c r="Z95" s="13">
        <f t="shared" si="59"/>
        <v>1</v>
      </c>
      <c r="AA95" s="19">
        <v>564</v>
      </c>
      <c r="AB95" s="13">
        <f t="shared" si="60"/>
        <v>564</v>
      </c>
      <c r="AC95" s="18"/>
      <c r="AD95" s="13"/>
      <c r="AE95" s="13"/>
      <c r="AF95" s="13"/>
      <c r="AG95" s="18"/>
      <c r="AH95" s="13">
        <f t="shared" si="61"/>
        <v>0</v>
      </c>
      <c r="AI95" s="19">
        <v>564</v>
      </c>
      <c r="AJ95" s="13">
        <f t="shared" si="62"/>
        <v>0</v>
      </c>
      <c r="AK95" s="18"/>
      <c r="AL95" s="13"/>
      <c r="AM95" s="13"/>
      <c r="AN95" s="13"/>
      <c r="AO95" s="18"/>
      <c r="AP95" s="13">
        <f t="shared" si="63"/>
        <v>0</v>
      </c>
      <c r="AQ95" s="19">
        <v>564</v>
      </c>
      <c r="AR95" s="13">
        <f t="shared" si="64"/>
        <v>0</v>
      </c>
      <c r="AS95" s="18"/>
      <c r="AT95" s="13"/>
      <c r="AU95" s="13"/>
      <c r="AV95" s="13"/>
      <c r="AW95" s="18">
        <v>1</v>
      </c>
      <c r="AX95" s="13">
        <f t="shared" si="65"/>
        <v>1</v>
      </c>
      <c r="AY95" s="19">
        <v>564</v>
      </c>
      <c r="AZ95" s="13">
        <f t="shared" si="66"/>
        <v>564</v>
      </c>
      <c r="BA95" s="18"/>
      <c r="BB95" s="13"/>
      <c r="BC95" s="13"/>
      <c r="BD95" s="13"/>
      <c r="BE95" s="18"/>
      <c r="BF95" s="13">
        <f t="shared" si="67"/>
        <v>0</v>
      </c>
      <c r="BG95" s="19">
        <v>564</v>
      </c>
      <c r="BH95" s="13">
        <f t="shared" si="68"/>
        <v>0</v>
      </c>
      <c r="BI95" s="18"/>
      <c r="BJ95" s="13"/>
      <c r="BK95" s="13"/>
      <c r="BL95" s="13"/>
      <c r="BM95" s="18"/>
      <c r="BN95" s="13">
        <f t="shared" si="69"/>
        <v>0</v>
      </c>
      <c r="BO95" s="19">
        <v>564</v>
      </c>
      <c r="BP95" s="13">
        <f t="shared" si="70"/>
        <v>0</v>
      </c>
      <c r="BQ95" s="18"/>
      <c r="BR95" s="13"/>
      <c r="BS95" s="13"/>
      <c r="BT95" s="13"/>
      <c r="BU95" s="18">
        <v>1</v>
      </c>
      <c r="BV95" s="13">
        <f t="shared" si="54"/>
        <v>1</v>
      </c>
      <c r="BW95" s="19">
        <v>564</v>
      </c>
      <c r="BX95" s="13">
        <f t="shared" si="71"/>
        <v>564</v>
      </c>
      <c r="BY95" s="18"/>
      <c r="BZ95" s="13"/>
      <c r="CA95" s="13"/>
      <c r="CB95" s="13"/>
      <c r="CC95" s="18"/>
      <c r="CD95" s="13">
        <f t="shared" si="55"/>
        <v>0</v>
      </c>
      <c r="CE95" s="19">
        <v>564</v>
      </c>
      <c r="CF95" s="13">
        <f t="shared" si="72"/>
        <v>0</v>
      </c>
      <c r="CG95" s="15"/>
    </row>
    <row r="96" spans="1:246">
      <c r="A96" s="61" t="s">
        <v>89</v>
      </c>
      <c r="B96" s="10" t="s">
        <v>97</v>
      </c>
      <c r="C96" s="11"/>
      <c r="D96" s="11" t="s">
        <v>98</v>
      </c>
      <c r="E96" s="13"/>
      <c r="F96" s="13"/>
      <c r="G96" s="13"/>
      <c r="H96" s="13"/>
      <c r="I96" s="13"/>
      <c r="J96" s="13"/>
      <c r="K96" s="13">
        <v>3707</v>
      </c>
      <c r="L96" s="13">
        <f t="shared" si="56"/>
        <v>0</v>
      </c>
      <c r="M96" s="13"/>
      <c r="N96" s="13"/>
      <c r="O96" s="13"/>
      <c r="P96" s="13"/>
      <c r="Q96" s="13"/>
      <c r="R96" s="13">
        <f t="shared" si="57"/>
        <v>0</v>
      </c>
      <c r="S96" s="13">
        <v>3707</v>
      </c>
      <c r="T96" s="13">
        <f t="shared" si="58"/>
        <v>0</v>
      </c>
      <c r="U96" s="13"/>
      <c r="V96" s="13"/>
      <c r="W96" s="13"/>
      <c r="X96" s="13"/>
      <c r="Y96" s="13">
        <v>1</v>
      </c>
      <c r="Z96" s="13">
        <f t="shared" si="59"/>
        <v>1</v>
      </c>
      <c r="AA96" s="13">
        <v>3707</v>
      </c>
      <c r="AB96" s="13">
        <f t="shared" si="60"/>
        <v>3707</v>
      </c>
      <c r="AC96" s="13"/>
      <c r="AD96" s="13"/>
      <c r="AE96" s="13"/>
      <c r="AF96" s="13"/>
      <c r="AG96" s="13"/>
      <c r="AH96" s="13">
        <f t="shared" si="61"/>
        <v>0</v>
      </c>
      <c r="AI96" s="13">
        <v>3707</v>
      </c>
      <c r="AJ96" s="13">
        <f t="shared" si="62"/>
        <v>0</v>
      </c>
      <c r="AK96" s="13"/>
      <c r="AL96" s="13"/>
      <c r="AM96" s="13"/>
      <c r="AN96" s="13"/>
      <c r="AO96" s="13"/>
      <c r="AP96" s="13">
        <f t="shared" si="63"/>
        <v>0</v>
      </c>
      <c r="AQ96" s="13">
        <v>3707</v>
      </c>
      <c r="AR96" s="13">
        <f t="shared" si="64"/>
        <v>0</v>
      </c>
      <c r="AS96" s="13"/>
      <c r="AT96" s="13"/>
      <c r="AU96" s="13"/>
      <c r="AV96" s="13"/>
      <c r="AW96" s="13">
        <v>1</v>
      </c>
      <c r="AX96" s="13">
        <f t="shared" si="65"/>
        <v>1</v>
      </c>
      <c r="AY96" s="13">
        <v>3707</v>
      </c>
      <c r="AZ96" s="13">
        <f t="shared" si="66"/>
        <v>3707</v>
      </c>
      <c r="BA96" s="13"/>
      <c r="BB96" s="13"/>
      <c r="BC96" s="13"/>
      <c r="BD96" s="13"/>
      <c r="BE96" s="13"/>
      <c r="BF96" s="13">
        <f t="shared" si="67"/>
        <v>0</v>
      </c>
      <c r="BG96" s="13">
        <v>3707</v>
      </c>
      <c r="BH96" s="13">
        <f t="shared" si="68"/>
        <v>0</v>
      </c>
      <c r="BI96" s="13"/>
      <c r="BJ96" s="13"/>
      <c r="BK96" s="13"/>
      <c r="BL96" s="13"/>
      <c r="BM96" s="13"/>
      <c r="BN96" s="13">
        <f t="shared" si="69"/>
        <v>0</v>
      </c>
      <c r="BO96" s="13">
        <v>3707</v>
      </c>
      <c r="BP96" s="13">
        <f t="shared" si="70"/>
        <v>0</v>
      </c>
      <c r="BQ96" s="13"/>
      <c r="BR96" s="13"/>
      <c r="BS96" s="13"/>
      <c r="BT96" s="13"/>
      <c r="BU96" s="13">
        <v>1</v>
      </c>
      <c r="BV96" s="13">
        <f t="shared" si="54"/>
        <v>1</v>
      </c>
      <c r="BW96" s="13">
        <v>3707</v>
      </c>
      <c r="BX96" s="13">
        <f t="shared" si="71"/>
        <v>3707</v>
      </c>
      <c r="BY96" s="13"/>
      <c r="BZ96" s="13"/>
      <c r="CA96" s="13"/>
      <c r="CB96" s="13"/>
      <c r="CC96" s="13"/>
      <c r="CD96" s="13"/>
      <c r="CE96" s="13">
        <v>3707</v>
      </c>
      <c r="CF96" s="13">
        <f t="shared" si="72"/>
        <v>0</v>
      </c>
      <c r="CG96" s="15"/>
    </row>
    <row r="97" spans="1:246">
      <c r="A97" s="61" t="s">
        <v>89</v>
      </c>
      <c r="B97" s="10" t="s">
        <v>99</v>
      </c>
      <c r="C97" s="11"/>
      <c r="D97" s="11" t="s">
        <v>100</v>
      </c>
      <c r="E97" s="13"/>
      <c r="F97" s="13"/>
      <c r="G97" s="13"/>
      <c r="H97" s="13"/>
      <c r="I97" s="13"/>
      <c r="J97" s="13"/>
      <c r="K97" s="13">
        <v>3398</v>
      </c>
      <c r="L97" s="13">
        <f t="shared" si="56"/>
        <v>0</v>
      </c>
      <c r="M97" s="13"/>
      <c r="N97" s="13"/>
      <c r="O97" s="13"/>
      <c r="P97" s="13"/>
      <c r="Q97" s="13"/>
      <c r="R97" s="13">
        <f t="shared" si="57"/>
        <v>0</v>
      </c>
      <c r="S97" s="13">
        <v>3398</v>
      </c>
      <c r="T97" s="13">
        <f t="shared" si="58"/>
        <v>0</v>
      </c>
      <c r="U97" s="13"/>
      <c r="V97" s="13"/>
      <c r="W97" s="13"/>
      <c r="X97" s="13"/>
      <c r="Y97" s="13">
        <v>1</v>
      </c>
      <c r="Z97" s="13">
        <f t="shared" si="59"/>
        <v>1</v>
      </c>
      <c r="AA97" s="13">
        <v>3398</v>
      </c>
      <c r="AB97" s="13">
        <f t="shared" si="60"/>
        <v>3398</v>
      </c>
      <c r="AC97" s="13"/>
      <c r="AD97" s="13"/>
      <c r="AE97" s="13"/>
      <c r="AF97" s="13"/>
      <c r="AG97" s="13"/>
      <c r="AH97" s="13">
        <f t="shared" si="61"/>
        <v>0</v>
      </c>
      <c r="AI97" s="13">
        <v>3398</v>
      </c>
      <c r="AJ97" s="13">
        <f t="shared" si="62"/>
        <v>0</v>
      </c>
      <c r="AK97" s="13"/>
      <c r="AL97" s="13"/>
      <c r="AM97" s="13"/>
      <c r="AN97" s="13"/>
      <c r="AO97" s="13"/>
      <c r="AP97" s="13">
        <f t="shared" si="63"/>
        <v>0</v>
      </c>
      <c r="AQ97" s="13">
        <v>3398</v>
      </c>
      <c r="AR97" s="13">
        <f t="shared" si="64"/>
        <v>0</v>
      </c>
      <c r="AS97" s="13"/>
      <c r="AT97" s="13"/>
      <c r="AU97" s="13"/>
      <c r="AV97" s="13"/>
      <c r="AW97" s="13">
        <v>1</v>
      </c>
      <c r="AX97" s="13">
        <f t="shared" si="65"/>
        <v>1</v>
      </c>
      <c r="AY97" s="13">
        <v>3398</v>
      </c>
      <c r="AZ97" s="13">
        <f t="shared" si="66"/>
        <v>3398</v>
      </c>
      <c r="BA97" s="13"/>
      <c r="BB97" s="13"/>
      <c r="BC97" s="13"/>
      <c r="BD97" s="13"/>
      <c r="BE97" s="13"/>
      <c r="BF97" s="13">
        <f t="shared" si="67"/>
        <v>0</v>
      </c>
      <c r="BG97" s="13">
        <v>3398</v>
      </c>
      <c r="BH97" s="13">
        <f t="shared" si="68"/>
        <v>0</v>
      </c>
      <c r="BI97" s="13"/>
      <c r="BJ97" s="13"/>
      <c r="BK97" s="13"/>
      <c r="BL97" s="13"/>
      <c r="BM97" s="13"/>
      <c r="BN97" s="13">
        <f t="shared" si="69"/>
        <v>0</v>
      </c>
      <c r="BO97" s="13">
        <v>3398</v>
      </c>
      <c r="BP97" s="13">
        <f t="shared" si="70"/>
        <v>0</v>
      </c>
      <c r="BQ97" s="13"/>
      <c r="BR97" s="13"/>
      <c r="BS97" s="13"/>
      <c r="BT97" s="13"/>
      <c r="BU97" s="13">
        <v>1</v>
      </c>
      <c r="BV97" s="13">
        <v>1</v>
      </c>
      <c r="BW97" s="13">
        <v>3398</v>
      </c>
      <c r="BX97" s="13">
        <f t="shared" si="71"/>
        <v>3398</v>
      </c>
      <c r="BY97" s="13"/>
      <c r="BZ97" s="13"/>
      <c r="CA97" s="13"/>
      <c r="CB97" s="13"/>
      <c r="CC97" s="13"/>
      <c r="CD97" s="13"/>
      <c r="CE97" s="13">
        <v>3398</v>
      </c>
      <c r="CF97" s="13">
        <f t="shared" si="72"/>
        <v>0</v>
      </c>
      <c r="CG97" s="15"/>
    </row>
    <row r="98" spans="1:246">
      <c r="A98" s="61" t="s">
        <v>89</v>
      </c>
      <c r="B98" s="20" t="s">
        <v>101</v>
      </c>
      <c r="C98" s="11"/>
      <c r="D98" s="12" t="s">
        <v>102</v>
      </c>
      <c r="E98" s="13"/>
      <c r="F98" s="13"/>
      <c r="G98" s="13"/>
      <c r="H98" s="13"/>
      <c r="I98" s="13"/>
      <c r="J98" s="13"/>
      <c r="K98" s="13">
        <v>2150</v>
      </c>
      <c r="L98" s="13">
        <f t="shared" si="56"/>
        <v>0</v>
      </c>
      <c r="M98" s="13"/>
      <c r="N98" s="13"/>
      <c r="O98" s="13"/>
      <c r="P98" s="13"/>
      <c r="Q98" s="13"/>
      <c r="R98" s="13">
        <f t="shared" si="57"/>
        <v>0</v>
      </c>
      <c r="S98" s="13">
        <v>2150</v>
      </c>
      <c r="T98" s="13">
        <f t="shared" si="58"/>
        <v>0</v>
      </c>
      <c r="U98" s="13"/>
      <c r="V98" s="13"/>
      <c r="W98" s="13"/>
      <c r="X98" s="13"/>
      <c r="Y98" s="13"/>
      <c r="Z98" s="13">
        <f t="shared" si="59"/>
        <v>0</v>
      </c>
      <c r="AA98" s="13">
        <v>2150</v>
      </c>
      <c r="AB98" s="13">
        <f t="shared" si="60"/>
        <v>0</v>
      </c>
      <c r="AC98" s="13"/>
      <c r="AD98" s="13"/>
      <c r="AE98" s="13"/>
      <c r="AF98" s="13"/>
      <c r="AG98" s="13"/>
      <c r="AH98" s="13">
        <f t="shared" si="61"/>
        <v>0</v>
      </c>
      <c r="AI98" s="13">
        <v>2150</v>
      </c>
      <c r="AJ98" s="13">
        <f t="shared" si="62"/>
        <v>0</v>
      </c>
      <c r="AK98" s="13"/>
      <c r="AL98" s="13"/>
      <c r="AM98" s="13"/>
      <c r="AN98" s="13"/>
      <c r="AO98" s="13"/>
      <c r="AP98" s="13">
        <f t="shared" si="63"/>
        <v>0</v>
      </c>
      <c r="AQ98" s="13">
        <v>2150</v>
      </c>
      <c r="AR98" s="13">
        <f t="shared" si="64"/>
        <v>0</v>
      </c>
      <c r="AS98" s="13"/>
      <c r="AT98" s="13"/>
      <c r="AU98" s="13"/>
      <c r="AV98" s="13"/>
      <c r="AW98" s="13">
        <v>1</v>
      </c>
      <c r="AX98" s="13">
        <f t="shared" si="65"/>
        <v>1</v>
      </c>
      <c r="AY98" s="13">
        <v>2150</v>
      </c>
      <c r="AZ98" s="13">
        <f t="shared" si="66"/>
        <v>2150</v>
      </c>
      <c r="BA98" s="13"/>
      <c r="BB98" s="13"/>
      <c r="BC98" s="13"/>
      <c r="BD98" s="13"/>
      <c r="BE98" s="13"/>
      <c r="BF98" s="13">
        <f t="shared" si="67"/>
        <v>0</v>
      </c>
      <c r="BG98" s="13">
        <v>2150</v>
      </c>
      <c r="BH98" s="13">
        <f t="shared" si="68"/>
        <v>0</v>
      </c>
      <c r="BI98" s="13"/>
      <c r="BJ98" s="13"/>
      <c r="BK98" s="13"/>
      <c r="BL98" s="13"/>
      <c r="BM98" s="13"/>
      <c r="BN98" s="13">
        <f t="shared" si="69"/>
        <v>0</v>
      </c>
      <c r="BO98" s="13">
        <v>2150</v>
      </c>
      <c r="BP98" s="13">
        <f t="shared" si="70"/>
        <v>0</v>
      </c>
      <c r="BQ98" s="13"/>
      <c r="BR98" s="13"/>
      <c r="BS98" s="13"/>
      <c r="BT98" s="13"/>
      <c r="BU98" s="13">
        <v>1</v>
      </c>
      <c r="BV98" s="13">
        <v>1</v>
      </c>
      <c r="BW98" s="13">
        <v>2150</v>
      </c>
      <c r="BX98" s="13">
        <f t="shared" si="71"/>
        <v>2150</v>
      </c>
      <c r="BY98" s="13"/>
      <c r="BZ98" s="13"/>
      <c r="CA98" s="13"/>
      <c r="CB98" s="13"/>
      <c r="CC98" s="13"/>
      <c r="CD98" s="13"/>
      <c r="CE98" s="13">
        <v>2150</v>
      </c>
      <c r="CF98" s="13">
        <f t="shared" si="72"/>
        <v>0</v>
      </c>
      <c r="CG98" s="15"/>
    </row>
    <row r="99" spans="1:246">
      <c r="A99" s="61" t="s">
        <v>89</v>
      </c>
      <c r="B99" s="20" t="s">
        <v>103</v>
      </c>
      <c r="C99" s="11"/>
      <c r="D99" s="12" t="s">
        <v>104</v>
      </c>
      <c r="E99" s="13"/>
      <c r="F99" s="13"/>
      <c r="G99" s="13"/>
      <c r="H99" s="13"/>
      <c r="I99" s="13"/>
      <c r="J99" s="13"/>
      <c r="K99" s="13">
        <v>1286</v>
      </c>
      <c r="L99" s="13">
        <f t="shared" si="56"/>
        <v>0</v>
      </c>
      <c r="M99" s="13"/>
      <c r="N99" s="13"/>
      <c r="O99" s="13"/>
      <c r="P99" s="13"/>
      <c r="Q99" s="13"/>
      <c r="R99" s="13">
        <f t="shared" si="57"/>
        <v>0</v>
      </c>
      <c r="S99" s="13">
        <v>1286</v>
      </c>
      <c r="T99" s="13">
        <f t="shared" si="58"/>
        <v>0</v>
      </c>
      <c r="U99" s="13"/>
      <c r="V99" s="13"/>
      <c r="W99" s="13"/>
      <c r="X99" s="13"/>
      <c r="Y99" s="13"/>
      <c r="Z99" s="13">
        <f t="shared" si="59"/>
        <v>0</v>
      </c>
      <c r="AA99" s="13">
        <v>1286</v>
      </c>
      <c r="AB99" s="13">
        <f t="shared" si="60"/>
        <v>0</v>
      </c>
      <c r="AC99" s="13"/>
      <c r="AD99" s="13"/>
      <c r="AE99" s="13"/>
      <c r="AF99" s="13"/>
      <c r="AG99" s="13"/>
      <c r="AH99" s="13">
        <f t="shared" si="61"/>
        <v>0</v>
      </c>
      <c r="AI99" s="13">
        <v>1286</v>
      </c>
      <c r="AJ99" s="13">
        <f t="shared" si="62"/>
        <v>0</v>
      </c>
      <c r="AK99" s="13"/>
      <c r="AL99" s="13"/>
      <c r="AM99" s="13"/>
      <c r="AN99" s="13"/>
      <c r="AO99" s="13"/>
      <c r="AP99" s="13">
        <f t="shared" si="63"/>
        <v>0</v>
      </c>
      <c r="AQ99" s="13">
        <v>1286</v>
      </c>
      <c r="AR99" s="13">
        <f t="shared" si="64"/>
        <v>0</v>
      </c>
      <c r="AS99" s="13"/>
      <c r="AT99" s="13"/>
      <c r="AU99" s="13"/>
      <c r="AV99" s="13"/>
      <c r="AW99" s="13">
        <v>1</v>
      </c>
      <c r="AX99" s="13">
        <f t="shared" si="65"/>
        <v>1</v>
      </c>
      <c r="AY99" s="13">
        <v>1286</v>
      </c>
      <c r="AZ99" s="13">
        <f t="shared" si="66"/>
        <v>1286</v>
      </c>
      <c r="BA99" s="13"/>
      <c r="BB99" s="13"/>
      <c r="BC99" s="13"/>
      <c r="BD99" s="13"/>
      <c r="BE99" s="13"/>
      <c r="BF99" s="13">
        <f t="shared" si="67"/>
        <v>0</v>
      </c>
      <c r="BG99" s="13">
        <v>1286</v>
      </c>
      <c r="BH99" s="13">
        <f t="shared" si="68"/>
        <v>0</v>
      </c>
      <c r="BI99" s="13"/>
      <c r="BJ99" s="13"/>
      <c r="BK99" s="13"/>
      <c r="BL99" s="13"/>
      <c r="BM99" s="13"/>
      <c r="BN99" s="13">
        <f t="shared" si="69"/>
        <v>0</v>
      </c>
      <c r="BO99" s="13">
        <v>1286</v>
      </c>
      <c r="BP99" s="13">
        <f t="shared" si="70"/>
        <v>0</v>
      </c>
      <c r="BQ99" s="13"/>
      <c r="BR99" s="13"/>
      <c r="BS99" s="13"/>
      <c r="BT99" s="13"/>
      <c r="BU99" s="13">
        <v>1</v>
      </c>
      <c r="BV99" s="13">
        <v>1</v>
      </c>
      <c r="BW99" s="13">
        <v>1286</v>
      </c>
      <c r="BX99" s="13">
        <f t="shared" si="71"/>
        <v>1286</v>
      </c>
      <c r="BY99" s="13"/>
      <c r="BZ99" s="13"/>
      <c r="CA99" s="13"/>
      <c r="CB99" s="13"/>
      <c r="CC99" s="13"/>
      <c r="CD99" s="13"/>
      <c r="CE99" s="13">
        <v>1286</v>
      </c>
      <c r="CF99" s="13">
        <f t="shared" si="72"/>
        <v>0</v>
      </c>
      <c r="CG99" s="15"/>
    </row>
    <row r="100" spans="1:246">
      <c r="A100" s="61" t="s">
        <v>89</v>
      </c>
      <c r="B100" s="10" t="s">
        <v>105</v>
      </c>
      <c r="C100" s="11"/>
      <c r="D100" s="11" t="s">
        <v>37</v>
      </c>
      <c r="E100" s="13"/>
      <c r="F100" s="13"/>
      <c r="G100" s="13"/>
      <c r="H100" s="13"/>
      <c r="I100" s="13"/>
      <c r="J100" s="13"/>
      <c r="K100" s="13">
        <v>10263</v>
      </c>
      <c r="L100" s="13">
        <f t="shared" si="56"/>
        <v>0</v>
      </c>
      <c r="M100" s="13"/>
      <c r="N100" s="13"/>
      <c r="O100" s="13"/>
      <c r="P100" s="13"/>
      <c r="Q100" s="13"/>
      <c r="R100" s="13">
        <f t="shared" si="57"/>
        <v>0</v>
      </c>
      <c r="S100" s="13">
        <v>10263</v>
      </c>
      <c r="T100" s="13">
        <f t="shared" si="58"/>
        <v>0</v>
      </c>
      <c r="U100" s="13"/>
      <c r="V100" s="13"/>
      <c r="W100" s="13"/>
      <c r="X100" s="13"/>
      <c r="Y100" s="13"/>
      <c r="Z100" s="13">
        <f t="shared" si="59"/>
        <v>0</v>
      </c>
      <c r="AA100" s="13">
        <v>10263</v>
      </c>
      <c r="AB100" s="13">
        <f t="shared" si="60"/>
        <v>0</v>
      </c>
      <c r="AC100" s="13"/>
      <c r="AD100" s="13"/>
      <c r="AE100" s="13"/>
      <c r="AF100" s="13"/>
      <c r="AG100" s="13"/>
      <c r="AH100" s="13">
        <f t="shared" si="61"/>
        <v>0</v>
      </c>
      <c r="AI100" s="13">
        <v>10263</v>
      </c>
      <c r="AJ100" s="13">
        <f t="shared" si="62"/>
        <v>0</v>
      </c>
      <c r="AK100" s="13"/>
      <c r="AL100" s="13"/>
      <c r="AM100" s="13"/>
      <c r="AN100" s="13"/>
      <c r="AO100" s="13"/>
      <c r="AP100" s="13">
        <f t="shared" si="63"/>
        <v>0</v>
      </c>
      <c r="AQ100" s="13">
        <v>10263</v>
      </c>
      <c r="AR100" s="13">
        <f t="shared" si="64"/>
        <v>0</v>
      </c>
      <c r="AS100" s="13"/>
      <c r="AT100" s="13"/>
      <c r="AU100" s="13"/>
      <c r="AV100" s="13"/>
      <c r="AW100" s="13">
        <v>1</v>
      </c>
      <c r="AX100" s="13">
        <f t="shared" si="65"/>
        <v>1</v>
      </c>
      <c r="AY100" s="13">
        <v>10263</v>
      </c>
      <c r="AZ100" s="13">
        <f t="shared" si="66"/>
        <v>10263</v>
      </c>
      <c r="BA100" s="13"/>
      <c r="BB100" s="13"/>
      <c r="BC100" s="13"/>
      <c r="BD100" s="13"/>
      <c r="BE100" s="13"/>
      <c r="BF100" s="13">
        <f t="shared" si="67"/>
        <v>0</v>
      </c>
      <c r="BG100" s="13">
        <v>10263</v>
      </c>
      <c r="BH100" s="13">
        <f t="shared" si="68"/>
        <v>0</v>
      </c>
      <c r="BI100" s="13"/>
      <c r="BJ100" s="13"/>
      <c r="BK100" s="13"/>
      <c r="BL100" s="13"/>
      <c r="BM100" s="13"/>
      <c r="BN100" s="13">
        <f t="shared" si="69"/>
        <v>0</v>
      </c>
      <c r="BO100" s="13">
        <v>10263</v>
      </c>
      <c r="BP100" s="13">
        <f t="shared" si="70"/>
        <v>0</v>
      </c>
      <c r="BQ100" s="13"/>
      <c r="BR100" s="13"/>
      <c r="BS100" s="13"/>
      <c r="BT100" s="13"/>
      <c r="BU100" s="13"/>
      <c r="BV100" s="13">
        <f t="shared" ref="BV100:BV108" si="73">BQ100+BR100+BS100+BT100+BU100</f>
        <v>0</v>
      </c>
      <c r="BW100" s="13">
        <v>10263</v>
      </c>
      <c r="BX100" s="13">
        <f t="shared" si="71"/>
        <v>0</v>
      </c>
      <c r="BY100" s="13"/>
      <c r="BZ100" s="13"/>
      <c r="CA100" s="13"/>
      <c r="CB100" s="13"/>
      <c r="CC100" s="13"/>
      <c r="CD100" s="13">
        <f>BY100+BZ100+CA100+CB100+CC100</f>
        <v>0</v>
      </c>
      <c r="CE100" s="13">
        <v>10263</v>
      </c>
      <c r="CF100" s="13">
        <f t="shared" si="72"/>
        <v>0</v>
      </c>
      <c r="CG100" s="15"/>
    </row>
    <row r="101" spans="1:246" ht="15">
      <c r="A101" s="61" t="s">
        <v>89</v>
      </c>
      <c r="B101" s="10" t="s">
        <v>65</v>
      </c>
      <c r="C101" s="11"/>
      <c r="D101" s="12" t="s">
        <v>39</v>
      </c>
      <c r="E101" s="13"/>
      <c r="F101" s="13"/>
      <c r="G101" s="13"/>
      <c r="H101" s="13"/>
      <c r="I101" s="13">
        <v>2</v>
      </c>
      <c r="J101" s="13"/>
      <c r="K101" s="14">
        <v>462</v>
      </c>
      <c r="L101" s="13">
        <f t="shared" si="56"/>
        <v>0</v>
      </c>
      <c r="M101" s="13"/>
      <c r="N101" s="13"/>
      <c r="O101" s="13"/>
      <c r="P101" s="13"/>
      <c r="Q101" s="13">
        <v>2</v>
      </c>
      <c r="R101" s="13">
        <f t="shared" si="57"/>
        <v>2</v>
      </c>
      <c r="S101" s="14">
        <v>462</v>
      </c>
      <c r="T101" s="13">
        <f t="shared" si="58"/>
        <v>924</v>
      </c>
      <c r="U101" s="13"/>
      <c r="V101" s="13"/>
      <c r="W101" s="13"/>
      <c r="X101" s="13"/>
      <c r="Y101" s="13"/>
      <c r="Z101" s="13">
        <f t="shared" si="59"/>
        <v>0</v>
      </c>
      <c r="AA101" s="14">
        <v>462</v>
      </c>
      <c r="AB101" s="13">
        <f t="shared" si="60"/>
        <v>0</v>
      </c>
      <c r="AC101" s="13"/>
      <c r="AD101" s="13"/>
      <c r="AE101" s="13"/>
      <c r="AF101" s="13"/>
      <c r="AG101" s="13">
        <v>2</v>
      </c>
      <c r="AH101" s="13">
        <f t="shared" si="61"/>
        <v>2</v>
      </c>
      <c r="AI101" s="14">
        <v>462</v>
      </c>
      <c r="AJ101" s="13">
        <f t="shared" si="62"/>
        <v>924</v>
      </c>
      <c r="AK101" s="13"/>
      <c r="AL101" s="13"/>
      <c r="AM101" s="13"/>
      <c r="AN101" s="13"/>
      <c r="AO101" s="13"/>
      <c r="AP101" s="13">
        <f t="shared" si="63"/>
        <v>0</v>
      </c>
      <c r="AQ101" s="14">
        <v>462</v>
      </c>
      <c r="AR101" s="13">
        <f t="shared" si="64"/>
        <v>0</v>
      </c>
      <c r="AS101" s="13"/>
      <c r="AT101" s="13"/>
      <c r="AU101" s="13"/>
      <c r="AV101" s="13"/>
      <c r="AW101" s="13">
        <v>2</v>
      </c>
      <c r="AX101" s="13">
        <f t="shared" si="65"/>
        <v>2</v>
      </c>
      <c r="AY101" s="14">
        <v>462</v>
      </c>
      <c r="AZ101" s="13">
        <f t="shared" si="66"/>
        <v>924</v>
      </c>
      <c r="BA101" s="13"/>
      <c r="BB101" s="13"/>
      <c r="BC101" s="13"/>
      <c r="BD101" s="13"/>
      <c r="BE101" s="13"/>
      <c r="BF101" s="13">
        <f t="shared" si="67"/>
        <v>0</v>
      </c>
      <c r="BG101" s="14">
        <v>462</v>
      </c>
      <c r="BH101" s="13">
        <f t="shared" si="68"/>
        <v>0</v>
      </c>
      <c r="BI101" s="13"/>
      <c r="BJ101" s="13"/>
      <c r="BK101" s="13"/>
      <c r="BL101" s="13"/>
      <c r="BM101" s="13">
        <v>2</v>
      </c>
      <c r="BN101" s="13">
        <v>2</v>
      </c>
      <c r="BO101" s="14">
        <v>462</v>
      </c>
      <c r="BP101" s="13">
        <f t="shared" si="70"/>
        <v>924</v>
      </c>
      <c r="BQ101" s="13"/>
      <c r="BR101" s="13"/>
      <c r="BS101" s="13"/>
      <c r="BT101" s="13"/>
      <c r="BU101" s="13">
        <v>2</v>
      </c>
      <c r="BV101" s="13">
        <f t="shared" si="73"/>
        <v>2</v>
      </c>
      <c r="BW101" s="14">
        <v>462</v>
      </c>
      <c r="BX101" s="13">
        <f t="shared" si="71"/>
        <v>924</v>
      </c>
      <c r="BY101" s="13"/>
      <c r="BZ101" s="13"/>
      <c r="CA101" s="13"/>
      <c r="CB101" s="13"/>
      <c r="CC101" s="13">
        <v>2</v>
      </c>
      <c r="CD101" s="13">
        <f>BY101+BZ101+CA101+CB101+CC101</f>
        <v>2</v>
      </c>
      <c r="CE101" s="14">
        <v>462</v>
      </c>
      <c r="CF101" s="13">
        <f t="shared" si="72"/>
        <v>924</v>
      </c>
      <c r="CG101" s="15"/>
    </row>
    <row r="102" spans="1:246">
      <c r="A102" s="61" t="s">
        <v>89</v>
      </c>
      <c r="B102" s="10" t="s">
        <v>106</v>
      </c>
      <c r="C102" s="11"/>
      <c r="D102" s="11" t="s">
        <v>41</v>
      </c>
      <c r="E102" s="13"/>
      <c r="F102" s="13"/>
      <c r="G102" s="13"/>
      <c r="H102" s="13"/>
      <c r="I102" s="13"/>
      <c r="J102" s="13"/>
      <c r="K102" s="13">
        <v>1504</v>
      </c>
      <c r="L102" s="13">
        <f t="shared" si="56"/>
        <v>0</v>
      </c>
      <c r="M102" s="13"/>
      <c r="N102" s="13"/>
      <c r="O102" s="13"/>
      <c r="P102" s="13"/>
      <c r="Q102" s="13"/>
      <c r="R102" s="13">
        <f t="shared" si="57"/>
        <v>0</v>
      </c>
      <c r="S102" s="13">
        <v>1504</v>
      </c>
      <c r="T102" s="13">
        <f t="shared" si="58"/>
        <v>0</v>
      </c>
      <c r="U102" s="13"/>
      <c r="V102" s="13"/>
      <c r="W102" s="13"/>
      <c r="X102" s="13"/>
      <c r="Y102" s="13"/>
      <c r="Z102" s="13">
        <f t="shared" si="59"/>
        <v>0</v>
      </c>
      <c r="AA102" s="13">
        <v>1504</v>
      </c>
      <c r="AB102" s="13">
        <f t="shared" si="60"/>
        <v>0</v>
      </c>
      <c r="AC102" s="13"/>
      <c r="AD102" s="13"/>
      <c r="AE102" s="13"/>
      <c r="AF102" s="13"/>
      <c r="AG102" s="13"/>
      <c r="AH102" s="13">
        <f t="shared" si="61"/>
        <v>0</v>
      </c>
      <c r="AI102" s="13">
        <v>1504</v>
      </c>
      <c r="AJ102" s="13">
        <f t="shared" si="62"/>
        <v>0</v>
      </c>
      <c r="AK102" s="13"/>
      <c r="AL102" s="13"/>
      <c r="AM102" s="13"/>
      <c r="AN102" s="13"/>
      <c r="AO102" s="13"/>
      <c r="AP102" s="13">
        <f t="shared" si="63"/>
        <v>0</v>
      </c>
      <c r="AQ102" s="13">
        <v>1504</v>
      </c>
      <c r="AR102" s="13">
        <f t="shared" si="64"/>
        <v>0</v>
      </c>
      <c r="AS102" s="13"/>
      <c r="AT102" s="13"/>
      <c r="AU102" s="13"/>
      <c r="AV102" s="13"/>
      <c r="AW102" s="13"/>
      <c r="AX102" s="13">
        <f t="shared" si="65"/>
        <v>0</v>
      </c>
      <c r="AY102" s="13">
        <v>1504</v>
      </c>
      <c r="AZ102" s="13">
        <f t="shared" si="66"/>
        <v>0</v>
      </c>
      <c r="BA102" s="13"/>
      <c r="BB102" s="13"/>
      <c r="BC102" s="13"/>
      <c r="BD102" s="13"/>
      <c r="BE102" s="13"/>
      <c r="BF102" s="13">
        <f t="shared" si="67"/>
        <v>0</v>
      </c>
      <c r="BG102" s="13">
        <v>1504</v>
      </c>
      <c r="BH102" s="13">
        <f t="shared" si="68"/>
        <v>0</v>
      </c>
      <c r="BI102" s="13"/>
      <c r="BJ102" s="13"/>
      <c r="BK102" s="13"/>
      <c r="BL102" s="13"/>
      <c r="BM102" s="13"/>
      <c r="BN102" s="13">
        <f t="shared" ref="BN102:BN108" si="74">BI102+BJ102+BK102+BL102+BM102</f>
        <v>0</v>
      </c>
      <c r="BO102" s="13">
        <v>1504</v>
      </c>
      <c r="BP102" s="13">
        <f t="shared" si="70"/>
        <v>0</v>
      </c>
      <c r="BQ102" s="13"/>
      <c r="BR102" s="13"/>
      <c r="BS102" s="13"/>
      <c r="BT102" s="13"/>
      <c r="BU102" s="13">
        <v>1</v>
      </c>
      <c r="BV102" s="13">
        <f t="shared" si="73"/>
        <v>1</v>
      </c>
      <c r="BW102" s="13">
        <v>1504</v>
      </c>
      <c r="BX102" s="13">
        <f t="shared" si="71"/>
        <v>1504</v>
      </c>
      <c r="BY102" s="13"/>
      <c r="BZ102" s="13"/>
      <c r="CA102" s="13"/>
      <c r="CB102" s="13"/>
      <c r="CC102" s="13"/>
      <c r="CD102" s="13">
        <f>BY102+BZ102+CA102+CB102+CC102</f>
        <v>0</v>
      </c>
      <c r="CE102" s="13">
        <v>1504</v>
      </c>
      <c r="CF102" s="13">
        <f t="shared" si="72"/>
        <v>0</v>
      </c>
      <c r="CG102" s="15"/>
    </row>
    <row r="103" spans="1:246">
      <c r="A103" s="61" t="s">
        <v>89</v>
      </c>
      <c r="B103" s="10" t="s">
        <v>107</v>
      </c>
      <c r="C103" s="11"/>
      <c r="D103" s="12" t="s">
        <v>43</v>
      </c>
      <c r="E103" s="13"/>
      <c r="F103" s="13"/>
      <c r="G103" s="13"/>
      <c r="H103" s="13"/>
      <c r="I103" s="13"/>
      <c r="J103" s="13"/>
      <c r="K103" s="69">
        <v>2524</v>
      </c>
      <c r="L103" s="13">
        <f t="shared" si="56"/>
        <v>0</v>
      </c>
      <c r="M103" s="13"/>
      <c r="N103" s="13"/>
      <c r="O103" s="13"/>
      <c r="P103" s="13"/>
      <c r="Q103" s="13"/>
      <c r="R103" s="13">
        <f t="shared" si="57"/>
        <v>0</v>
      </c>
      <c r="S103" s="69">
        <v>2524</v>
      </c>
      <c r="T103" s="13">
        <f t="shared" si="58"/>
        <v>0</v>
      </c>
      <c r="U103" s="13"/>
      <c r="V103" s="13"/>
      <c r="W103" s="13"/>
      <c r="X103" s="13"/>
      <c r="Y103" s="13">
        <v>1</v>
      </c>
      <c r="Z103" s="13">
        <f t="shared" si="59"/>
        <v>1</v>
      </c>
      <c r="AA103" s="69">
        <v>2524</v>
      </c>
      <c r="AB103" s="13">
        <f t="shared" si="60"/>
        <v>2524</v>
      </c>
      <c r="AC103" s="13"/>
      <c r="AD103" s="13"/>
      <c r="AE103" s="13"/>
      <c r="AF103" s="13"/>
      <c r="AG103" s="13"/>
      <c r="AH103" s="13">
        <f t="shared" si="61"/>
        <v>0</v>
      </c>
      <c r="AI103" s="69">
        <v>2524</v>
      </c>
      <c r="AJ103" s="13">
        <f t="shared" si="62"/>
        <v>0</v>
      </c>
      <c r="AK103" s="13"/>
      <c r="AL103" s="13"/>
      <c r="AM103" s="13"/>
      <c r="AN103" s="13"/>
      <c r="AO103" s="13"/>
      <c r="AP103" s="13">
        <f t="shared" si="63"/>
        <v>0</v>
      </c>
      <c r="AQ103" s="69">
        <v>2524</v>
      </c>
      <c r="AR103" s="13">
        <f t="shared" si="64"/>
        <v>0</v>
      </c>
      <c r="AS103" s="13"/>
      <c r="AT103" s="13"/>
      <c r="AU103" s="13"/>
      <c r="AV103" s="13"/>
      <c r="AW103" s="13">
        <v>1</v>
      </c>
      <c r="AX103" s="13">
        <f t="shared" si="65"/>
        <v>1</v>
      </c>
      <c r="AY103" s="69">
        <v>2524</v>
      </c>
      <c r="AZ103" s="13">
        <f t="shared" si="66"/>
        <v>2524</v>
      </c>
      <c r="BA103" s="13"/>
      <c r="BB103" s="13"/>
      <c r="BC103" s="13"/>
      <c r="BD103" s="13"/>
      <c r="BE103" s="13"/>
      <c r="BF103" s="13">
        <f t="shared" si="67"/>
        <v>0</v>
      </c>
      <c r="BG103" s="69">
        <v>2524</v>
      </c>
      <c r="BH103" s="13">
        <f t="shared" si="68"/>
        <v>0</v>
      </c>
      <c r="BI103" s="13"/>
      <c r="BJ103" s="13"/>
      <c r="BK103" s="13"/>
      <c r="BL103" s="13"/>
      <c r="BM103" s="13"/>
      <c r="BN103" s="13">
        <f t="shared" si="74"/>
        <v>0</v>
      </c>
      <c r="BO103" s="69">
        <v>2524</v>
      </c>
      <c r="BP103" s="13">
        <f t="shared" si="70"/>
        <v>0</v>
      </c>
      <c r="BQ103" s="13"/>
      <c r="BR103" s="13"/>
      <c r="BS103" s="13"/>
      <c r="BT103" s="13"/>
      <c r="BU103" s="13">
        <v>1</v>
      </c>
      <c r="BV103" s="13">
        <f t="shared" si="73"/>
        <v>1</v>
      </c>
      <c r="BW103" s="69">
        <v>2524</v>
      </c>
      <c r="BX103" s="13">
        <f t="shared" si="71"/>
        <v>2524</v>
      </c>
      <c r="BY103" s="13"/>
      <c r="BZ103" s="13"/>
      <c r="CA103" s="13"/>
      <c r="CB103" s="13"/>
      <c r="CC103" s="13"/>
      <c r="CD103" s="13"/>
      <c r="CE103" s="69">
        <v>2524</v>
      </c>
      <c r="CF103" s="13">
        <f t="shared" si="72"/>
        <v>0</v>
      </c>
      <c r="CG103" s="15"/>
    </row>
    <row r="104" spans="1:246">
      <c r="A104" s="61" t="s">
        <v>89</v>
      </c>
      <c r="B104" s="23" t="s">
        <v>44</v>
      </c>
      <c r="C104" s="11"/>
      <c r="D104" s="10" t="s">
        <v>45</v>
      </c>
      <c r="E104" s="25"/>
      <c r="F104" s="13"/>
      <c r="G104" s="13"/>
      <c r="H104" s="13"/>
      <c r="I104" s="25"/>
      <c r="J104" s="25"/>
      <c r="K104" s="19">
        <v>674</v>
      </c>
      <c r="L104" s="13">
        <f t="shared" si="56"/>
        <v>0</v>
      </c>
      <c r="M104" s="25"/>
      <c r="N104" s="13"/>
      <c r="O104" s="13"/>
      <c r="P104" s="13"/>
      <c r="Q104" s="25"/>
      <c r="R104" s="13">
        <f t="shared" si="57"/>
        <v>0</v>
      </c>
      <c r="S104" s="19">
        <v>674</v>
      </c>
      <c r="T104" s="13">
        <f t="shared" si="58"/>
        <v>0</v>
      </c>
      <c r="U104" s="25"/>
      <c r="V104" s="13"/>
      <c r="W104" s="13"/>
      <c r="X104" s="13"/>
      <c r="Y104" s="25">
        <v>1</v>
      </c>
      <c r="Z104" s="13">
        <f t="shared" si="59"/>
        <v>1</v>
      </c>
      <c r="AA104" s="19">
        <v>674</v>
      </c>
      <c r="AB104" s="13">
        <f t="shared" si="60"/>
        <v>674</v>
      </c>
      <c r="AC104" s="25"/>
      <c r="AD104" s="13"/>
      <c r="AE104" s="13"/>
      <c r="AF104" s="13"/>
      <c r="AG104" s="25"/>
      <c r="AH104" s="13">
        <f t="shared" si="61"/>
        <v>0</v>
      </c>
      <c r="AI104" s="19">
        <v>674</v>
      </c>
      <c r="AJ104" s="13">
        <f t="shared" si="62"/>
        <v>0</v>
      </c>
      <c r="AK104" s="25"/>
      <c r="AL104" s="13"/>
      <c r="AM104" s="13"/>
      <c r="AN104" s="13"/>
      <c r="AO104" s="25"/>
      <c r="AP104" s="13">
        <f t="shared" si="63"/>
        <v>0</v>
      </c>
      <c r="AQ104" s="19">
        <v>674</v>
      </c>
      <c r="AR104" s="13">
        <f t="shared" si="64"/>
        <v>0</v>
      </c>
      <c r="AS104" s="25"/>
      <c r="AT104" s="13"/>
      <c r="AU104" s="13"/>
      <c r="AV104" s="13"/>
      <c r="AW104" s="25">
        <v>1</v>
      </c>
      <c r="AX104" s="13">
        <f t="shared" si="65"/>
        <v>1</v>
      </c>
      <c r="AY104" s="19">
        <v>674</v>
      </c>
      <c r="AZ104" s="13">
        <f t="shared" si="66"/>
        <v>674</v>
      </c>
      <c r="BA104" s="25"/>
      <c r="BB104" s="13"/>
      <c r="BC104" s="13"/>
      <c r="BD104" s="13"/>
      <c r="BE104" s="25"/>
      <c r="BF104" s="13">
        <f t="shared" si="67"/>
        <v>0</v>
      </c>
      <c r="BG104" s="19">
        <v>674</v>
      </c>
      <c r="BH104" s="13">
        <f t="shared" si="68"/>
        <v>0</v>
      </c>
      <c r="BI104" s="25"/>
      <c r="BJ104" s="13"/>
      <c r="BK104" s="13"/>
      <c r="BL104" s="13"/>
      <c r="BM104" s="25"/>
      <c r="BN104" s="13">
        <f t="shared" si="74"/>
        <v>0</v>
      </c>
      <c r="BO104" s="19">
        <v>674</v>
      </c>
      <c r="BP104" s="13">
        <f t="shared" si="70"/>
        <v>0</v>
      </c>
      <c r="BQ104" s="25"/>
      <c r="BR104" s="13"/>
      <c r="BS104" s="13"/>
      <c r="BT104" s="13"/>
      <c r="BU104" s="25">
        <v>1</v>
      </c>
      <c r="BV104" s="13">
        <f t="shared" si="73"/>
        <v>1</v>
      </c>
      <c r="BW104" s="19">
        <v>674</v>
      </c>
      <c r="BX104" s="13">
        <f t="shared" si="71"/>
        <v>674</v>
      </c>
      <c r="BY104" s="25"/>
      <c r="BZ104" s="13"/>
      <c r="CA104" s="13"/>
      <c r="CB104" s="13"/>
      <c r="CC104" s="25"/>
      <c r="CD104" s="13"/>
      <c r="CE104" s="19">
        <v>674</v>
      </c>
      <c r="CF104" s="13">
        <f t="shared" si="72"/>
        <v>0</v>
      </c>
      <c r="CG104" s="15"/>
    </row>
    <row r="105" spans="1:246">
      <c r="A105" s="61" t="s">
        <v>89</v>
      </c>
      <c r="B105" s="10" t="s">
        <v>108</v>
      </c>
      <c r="C105" s="11"/>
      <c r="D105" s="12" t="s">
        <v>47</v>
      </c>
      <c r="E105" s="13"/>
      <c r="F105" s="13"/>
      <c r="G105" s="13"/>
      <c r="H105" s="13"/>
      <c r="I105" s="13">
        <v>1</v>
      </c>
      <c r="J105" s="13">
        <v>1</v>
      </c>
      <c r="K105" s="70">
        <v>1824</v>
      </c>
      <c r="L105" s="13">
        <f t="shared" si="56"/>
        <v>1824</v>
      </c>
      <c r="M105" s="13"/>
      <c r="N105" s="13"/>
      <c r="O105" s="13"/>
      <c r="P105" s="13"/>
      <c r="Q105" s="13">
        <v>1</v>
      </c>
      <c r="R105" s="13">
        <f t="shared" si="57"/>
        <v>1</v>
      </c>
      <c r="S105" s="70">
        <v>1824</v>
      </c>
      <c r="T105" s="13">
        <f t="shared" si="58"/>
        <v>1824</v>
      </c>
      <c r="U105" s="13"/>
      <c r="V105" s="13"/>
      <c r="W105" s="13"/>
      <c r="X105" s="13"/>
      <c r="Y105" s="13">
        <v>1</v>
      </c>
      <c r="Z105" s="13">
        <f t="shared" si="59"/>
        <v>1</v>
      </c>
      <c r="AA105" s="70">
        <v>1824</v>
      </c>
      <c r="AB105" s="13">
        <f t="shared" si="60"/>
        <v>1824</v>
      </c>
      <c r="AC105" s="13"/>
      <c r="AD105" s="13"/>
      <c r="AE105" s="13"/>
      <c r="AF105" s="13"/>
      <c r="AG105" s="13">
        <v>1</v>
      </c>
      <c r="AH105" s="13">
        <f t="shared" si="61"/>
        <v>1</v>
      </c>
      <c r="AI105" s="70">
        <v>1824</v>
      </c>
      <c r="AJ105" s="13">
        <f t="shared" si="62"/>
        <v>1824</v>
      </c>
      <c r="AK105" s="13"/>
      <c r="AL105" s="13"/>
      <c r="AM105" s="13"/>
      <c r="AN105" s="13"/>
      <c r="AO105" s="13">
        <v>1</v>
      </c>
      <c r="AP105" s="13">
        <f t="shared" si="63"/>
        <v>1</v>
      </c>
      <c r="AQ105" s="70">
        <v>1824</v>
      </c>
      <c r="AR105" s="13">
        <f t="shared" si="64"/>
        <v>1824</v>
      </c>
      <c r="AS105" s="13"/>
      <c r="AT105" s="13"/>
      <c r="AU105" s="13"/>
      <c r="AV105" s="13"/>
      <c r="AW105" s="13">
        <v>1</v>
      </c>
      <c r="AX105" s="13">
        <f t="shared" si="65"/>
        <v>1</v>
      </c>
      <c r="AY105" s="70">
        <v>1824</v>
      </c>
      <c r="AZ105" s="13">
        <f t="shared" si="66"/>
        <v>1824</v>
      </c>
      <c r="BA105" s="13"/>
      <c r="BB105" s="13"/>
      <c r="BC105" s="13"/>
      <c r="BD105" s="13"/>
      <c r="BE105" s="13">
        <v>1</v>
      </c>
      <c r="BF105" s="13">
        <f t="shared" si="67"/>
        <v>1</v>
      </c>
      <c r="BG105" s="70">
        <v>1824</v>
      </c>
      <c r="BH105" s="13">
        <f t="shared" si="68"/>
        <v>1824</v>
      </c>
      <c r="BI105" s="13"/>
      <c r="BJ105" s="13"/>
      <c r="BK105" s="13"/>
      <c r="BL105" s="13"/>
      <c r="BM105" s="13">
        <v>1</v>
      </c>
      <c r="BN105" s="13">
        <f t="shared" si="74"/>
        <v>1</v>
      </c>
      <c r="BO105" s="70">
        <v>1824</v>
      </c>
      <c r="BP105" s="13">
        <f t="shared" si="70"/>
        <v>1824</v>
      </c>
      <c r="BQ105" s="13"/>
      <c r="BR105" s="13"/>
      <c r="BS105" s="13"/>
      <c r="BT105" s="13"/>
      <c r="BU105" s="13">
        <v>1</v>
      </c>
      <c r="BV105" s="13">
        <f t="shared" si="73"/>
        <v>1</v>
      </c>
      <c r="BW105" s="70">
        <v>1824</v>
      </c>
      <c r="BX105" s="13">
        <f t="shared" si="71"/>
        <v>1824</v>
      </c>
      <c r="BY105" s="13"/>
      <c r="BZ105" s="13"/>
      <c r="CA105" s="13"/>
      <c r="CB105" s="13"/>
      <c r="CC105" s="13"/>
      <c r="CD105" s="13"/>
      <c r="CE105" s="70">
        <v>1824</v>
      </c>
      <c r="CF105" s="13">
        <f t="shared" si="72"/>
        <v>0</v>
      </c>
      <c r="CG105" s="15"/>
    </row>
    <row r="106" spans="1:246">
      <c r="A106" s="63" t="s">
        <v>89</v>
      </c>
      <c r="B106" s="26" t="s">
        <v>48</v>
      </c>
      <c r="C106" s="27"/>
      <c r="D106" s="71" t="s">
        <v>49</v>
      </c>
      <c r="E106" s="28"/>
      <c r="F106" s="28"/>
      <c r="G106" s="28"/>
      <c r="H106" s="28"/>
      <c r="I106" s="28"/>
      <c r="J106" s="28"/>
      <c r="K106" s="72">
        <v>322</v>
      </c>
      <c r="L106" s="13">
        <f t="shared" si="56"/>
        <v>0</v>
      </c>
      <c r="M106" s="28"/>
      <c r="N106" s="28"/>
      <c r="O106" s="28"/>
      <c r="P106" s="28"/>
      <c r="Q106" s="28"/>
      <c r="R106" s="13">
        <f t="shared" si="57"/>
        <v>0</v>
      </c>
      <c r="S106" s="72">
        <v>322</v>
      </c>
      <c r="T106" s="13">
        <f t="shared" si="58"/>
        <v>0</v>
      </c>
      <c r="U106" s="28"/>
      <c r="V106" s="28"/>
      <c r="W106" s="28"/>
      <c r="X106" s="28"/>
      <c r="Y106" s="28">
        <v>1</v>
      </c>
      <c r="Z106" s="13">
        <f t="shared" si="59"/>
        <v>1</v>
      </c>
      <c r="AA106" s="72">
        <v>322</v>
      </c>
      <c r="AB106" s="13">
        <f t="shared" si="60"/>
        <v>322</v>
      </c>
      <c r="AC106" s="28"/>
      <c r="AD106" s="28"/>
      <c r="AE106" s="28"/>
      <c r="AF106" s="28"/>
      <c r="AG106" s="28"/>
      <c r="AH106" s="13">
        <f t="shared" si="61"/>
        <v>0</v>
      </c>
      <c r="AI106" s="72">
        <v>322</v>
      </c>
      <c r="AJ106" s="13">
        <f t="shared" si="62"/>
        <v>0</v>
      </c>
      <c r="AK106" s="28"/>
      <c r="AL106" s="28"/>
      <c r="AM106" s="28"/>
      <c r="AN106" s="28"/>
      <c r="AO106" s="28"/>
      <c r="AP106" s="13">
        <f t="shared" si="63"/>
        <v>0</v>
      </c>
      <c r="AQ106" s="72">
        <v>322</v>
      </c>
      <c r="AR106" s="13">
        <f t="shared" si="64"/>
        <v>0</v>
      </c>
      <c r="AS106" s="28"/>
      <c r="AT106" s="28"/>
      <c r="AU106" s="28"/>
      <c r="AV106" s="28"/>
      <c r="AW106" s="28">
        <v>1</v>
      </c>
      <c r="AX106" s="13">
        <f t="shared" si="65"/>
        <v>1</v>
      </c>
      <c r="AY106" s="72">
        <v>322</v>
      </c>
      <c r="AZ106" s="13">
        <f t="shared" si="66"/>
        <v>322</v>
      </c>
      <c r="BA106" s="28"/>
      <c r="BB106" s="28"/>
      <c r="BC106" s="28"/>
      <c r="BD106" s="28"/>
      <c r="BE106" s="28"/>
      <c r="BF106" s="13">
        <f t="shared" si="67"/>
        <v>0</v>
      </c>
      <c r="BG106" s="72">
        <v>322</v>
      </c>
      <c r="BH106" s="13">
        <f t="shared" si="68"/>
        <v>0</v>
      </c>
      <c r="BI106" s="28"/>
      <c r="BJ106" s="28"/>
      <c r="BK106" s="28"/>
      <c r="BL106" s="28"/>
      <c r="BM106" s="28"/>
      <c r="BN106" s="13">
        <f t="shared" si="74"/>
        <v>0</v>
      </c>
      <c r="BO106" s="72">
        <v>322</v>
      </c>
      <c r="BP106" s="13">
        <f t="shared" si="70"/>
        <v>0</v>
      </c>
      <c r="BQ106" s="28"/>
      <c r="BR106" s="28"/>
      <c r="BS106" s="28"/>
      <c r="BT106" s="28"/>
      <c r="BU106" s="28">
        <v>1</v>
      </c>
      <c r="BV106" s="13">
        <f t="shared" si="73"/>
        <v>1</v>
      </c>
      <c r="BW106" s="72">
        <v>322</v>
      </c>
      <c r="BX106" s="13">
        <f t="shared" si="71"/>
        <v>322</v>
      </c>
      <c r="BY106" s="28"/>
      <c r="BZ106" s="28"/>
      <c r="CA106" s="28"/>
      <c r="CB106" s="28"/>
      <c r="CC106" s="28"/>
      <c r="CD106" s="13"/>
      <c r="CE106" s="72">
        <v>322</v>
      </c>
      <c r="CF106" s="13">
        <f t="shared" si="72"/>
        <v>0</v>
      </c>
      <c r="CG106" s="15"/>
    </row>
    <row r="107" spans="1:246" s="46" customFormat="1" ht="15">
      <c r="A107" s="64" t="s">
        <v>89</v>
      </c>
      <c r="B107" s="31" t="s">
        <v>50</v>
      </c>
      <c r="C107" s="65"/>
      <c r="D107" s="39" t="s">
        <v>51</v>
      </c>
      <c r="E107" s="34"/>
      <c r="F107" s="34"/>
      <c r="G107" s="34"/>
      <c r="H107" s="34"/>
      <c r="I107" s="34"/>
      <c r="J107" s="34"/>
      <c r="K107" s="73">
        <v>190</v>
      </c>
      <c r="L107" s="28">
        <f t="shared" si="56"/>
        <v>0</v>
      </c>
      <c r="M107" s="34"/>
      <c r="N107" s="34"/>
      <c r="O107" s="34"/>
      <c r="P107" s="34"/>
      <c r="Q107" s="34"/>
      <c r="R107" s="28">
        <f t="shared" si="57"/>
        <v>0</v>
      </c>
      <c r="S107" s="73">
        <v>190</v>
      </c>
      <c r="T107" s="28">
        <f t="shared" si="58"/>
        <v>0</v>
      </c>
      <c r="U107" s="34"/>
      <c r="V107" s="34"/>
      <c r="W107" s="34"/>
      <c r="X107" s="34"/>
      <c r="Y107" s="34">
        <v>1</v>
      </c>
      <c r="Z107" s="28">
        <f t="shared" si="59"/>
        <v>1</v>
      </c>
      <c r="AA107" s="73">
        <v>190</v>
      </c>
      <c r="AB107" s="28">
        <f t="shared" si="60"/>
        <v>190</v>
      </c>
      <c r="AC107" s="34"/>
      <c r="AD107" s="34"/>
      <c r="AE107" s="34"/>
      <c r="AF107" s="34"/>
      <c r="AG107" s="34"/>
      <c r="AH107" s="28">
        <f t="shared" si="61"/>
        <v>0</v>
      </c>
      <c r="AI107" s="73">
        <v>190</v>
      </c>
      <c r="AJ107" s="28">
        <f t="shared" si="62"/>
        <v>0</v>
      </c>
      <c r="AK107" s="34"/>
      <c r="AL107" s="34"/>
      <c r="AM107" s="34"/>
      <c r="AN107" s="34"/>
      <c r="AO107" s="34"/>
      <c r="AP107" s="28">
        <f t="shared" si="63"/>
        <v>0</v>
      </c>
      <c r="AQ107" s="73">
        <v>190</v>
      </c>
      <c r="AR107" s="28">
        <f t="shared" si="64"/>
        <v>0</v>
      </c>
      <c r="AS107" s="34"/>
      <c r="AT107" s="34"/>
      <c r="AU107" s="34"/>
      <c r="AV107" s="34"/>
      <c r="AW107" s="34">
        <v>1</v>
      </c>
      <c r="AX107" s="28">
        <f t="shared" si="65"/>
        <v>1</v>
      </c>
      <c r="AY107" s="73">
        <v>190</v>
      </c>
      <c r="AZ107" s="28">
        <f t="shared" si="66"/>
        <v>190</v>
      </c>
      <c r="BA107" s="34"/>
      <c r="BB107" s="34"/>
      <c r="BC107" s="34"/>
      <c r="BD107" s="34"/>
      <c r="BE107" s="34"/>
      <c r="BF107" s="28">
        <f t="shared" si="67"/>
        <v>0</v>
      </c>
      <c r="BG107" s="73">
        <v>190</v>
      </c>
      <c r="BH107" s="28">
        <f t="shared" si="68"/>
        <v>0</v>
      </c>
      <c r="BI107" s="34"/>
      <c r="BJ107" s="34"/>
      <c r="BK107" s="34"/>
      <c r="BL107" s="34"/>
      <c r="BM107" s="34"/>
      <c r="BN107" s="28">
        <f t="shared" si="74"/>
        <v>0</v>
      </c>
      <c r="BO107" s="73">
        <v>190</v>
      </c>
      <c r="BP107" s="28">
        <f t="shared" si="70"/>
        <v>0</v>
      </c>
      <c r="BQ107" s="34"/>
      <c r="BR107" s="34"/>
      <c r="BS107" s="34"/>
      <c r="BT107" s="34"/>
      <c r="BU107" s="34">
        <v>1</v>
      </c>
      <c r="BV107" s="28">
        <f t="shared" si="73"/>
        <v>1</v>
      </c>
      <c r="BW107" s="73">
        <v>190</v>
      </c>
      <c r="BX107" s="28">
        <f t="shared" si="71"/>
        <v>190</v>
      </c>
      <c r="BY107" s="34"/>
      <c r="BZ107" s="34"/>
      <c r="CA107" s="34"/>
      <c r="CB107" s="34"/>
      <c r="CC107" s="34"/>
      <c r="CD107" s="28"/>
      <c r="CE107" s="73">
        <v>190</v>
      </c>
      <c r="CF107" s="28">
        <f t="shared" si="72"/>
        <v>0</v>
      </c>
      <c r="CG107" s="74"/>
    </row>
    <row r="108" spans="1:246" s="78" customFormat="1">
      <c r="A108" s="64" t="s">
        <v>89</v>
      </c>
      <c r="B108" s="37" t="s">
        <v>52</v>
      </c>
      <c r="C108" s="75"/>
      <c r="D108" s="76" t="s">
        <v>53</v>
      </c>
      <c r="E108" s="40"/>
      <c r="F108" s="41"/>
      <c r="G108" s="41"/>
      <c r="H108" s="41"/>
      <c r="I108" s="40"/>
      <c r="J108" s="40"/>
      <c r="K108" s="42">
        <v>628</v>
      </c>
      <c r="L108" s="41">
        <f t="shared" si="56"/>
        <v>0</v>
      </c>
      <c r="M108" s="40"/>
      <c r="N108" s="41"/>
      <c r="O108" s="41"/>
      <c r="P108" s="41"/>
      <c r="Q108" s="40"/>
      <c r="R108" s="41">
        <f t="shared" si="57"/>
        <v>0</v>
      </c>
      <c r="S108" s="42">
        <v>628</v>
      </c>
      <c r="T108" s="41">
        <f t="shared" si="58"/>
        <v>0</v>
      </c>
      <c r="U108" s="40"/>
      <c r="V108" s="41"/>
      <c r="W108" s="41"/>
      <c r="X108" s="41"/>
      <c r="Y108" s="40">
        <v>1</v>
      </c>
      <c r="Z108" s="41">
        <f t="shared" si="59"/>
        <v>1</v>
      </c>
      <c r="AA108" s="42">
        <v>628</v>
      </c>
      <c r="AB108" s="41">
        <f t="shared" si="60"/>
        <v>628</v>
      </c>
      <c r="AC108" s="40"/>
      <c r="AD108" s="41"/>
      <c r="AE108" s="41"/>
      <c r="AF108" s="41"/>
      <c r="AG108" s="40"/>
      <c r="AH108" s="41">
        <f t="shared" si="61"/>
        <v>0</v>
      </c>
      <c r="AI108" s="42">
        <v>628</v>
      </c>
      <c r="AJ108" s="41">
        <f t="shared" si="62"/>
        <v>0</v>
      </c>
      <c r="AK108" s="40"/>
      <c r="AL108" s="41"/>
      <c r="AM108" s="41"/>
      <c r="AN108" s="41"/>
      <c r="AO108" s="40"/>
      <c r="AP108" s="41">
        <f t="shared" si="63"/>
        <v>0</v>
      </c>
      <c r="AQ108" s="42">
        <v>628</v>
      </c>
      <c r="AR108" s="41">
        <f t="shared" si="64"/>
        <v>0</v>
      </c>
      <c r="AS108" s="40"/>
      <c r="AT108" s="41"/>
      <c r="AU108" s="41"/>
      <c r="AV108" s="41"/>
      <c r="AW108" s="40">
        <v>1</v>
      </c>
      <c r="AX108" s="41">
        <f t="shared" si="65"/>
        <v>1</v>
      </c>
      <c r="AY108" s="42">
        <v>628</v>
      </c>
      <c r="AZ108" s="41">
        <f t="shared" si="66"/>
        <v>628</v>
      </c>
      <c r="BA108" s="40"/>
      <c r="BB108" s="41"/>
      <c r="BC108" s="41"/>
      <c r="BD108" s="41"/>
      <c r="BE108" s="40"/>
      <c r="BF108" s="41">
        <f t="shared" si="67"/>
        <v>0</v>
      </c>
      <c r="BG108" s="42">
        <v>628</v>
      </c>
      <c r="BH108" s="41">
        <f t="shared" si="68"/>
        <v>0</v>
      </c>
      <c r="BI108" s="40"/>
      <c r="BJ108" s="41"/>
      <c r="BK108" s="41"/>
      <c r="BL108" s="41"/>
      <c r="BM108" s="40"/>
      <c r="BN108" s="41">
        <f t="shared" si="74"/>
        <v>0</v>
      </c>
      <c r="BO108" s="42">
        <v>628</v>
      </c>
      <c r="BP108" s="41">
        <f t="shared" si="70"/>
        <v>0</v>
      </c>
      <c r="BQ108" s="40"/>
      <c r="BR108" s="41"/>
      <c r="BS108" s="41"/>
      <c r="BT108" s="41"/>
      <c r="BU108" s="40">
        <v>1</v>
      </c>
      <c r="BV108" s="41">
        <f t="shared" si="73"/>
        <v>1</v>
      </c>
      <c r="BW108" s="42">
        <v>628</v>
      </c>
      <c r="BX108" s="41">
        <f t="shared" si="71"/>
        <v>628</v>
      </c>
      <c r="BY108" s="40"/>
      <c r="BZ108" s="41"/>
      <c r="CA108" s="41"/>
      <c r="CB108" s="41"/>
      <c r="CC108" s="40"/>
      <c r="CD108" s="41"/>
      <c r="CE108" s="42">
        <v>628</v>
      </c>
      <c r="CF108" s="41">
        <f t="shared" si="72"/>
        <v>0</v>
      </c>
      <c r="CG108" s="77"/>
    </row>
    <row r="109" spans="1:246">
      <c r="A109" s="62"/>
      <c r="B109" s="60"/>
      <c r="C109" s="49"/>
      <c r="D109" s="50"/>
      <c r="E109" s="51"/>
      <c r="F109" s="52"/>
      <c r="G109" s="52"/>
      <c r="H109" s="52"/>
      <c r="I109" s="51"/>
      <c r="J109" s="51"/>
      <c r="K109" s="52"/>
      <c r="L109" s="51"/>
      <c r="M109" s="51"/>
      <c r="N109" s="52"/>
      <c r="O109" s="52"/>
      <c r="P109" s="52"/>
      <c r="Q109" s="51"/>
      <c r="R109" s="51"/>
      <c r="S109" s="52"/>
      <c r="T109" s="51"/>
      <c r="U109" s="51"/>
      <c r="V109" s="52"/>
      <c r="W109" s="52"/>
      <c r="X109" s="52"/>
      <c r="Y109" s="51"/>
      <c r="Z109" s="51"/>
      <c r="AA109" s="52"/>
      <c r="AB109" s="51"/>
      <c r="AC109" s="51"/>
      <c r="AD109" s="52"/>
      <c r="AE109" s="52"/>
      <c r="AF109" s="52"/>
      <c r="AG109" s="51"/>
      <c r="AH109" s="51"/>
      <c r="AI109" s="52"/>
      <c r="AJ109" s="51"/>
      <c r="AK109" s="51"/>
      <c r="AL109" s="52"/>
      <c r="AM109" s="52"/>
      <c r="AN109" s="52"/>
      <c r="AO109" s="51"/>
      <c r="AP109" s="51"/>
      <c r="AQ109" s="52"/>
      <c r="AR109" s="51"/>
      <c r="AS109" s="51"/>
      <c r="AT109" s="52"/>
      <c r="AU109" s="52"/>
      <c r="AV109" s="52"/>
      <c r="AW109" s="51"/>
      <c r="AX109" s="51"/>
      <c r="AY109" s="52"/>
      <c r="AZ109" s="51"/>
      <c r="BA109" s="51"/>
      <c r="BB109" s="52"/>
      <c r="BC109" s="52"/>
      <c r="BD109" s="52"/>
      <c r="BE109" s="51"/>
      <c r="BF109" s="51"/>
      <c r="BG109" s="52"/>
      <c r="BH109" s="51"/>
      <c r="BI109" s="51"/>
      <c r="BJ109" s="52"/>
      <c r="BK109" s="52"/>
      <c r="BL109" s="52"/>
      <c r="BM109" s="51"/>
      <c r="BN109" s="51"/>
      <c r="BO109" s="52"/>
      <c r="BP109" s="51"/>
      <c r="BQ109" s="51"/>
      <c r="BR109" s="52"/>
      <c r="BS109" s="52"/>
      <c r="BT109" s="52"/>
      <c r="BU109" s="51"/>
      <c r="BV109" s="51"/>
      <c r="BW109" s="52"/>
      <c r="BX109" s="51"/>
      <c r="BY109" s="51"/>
      <c r="BZ109" s="52"/>
      <c r="CA109" s="52"/>
      <c r="CB109" s="52"/>
      <c r="CC109" s="51"/>
      <c r="CD109" s="51"/>
      <c r="CE109" s="52"/>
      <c r="CF109" s="51"/>
      <c r="CG109" s="15"/>
    </row>
    <row r="110" spans="1:246">
      <c r="A110" s="62"/>
      <c r="B110" s="60"/>
      <c r="C110" s="49"/>
      <c r="D110" s="50"/>
      <c r="E110" s="51"/>
      <c r="F110" s="52"/>
      <c r="G110" s="52"/>
      <c r="H110" s="52"/>
      <c r="I110" s="51"/>
      <c r="J110" s="51"/>
      <c r="K110" s="52"/>
      <c r="L110" s="51"/>
      <c r="M110" s="51"/>
      <c r="N110" s="52"/>
      <c r="O110" s="52"/>
      <c r="P110" s="52"/>
      <c r="Q110" s="51"/>
      <c r="R110" s="51"/>
      <c r="S110" s="52"/>
      <c r="T110" s="51"/>
      <c r="U110" s="51"/>
      <c r="V110" s="52"/>
      <c r="W110" s="52"/>
      <c r="X110" s="52"/>
      <c r="Y110" s="51"/>
      <c r="Z110" s="51"/>
      <c r="AA110" s="52"/>
      <c r="AB110" s="51"/>
      <c r="AC110" s="51"/>
      <c r="AD110" s="52"/>
      <c r="AE110" s="52"/>
      <c r="AF110" s="52"/>
      <c r="AG110" s="51"/>
      <c r="AH110" s="51"/>
      <c r="AI110" s="52"/>
      <c r="AJ110" s="51"/>
      <c r="AK110" s="51"/>
      <c r="AL110" s="52"/>
      <c r="AM110" s="52"/>
      <c r="AN110" s="52"/>
      <c r="AO110" s="51"/>
      <c r="AP110" s="51"/>
      <c r="AQ110" s="52"/>
      <c r="AR110" s="51"/>
      <c r="AS110" s="51"/>
      <c r="AT110" s="52"/>
      <c r="AU110" s="52"/>
      <c r="AV110" s="52"/>
      <c r="AW110" s="51"/>
      <c r="AX110" s="51"/>
      <c r="AY110" s="52"/>
      <c r="AZ110" s="51"/>
      <c r="BA110" s="51"/>
      <c r="BB110" s="52"/>
      <c r="BC110" s="52"/>
      <c r="BD110" s="52"/>
      <c r="BE110" s="51"/>
      <c r="BF110" s="51"/>
      <c r="BG110" s="52"/>
      <c r="BH110" s="51"/>
      <c r="BI110" s="51"/>
      <c r="BJ110" s="52"/>
      <c r="BK110" s="52"/>
      <c r="BL110" s="52"/>
      <c r="BM110" s="51"/>
      <c r="BN110" s="51"/>
      <c r="BO110" s="52"/>
      <c r="BP110" s="51"/>
      <c r="BQ110" s="51"/>
      <c r="BR110" s="52"/>
      <c r="BS110" s="52"/>
      <c r="BT110" s="52"/>
      <c r="BU110" s="51"/>
      <c r="BV110" s="51"/>
      <c r="BW110" s="52"/>
      <c r="BX110" s="51"/>
      <c r="BY110" s="51"/>
      <c r="BZ110" s="52"/>
      <c r="CA110" s="52"/>
      <c r="CB110" s="52"/>
      <c r="CC110" s="51"/>
      <c r="CD110" s="51"/>
      <c r="CE110" s="52"/>
      <c r="CF110" s="51"/>
      <c r="CG110" s="15"/>
    </row>
    <row r="111" spans="1:246">
      <c r="A111" s="62"/>
      <c r="B111" s="60"/>
      <c r="C111" s="49"/>
      <c r="D111" s="49"/>
      <c r="E111" s="51"/>
      <c r="F111" s="52"/>
      <c r="G111" s="52"/>
      <c r="H111" s="52"/>
      <c r="I111" s="51"/>
      <c r="J111" s="51"/>
      <c r="K111" s="52"/>
      <c r="L111" s="51"/>
      <c r="M111" s="51"/>
      <c r="N111" s="52"/>
      <c r="O111" s="52"/>
      <c r="P111" s="52"/>
      <c r="Q111" s="51"/>
      <c r="R111" s="51"/>
      <c r="S111" s="52"/>
      <c r="T111" s="51"/>
      <c r="U111" s="51"/>
      <c r="V111" s="52"/>
      <c r="W111" s="52"/>
      <c r="X111" s="52"/>
      <c r="Y111" s="51"/>
      <c r="Z111" s="51"/>
      <c r="AA111" s="52"/>
      <c r="AB111" s="51"/>
      <c r="AC111" s="51"/>
      <c r="AD111" s="52"/>
      <c r="AE111" s="52"/>
      <c r="AF111" s="52"/>
      <c r="AG111" s="51"/>
      <c r="AH111" s="51"/>
      <c r="AI111" s="52"/>
      <c r="AJ111" s="51"/>
      <c r="AK111" s="51"/>
      <c r="AL111" s="52"/>
      <c r="AM111" s="52"/>
      <c r="AN111" s="52"/>
      <c r="AO111" s="51"/>
      <c r="AP111" s="51"/>
      <c r="AQ111" s="52"/>
      <c r="AR111" s="51"/>
      <c r="AS111" s="51"/>
      <c r="AT111" s="52"/>
      <c r="AU111" s="52"/>
      <c r="AV111" s="52"/>
      <c r="AW111" s="51"/>
      <c r="AX111" s="51"/>
      <c r="AY111" s="52"/>
      <c r="AZ111" s="51"/>
      <c r="BA111" s="51"/>
      <c r="BB111" s="52"/>
      <c r="BC111" s="52"/>
      <c r="BD111" s="52"/>
      <c r="BE111" s="51"/>
      <c r="BF111" s="51"/>
      <c r="BG111" s="52"/>
      <c r="BH111" s="51"/>
      <c r="BI111" s="51"/>
      <c r="BJ111" s="52"/>
      <c r="BK111" s="52"/>
      <c r="BL111" s="52"/>
      <c r="BM111" s="51"/>
      <c r="BN111" s="51"/>
      <c r="BO111" s="52"/>
      <c r="BP111" s="51"/>
      <c r="BQ111" s="51"/>
      <c r="BR111" s="52"/>
      <c r="BS111" s="52"/>
      <c r="BT111" s="52"/>
      <c r="BU111" s="51"/>
      <c r="BV111" s="51"/>
      <c r="BW111" s="52"/>
      <c r="BX111" s="51"/>
      <c r="BY111" s="51"/>
      <c r="BZ111" s="52"/>
      <c r="CA111" s="52"/>
      <c r="CB111" s="52"/>
      <c r="CC111" s="51"/>
      <c r="CD111" s="51"/>
      <c r="CE111" s="52"/>
      <c r="CF111" s="51"/>
      <c r="CG111" s="15"/>
    </row>
    <row r="112" spans="1:246" ht="30">
      <c r="A112" s="1" t="s">
        <v>0</v>
      </c>
      <c r="B112" s="2" t="s">
        <v>1</v>
      </c>
      <c r="C112" s="3" t="s">
        <v>2</v>
      </c>
      <c r="D112" s="3" t="s">
        <v>3</v>
      </c>
      <c r="E112" s="4">
        <v>500</v>
      </c>
      <c r="F112" s="4">
        <v>1000</v>
      </c>
      <c r="G112" s="4">
        <v>1500</v>
      </c>
      <c r="H112" s="4">
        <v>2000</v>
      </c>
      <c r="I112" s="4">
        <v>2500</v>
      </c>
      <c r="J112" s="5" t="s">
        <v>4</v>
      </c>
      <c r="K112" s="4" t="s">
        <v>5</v>
      </c>
      <c r="L112" s="6" t="s">
        <v>6</v>
      </c>
      <c r="M112" s="4">
        <v>3000</v>
      </c>
      <c r="N112" s="4">
        <v>3500</v>
      </c>
      <c r="O112" s="4">
        <v>4000</v>
      </c>
      <c r="P112" s="4">
        <v>4500</v>
      </c>
      <c r="Q112" s="4">
        <v>5000</v>
      </c>
      <c r="R112" s="5" t="s">
        <v>4</v>
      </c>
      <c r="S112" s="4" t="s">
        <v>5</v>
      </c>
      <c r="T112" s="6" t="s">
        <v>6</v>
      </c>
      <c r="U112" s="4">
        <v>5500</v>
      </c>
      <c r="V112" s="4">
        <v>6000</v>
      </c>
      <c r="W112" s="4">
        <v>6500</v>
      </c>
      <c r="X112" s="4">
        <v>7000</v>
      </c>
      <c r="Y112" s="4">
        <v>7500</v>
      </c>
      <c r="Z112" s="5" t="s">
        <v>4</v>
      </c>
      <c r="AA112" s="4" t="s">
        <v>5</v>
      </c>
      <c r="AB112" s="6" t="s">
        <v>6</v>
      </c>
      <c r="AC112" s="4">
        <v>8000</v>
      </c>
      <c r="AD112" s="4">
        <v>8500</v>
      </c>
      <c r="AE112" s="4">
        <v>9000</v>
      </c>
      <c r="AF112" s="4">
        <v>9500</v>
      </c>
      <c r="AG112" s="4">
        <v>10000</v>
      </c>
      <c r="AH112" s="6" t="s">
        <v>4</v>
      </c>
      <c r="AI112" s="4" t="s">
        <v>5</v>
      </c>
      <c r="AJ112" s="6" t="s">
        <v>6</v>
      </c>
      <c r="AK112" s="4">
        <v>10500</v>
      </c>
      <c r="AL112" s="4">
        <v>11000</v>
      </c>
      <c r="AM112" s="4">
        <v>11500</v>
      </c>
      <c r="AN112" s="4">
        <v>12000</v>
      </c>
      <c r="AO112" s="4">
        <v>12500</v>
      </c>
      <c r="AP112" s="6" t="s">
        <v>4</v>
      </c>
      <c r="AQ112" s="4" t="s">
        <v>5</v>
      </c>
      <c r="AR112" s="6" t="s">
        <v>6</v>
      </c>
      <c r="AS112" s="4">
        <v>13000</v>
      </c>
      <c r="AT112" s="4">
        <v>13500</v>
      </c>
      <c r="AU112" s="4">
        <v>14000</v>
      </c>
      <c r="AV112" s="4">
        <v>14500</v>
      </c>
      <c r="AW112" s="4">
        <v>15000</v>
      </c>
      <c r="AX112" s="6" t="s">
        <v>4</v>
      </c>
      <c r="AY112" s="4" t="s">
        <v>5</v>
      </c>
      <c r="AZ112" s="6" t="s">
        <v>6</v>
      </c>
      <c r="BA112" s="4">
        <v>15500</v>
      </c>
      <c r="BB112" s="4">
        <v>16000</v>
      </c>
      <c r="BC112" s="4">
        <v>16500</v>
      </c>
      <c r="BD112" s="4">
        <v>17000</v>
      </c>
      <c r="BE112" s="4">
        <v>17500</v>
      </c>
      <c r="BF112" s="6" t="s">
        <v>4</v>
      </c>
      <c r="BG112" s="4" t="s">
        <v>5</v>
      </c>
      <c r="BH112" s="6" t="s">
        <v>6</v>
      </c>
      <c r="BI112" s="4">
        <v>18000</v>
      </c>
      <c r="BJ112" s="4">
        <v>18500</v>
      </c>
      <c r="BK112" s="4">
        <v>19000</v>
      </c>
      <c r="BL112" s="4">
        <v>19500</v>
      </c>
      <c r="BM112" s="4">
        <v>20000</v>
      </c>
      <c r="BN112" s="6" t="s">
        <v>4</v>
      </c>
      <c r="BO112" s="4" t="s">
        <v>5</v>
      </c>
      <c r="BP112" s="6" t="s">
        <v>6</v>
      </c>
      <c r="BQ112" s="4">
        <v>20500</v>
      </c>
      <c r="BR112" s="4">
        <v>21000</v>
      </c>
      <c r="BS112" s="4">
        <v>21500</v>
      </c>
      <c r="BT112" s="4">
        <v>22000</v>
      </c>
      <c r="BU112" s="4">
        <v>22500</v>
      </c>
      <c r="BV112" s="6" t="s">
        <v>4</v>
      </c>
      <c r="BW112" s="4" t="s">
        <v>5</v>
      </c>
      <c r="BX112" s="6" t="s">
        <v>6</v>
      </c>
      <c r="BY112" s="4">
        <v>23000</v>
      </c>
      <c r="BZ112" s="4">
        <v>23500</v>
      </c>
      <c r="CA112" s="4">
        <v>24000</v>
      </c>
      <c r="CB112" s="4">
        <v>24500</v>
      </c>
      <c r="CC112" s="4">
        <v>25000</v>
      </c>
      <c r="CD112" s="6" t="s">
        <v>4</v>
      </c>
      <c r="CE112" s="4" t="s">
        <v>5</v>
      </c>
      <c r="CF112" s="6" t="s">
        <v>6</v>
      </c>
      <c r="CG112" s="7"/>
      <c r="CH112" s="7"/>
      <c r="CI112" s="7"/>
      <c r="CJ112" s="7"/>
      <c r="CK112" s="7"/>
      <c r="CL112" s="7"/>
      <c r="CM112" s="7"/>
      <c r="CN112" s="7"/>
      <c r="CO112" s="7"/>
      <c r="CP112" s="7"/>
      <c r="CQ112" s="7"/>
      <c r="CR112" s="7"/>
      <c r="CS112" s="7"/>
      <c r="CT112" s="7"/>
      <c r="CU112" s="7"/>
      <c r="CV112" s="7"/>
      <c r="CW112" s="7"/>
      <c r="CX112" s="7"/>
      <c r="CY112" s="7"/>
      <c r="CZ112" s="7"/>
      <c r="DA112" s="7"/>
      <c r="DB112" s="7"/>
      <c r="DC112" s="7"/>
      <c r="DD112" s="7"/>
      <c r="DE112" s="7"/>
      <c r="DF112" s="7"/>
      <c r="DG112" s="7"/>
      <c r="DH112" s="7"/>
      <c r="DI112" s="7"/>
      <c r="DJ112" s="7"/>
      <c r="DK112" s="7"/>
      <c r="DL112" s="7"/>
      <c r="DM112" s="7"/>
      <c r="DN112" s="7"/>
      <c r="DO112" s="7"/>
      <c r="DP112" s="7"/>
      <c r="DQ112" s="7"/>
      <c r="DR112" s="7"/>
      <c r="DS112" s="7"/>
      <c r="DT112" s="7"/>
      <c r="DU112" s="7"/>
      <c r="DV112" s="7"/>
      <c r="DW112" s="7"/>
      <c r="DX112" s="7"/>
      <c r="DY112" s="7"/>
      <c r="DZ112" s="7"/>
      <c r="EA112" s="7"/>
      <c r="EB112" s="7"/>
      <c r="EC112" s="7"/>
      <c r="ED112" s="7"/>
      <c r="EE112" s="7"/>
      <c r="EF112" s="7"/>
      <c r="EG112" s="7"/>
      <c r="EH112" s="7"/>
      <c r="EI112" s="7"/>
      <c r="EJ112" s="7"/>
      <c r="EK112" s="7"/>
      <c r="EL112" s="7"/>
      <c r="EM112" s="7"/>
      <c r="EN112" s="7"/>
      <c r="EO112" s="7"/>
      <c r="EP112" s="7"/>
      <c r="EQ112" s="7"/>
      <c r="ER112" s="7"/>
      <c r="ES112" s="7"/>
      <c r="ET112" s="7"/>
      <c r="EU112" s="7"/>
      <c r="EV112" s="7"/>
      <c r="EW112" s="7"/>
      <c r="EX112" s="7"/>
      <c r="EY112" s="7"/>
      <c r="EZ112" s="7"/>
      <c r="FA112" s="7"/>
      <c r="FB112" s="7"/>
      <c r="FC112" s="7"/>
      <c r="FD112" s="7"/>
      <c r="FE112" s="7"/>
      <c r="FF112" s="7"/>
      <c r="FG112" s="7"/>
      <c r="FH112" s="7"/>
      <c r="FI112" s="7"/>
      <c r="FJ112" s="7"/>
      <c r="FK112" s="7"/>
      <c r="FL112" s="7"/>
      <c r="FM112" s="7"/>
      <c r="FN112" s="7"/>
      <c r="FO112" s="7"/>
      <c r="FP112" s="7"/>
      <c r="FQ112" s="7"/>
      <c r="FR112" s="7"/>
      <c r="FS112" s="7"/>
      <c r="FT112" s="7"/>
      <c r="FU112" s="7"/>
      <c r="FV112" s="7"/>
      <c r="FW112" s="7"/>
      <c r="FX112" s="7"/>
      <c r="FY112" s="7"/>
      <c r="FZ112" s="7"/>
      <c r="GA112" s="7"/>
      <c r="GB112" s="7"/>
      <c r="GC112" s="7"/>
      <c r="GD112" s="7"/>
      <c r="GE112" s="7"/>
      <c r="GF112" s="7"/>
      <c r="GG112" s="7"/>
      <c r="GH112" s="7"/>
      <c r="GI112" s="7"/>
      <c r="GJ112" s="7"/>
      <c r="GK112" s="7"/>
      <c r="GL112" s="7"/>
      <c r="GM112" s="7"/>
      <c r="GN112" s="7"/>
      <c r="GO112" s="7"/>
      <c r="GP112" s="7"/>
      <c r="GQ112" s="7"/>
      <c r="GR112" s="7"/>
      <c r="GS112" s="7"/>
      <c r="GT112" s="7"/>
      <c r="GU112" s="7"/>
      <c r="GV112" s="7"/>
      <c r="GW112" s="7"/>
      <c r="GX112" s="7"/>
      <c r="GY112" s="7"/>
      <c r="GZ112" s="7"/>
      <c r="HA112" s="7"/>
      <c r="HB112" s="7"/>
      <c r="HC112" s="7"/>
      <c r="HD112" s="7"/>
      <c r="HE112" s="7"/>
      <c r="HF112" s="7"/>
      <c r="HG112" s="7"/>
      <c r="HH112" s="7"/>
      <c r="HI112" s="7"/>
      <c r="HJ112" s="7"/>
      <c r="HK112" s="7"/>
      <c r="HL112" s="7"/>
      <c r="HM112" s="7"/>
      <c r="HN112" s="7"/>
      <c r="HO112" s="7"/>
      <c r="HP112" s="7"/>
      <c r="HQ112" s="7"/>
      <c r="HR112" s="7"/>
      <c r="HS112" s="7"/>
      <c r="HT112" s="7"/>
      <c r="HU112" s="7"/>
      <c r="HV112" s="7"/>
      <c r="HW112" s="7"/>
      <c r="HX112" s="7"/>
      <c r="HY112" s="7"/>
      <c r="HZ112" s="7"/>
      <c r="IA112" s="7"/>
      <c r="IB112" s="7"/>
      <c r="IC112" s="7"/>
      <c r="ID112" s="7"/>
      <c r="IE112" s="7"/>
      <c r="IF112" s="7"/>
      <c r="IG112" s="7"/>
      <c r="IH112" s="7"/>
      <c r="II112" s="7"/>
      <c r="IJ112" s="7"/>
      <c r="IK112" s="7"/>
      <c r="IL112" s="7"/>
    </row>
    <row r="113" spans="1:85" ht="15">
      <c r="A113" s="61" t="s">
        <v>109</v>
      </c>
      <c r="B113" s="10" t="s">
        <v>8</v>
      </c>
      <c r="C113" s="11"/>
      <c r="D113" s="12" t="s">
        <v>9</v>
      </c>
      <c r="E113" s="13">
        <v>1</v>
      </c>
      <c r="F113" s="13">
        <v>1</v>
      </c>
      <c r="G113" s="13">
        <v>1</v>
      </c>
      <c r="H113" s="13">
        <v>1</v>
      </c>
      <c r="I113" s="13">
        <v>1</v>
      </c>
      <c r="J113" s="13">
        <v>5</v>
      </c>
      <c r="K113" s="14">
        <v>154</v>
      </c>
      <c r="L113" s="13">
        <f>J113*K113</f>
        <v>770</v>
      </c>
      <c r="M113" s="13">
        <v>1</v>
      </c>
      <c r="N113" s="13">
        <v>1</v>
      </c>
      <c r="O113" s="13">
        <v>1</v>
      </c>
      <c r="P113" s="13">
        <v>1</v>
      </c>
      <c r="Q113" s="13">
        <v>1</v>
      </c>
      <c r="R113" s="13">
        <v>5</v>
      </c>
      <c r="S113" s="14">
        <v>154</v>
      </c>
      <c r="T113" s="13">
        <f>S113*R113</f>
        <v>770</v>
      </c>
      <c r="U113" s="13">
        <v>1</v>
      </c>
      <c r="V113" s="13">
        <v>1</v>
      </c>
      <c r="W113" s="13">
        <v>1</v>
      </c>
      <c r="X113" s="13">
        <v>1</v>
      </c>
      <c r="Y113" s="13">
        <v>1</v>
      </c>
      <c r="Z113" s="13">
        <v>5</v>
      </c>
      <c r="AA113" s="14">
        <v>154</v>
      </c>
      <c r="AB113" s="13">
        <f>AA113*Z113</f>
        <v>770</v>
      </c>
      <c r="AC113" s="13">
        <v>1</v>
      </c>
      <c r="AD113" s="13">
        <v>1</v>
      </c>
      <c r="AE113" s="13">
        <v>1</v>
      </c>
      <c r="AF113" s="13">
        <v>1</v>
      </c>
      <c r="AG113" s="13">
        <v>1</v>
      </c>
      <c r="AH113" s="13">
        <v>5</v>
      </c>
      <c r="AI113" s="14">
        <v>154</v>
      </c>
      <c r="AJ113" s="13">
        <f>AI113*AH113</f>
        <v>770</v>
      </c>
      <c r="AK113" s="13">
        <v>1</v>
      </c>
      <c r="AL113" s="13">
        <v>1</v>
      </c>
      <c r="AM113" s="13">
        <v>1</v>
      </c>
      <c r="AN113" s="13">
        <v>1</v>
      </c>
      <c r="AO113" s="13">
        <v>1</v>
      </c>
      <c r="AP113" s="13">
        <v>5</v>
      </c>
      <c r="AQ113" s="14">
        <v>154</v>
      </c>
      <c r="AR113" s="13">
        <f>AQ113*AP113</f>
        <v>770</v>
      </c>
      <c r="AS113" s="13">
        <v>1</v>
      </c>
      <c r="AT113" s="13">
        <v>1</v>
      </c>
      <c r="AU113" s="13">
        <v>1</v>
      </c>
      <c r="AV113" s="13">
        <v>1</v>
      </c>
      <c r="AW113" s="13">
        <v>1</v>
      </c>
      <c r="AX113" s="13">
        <v>5</v>
      </c>
      <c r="AY113" s="14">
        <v>154</v>
      </c>
      <c r="AZ113" s="13">
        <f>AY113*AX113</f>
        <v>770</v>
      </c>
      <c r="BA113" s="13">
        <v>1</v>
      </c>
      <c r="BB113" s="13">
        <v>1</v>
      </c>
      <c r="BC113" s="13">
        <v>1</v>
      </c>
      <c r="BD113" s="13">
        <v>1</v>
      </c>
      <c r="BE113" s="13">
        <v>1</v>
      </c>
      <c r="BF113" s="13">
        <v>5</v>
      </c>
      <c r="BG113" s="14">
        <v>154</v>
      </c>
      <c r="BH113" s="13">
        <f>BG113*BF113</f>
        <v>770</v>
      </c>
      <c r="BI113" s="13">
        <v>1</v>
      </c>
      <c r="BJ113" s="13">
        <v>1</v>
      </c>
      <c r="BK113" s="13">
        <v>1</v>
      </c>
      <c r="BL113" s="13">
        <v>1</v>
      </c>
      <c r="BM113" s="13">
        <v>1</v>
      </c>
      <c r="BN113" s="13">
        <v>5</v>
      </c>
      <c r="BO113" s="14">
        <v>154</v>
      </c>
      <c r="BP113" s="13">
        <f>BO113*BN113</f>
        <v>770</v>
      </c>
      <c r="BQ113" s="13">
        <v>1</v>
      </c>
      <c r="BR113" s="13">
        <v>1</v>
      </c>
      <c r="BS113" s="13">
        <v>1</v>
      </c>
      <c r="BT113" s="13">
        <v>1</v>
      </c>
      <c r="BU113" s="13">
        <v>1</v>
      </c>
      <c r="BV113" s="13">
        <v>5</v>
      </c>
      <c r="BW113" s="14">
        <v>154</v>
      </c>
      <c r="BX113" s="13">
        <f>BW113*BV113</f>
        <v>770</v>
      </c>
      <c r="BY113" s="13">
        <v>1</v>
      </c>
      <c r="BZ113" s="13">
        <v>1</v>
      </c>
      <c r="CA113" s="13">
        <v>1</v>
      </c>
      <c r="CB113" s="13">
        <v>1</v>
      </c>
      <c r="CC113" s="13">
        <v>1</v>
      </c>
      <c r="CD113" s="13">
        <v>5</v>
      </c>
      <c r="CE113" s="14">
        <v>154</v>
      </c>
      <c r="CF113" s="13">
        <f>CE113*CD113</f>
        <v>770</v>
      </c>
      <c r="CG113" s="15"/>
    </row>
    <row r="114" spans="1:85">
      <c r="A114" s="61" t="s">
        <v>109</v>
      </c>
      <c r="B114" s="16" t="s">
        <v>57</v>
      </c>
      <c r="C114" s="11"/>
      <c r="D114" s="17" t="s">
        <v>11</v>
      </c>
      <c r="E114" s="18"/>
      <c r="F114" s="13">
        <v>2</v>
      </c>
      <c r="G114" s="13"/>
      <c r="H114" s="13">
        <v>2</v>
      </c>
      <c r="I114" s="18"/>
      <c r="J114" s="13">
        <v>4</v>
      </c>
      <c r="K114" s="19">
        <v>156</v>
      </c>
      <c r="L114" s="13">
        <f t="shared" ref="L114:L137" si="75">J114*K114</f>
        <v>624</v>
      </c>
      <c r="M114" s="18"/>
      <c r="N114" s="13">
        <v>2</v>
      </c>
      <c r="O114" s="13"/>
      <c r="P114" s="13">
        <v>2</v>
      </c>
      <c r="Q114" s="18"/>
      <c r="R114" s="13">
        <v>4</v>
      </c>
      <c r="S114" s="19">
        <v>156</v>
      </c>
      <c r="T114" s="13">
        <f t="shared" ref="T114:T137" si="76">S114*R114</f>
        <v>624</v>
      </c>
      <c r="U114" s="18"/>
      <c r="V114" s="13">
        <v>2</v>
      </c>
      <c r="W114" s="13"/>
      <c r="X114" s="13">
        <v>2</v>
      </c>
      <c r="Y114" s="18"/>
      <c r="Z114" s="13">
        <v>4</v>
      </c>
      <c r="AA114" s="19">
        <v>156</v>
      </c>
      <c r="AB114" s="13">
        <f t="shared" ref="AB114:AB137" si="77">AA114*Z114</f>
        <v>624</v>
      </c>
      <c r="AC114" s="18"/>
      <c r="AD114" s="13">
        <v>2</v>
      </c>
      <c r="AE114" s="13"/>
      <c r="AF114" s="13">
        <v>2</v>
      </c>
      <c r="AG114" s="18"/>
      <c r="AH114" s="13">
        <v>4</v>
      </c>
      <c r="AI114" s="19">
        <v>156</v>
      </c>
      <c r="AJ114" s="13">
        <f t="shared" ref="AJ114:AJ137" si="78">AI114*AH114</f>
        <v>624</v>
      </c>
      <c r="AK114" s="18"/>
      <c r="AL114" s="13">
        <v>2</v>
      </c>
      <c r="AM114" s="13"/>
      <c r="AN114" s="13">
        <v>2</v>
      </c>
      <c r="AO114" s="18"/>
      <c r="AP114" s="13">
        <v>4</v>
      </c>
      <c r="AQ114" s="19">
        <v>156</v>
      </c>
      <c r="AR114" s="13">
        <f t="shared" ref="AR114:AR137" si="79">AQ114*AP114</f>
        <v>624</v>
      </c>
      <c r="AS114" s="18"/>
      <c r="AT114" s="13">
        <v>2</v>
      </c>
      <c r="AU114" s="13"/>
      <c r="AV114" s="13">
        <v>2</v>
      </c>
      <c r="AW114" s="18"/>
      <c r="AX114" s="13">
        <v>4</v>
      </c>
      <c r="AY114" s="19">
        <v>156</v>
      </c>
      <c r="AZ114" s="13">
        <f t="shared" ref="AZ114:AZ137" si="80">AY114*AX114</f>
        <v>624</v>
      </c>
      <c r="BA114" s="18"/>
      <c r="BB114" s="13">
        <v>2</v>
      </c>
      <c r="BC114" s="13"/>
      <c r="BD114" s="13">
        <v>2</v>
      </c>
      <c r="BE114" s="18"/>
      <c r="BF114" s="13">
        <v>4</v>
      </c>
      <c r="BG114" s="19">
        <v>156</v>
      </c>
      <c r="BH114" s="13">
        <f t="shared" ref="BH114:BH137" si="81">BG114*BF114</f>
        <v>624</v>
      </c>
      <c r="BI114" s="18"/>
      <c r="BJ114" s="13">
        <v>2</v>
      </c>
      <c r="BK114" s="13"/>
      <c r="BL114" s="13">
        <v>2</v>
      </c>
      <c r="BM114" s="18"/>
      <c r="BN114" s="13">
        <v>4</v>
      </c>
      <c r="BO114" s="19">
        <v>156</v>
      </c>
      <c r="BP114" s="13">
        <f t="shared" ref="BP114:BP137" si="82">BO114*BN114</f>
        <v>624</v>
      </c>
      <c r="BQ114" s="18"/>
      <c r="BR114" s="13">
        <v>2</v>
      </c>
      <c r="BS114" s="13"/>
      <c r="BT114" s="13">
        <v>2</v>
      </c>
      <c r="BU114" s="18"/>
      <c r="BV114" s="13">
        <v>4</v>
      </c>
      <c r="BW114" s="19">
        <v>156</v>
      </c>
      <c r="BX114" s="13">
        <f t="shared" ref="BX114:BX137" si="83">BW114*BV114</f>
        <v>624</v>
      </c>
      <c r="BY114" s="18"/>
      <c r="BZ114" s="13">
        <v>2</v>
      </c>
      <c r="CA114" s="13"/>
      <c r="CB114" s="13">
        <v>2</v>
      </c>
      <c r="CC114" s="18"/>
      <c r="CD114" s="13">
        <v>4</v>
      </c>
      <c r="CE114" s="19">
        <v>156</v>
      </c>
      <c r="CF114" s="13">
        <f t="shared" ref="CF114:CF137" si="84">CE114*CD114</f>
        <v>624</v>
      </c>
      <c r="CG114" s="15"/>
    </row>
    <row r="115" spans="1:85">
      <c r="A115" s="61" t="s">
        <v>109</v>
      </c>
      <c r="B115" s="20" t="s">
        <v>12</v>
      </c>
      <c r="C115" s="11"/>
      <c r="D115" s="11" t="s">
        <v>13</v>
      </c>
      <c r="E115" s="18"/>
      <c r="F115" s="13">
        <v>1</v>
      </c>
      <c r="G115" s="13"/>
      <c r="H115" s="13">
        <v>1</v>
      </c>
      <c r="I115" s="18"/>
      <c r="J115" s="13">
        <v>2</v>
      </c>
      <c r="K115" s="19">
        <v>306</v>
      </c>
      <c r="L115" s="13">
        <f t="shared" si="75"/>
        <v>612</v>
      </c>
      <c r="M115" s="18"/>
      <c r="N115" s="13">
        <v>1</v>
      </c>
      <c r="O115" s="13"/>
      <c r="P115" s="13">
        <v>1</v>
      </c>
      <c r="Q115" s="18"/>
      <c r="R115" s="13">
        <v>2</v>
      </c>
      <c r="S115" s="19">
        <v>306</v>
      </c>
      <c r="T115" s="13">
        <f t="shared" si="76"/>
        <v>612</v>
      </c>
      <c r="U115" s="18"/>
      <c r="V115" s="13">
        <v>1</v>
      </c>
      <c r="W115" s="13"/>
      <c r="X115" s="13">
        <v>1</v>
      </c>
      <c r="Y115" s="18"/>
      <c r="Z115" s="13">
        <v>2</v>
      </c>
      <c r="AA115" s="19">
        <v>306</v>
      </c>
      <c r="AB115" s="13">
        <f t="shared" si="77"/>
        <v>612</v>
      </c>
      <c r="AC115" s="18"/>
      <c r="AD115" s="13">
        <v>1</v>
      </c>
      <c r="AE115" s="13"/>
      <c r="AF115" s="13">
        <v>1</v>
      </c>
      <c r="AG115" s="18"/>
      <c r="AH115" s="13">
        <v>2</v>
      </c>
      <c r="AI115" s="19">
        <v>306</v>
      </c>
      <c r="AJ115" s="13">
        <f t="shared" si="78"/>
        <v>612</v>
      </c>
      <c r="AK115" s="18"/>
      <c r="AL115" s="13">
        <v>1</v>
      </c>
      <c r="AM115" s="13"/>
      <c r="AN115" s="13">
        <v>1</v>
      </c>
      <c r="AO115" s="18"/>
      <c r="AP115" s="13">
        <v>2</v>
      </c>
      <c r="AQ115" s="19">
        <v>306</v>
      </c>
      <c r="AR115" s="13">
        <f t="shared" si="79"/>
        <v>612</v>
      </c>
      <c r="AS115" s="18"/>
      <c r="AT115" s="13">
        <v>1</v>
      </c>
      <c r="AU115" s="13"/>
      <c r="AV115" s="13">
        <v>1</v>
      </c>
      <c r="AW115" s="18"/>
      <c r="AX115" s="13">
        <v>2</v>
      </c>
      <c r="AY115" s="19">
        <v>306</v>
      </c>
      <c r="AZ115" s="13">
        <f t="shared" si="80"/>
        <v>612</v>
      </c>
      <c r="BA115" s="18"/>
      <c r="BB115" s="13">
        <v>1</v>
      </c>
      <c r="BC115" s="13"/>
      <c r="BD115" s="13">
        <v>1</v>
      </c>
      <c r="BE115" s="18"/>
      <c r="BF115" s="13">
        <v>2</v>
      </c>
      <c r="BG115" s="19">
        <v>306</v>
      </c>
      <c r="BH115" s="13">
        <f t="shared" si="81"/>
        <v>612</v>
      </c>
      <c r="BI115" s="18"/>
      <c r="BJ115" s="13">
        <v>1</v>
      </c>
      <c r="BK115" s="13"/>
      <c r="BL115" s="13">
        <v>1</v>
      </c>
      <c r="BM115" s="18"/>
      <c r="BN115" s="13">
        <v>2</v>
      </c>
      <c r="BO115" s="19">
        <v>306</v>
      </c>
      <c r="BP115" s="13">
        <f t="shared" si="82"/>
        <v>612</v>
      </c>
      <c r="BQ115" s="18"/>
      <c r="BR115" s="13">
        <v>1</v>
      </c>
      <c r="BS115" s="13"/>
      <c r="BT115" s="13">
        <v>1</v>
      </c>
      <c r="BU115" s="18"/>
      <c r="BV115" s="13">
        <v>2</v>
      </c>
      <c r="BW115" s="19">
        <v>306</v>
      </c>
      <c r="BX115" s="13">
        <f t="shared" si="83"/>
        <v>612</v>
      </c>
      <c r="BY115" s="18"/>
      <c r="BZ115" s="13">
        <v>1</v>
      </c>
      <c r="CA115" s="13"/>
      <c r="CB115" s="13">
        <v>1</v>
      </c>
      <c r="CC115" s="18"/>
      <c r="CD115" s="13">
        <v>2</v>
      </c>
      <c r="CE115" s="19">
        <v>306</v>
      </c>
      <c r="CF115" s="13">
        <f t="shared" si="84"/>
        <v>612</v>
      </c>
      <c r="CG115" s="15"/>
    </row>
    <row r="116" spans="1:85">
      <c r="A116" s="61" t="s">
        <v>109</v>
      </c>
      <c r="B116" s="10" t="s">
        <v>90</v>
      </c>
      <c r="C116" s="11"/>
      <c r="D116" s="11" t="s">
        <v>91</v>
      </c>
      <c r="E116" s="18"/>
      <c r="F116" s="13"/>
      <c r="G116" s="13"/>
      <c r="H116" s="13"/>
      <c r="I116" s="18"/>
      <c r="J116" s="13"/>
      <c r="K116" s="21">
        <v>143</v>
      </c>
      <c r="L116" s="13">
        <f t="shared" si="75"/>
        <v>0</v>
      </c>
      <c r="M116" s="18"/>
      <c r="N116" s="13"/>
      <c r="O116" s="13"/>
      <c r="P116" s="13"/>
      <c r="Q116" s="18"/>
      <c r="R116" s="13"/>
      <c r="S116" s="21">
        <v>143</v>
      </c>
      <c r="T116" s="13">
        <f t="shared" si="76"/>
        <v>0</v>
      </c>
      <c r="U116" s="18"/>
      <c r="V116" s="13"/>
      <c r="W116" s="13"/>
      <c r="X116" s="13"/>
      <c r="Y116" s="18">
        <v>1</v>
      </c>
      <c r="Z116" s="13">
        <v>1</v>
      </c>
      <c r="AA116" s="21">
        <v>143</v>
      </c>
      <c r="AB116" s="13">
        <f t="shared" si="77"/>
        <v>143</v>
      </c>
      <c r="AC116" s="18"/>
      <c r="AD116" s="13"/>
      <c r="AE116" s="13"/>
      <c r="AF116" s="13"/>
      <c r="AG116" s="18"/>
      <c r="AH116" s="13"/>
      <c r="AI116" s="21">
        <v>143</v>
      </c>
      <c r="AJ116" s="13">
        <f t="shared" si="78"/>
        <v>0</v>
      </c>
      <c r="AK116" s="18"/>
      <c r="AL116" s="13"/>
      <c r="AM116" s="13"/>
      <c r="AN116" s="13"/>
      <c r="AO116" s="18"/>
      <c r="AP116" s="13"/>
      <c r="AQ116" s="21">
        <v>143</v>
      </c>
      <c r="AR116" s="13">
        <f t="shared" si="79"/>
        <v>0</v>
      </c>
      <c r="AS116" s="18"/>
      <c r="AT116" s="13"/>
      <c r="AU116" s="13"/>
      <c r="AV116" s="13"/>
      <c r="AW116" s="18"/>
      <c r="AX116" s="13"/>
      <c r="AY116" s="21">
        <v>143</v>
      </c>
      <c r="AZ116" s="13">
        <f t="shared" si="80"/>
        <v>0</v>
      </c>
      <c r="BA116" s="18"/>
      <c r="BB116" s="13"/>
      <c r="BC116" s="13"/>
      <c r="BD116" s="13"/>
      <c r="BE116" s="18"/>
      <c r="BF116" s="13"/>
      <c r="BG116" s="21">
        <v>143</v>
      </c>
      <c r="BH116" s="13">
        <f t="shared" si="81"/>
        <v>0</v>
      </c>
      <c r="BI116" s="18"/>
      <c r="BJ116" s="13"/>
      <c r="BK116" s="13"/>
      <c r="BL116" s="13"/>
      <c r="BM116" s="18"/>
      <c r="BN116" s="13"/>
      <c r="BO116" s="21">
        <v>143</v>
      </c>
      <c r="BP116" s="13">
        <f t="shared" si="82"/>
        <v>0</v>
      </c>
      <c r="BQ116" s="18"/>
      <c r="BR116" s="13"/>
      <c r="BS116" s="13"/>
      <c r="BT116" s="13"/>
      <c r="BU116" s="18">
        <v>1</v>
      </c>
      <c r="BV116" s="13">
        <v>1</v>
      </c>
      <c r="BW116" s="21">
        <v>143</v>
      </c>
      <c r="BX116" s="13">
        <f t="shared" si="83"/>
        <v>143</v>
      </c>
      <c r="BY116" s="18"/>
      <c r="BZ116" s="13"/>
      <c r="CA116" s="13"/>
      <c r="CB116" s="13"/>
      <c r="CC116" s="18">
        <v>1</v>
      </c>
      <c r="CD116" s="13"/>
      <c r="CE116" s="21">
        <v>143</v>
      </c>
      <c r="CF116" s="13">
        <f t="shared" si="84"/>
        <v>0</v>
      </c>
      <c r="CG116" s="15"/>
    </row>
    <row r="117" spans="1:85">
      <c r="A117" s="61" t="s">
        <v>109</v>
      </c>
      <c r="B117" s="10" t="s">
        <v>14</v>
      </c>
      <c r="C117" s="11"/>
      <c r="D117" s="11" t="s">
        <v>110</v>
      </c>
      <c r="E117" s="18"/>
      <c r="F117" s="13"/>
      <c r="G117" s="13"/>
      <c r="H117" s="13"/>
      <c r="I117" s="18"/>
      <c r="J117" s="13"/>
      <c r="K117" s="21">
        <v>242</v>
      </c>
      <c r="L117" s="13">
        <f t="shared" si="75"/>
        <v>0</v>
      </c>
      <c r="M117" s="18"/>
      <c r="N117" s="13"/>
      <c r="O117" s="13"/>
      <c r="P117" s="13"/>
      <c r="Q117" s="18"/>
      <c r="R117" s="13"/>
      <c r="S117" s="21">
        <v>242</v>
      </c>
      <c r="T117" s="13">
        <f t="shared" si="76"/>
        <v>0</v>
      </c>
      <c r="U117" s="18"/>
      <c r="V117" s="13"/>
      <c r="W117" s="13"/>
      <c r="X117" s="13"/>
      <c r="Y117" s="18">
        <v>1</v>
      </c>
      <c r="Z117" s="13">
        <v>1</v>
      </c>
      <c r="AA117" s="21">
        <v>242</v>
      </c>
      <c r="AB117" s="13">
        <f t="shared" si="77"/>
        <v>242</v>
      </c>
      <c r="AC117" s="18"/>
      <c r="AD117" s="13"/>
      <c r="AE117" s="13"/>
      <c r="AF117" s="13"/>
      <c r="AG117" s="18"/>
      <c r="AH117" s="13"/>
      <c r="AI117" s="21">
        <v>242</v>
      </c>
      <c r="AJ117" s="13">
        <f t="shared" si="78"/>
        <v>0</v>
      </c>
      <c r="AK117" s="18"/>
      <c r="AL117" s="13"/>
      <c r="AM117" s="13"/>
      <c r="AN117" s="13"/>
      <c r="AO117" s="18"/>
      <c r="AP117" s="13"/>
      <c r="AQ117" s="21">
        <v>242</v>
      </c>
      <c r="AR117" s="13">
        <f t="shared" si="79"/>
        <v>0</v>
      </c>
      <c r="AS117" s="18"/>
      <c r="AT117" s="13"/>
      <c r="AU117" s="13"/>
      <c r="AV117" s="13"/>
      <c r="AW117" s="18"/>
      <c r="AX117" s="13"/>
      <c r="AY117" s="21">
        <v>242</v>
      </c>
      <c r="AZ117" s="13">
        <f t="shared" si="80"/>
        <v>0</v>
      </c>
      <c r="BA117" s="18"/>
      <c r="BB117" s="13"/>
      <c r="BC117" s="13"/>
      <c r="BD117" s="13"/>
      <c r="BE117" s="18"/>
      <c r="BF117" s="13"/>
      <c r="BG117" s="21">
        <v>242</v>
      </c>
      <c r="BH117" s="13">
        <f t="shared" si="81"/>
        <v>0</v>
      </c>
      <c r="BI117" s="18"/>
      <c r="BJ117" s="13"/>
      <c r="BK117" s="13"/>
      <c r="BL117" s="13"/>
      <c r="BM117" s="18"/>
      <c r="BN117" s="13"/>
      <c r="BO117" s="21">
        <v>242</v>
      </c>
      <c r="BP117" s="13">
        <f t="shared" si="82"/>
        <v>0</v>
      </c>
      <c r="BQ117" s="18"/>
      <c r="BR117" s="13"/>
      <c r="BS117" s="13"/>
      <c r="BT117" s="13"/>
      <c r="BU117" s="18">
        <v>1</v>
      </c>
      <c r="BV117" s="13">
        <v>1</v>
      </c>
      <c r="BW117" s="21">
        <v>242</v>
      </c>
      <c r="BX117" s="13">
        <f t="shared" si="83"/>
        <v>242</v>
      </c>
      <c r="BY117" s="18"/>
      <c r="BZ117" s="13"/>
      <c r="CA117" s="13"/>
      <c r="CB117" s="13"/>
      <c r="CC117" s="18">
        <v>1</v>
      </c>
      <c r="CD117" s="13"/>
      <c r="CE117" s="21">
        <v>242</v>
      </c>
      <c r="CF117" s="13">
        <f t="shared" si="84"/>
        <v>0</v>
      </c>
      <c r="CG117" s="15"/>
    </row>
    <row r="118" spans="1:85">
      <c r="A118" s="61" t="s">
        <v>109</v>
      </c>
      <c r="B118" s="10" t="s">
        <v>18</v>
      </c>
      <c r="C118" s="11"/>
      <c r="D118" s="12" t="s">
        <v>19</v>
      </c>
      <c r="E118" s="18"/>
      <c r="F118" s="13">
        <v>1</v>
      </c>
      <c r="G118" s="13"/>
      <c r="H118" s="13">
        <v>1</v>
      </c>
      <c r="I118" s="18"/>
      <c r="J118" s="13">
        <v>2</v>
      </c>
      <c r="K118" s="19">
        <v>25</v>
      </c>
      <c r="L118" s="13">
        <f t="shared" si="75"/>
        <v>50</v>
      </c>
      <c r="M118" s="18"/>
      <c r="N118" s="13">
        <v>1</v>
      </c>
      <c r="O118" s="13"/>
      <c r="P118" s="13">
        <v>1</v>
      </c>
      <c r="Q118" s="18"/>
      <c r="R118" s="13">
        <v>2</v>
      </c>
      <c r="S118" s="19">
        <v>25</v>
      </c>
      <c r="T118" s="13">
        <f t="shared" si="76"/>
        <v>50</v>
      </c>
      <c r="U118" s="18"/>
      <c r="V118" s="13">
        <v>1</v>
      </c>
      <c r="W118" s="13"/>
      <c r="X118" s="13">
        <v>1</v>
      </c>
      <c r="Y118" s="18"/>
      <c r="Z118" s="13">
        <v>2</v>
      </c>
      <c r="AA118" s="19">
        <v>25</v>
      </c>
      <c r="AB118" s="13">
        <f t="shared" si="77"/>
        <v>50</v>
      </c>
      <c r="AC118" s="18"/>
      <c r="AD118" s="13">
        <v>1</v>
      </c>
      <c r="AE118" s="13"/>
      <c r="AF118" s="13">
        <v>1</v>
      </c>
      <c r="AG118" s="18"/>
      <c r="AH118" s="13">
        <v>2</v>
      </c>
      <c r="AI118" s="19">
        <v>25</v>
      </c>
      <c r="AJ118" s="13">
        <f t="shared" si="78"/>
        <v>50</v>
      </c>
      <c r="AK118" s="18"/>
      <c r="AL118" s="13">
        <v>1</v>
      </c>
      <c r="AM118" s="13"/>
      <c r="AN118" s="13">
        <v>1</v>
      </c>
      <c r="AO118" s="18"/>
      <c r="AP118" s="13">
        <v>2</v>
      </c>
      <c r="AQ118" s="19">
        <v>25</v>
      </c>
      <c r="AR118" s="13">
        <f t="shared" si="79"/>
        <v>50</v>
      </c>
      <c r="AS118" s="18"/>
      <c r="AT118" s="13">
        <v>1</v>
      </c>
      <c r="AU118" s="13"/>
      <c r="AV118" s="13">
        <v>1</v>
      </c>
      <c r="AW118" s="18"/>
      <c r="AX118" s="13">
        <v>2</v>
      </c>
      <c r="AY118" s="19">
        <v>25</v>
      </c>
      <c r="AZ118" s="13">
        <f t="shared" si="80"/>
        <v>50</v>
      </c>
      <c r="BA118" s="18"/>
      <c r="BB118" s="13">
        <v>1</v>
      </c>
      <c r="BC118" s="13"/>
      <c r="BD118" s="13">
        <v>1</v>
      </c>
      <c r="BE118" s="18"/>
      <c r="BF118" s="13">
        <v>2</v>
      </c>
      <c r="BG118" s="19">
        <v>25</v>
      </c>
      <c r="BH118" s="13">
        <f t="shared" si="81"/>
        <v>50</v>
      </c>
      <c r="BI118" s="18"/>
      <c r="BJ118" s="13">
        <v>1</v>
      </c>
      <c r="BK118" s="13"/>
      <c r="BL118" s="13">
        <v>1</v>
      </c>
      <c r="BM118" s="18"/>
      <c r="BN118" s="13">
        <v>2</v>
      </c>
      <c r="BO118" s="19">
        <v>25</v>
      </c>
      <c r="BP118" s="13">
        <f t="shared" si="82"/>
        <v>50</v>
      </c>
      <c r="BQ118" s="18"/>
      <c r="BR118" s="13">
        <v>1</v>
      </c>
      <c r="BS118" s="13"/>
      <c r="BT118" s="13">
        <v>1</v>
      </c>
      <c r="BU118" s="18"/>
      <c r="BV118" s="13">
        <v>2</v>
      </c>
      <c r="BW118" s="19">
        <v>25</v>
      </c>
      <c r="BX118" s="13">
        <f t="shared" si="83"/>
        <v>50</v>
      </c>
      <c r="BY118" s="18"/>
      <c r="BZ118" s="13">
        <v>1</v>
      </c>
      <c r="CA118" s="13"/>
      <c r="CB118" s="13">
        <v>1</v>
      </c>
      <c r="CC118" s="18"/>
      <c r="CD118" s="13">
        <v>2</v>
      </c>
      <c r="CE118" s="19">
        <v>25</v>
      </c>
      <c r="CF118" s="13">
        <f t="shared" si="84"/>
        <v>50</v>
      </c>
      <c r="CG118" s="15"/>
    </row>
    <row r="119" spans="1:85">
      <c r="A119" s="61" t="s">
        <v>109</v>
      </c>
      <c r="B119" s="10" t="s">
        <v>20</v>
      </c>
      <c r="C119" s="11"/>
      <c r="D119" s="12" t="s">
        <v>21</v>
      </c>
      <c r="E119" s="18"/>
      <c r="F119" s="13">
        <v>1</v>
      </c>
      <c r="G119" s="13"/>
      <c r="H119" s="13">
        <v>1</v>
      </c>
      <c r="I119" s="18"/>
      <c r="J119" s="13">
        <v>2</v>
      </c>
      <c r="K119" s="21">
        <v>112</v>
      </c>
      <c r="L119" s="13">
        <f t="shared" si="75"/>
        <v>224</v>
      </c>
      <c r="M119" s="18"/>
      <c r="N119" s="13">
        <v>1</v>
      </c>
      <c r="O119" s="13"/>
      <c r="P119" s="13">
        <v>1</v>
      </c>
      <c r="Q119" s="18"/>
      <c r="R119" s="13">
        <v>2</v>
      </c>
      <c r="S119" s="21">
        <v>112</v>
      </c>
      <c r="T119" s="13">
        <f t="shared" si="76"/>
        <v>224</v>
      </c>
      <c r="U119" s="18"/>
      <c r="V119" s="13">
        <v>1</v>
      </c>
      <c r="W119" s="13"/>
      <c r="X119" s="13">
        <v>1</v>
      </c>
      <c r="Y119" s="18"/>
      <c r="Z119" s="13">
        <v>2</v>
      </c>
      <c r="AA119" s="21">
        <v>112</v>
      </c>
      <c r="AB119" s="13">
        <f t="shared" si="77"/>
        <v>224</v>
      </c>
      <c r="AC119" s="18"/>
      <c r="AD119" s="13">
        <v>1</v>
      </c>
      <c r="AE119" s="13"/>
      <c r="AF119" s="13">
        <v>1</v>
      </c>
      <c r="AG119" s="18"/>
      <c r="AH119" s="13">
        <v>2</v>
      </c>
      <c r="AI119" s="21">
        <v>112</v>
      </c>
      <c r="AJ119" s="13">
        <f t="shared" si="78"/>
        <v>224</v>
      </c>
      <c r="AK119" s="18"/>
      <c r="AL119" s="13">
        <v>1</v>
      </c>
      <c r="AM119" s="13"/>
      <c r="AN119" s="13">
        <v>1</v>
      </c>
      <c r="AO119" s="18"/>
      <c r="AP119" s="13">
        <v>2</v>
      </c>
      <c r="AQ119" s="21">
        <v>112</v>
      </c>
      <c r="AR119" s="13">
        <f t="shared" si="79"/>
        <v>224</v>
      </c>
      <c r="AS119" s="18"/>
      <c r="AT119" s="13">
        <v>1</v>
      </c>
      <c r="AU119" s="13"/>
      <c r="AV119" s="13">
        <v>1</v>
      </c>
      <c r="AW119" s="18"/>
      <c r="AX119" s="13">
        <v>2</v>
      </c>
      <c r="AY119" s="21">
        <v>112</v>
      </c>
      <c r="AZ119" s="13">
        <f t="shared" si="80"/>
        <v>224</v>
      </c>
      <c r="BA119" s="18"/>
      <c r="BB119" s="13">
        <v>1</v>
      </c>
      <c r="BC119" s="13"/>
      <c r="BD119" s="13">
        <v>1</v>
      </c>
      <c r="BE119" s="18"/>
      <c r="BF119" s="13">
        <v>2</v>
      </c>
      <c r="BG119" s="21">
        <v>112</v>
      </c>
      <c r="BH119" s="13">
        <f t="shared" si="81"/>
        <v>224</v>
      </c>
      <c r="BI119" s="18"/>
      <c r="BJ119" s="13">
        <v>1</v>
      </c>
      <c r="BK119" s="13"/>
      <c r="BL119" s="13">
        <v>1</v>
      </c>
      <c r="BM119" s="18"/>
      <c r="BN119" s="13">
        <v>2</v>
      </c>
      <c r="BO119" s="21">
        <v>112</v>
      </c>
      <c r="BP119" s="13">
        <f t="shared" si="82"/>
        <v>224</v>
      </c>
      <c r="BQ119" s="18"/>
      <c r="BR119" s="13">
        <v>1</v>
      </c>
      <c r="BS119" s="13"/>
      <c r="BT119" s="13">
        <v>1</v>
      </c>
      <c r="BU119" s="18"/>
      <c r="BV119" s="13">
        <v>2</v>
      </c>
      <c r="BW119" s="21">
        <v>112</v>
      </c>
      <c r="BX119" s="13">
        <f t="shared" si="83"/>
        <v>224</v>
      </c>
      <c r="BY119" s="18"/>
      <c r="BZ119" s="13">
        <v>1</v>
      </c>
      <c r="CA119" s="13"/>
      <c r="CB119" s="13">
        <v>1</v>
      </c>
      <c r="CC119" s="18"/>
      <c r="CD119" s="13">
        <v>2</v>
      </c>
      <c r="CE119" s="21">
        <v>112</v>
      </c>
      <c r="CF119" s="13">
        <f t="shared" si="84"/>
        <v>224</v>
      </c>
      <c r="CG119" s="15"/>
    </row>
    <row r="120" spans="1:85">
      <c r="A120" s="61" t="s">
        <v>109</v>
      </c>
      <c r="B120" s="10" t="s">
        <v>22</v>
      </c>
      <c r="C120" s="11"/>
      <c r="D120" s="11" t="s">
        <v>23</v>
      </c>
      <c r="E120" s="18"/>
      <c r="F120" s="13">
        <v>1</v>
      </c>
      <c r="G120" s="13"/>
      <c r="H120" s="13">
        <v>1</v>
      </c>
      <c r="I120" s="18"/>
      <c r="J120" s="13">
        <v>2</v>
      </c>
      <c r="K120" s="22">
        <v>275</v>
      </c>
      <c r="L120" s="13">
        <f t="shared" si="75"/>
        <v>550</v>
      </c>
      <c r="M120" s="18"/>
      <c r="N120" s="13">
        <v>1</v>
      </c>
      <c r="O120" s="13"/>
      <c r="P120" s="13">
        <v>1</v>
      </c>
      <c r="Q120" s="18"/>
      <c r="R120" s="13">
        <v>2</v>
      </c>
      <c r="S120" s="22">
        <v>275</v>
      </c>
      <c r="T120" s="13">
        <f t="shared" si="76"/>
        <v>550</v>
      </c>
      <c r="U120" s="18"/>
      <c r="V120" s="13">
        <v>1</v>
      </c>
      <c r="W120" s="13"/>
      <c r="X120" s="13">
        <v>1</v>
      </c>
      <c r="Y120" s="18"/>
      <c r="Z120" s="13">
        <v>2</v>
      </c>
      <c r="AA120" s="22">
        <v>275</v>
      </c>
      <c r="AB120" s="13">
        <f t="shared" si="77"/>
        <v>550</v>
      </c>
      <c r="AC120" s="18"/>
      <c r="AD120" s="13">
        <v>1</v>
      </c>
      <c r="AE120" s="13"/>
      <c r="AF120" s="13">
        <v>1</v>
      </c>
      <c r="AG120" s="18"/>
      <c r="AH120" s="13">
        <v>2</v>
      </c>
      <c r="AI120" s="22">
        <v>275</v>
      </c>
      <c r="AJ120" s="13">
        <f t="shared" si="78"/>
        <v>550</v>
      </c>
      <c r="AK120" s="18"/>
      <c r="AL120" s="13">
        <v>1</v>
      </c>
      <c r="AM120" s="13"/>
      <c r="AN120" s="13">
        <v>1</v>
      </c>
      <c r="AO120" s="18"/>
      <c r="AP120" s="13">
        <v>2</v>
      </c>
      <c r="AQ120" s="22">
        <v>275</v>
      </c>
      <c r="AR120" s="13">
        <f t="shared" si="79"/>
        <v>550</v>
      </c>
      <c r="AS120" s="18"/>
      <c r="AT120" s="13">
        <v>1</v>
      </c>
      <c r="AU120" s="13"/>
      <c r="AV120" s="13">
        <v>1</v>
      </c>
      <c r="AW120" s="18"/>
      <c r="AX120" s="13">
        <v>2</v>
      </c>
      <c r="AY120" s="22">
        <v>275</v>
      </c>
      <c r="AZ120" s="13">
        <f t="shared" si="80"/>
        <v>550</v>
      </c>
      <c r="BA120" s="18"/>
      <c r="BB120" s="13">
        <v>1</v>
      </c>
      <c r="BC120" s="13"/>
      <c r="BD120" s="13">
        <v>1</v>
      </c>
      <c r="BE120" s="18"/>
      <c r="BF120" s="13">
        <v>2</v>
      </c>
      <c r="BG120" s="22">
        <v>275</v>
      </c>
      <c r="BH120" s="13">
        <f t="shared" si="81"/>
        <v>550</v>
      </c>
      <c r="BI120" s="18"/>
      <c r="BJ120" s="13">
        <v>1</v>
      </c>
      <c r="BK120" s="13"/>
      <c r="BL120" s="13">
        <v>1</v>
      </c>
      <c r="BM120" s="18"/>
      <c r="BN120" s="13">
        <v>2</v>
      </c>
      <c r="BO120" s="22">
        <v>275</v>
      </c>
      <c r="BP120" s="13">
        <f t="shared" si="82"/>
        <v>550</v>
      </c>
      <c r="BQ120" s="18"/>
      <c r="BR120" s="13">
        <v>1</v>
      </c>
      <c r="BS120" s="13"/>
      <c r="BT120" s="13">
        <v>1</v>
      </c>
      <c r="BU120" s="18"/>
      <c r="BV120" s="13">
        <v>2</v>
      </c>
      <c r="BW120" s="22">
        <v>275</v>
      </c>
      <c r="BX120" s="13">
        <f t="shared" si="83"/>
        <v>550</v>
      </c>
      <c r="BY120" s="18"/>
      <c r="BZ120" s="13">
        <v>1</v>
      </c>
      <c r="CA120" s="13"/>
      <c r="CB120" s="13">
        <v>1</v>
      </c>
      <c r="CC120" s="18"/>
      <c r="CD120" s="13">
        <v>2</v>
      </c>
      <c r="CE120" s="22">
        <v>275</v>
      </c>
      <c r="CF120" s="13">
        <f t="shared" si="84"/>
        <v>550</v>
      </c>
      <c r="CG120" s="15"/>
    </row>
    <row r="121" spans="1:85">
      <c r="A121" s="61" t="s">
        <v>109</v>
      </c>
      <c r="B121" s="10" t="s">
        <v>93</v>
      </c>
      <c r="C121" s="11"/>
      <c r="D121" s="12" t="s">
        <v>94</v>
      </c>
      <c r="E121" s="18"/>
      <c r="F121" s="13"/>
      <c r="G121" s="13"/>
      <c r="H121" s="13"/>
      <c r="I121" s="18"/>
      <c r="J121" s="13"/>
      <c r="K121" s="22">
        <v>1529</v>
      </c>
      <c r="L121" s="13">
        <f t="shared" si="75"/>
        <v>0</v>
      </c>
      <c r="M121" s="18"/>
      <c r="N121" s="13"/>
      <c r="O121" s="13"/>
      <c r="P121" s="13"/>
      <c r="Q121" s="18"/>
      <c r="R121" s="13"/>
      <c r="S121" s="22">
        <v>1529</v>
      </c>
      <c r="T121" s="13">
        <f t="shared" si="76"/>
        <v>0</v>
      </c>
      <c r="U121" s="18"/>
      <c r="V121" s="13"/>
      <c r="W121" s="13"/>
      <c r="X121" s="13"/>
      <c r="Y121" s="18"/>
      <c r="Z121" s="13"/>
      <c r="AA121" s="22">
        <v>1529</v>
      </c>
      <c r="AB121" s="13">
        <f t="shared" si="77"/>
        <v>0</v>
      </c>
      <c r="AC121" s="18"/>
      <c r="AD121" s="13"/>
      <c r="AE121" s="13"/>
      <c r="AF121" s="13"/>
      <c r="AG121" s="18"/>
      <c r="AH121" s="13"/>
      <c r="AI121" s="22">
        <v>1529</v>
      </c>
      <c r="AJ121" s="13">
        <f t="shared" si="78"/>
        <v>0</v>
      </c>
      <c r="AK121" s="18"/>
      <c r="AL121" s="13"/>
      <c r="AM121" s="13"/>
      <c r="AN121" s="13"/>
      <c r="AO121" s="18"/>
      <c r="AP121" s="13"/>
      <c r="AQ121" s="22">
        <v>1529</v>
      </c>
      <c r="AR121" s="13">
        <f t="shared" si="79"/>
        <v>0</v>
      </c>
      <c r="AS121" s="18"/>
      <c r="AT121" s="13"/>
      <c r="AU121" s="13"/>
      <c r="AV121" s="13"/>
      <c r="AW121" s="18"/>
      <c r="AX121" s="13"/>
      <c r="AY121" s="22">
        <v>1529</v>
      </c>
      <c r="AZ121" s="13">
        <f t="shared" si="80"/>
        <v>0</v>
      </c>
      <c r="BA121" s="18"/>
      <c r="BB121" s="13"/>
      <c r="BC121" s="13"/>
      <c r="BD121" s="13"/>
      <c r="BE121" s="18"/>
      <c r="BF121" s="13"/>
      <c r="BG121" s="22">
        <v>1529</v>
      </c>
      <c r="BH121" s="13">
        <f t="shared" si="81"/>
        <v>0</v>
      </c>
      <c r="BI121" s="18"/>
      <c r="BJ121" s="13"/>
      <c r="BK121" s="13"/>
      <c r="BL121" s="13"/>
      <c r="BM121" s="18"/>
      <c r="BN121" s="13"/>
      <c r="BO121" s="22">
        <v>1529</v>
      </c>
      <c r="BP121" s="13">
        <f t="shared" si="82"/>
        <v>0</v>
      </c>
      <c r="BQ121" s="18"/>
      <c r="BR121" s="13"/>
      <c r="BS121" s="13"/>
      <c r="BT121" s="13"/>
      <c r="BU121" s="18"/>
      <c r="BV121" s="13"/>
      <c r="BW121" s="22">
        <v>1529</v>
      </c>
      <c r="BX121" s="13">
        <f t="shared" si="83"/>
        <v>0</v>
      </c>
      <c r="BY121" s="18"/>
      <c r="BZ121" s="13"/>
      <c r="CA121" s="13"/>
      <c r="CB121" s="13"/>
      <c r="CC121" s="18"/>
      <c r="CD121" s="13"/>
      <c r="CE121" s="22">
        <v>1529</v>
      </c>
      <c r="CF121" s="13">
        <f t="shared" si="84"/>
        <v>0</v>
      </c>
      <c r="CG121" s="15"/>
    </row>
    <row r="122" spans="1:85">
      <c r="A122" s="61" t="s">
        <v>109</v>
      </c>
      <c r="B122" s="10" t="s">
        <v>24</v>
      </c>
      <c r="C122" s="11"/>
      <c r="D122" s="12" t="s">
        <v>25</v>
      </c>
      <c r="E122" s="18"/>
      <c r="F122" s="13"/>
      <c r="G122" s="13"/>
      <c r="H122" s="13"/>
      <c r="I122" s="18"/>
      <c r="J122" s="13"/>
      <c r="K122" s="19">
        <v>623</v>
      </c>
      <c r="L122" s="13">
        <f t="shared" si="75"/>
        <v>0</v>
      </c>
      <c r="M122" s="18"/>
      <c r="N122" s="13"/>
      <c r="O122" s="13"/>
      <c r="P122" s="13"/>
      <c r="Q122" s="18"/>
      <c r="R122" s="13"/>
      <c r="S122" s="19">
        <v>623</v>
      </c>
      <c r="T122" s="13">
        <f t="shared" si="76"/>
        <v>0</v>
      </c>
      <c r="U122" s="18"/>
      <c r="V122" s="13"/>
      <c r="W122" s="13"/>
      <c r="X122" s="13"/>
      <c r="Y122" s="18"/>
      <c r="Z122" s="13"/>
      <c r="AA122" s="19">
        <v>623</v>
      </c>
      <c r="AB122" s="13">
        <f t="shared" si="77"/>
        <v>0</v>
      </c>
      <c r="AC122" s="18"/>
      <c r="AD122" s="13"/>
      <c r="AE122" s="13"/>
      <c r="AF122" s="13"/>
      <c r="AG122" s="18"/>
      <c r="AH122" s="13"/>
      <c r="AI122" s="19">
        <v>623</v>
      </c>
      <c r="AJ122" s="13">
        <f t="shared" si="78"/>
        <v>0</v>
      </c>
      <c r="AK122" s="18"/>
      <c r="AL122" s="13"/>
      <c r="AM122" s="13"/>
      <c r="AN122" s="13"/>
      <c r="AO122" s="18"/>
      <c r="AP122" s="13"/>
      <c r="AQ122" s="19">
        <v>623</v>
      </c>
      <c r="AR122" s="13">
        <f t="shared" si="79"/>
        <v>0</v>
      </c>
      <c r="AS122" s="18"/>
      <c r="AT122" s="13"/>
      <c r="AU122" s="13"/>
      <c r="AV122" s="13"/>
      <c r="AW122" s="18"/>
      <c r="AX122" s="13"/>
      <c r="AY122" s="19">
        <v>623</v>
      </c>
      <c r="AZ122" s="13">
        <f t="shared" si="80"/>
        <v>0</v>
      </c>
      <c r="BA122" s="18"/>
      <c r="BB122" s="13"/>
      <c r="BC122" s="13"/>
      <c r="BD122" s="13"/>
      <c r="BE122" s="18"/>
      <c r="BF122" s="13"/>
      <c r="BG122" s="19">
        <v>623</v>
      </c>
      <c r="BH122" s="13">
        <f t="shared" si="81"/>
        <v>0</v>
      </c>
      <c r="BI122" s="18"/>
      <c r="BJ122" s="13"/>
      <c r="BK122" s="13"/>
      <c r="BL122" s="13"/>
      <c r="BM122" s="18"/>
      <c r="BN122" s="13"/>
      <c r="BO122" s="19">
        <v>623</v>
      </c>
      <c r="BP122" s="13">
        <f t="shared" si="82"/>
        <v>0</v>
      </c>
      <c r="BQ122" s="18"/>
      <c r="BR122" s="13"/>
      <c r="BS122" s="13"/>
      <c r="BT122" s="13"/>
      <c r="BU122" s="18"/>
      <c r="BV122" s="13"/>
      <c r="BW122" s="19">
        <v>623</v>
      </c>
      <c r="BX122" s="13">
        <f t="shared" si="83"/>
        <v>0</v>
      </c>
      <c r="BY122" s="18"/>
      <c r="BZ122" s="13"/>
      <c r="CA122" s="13"/>
      <c r="CB122" s="13"/>
      <c r="CC122" s="18"/>
      <c r="CD122" s="13"/>
      <c r="CE122" s="19">
        <v>623</v>
      </c>
      <c r="CF122" s="13">
        <f t="shared" si="84"/>
        <v>0</v>
      </c>
      <c r="CG122" s="15"/>
    </row>
    <row r="123" spans="1:85">
      <c r="A123" s="61" t="s">
        <v>109</v>
      </c>
      <c r="B123" s="10" t="s">
        <v>97</v>
      </c>
      <c r="C123" s="11"/>
      <c r="D123" s="11" t="s">
        <v>98</v>
      </c>
      <c r="E123" s="13"/>
      <c r="F123" s="13"/>
      <c r="G123" s="13"/>
      <c r="H123" s="13"/>
      <c r="I123" s="13"/>
      <c r="J123" s="13"/>
      <c r="K123" s="13">
        <v>3707</v>
      </c>
      <c r="L123" s="13">
        <f t="shared" si="75"/>
        <v>0</v>
      </c>
      <c r="M123" s="13"/>
      <c r="N123" s="13"/>
      <c r="O123" s="13"/>
      <c r="P123" s="13"/>
      <c r="Q123" s="13"/>
      <c r="R123" s="13"/>
      <c r="S123" s="13">
        <v>3707</v>
      </c>
      <c r="T123" s="13">
        <f>S123*R123</f>
        <v>0</v>
      </c>
      <c r="U123" s="13"/>
      <c r="V123" s="13"/>
      <c r="W123" s="13"/>
      <c r="X123" s="13"/>
      <c r="Y123" s="13">
        <v>2</v>
      </c>
      <c r="Z123" s="13">
        <v>2</v>
      </c>
      <c r="AA123" s="13">
        <v>3707</v>
      </c>
      <c r="AB123" s="13">
        <f>AA123*Z123</f>
        <v>7414</v>
      </c>
      <c r="AC123" s="13"/>
      <c r="AD123" s="13"/>
      <c r="AE123" s="13"/>
      <c r="AF123" s="13"/>
      <c r="AG123" s="13"/>
      <c r="AH123" s="13"/>
      <c r="AI123" s="13">
        <v>3707</v>
      </c>
      <c r="AJ123" s="13">
        <f t="shared" si="78"/>
        <v>0</v>
      </c>
      <c r="AK123" s="13"/>
      <c r="AL123" s="13"/>
      <c r="AM123" s="13"/>
      <c r="AN123" s="13"/>
      <c r="AO123" s="13"/>
      <c r="AP123" s="13"/>
      <c r="AQ123" s="13">
        <v>3707</v>
      </c>
      <c r="AR123" s="13">
        <f t="shared" si="79"/>
        <v>0</v>
      </c>
      <c r="AS123" s="13"/>
      <c r="AT123" s="13"/>
      <c r="AU123" s="13"/>
      <c r="AV123" s="13"/>
      <c r="AW123" s="13">
        <v>2</v>
      </c>
      <c r="AX123" s="13">
        <v>2</v>
      </c>
      <c r="AY123" s="13">
        <v>3707</v>
      </c>
      <c r="AZ123" s="13">
        <f t="shared" si="80"/>
        <v>7414</v>
      </c>
      <c r="BA123" s="13"/>
      <c r="BB123" s="13"/>
      <c r="BC123" s="13"/>
      <c r="BD123" s="13"/>
      <c r="BE123" s="13"/>
      <c r="BF123" s="13"/>
      <c r="BG123" s="13">
        <v>3707</v>
      </c>
      <c r="BH123" s="13">
        <f t="shared" si="81"/>
        <v>0</v>
      </c>
      <c r="BI123" s="13"/>
      <c r="BJ123" s="13"/>
      <c r="BK123" s="13"/>
      <c r="BL123" s="13"/>
      <c r="BM123" s="13"/>
      <c r="BN123" s="13"/>
      <c r="BO123" s="13">
        <v>3707</v>
      </c>
      <c r="BP123" s="13">
        <f t="shared" si="82"/>
        <v>0</v>
      </c>
      <c r="BQ123" s="13"/>
      <c r="BR123" s="13"/>
      <c r="BS123" s="13"/>
      <c r="BT123" s="13"/>
      <c r="BU123" s="13">
        <v>2</v>
      </c>
      <c r="BV123" s="13">
        <v>2</v>
      </c>
      <c r="BW123" s="13">
        <v>3707</v>
      </c>
      <c r="BX123" s="13">
        <f t="shared" si="83"/>
        <v>7414</v>
      </c>
      <c r="BY123" s="13"/>
      <c r="BZ123" s="13"/>
      <c r="CA123" s="13"/>
      <c r="CB123" s="13"/>
      <c r="CC123" s="13"/>
      <c r="CD123" s="13"/>
      <c r="CE123" s="13">
        <v>3707</v>
      </c>
      <c r="CF123" s="13">
        <f t="shared" si="84"/>
        <v>0</v>
      </c>
      <c r="CG123" s="15"/>
    </row>
    <row r="124" spans="1:85">
      <c r="A124" s="61" t="s">
        <v>109</v>
      </c>
      <c r="B124" s="10" t="s">
        <v>28</v>
      </c>
      <c r="C124" s="11"/>
      <c r="D124" s="11" t="s">
        <v>29</v>
      </c>
      <c r="E124" s="13"/>
      <c r="F124" s="13"/>
      <c r="G124" s="13"/>
      <c r="H124" s="13"/>
      <c r="I124" s="13"/>
      <c r="J124" s="13"/>
      <c r="K124" s="13">
        <v>3398</v>
      </c>
      <c r="L124" s="13">
        <f t="shared" si="75"/>
        <v>0</v>
      </c>
      <c r="M124" s="13"/>
      <c r="N124" s="13"/>
      <c r="O124" s="13"/>
      <c r="P124" s="13"/>
      <c r="Q124" s="13"/>
      <c r="R124" s="13"/>
      <c r="S124" s="13">
        <v>3398</v>
      </c>
      <c r="T124" s="13">
        <f>S124*R124</f>
        <v>0</v>
      </c>
      <c r="U124" s="13"/>
      <c r="V124" s="13"/>
      <c r="W124" s="13"/>
      <c r="X124" s="13"/>
      <c r="Y124" s="13">
        <v>1</v>
      </c>
      <c r="Z124" s="13">
        <v>1</v>
      </c>
      <c r="AA124" s="13">
        <v>3398</v>
      </c>
      <c r="AB124" s="13">
        <f>AA124*Z124</f>
        <v>3398</v>
      </c>
      <c r="AC124" s="13"/>
      <c r="AD124" s="13"/>
      <c r="AE124" s="13"/>
      <c r="AF124" s="13"/>
      <c r="AG124" s="13"/>
      <c r="AH124" s="13"/>
      <c r="AI124" s="13">
        <v>3398</v>
      </c>
      <c r="AJ124" s="13">
        <f t="shared" si="78"/>
        <v>0</v>
      </c>
      <c r="AK124" s="13"/>
      <c r="AL124" s="13"/>
      <c r="AM124" s="13"/>
      <c r="AN124" s="13"/>
      <c r="AO124" s="13"/>
      <c r="AP124" s="13"/>
      <c r="AQ124" s="13">
        <v>3398</v>
      </c>
      <c r="AR124" s="13">
        <f t="shared" si="79"/>
        <v>0</v>
      </c>
      <c r="AS124" s="13"/>
      <c r="AT124" s="13"/>
      <c r="AU124" s="13"/>
      <c r="AV124" s="13"/>
      <c r="AW124" s="13">
        <v>1</v>
      </c>
      <c r="AX124" s="13">
        <v>1</v>
      </c>
      <c r="AY124" s="13">
        <v>3398</v>
      </c>
      <c r="AZ124" s="13">
        <f t="shared" si="80"/>
        <v>3398</v>
      </c>
      <c r="BA124" s="13"/>
      <c r="BB124" s="13"/>
      <c r="BC124" s="13"/>
      <c r="BD124" s="13"/>
      <c r="BE124" s="13"/>
      <c r="BF124" s="13"/>
      <c r="BG124" s="13">
        <v>3398</v>
      </c>
      <c r="BH124" s="13">
        <f t="shared" si="81"/>
        <v>0</v>
      </c>
      <c r="BI124" s="13"/>
      <c r="BJ124" s="13"/>
      <c r="BK124" s="13"/>
      <c r="BL124" s="13"/>
      <c r="BM124" s="13"/>
      <c r="BN124" s="13"/>
      <c r="BO124" s="13">
        <v>3398</v>
      </c>
      <c r="BP124" s="13">
        <f t="shared" si="82"/>
        <v>0</v>
      </c>
      <c r="BQ124" s="13"/>
      <c r="BR124" s="13"/>
      <c r="BS124" s="13"/>
      <c r="BT124" s="13"/>
      <c r="BU124" s="13">
        <v>1</v>
      </c>
      <c r="BV124" s="13">
        <v>1</v>
      </c>
      <c r="BW124" s="13">
        <v>3398</v>
      </c>
      <c r="BX124" s="13">
        <f t="shared" si="83"/>
        <v>3398</v>
      </c>
      <c r="BY124" s="13"/>
      <c r="BZ124" s="13"/>
      <c r="CA124" s="13"/>
      <c r="CB124" s="13"/>
      <c r="CC124" s="13"/>
      <c r="CD124" s="13"/>
      <c r="CE124" s="13">
        <v>3398</v>
      </c>
      <c r="CF124" s="13">
        <f t="shared" si="84"/>
        <v>0</v>
      </c>
      <c r="CG124" s="15"/>
    </row>
    <row r="125" spans="1:85">
      <c r="A125" s="61" t="s">
        <v>109</v>
      </c>
      <c r="B125" s="20" t="s">
        <v>101</v>
      </c>
      <c r="C125" s="11"/>
      <c r="D125" s="12" t="s">
        <v>102</v>
      </c>
      <c r="E125" s="13"/>
      <c r="F125" s="13"/>
      <c r="G125" s="13"/>
      <c r="H125" s="13"/>
      <c r="I125" s="13"/>
      <c r="J125" s="13"/>
      <c r="K125" s="13">
        <v>2150</v>
      </c>
      <c r="L125" s="13">
        <f t="shared" si="75"/>
        <v>0</v>
      </c>
      <c r="M125" s="13"/>
      <c r="N125" s="13"/>
      <c r="O125" s="13"/>
      <c r="P125" s="13"/>
      <c r="Q125" s="13"/>
      <c r="R125" s="13"/>
      <c r="S125" s="13">
        <v>2150</v>
      </c>
      <c r="T125" s="13">
        <f>S125*R125</f>
        <v>0</v>
      </c>
      <c r="U125" s="13"/>
      <c r="V125" s="13"/>
      <c r="W125" s="13"/>
      <c r="X125" s="13"/>
      <c r="Y125" s="13">
        <v>2</v>
      </c>
      <c r="Z125" s="13">
        <v>2</v>
      </c>
      <c r="AA125" s="13">
        <v>2150</v>
      </c>
      <c r="AB125" s="13">
        <f>AA125*Z125</f>
        <v>4300</v>
      </c>
      <c r="AC125" s="13"/>
      <c r="AD125" s="13"/>
      <c r="AE125" s="13"/>
      <c r="AF125" s="13"/>
      <c r="AG125" s="13"/>
      <c r="AH125" s="13"/>
      <c r="AI125" s="13">
        <v>2150</v>
      </c>
      <c r="AJ125" s="13">
        <f t="shared" si="78"/>
        <v>0</v>
      </c>
      <c r="AK125" s="13"/>
      <c r="AL125" s="13"/>
      <c r="AM125" s="13"/>
      <c r="AN125" s="13"/>
      <c r="AO125" s="13"/>
      <c r="AP125" s="13"/>
      <c r="AQ125" s="13">
        <v>2150</v>
      </c>
      <c r="AR125" s="13">
        <f t="shared" si="79"/>
        <v>0</v>
      </c>
      <c r="AS125" s="13"/>
      <c r="AT125" s="13"/>
      <c r="AU125" s="13"/>
      <c r="AV125" s="13"/>
      <c r="AW125" s="13">
        <v>2</v>
      </c>
      <c r="AX125" s="13">
        <v>2</v>
      </c>
      <c r="AY125" s="13">
        <v>2150</v>
      </c>
      <c r="AZ125" s="13">
        <f t="shared" si="80"/>
        <v>4300</v>
      </c>
      <c r="BA125" s="13"/>
      <c r="BB125" s="13"/>
      <c r="BC125" s="13"/>
      <c r="BD125" s="13"/>
      <c r="BE125" s="13"/>
      <c r="BF125" s="13"/>
      <c r="BG125" s="13">
        <v>2150</v>
      </c>
      <c r="BH125" s="13">
        <f t="shared" si="81"/>
        <v>0</v>
      </c>
      <c r="BI125" s="13"/>
      <c r="BJ125" s="13"/>
      <c r="BK125" s="13"/>
      <c r="BL125" s="13"/>
      <c r="BM125" s="13"/>
      <c r="BN125" s="13"/>
      <c r="BO125" s="13">
        <v>2150</v>
      </c>
      <c r="BP125" s="13">
        <f t="shared" si="82"/>
        <v>0</v>
      </c>
      <c r="BQ125" s="13"/>
      <c r="BR125" s="13"/>
      <c r="BS125" s="13"/>
      <c r="BT125" s="13"/>
      <c r="BU125" s="13">
        <v>2</v>
      </c>
      <c r="BV125" s="13">
        <v>2</v>
      </c>
      <c r="BW125" s="13">
        <v>2150</v>
      </c>
      <c r="BX125" s="13">
        <f t="shared" si="83"/>
        <v>4300</v>
      </c>
      <c r="BY125" s="13"/>
      <c r="BZ125" s="13"/>
      <c r="CA125" s="13"/>
      <c r="CB125" s="13"/>
      <c r="CC125" s="13"/>
      <c r="CD125" s="13"/>
      <c r="CE125" s="13">
        <v>2150</v>
      </c>
      <c r="CF125" s="13">
        <f t="shared" si="84"/>
        <v>0</v>
      </c>
      <c r="CG125" s="15"/>
    </row>
    <row r="126" spans="1:85">
      <c r="A126" s="61" t="s">
        <v>109</v>
      </c>
      <c r="B126" s="20" t="s">
        <v>111</v>
      </c>
      <c r="C126" s="11"/>
      <c r="D126" s="12" t="s">
        <v>33</v>
      </c>
      <c r="E126" s="13"/>
      <c r="F126" s="13"/>
      <c r="G126" s="13"/>
      <c r="H126" s="13"/>
      <c r="I126" s="13"/>
      <c r="J126" s="13"/>
      <c r="K126" s="13">
        <v>1088</v>
      </c>
      <c r="L126" s="13">
        <f t="shared" si="75"/>
        <v>0</v>
      </c>
      <c r="M126" s="13"/>
      <c r="N126" s="13"/>
      <c r="O126" s="13"/>
      <c r="P126" s="13"/>
      <c r="Q126" s="13"/>
      <c r="R126" s="13"/>
      <c r="S126" s="13">
        <v>1088</v>
      </c>
      <c r="T126" s="13">
        <f>S126*R126</f>
        <v>0</v>
      </c>
      <c r="U126" s="13"/>
      <c r="V126" s="13"/>
      <c r="W126" s="13"/>
      <c r="X126" s="13"/>
      <c r="Y126" s="13">
        <v>1</v>
      </c>
      <c r="Z126" s="13">
        <v>1</v>
      </c>
      <c r="AA126" s="13">
        <v>1088</v>
      </c>
      <c r="AB126" s="13">
        <f>AA126*Z126</f>
        <v>1088</v>
      </c>
      <c r="AC126" s="13"/>
      <c r="AD126" s="13"/>
      <c r="AE126" s="13"/>
      <c r="AF126" s="13"/>
      <c r="AG126" s="13"/>
      <c r="AH126" s="13"/>
      <c r="AI126" s="13">
        <v>1088</v>
      </c>
      <c r="AJ126" s="13">
        <f t="shared" si="78"/>
        <v>0</v>
      </c>
      <c r="AK126" s="13"/>
      <c r="AL126" s="13"/>
      <c r="AM126" s="13"/>
      <c r="AN126" s="13"/>
      <c r="AO126" s="13"/>
      <c r="AP126" s="13"/>
      <c r="AQ126" s="13">
        <v>1088</v>
      </c>
      <c r="AR126" s="13">
        <f t="shared" si="79"/>
        <v>0</v>
      </c>
      <c r="AS126" s="13"/>
      <c r="AT126" s="13"/>
      <c r="AU126" s="13"/>
      <c r="AV126" s="13"/>
      <c r="AW126" s="13">
        <v>1</v>
      </c>
      <c r="AX126" s="13">
        <v>1</v>
      </c>
      <c r="AY126" s="13">
        <v>1088</v>
      </c>
      <c r="AZ126" s="13">
        <f t="shared" si="80"/>
        <v>1088</v>
      </c>
      <c r="BA126" s="13"/>
      <c r="BB126" s="13"/>
      <c r="BC126" s="13"/>
      <c r="BD126" s="13"/>
      <c r="BE126" s="13"/>
      <c r="BF126" s="13"/>
      <c r="BG126" s="13">
        <v>1088</v>
      </c>
      <c r="BH126" s="13">
        <f t="shared" si="81"/>
        <v>0</v>
      </c>
      <c r="BI126" s="13"/>
      <c r="BJ126" s="13"/>
      <c r="BK126" s="13"/>
      <c r="BL126" s="13"/>
      <c r="BM126" s="13"/>
      <c r="BN126" s="13"/>
      <c r="BO126" s="13">
        <v>1088</v>
      </c>
      <c r="BP126" s="13">
        <f t="shared" si="82"/>
        <v>0</v>
      </c>
      <c r="BQ126" s="13"/>
      <c r="BR126" s="13"/>
      <c r="BS126" s="13"/>
      <c r="BT126" s="13"/>
      <c r="BU126" s="13">
        <v>1</v>
      </c>
      <c r="BV126" s="13">
        <v>1</v>
      </c>
      <c r="BW126" s="13">
        <v>1088</v>
      </c>
      <c r="BX126" s="13">
        <f t="shared" si="83"/>
        <v>1088</v>
      </c>
      <c r="BY126" s="13"/>
      <c r="BZ126" s="13"/>
      <c r="CA126" s="13"/>
      <c r="CB126" s="13"/>
      <c r="CC126" s="13"/>
      <c r="CD126" s="13"/>
      <c r="CE126" s="13">
        <v>1088</v>
      </c>
      <c r="CF126" s="13">
        <f t="shared" si="84"/>
        <v>0</v>
      </c>
      <c r="CG126" s="15"/>
    </row>
    <row r="127" spans="1:85">
      <c r="A127" s="61" t="s">
        <v>109</v>
      </c>
      <c r="B127" s="10" t="s">
        <v>112</v>
      </c>
      <c r="C127" s="11"/>
      <c r="D127" s="11" t="s">
        <v>37</v>
      </c>
      <c r="E127" s="13"/>
      <c r="F127" s="13"/>
      <c r="G127" s="13"/>
      <c r="H127" s="13"/>
      <c r="I127" s="13"/>
      <c r="J127" s="13"/>
      <c r="K127" s="13">
        <v>14219</v>
      </c>
      <c r="L127" s="13">
        <f t="shared" si="75"/>
        <v>0</v>
      </c>
      <c r="M127" s="13"/>
      <c r="N127" s="13"/>
      <c r="O127" s="13"/>
      <c r="P127" s="13"/>
      <c r="Q127" s="13"/>
      <c r="R127" s="13"/>
      <c r="S127" s="13">
        <v>14219</v>
      </c>
      <c r="T127" s="13">
        <f t="shared" si="76"/>
        <v>0</v>
      </c>
      <c r="U127" s="13"/>
      <c r="V127" s="13"/>
      <c r="W127" s="13"/>
      <c r="X127" s="13"/>
      <c r="Y127" s="13"/>
      <c r="Z127" s="13"/>
      <c r="AA127" s="13">
        <v>14219</v>
      </c>
      <c r="AB127" s="13">
        <f t="shared" si="77"/>
        <v>0</v>
      </c>
      <c r="AC127" s="13"/>
      <c r="AD127" s="13"/>
      <c r="AE127" s="13"/>
      <c r="AF127" s="13"/>
      <c r="AG127" s="13"/>
      <c r="AH127" s="13"/>
      <c r="AI127" s="13">
        <v>14219</v>
      </c>
      <c r="AJ127" s="13">
        <f t="shared" si="78"/>
        <v>0</v>
      </c>
      <c r="AK127" s="13"/>
      <c r="AL127" s="13"/>
      <c r="AM127" s="13"/>
      <c r="AN127" s="13"/>
      <c r="AO127" s="13"/>
      <c r="AP127" s="13"/>
      <c r="AQ127" s="13">
        <v>14219</v>
      </c>
      <c r="AR127" s="13">
        <f t="shared" si="79"/>
        <v>0</v>
      </c>
      <c r="AS127" s="13"/>
      <c r="AT127" s="13"/>
      <c r="AU127" s="13"/>
      <c r="AV127" s="13"/>
      <c r="AW127" s="13">
        <v>1</v>
      </c>
      <c r="AX127" s="13">
        <v>1</v>
      </c>
      <c r="AY127" s="13">
        <v>14219</v>
      </c>
      <c r="AZ127" s="13">
        <f t="shared" si="80"/>
        <v>14219</v>
      </c>
      <c r="BA127" s="13"/>
      <c r="BB127" s="13"/>
      <c r="BC127" s="13"/>
      <c r="BD127" s="13"/>
      <c r="BE127" s="13"/>
      <c r="BF127" s="13"/>
      <c r="BG127" s="13">
        <v>14219</v>
      </c>
      <c r="BH127" s="13">
        <f t="shared" si="81"/>
        <v>0</v>
      </c>
      <c r="BI127" s="13"/>
      <c r="BJ127" s="13"/>
      <c r="BK127" s="13"/>
      <c r="BL127" s="13"/>
      <c r="BM127" s="13"/>
      <c r="BN127" s="13"/>
      <c r="BO127" s="13">
        <v>14219</v>
      </c>
      <c r="BP127" s="13">
        <f t="shared" si="82"/>
        <v>0</v>
      </c>
      <c r="BQ127" s="13"/>
      <c r="BR127" s="13"/>
      <c r="BS127" s="13"/>
      <c r="BT127" s="13"/>
      <c r="BU127" s="13"/>
      <c r="BV127" s="13"/>
      <c r="BW127" s="13">
        <v>14219</v>
      </c>
      <c r="BX127" s="13">
        <f t="shared" si="83"/>
        <v>0</v>
      </c>
      <c r="BY127" s="13"/>
      <c r="BZ127" s="13"/>
      <c r="CA127" s="13"/>
      <c r="CB127" s="13"/>
      <c r="CC127" s="13"/>
      <c r="CD127" s="13"/>
      <c r="CE127" s="13">
        <v>14219</v>
      </c>
      <c r="CF127" s="13">
        <f t="shared" si="84"/>
        <v>0</v>
      </c>
      <c r="CG127" s="15"/>
    </row>
    <row r="128" spans="1:85" ht="15">
      <c r="A128" s="61" t="s">
        <v>109</v>
      </c>
      <c r="B128" s="10" t="s">
        <v>113</v>
      </c>
      <c r="C128" s="11"/>
      <c r="D128" s="12" t="s">
        <v>39</v>
      </c>
      <c r="E128" s="13"/>
      <c r="F128" s="13"/>
      <c r="G128" s="13"/>
      <c r="H128" s="13"/>
      <c r="I128" s="13"/>
      <c r="J128" s="13"/>
      <c r="K128" s="14">
        <v>429</v>
      </c>
      <c r="L128" s="13">
        <f t="shared" si="75"/>
        <v>0</v>
      </c>
      <c r="M128" s="13"/>
      <c r="N128" s="13"/>
      <c r="O128" s="13"/>
      <c r="P128" s="13"/>
      <c r="Q128" s="13">
        <v>2</v>
      </c>
      <c r="R128" s="13">
        <v>2</v>
      </c>
      <c r="S128" s="14">
        <v>429</v>
      </c>
      <c r="T128" s="13">
        <f t="shared" si="76"/>
        <v>858</v>
      </c>
      <c r="U128" s="13"/>
      <c r="V128" s="13"/>
      <c r="W128" s="13"/>
      <c r="X128" s="13"/>
      <c r="Y128" s="13"/>
      <c r="Z128" s="13"/>
      <c r="AA128" s="14">
        <v>429</v>
      </c>
      <c r="AB128" s="13">
        <f t="shared" si="77"/>
        <v>0</v>
      </c>
      <c r="AC128" s="13"/>
      <c r="AD128" s="13"/>
      <c r="AE128" s="13"/>
      <c r="AF128" s="13"/>
      <c r="AG128" s="13">
        <v>2</v>
      </c>
      <c r="AH128" s="13">
        <v>2</v>
      </c>
      <c r="AI128" s="14">
        <v>429</v>
      </c>
      <c r="AJ128" s="13">
        <f t="shared" si="78"/>
        <v>858</v>
      </c>
      <c r="AK128" s="13"/>
      <c r="AL128" s="13"/>
      <c r="AM128" s="13"/>
      <c r="AN128" s="13"/>
      <c r="AO128" s="13"/>
      <c r="AP128" s="13"/>
      <c r="AQ128" s="14">
        <v>429</v>
      </c>
      <c r="AR128" s="13">
        <f t="shared" si="79"/>
        <v>0</v>
      </c>
      <c r="AS128" s="13"/>
      <c r="AT128" s="13"/>
      <c r="AU128" s="13"/>
      <c r="AV128" s="13"/>
      <c r="AW128" s="13">
        <v>2</v>
      </c>
      <c r="AX128" s="13">
        <v>2</v>
      </c>
      <c r="AY128" s="14">
        <v>429</v>
      </c>
      <c r="AZ128" s="13">
        <f t="shared" si="80"/>
        <v>858</v>
      </c>
      <c r="BA128" s="13"/>
      <c r="BB128" s="13"/>
      <c r="BC128" s="13"/>
      <c r="BD128" s="13"/>
      <c r="BE128" s="13"/>
      <c r="BF128" s="13"/>
      <c r="BG128" s="14">
        <v>429</v>
      </c>
      <c r="BH128" s="13">
        <f t="shared" si="81"/>
        <v>0</v>
      </c>
      <c r="BI128" s="13"/>
      <c r="BJ128" s="13"/>
      <c r="BK128" s="13"/>
      <c r="BL128" s="13"/>
      <c r="BM128" s="13">
        <v>2</v>
      </c>
      <c r="BN128" s="13">
        <v>2</v>
      </c>
      <c r="BO128" s="14">
        <v>429</v>
      </c>
      <c r="BP128" s="13">
        <f t="shared" si="82"/>
        <v>858</v>
      </c>
      <c r="BQ128" s="13"/>
      <c r="BR128" s="13"/>
      <c r="BS128" s="13"/>
      <c r="BT128" s="13"/>
      <c r="BU128" s="13"/>
      <c r="BV128" s="13"/>
      <c r="BW128" s="14">
        <v>429</v>
      </c>
      <c r="BX128" s="13">
        <f t="shared" si="83"/>
        <v>0</v>
      </c>
      <c r="BY128" s="13"/>
      <c r="BZ128" s="13"/>
      <c r="CA128" s="13"/>
      <c r="CB128" s="13"/>
      <c r="CC128" s="13">
        <v>2</v>
      </c>
      <c r="CD128" s="13">
        <v>2</v>
      </c>
      <c r="CE128" s="14">
        <v>429</v>
      </c>
      <c r="CF128" s="13">
        <f t="shared" si="84"/>
        <v>858</v>
      </c>
      <c r="CG128" s="15"/>
    </row>
    <row r="129" spans="1:246" ht="15">
      <c r="A129" s="61" t="s">
        <v>109</v>
      </c>
      <c r="B129" s="10" t="s">
        <v>114</v>
      </c>
      <c r="C129" s="11"/>
      <c r="D129" s="11" t="s">
        <v>115</v>
      </c>
      <c r="E129" s="13"/>
      <c r="F129" s="13"/>
      <c r="G129" s="13"/>
      <c r="H129" s="13"/>
      <c r="I129" s="13"/>
      <c r="J129" s="13"/>
      <c r="K129" s="14">
        <v>906</v>
      </c>
      <c r="L129" s="13">
        <f t="shared" si="75"/>
        <v>0</v>
      </c>
      <c r="M129" s="13"/>
      <c r="N129" s="13"/>
      <c r="O129" s="13"/>
      <c r="P129" s="13"/>
      <c r="Q129" s="13"/>
      <c r="R129" s="13"/>
      <c r="S129" s="14">
        <v>906</v>
      </c>
      <c r="T129" s="13">
        <f t="shared" si="76"/>
        <v>0</v>
      </c>
      <c r="U129" s="13"/>
      <c r="V129" s="13"/>
      <c r="W129" s="13"/>
      <c r="X129" s="13"/>
      <c r="Y129" s="13">
        <v>1</v>
      </c>
      <c r="Z129" s="13">
        <v>1</v>
      </c>
      <c r="AA129" s="14">
        <v>906</v>
      </c>
      <c r="AB129" s="13">
        <f t="shared" si="77"/>
        <v>906</v>
      </c>
      <c r="AC129" s="13"/>
      <c r="AD129" s="13"/>
      <c r="AE129" s="13"/>
      <c r="AF129" s="13"/>
      <c r="AG129" s="13"/>
      <c r="AH129" s="13"/>
      <c r="AI129" s="14">
        <v>906</v>
      </c>
      <c r="AJ129" s="13">
        <f t="shared" si="78"/>
        <v>0</v>
      </c>
      <c r="AK129" s="13"/>
      <c r="AL129" s="13"/>
      <c r="AM129" s="13"/>
      <c r="AN129" s="13"/>
      <c r="AO129" s="13"/>
      <c r="AP129" s="13"/>
      <c r="AQ129" s="14">
        <v>906</v>
      </c>
      <c r="AR129" s="13">
        <f t="shared" si="79"/>
        <v>0</v>
      </c>
      <c r="AS129" s="13"/>
      <c r="AT129" s="13"/>
      <c r="AU129" s="13"/>
      <c r="AV129" s="13"/>
      <c r="AW129" s="13">
        <v>1</v>
      </c>
      <c r="AX129" s="13">
        <v>1</v>
      </c>
      <c r="AY129" s="14">
        <v>906</v>
      </c>
      <c r="AZ129" s="13">
        <f t="shared" si="80"/>
        <v>906</v>
      </c>
      <c r="BA129" s="13"/>
      <c r="BB129" s="13"/>
      <c r="BC129" s="13"/>
      <c r="BD129" s="13"/>
      <c r="BE129" s="13"/>
      <c r="BF129" s="13"/>
      <c r="BG129" s="14">
        <v>906</v>
      </c>
      <c r="BH129" s="13">
        <f t="shared" si="81"/>
        <v>0</v>
      </c>
      <c r="BI129" s="13"/>
      <c r="BJ129" s="13"/>
      <c r="BK129" s="13"/>
      <c r="BL129" s="13"/>
      <c r="BM129" s="13"/>
      <c r="BN129" s="13"/>
      <c r="BO129" s="14">
        <v>906</v>
      </c>
      <c r="BP129" s="13">
        <f t="shared" si="82"/>
        <v>0</v>
      </c>
      <c r="BQ129" s="13"/>
      <c r="BR129" s="13"/>
      <c r="BS129" s="13"/>
      <c r="BT129" s="13"/>
      <c r="BU129" s="13">
        <v>1</v>
      </c>
      <c r="BV129" s="13">
        <v>1</v>
      </c>
      <c r="BW129" s="14">
        <v>906</v>
      </c>
      <c r="BX129" s="13">
        <f t="shared" si="83"/>
        <v>906</v>
      </c>
      <c r="BY129" s="13"/>
      <c r="BZ129" s="13"/>
      <c r="CA129" s="13"/>
      <c r="CB129" s="13"/>
      <c r="CC129" s="13"/>
      <c r="CD129" s="13"/>
      <c r="CE129" s="14">
        <v>906</v>
      </c>
      <c r="CF129" s="13">
        <f t="shared" si="84"/>
        <v>0</v>
      </c>
      <c r="CG129" s="15"/>
    </row>
    <row r="130" spans="1:246" ht="15">
      <c r="A130" s="61" t="s">
        <v>109</v>
      </c>
      <c r="B130" s="10" t="s">
        <v>116</v>
      </c>
      <c r="C130" s="11"/>
      <c r="D130" s="11" t="s">
        <v>117</v>
      </c>
      <c r="E130" s="13"/>
      <c r="F130" s="13"/>
      <c r="G130" s="13"/>
      <c r="H130" s="13"/>
      <c r="I130" s="13"/>
      <c r="J130" s="13"/>
      <c r="K130" s="14">
        <v>910</v>
      </c>
      <c r="L130" s="13">
        <f t="shared" si="75"/>
        <v>0</v>
      </c>
      <c r="M130" s="13"/>
      <c r="N130" s="13"/>
      <c r="O130" s="13"/>
      <c r="P130" s="13"/>
      <c r="Q130" s="13"/>
      <c r="R130" s="13"/>
      <c r="S130" s="14">
        <v>910</v>
      </c>
      <c r="T130" s="13">
        <f t="shared" si="76"/>
        <v>0</v>
      </c>
      <c r="U130" s="13"/>
      <c r="V130" s="13"/>
      <c r="W130" s="13"/>
      <c r="X130" s="13"/>
      <c r="Y130" s="13">
        <v>1</v>
      </c>
      <c r="Z130" s="13">
        <v>1</v>
      </c>
      <c r="AA130" s="14">
        <v>910</v>
      </c>
      <c r="AB130" s="13">
        <f t="shared" si="77"/>
        <v>910</v>
      </c>
      <c r="AC130" s="13"/>
      <c r="AD130" s="13"/>
      <c r="AE130" s="13"/>
      <c r="AF130" s="13"/>
      <c r="AG130" s="13"/>
      <c r="AH130" s="13"/>
      <c r="AI130" s="14">
        <v>910</v>
      </c>
      <c r="AJ130" s="13">
        <f t="shared" si="78"/>
        <v>0</v>
      </c>
      <c r="AK130" s="13"/>
      <c r="AL130" s="13"/>
      <c r="AM130" s="13"/>
      <c r="AN130" s="13"/>
      <c r="AO130" s="13"/>
      <c r="AP130" s="13"/>
      <c r="AQ130" s="14">
        <v>910</v>
      </c>
      <c r="AR130" s="13">
        <f t="shared" si="79"/>
        <v>0</v>
      </c>
      <c r="AS130" s="13"/>
      <c r="AT130" s="13"/>
      <c r="AU130" s="13"/>
      <c r="AV130" s="13"/>
      <c r="AW130" s="13">
        <v>1</v>
      </c>
      <c r="AX130" s="13">
        <v>1</v>
      </c>
      <c r="AY130" s="14">
        <v>910</v>
      </c>
      <c r="AZ130" s="13">
        <f t="shared" si="80"/>
        <v>910</v>
      </c>
      <c r="BA130" s="13"/>
      <c r="BB130" s="13"/>
      <c r="BC130" s="13"/>
      <c r="BD130" s="13"/>
      <c r="BE130" s="13"/>
      <c r="BF130" s="13"/>
      <c r="BG130" s="14">
        <v>910</v>
      </c>
      <c r="BH130" s="13">
        <f t="shared" si="81"/>
        <v>0</v>
      </c>
      <c r="BI130" s="13"/>
      <c r="BJ130" s="13"/>
      <c r="BK130" s="13"/>
      <c r="BL130" s="13"/>
      <c r="BM130" s="13"/>
      <c r="BN130" s="13"/>
      <c r="BO130" s="14">
        <v>910</v>
      </c>
      <c r="BP130" s="13">
        <f t="shared" si="82"/>
        <v>0</v>
      </c>
      <c r="BQ130" s="13"/>
      <c r="BR130" s="13"/>
      <c r="BS130" s="13"/>
      <c r="BT130" s="13"/>
      <c r="BU130" s="13">
        <v>1</v>
      </c>
      <c r="BV130" s="13">
        <v>1</v>
      </c>
      <c r="BW130" s="14">
        <v>910</v>
      </c>
      <c r="BX130" s="13">
        <f t="shared" si="83"/>
        <v>910</v>
      </c>
      <c r="BY130" s="13"/>
      <c r="BZ130" s="13"/>
      <c r="CA130" s="13"/>
      <c r="CB130" s="13"/>
      <c r="CC130" s="13"/>
      <c r="CD130" s="13"/>
      <c r="CE130" s="14">
        <v>910</v>
      </c>
      <c r="CF130" s="13">
        <f t="shared" si="84"/>
        <v>0</v>
      </c>
      <c r="CG130" s="15"/>
    </row>
    <row r="131" spans="1:246">
      <c r="A131" s="61" t="s">
        <v>109</v>
      </c>
      <c r="B131" s="10" t="s">
        <v>118</v>
      </c>
      <c r="C131" s="11"/>
      <c r="D131" s="12" t="s">
        <v>119</v>
      </c>
      <c r="E131" s="25"/>
      <c r="F131" s="13"/>
      <c r="G131" s="13"/>
      <c r="H131" s="13"/>
      <c r="I131" s="25"/>
      <c r="J131" s="25"/>
      <c r="K131" s="13">
        <v>3254</v>
      </c>
      <c r="L131" s="13">
        <f t="shared" si="75"/>
        <v>0</v>
      </c>
      <c r="M131" s="25"/>
      <c r="N131" s="13"/>
      <c r="O131" s="13"/>
      <c r="P131" s="13"/>
      <c r="Q131" s="25"/>
      <c r="R131" s="25"/>
      <c r="S131" s="13">
        <v>3254</v>
      </c>
      <c r="T131" s="13">
        <f t="shared" si="76"/>
        <v>0</v>
      </c>
      <c r="U131" s="25"/>
      <c r="V131" s="13"/>
      <c r="W131" s="13"/>
      <c r="X131" s="13"/>
      <c r="Y131" s="25">
        <v>1</v>
      </c>
      <c r="Z131" s="25">
        <v>1</v>
      </c>
      <c r="AA131" s="13">
        <v>3254</v>
      </c>
      <c r="AB131" s="13">
        <f t="shared" si="77"/>
        <v>3254</v>
      </c>
      <c r="AC131" s="25"/>
      <c r="AD131" s="13"/>
      <c r="AE131" s="13"/>
      <c r="AF131" s="13"/>
      <c r="AG131" s="25"/>
      <c r="AH131" s="25"/>
      <c r="AI131" s="13">
        <v>3254</v>
      </c>
      <c r="AJ131" s="13">
        <f t="shared" si="78"/>
        <v>0</v>
      </c>
      <c r="AK131" s="25"/>
      <c r="AL131" s="13"/>
      <c r="AM131" s="13"/>
      <c r="AN131" s="13"/>
      <c r="AO131" s="25"/>
      <c r="AP131" s="25"/>
      <c r="AQ131" s="13">
        <v>3254</v>
      </c>
      <c r="AR131" s="13">
        <f t="shared" si="79"/>
        <v>0</v>
      </c>
      <c r="AS131" s="25"/>
      <c r="AT131" s="13"/>
      <c r="AU131" s="13"/>
      <c r="AV131" s="13"/>
      <c r="AW131" s="25">
        <v>1</v>
      </c>
      <c r="AX131" s="25">
        <v>1</v>
      </c>
      <c r="AY131" s="13">
        <v>3254</v>
      </c>
      <c r="AZ131" s="13">
        <f t="shared" si="80"/>
        <v>3254</v>
      </c>
      <c r="BA131" s="25"/>
      <c r="BB131" s="13"/>
      <c r="BC131" s="13"/>
      <c r="BD131" s="13"/>
      <c r="BE131" s="25"/>
      <c r="BF131" s="25"/>
      <c r="BG131" s="13">
        <v>3254</v>
      </c>
      <c r="BH131" s="13">
        <f t="shared" si="81"/>
        <v>0</v>
      </c>
      <c r="BI131" s="25"/>
      <c r="BJ131" s="13"/>
      <c r="BK131" s="13"/>
      <c r="BL131" s="13"/>
      <c r="BM131" s="25"/>
      <c r="BN131" s="25"/>
      <c r="BO131" s="13">
        <v>3254</v>
      </c>
      <c r="BP131" s="13">
        <f t="shared" si="82"/>
        <v>0</v>
      </c>
      <c r="BQ131" s="25"/>
      <c r="BR131" s="13"/>
      <c r="BS131" s="13"/>
      <c r="BT131" s="13"/>
      <c r="BU131" s="25">
        <v>1</v>
      </c>
      <c r="BV131" s="25">
        <v>1</v>
      </c>
      <c r="BW131" s="13">
        <v>3254</v>
      </c>
      <c r="BX131" s="13">
        <f t="shared" si="83"/>
        <v>3254</v>
      </c>
      <c r="BY131" s="25"/>
      <c r="BZ131" s="13"/>
      <c r="CA131" s="13"/>
      <c r="CB131" s="13"/>
      <c r="CC131" s="25"/>
      <c r="CD131" s="25"/>
      <c r="CE131" s="13">
        <v>3254</v>
      </c>
      <c r="CF131" s="13">
        <f t="shared" si="84"/>
        <v>0</v>
      </c>
      <c r="CG131" s="15"/>
    </row>
    <row r="132" spans="1:246">
      <c r="A132" s="61" t="s">
        <v>109</v>
      </c>
      <c r="B132" s="10" t="s">
        <v>120</v>
      </c>
      <c r="C132" s="11"/>
      <c r="D132" s="12" t="s">
        <v>121</v>
      </c>
      <c r="E132" s="13"/>
      <c r="F132" s="13"/>
      <c r="G132" s="13"/>
      <c r="H132" s="13"/>
      <c r="I132" s="13"/>
      <c r="J132" s="13"/>
      <c r="K132" s="69">
        <v>3608</v>
      </c>
      <c r="L132" s="13">
        <f t="shared" si="75"/>
        <v>0</v>
      </c>
      <c r="M132" s="13"/>
      <c r="N132" s="13"/>
      <c r="O132" s="13"/>
      <c r="P132" s="13"/>
      <c r="Q132" s="13"/>
      <c r="R132" s="13"/>
      <c r="S132" s="69">
        <v>3608</v>
      </c>
      <c r="T132" s="13">
        <f t="shared" si="76"/>
        <v>0</v>
      </c>
      <c r="U132" s="13"/>
      <c r="V132" s="13"/>
      <c r="W132" s="13"/>
      <c r="X132" s="13"/>
      <c r="Y132" s="13">
        <v>1</v>
      </c>
      <c r="Z132" s="13">
        <v>1</v>
      </c>
      <c r="AA132" s="69">
        <v>3608</v>
      </c>
      <c r="AB132" s="13">
        <f t="shared" si="77"/>
        <v>3608</v>
      </c>
      <c r="AC132" s="13"/>
      <c r="AD132" s="13"/>
      <c r="AE132" s="13"/>
      <c r="AF132" s="13"/>
      <c r="AG132" s="13"/>
      <c r="AH132" s="13"/>
      <c r="AI132" s="69">
        <v>3608</v>
      </c>
      <c r="AJ132" s="13">
        <f t="shared" si="78"/>
        <v>0</v>
      </c>
      <c r="AK132" s="13"/>
      <c r="AL132" s="13"/>
      <c r="AM132" s="13"/>
      <c r="AN132" s="13"/>
      <c r="AO132" s="13"/>
      <c r="AP132" s="13"/>
      <c r="AQ132" s="69">
        <v>3608</v>
      </c>
      <c r="AR132" s="13">
        <f t="shared" si="79"/>
        <v>0</v>
      </c>
      <c r="AS132" s="13"/>
      <c r="AT132" s="13"/>
      <c r="AU132" s="13"/>
      <c r="AV132" s="13"/>
      <c r="AW132" s="13">
        <v>1</v>
      </c>
      <c r="AX132" s="13">
        <v>1</v>
      </c>
      <c r="AY132" s="69">
        <v>3608</v>
      </c>
      <c r="AZ132" s="13">
        <f t="shared" si="80"/>
        <v>3608</v>
      </c>
      <c r="BA132" s="13"/>
      <c r="BB132" s="13"/>
      <c r="BC132" s="13"/>
      <c r="BD132" s="13"/>
      <c r="BE132" s="13"/>
      <c r="BF132" s="13"/>
      <c r="BG132" s="69">
        <v>3608</v>
      </c>
      <c r="BH132" s="13">
        <f t="shared" si="81"/>
        <v>0</v>
      </c>
      <c r="BI132" s="13"/>
      <c r="BJ132" s="13"/>
      <c r="BK132" s="13"/>
      <c r="BL132" s="13"/>
      <c r="BM132" s="13"/>
      <c r="BN132" s="13"/>
      <c r="BO132" s="69">
        <v>3608</v>
      </c>
      <c r="BP132" s="13">
        <f t="shared" si="82"/>
        <v>0</v>
      </c>
      <c r="BQ132" s="13"/>
      <c r="BR132" s="13"/>
      <c r="BS132" s="13"/>
      <c r="BT132" s="13"/>
      <c r="BU132" s="13">
        <v>1</v>
      </c>
      <c r="BV132" s="13">
        <v>1</v>
      </c>
      <c r="BW132" s="69">
        <v>3608</v>
      </c>
      <c r="BX132" s="13">
        <f t="shared" si="83"/>
        <v>3608</v>
      </c>
      <c r="BY132" s="13"/>
      <c r="BZ132" s="13"/>
      <c r="CA132" s="13"/>
      <c r="CB132" s="13"/>
      <c r="CC132" s="13"/>
      <c r="CD132" s="13"/>
      <c r="CE132" s="69">
        <v>3608</v>
      </c>
      <c r="CF132" s="13">
        <f t="shared" si="84"/>
        <v>0</v>
      </c>
      <c r="CG132" s="79">
        <v>97939.809663756299</v>
      </c>
    </row>
    <row r="133" spans="1:246">
      <c r="A133" s="61" t="s">
        <v>109</v>
      </c>
      <c r="B133" s="23" t="s">
        <v>44</v>
      </c>
      <c r="C133" s="11"/>
      <c r="D133" s="10" t="s">
        <v>45</v>
      </c>
      <c r="E133" s="28"/>
      <c r="F133" s="28"/>
      <c r="G133" s="28"/>
      <c r="H133" s="28"/>
      <c r="I133" s="25"/>
      <c r="J133" s="25"/>
      <c r="K133" s="19">
        <v>674</v>
      </c>
      <c r="L133" s="13">
        <f t="shared" si="75"/>
        <v>0</v>
      </c>
      <c r="M133" s="28"/>
      <c r="N133" s="28"/>
      <c r="O133" s="28"/>
      <c r="P133" s="28"/>
      <c r="Q133" s="28"/>
      <c r="R133" s="28"/>
      <c r="S133" s="19">
        <v>674</v>
      </c>
      <c r="T133" s="13">
        <f t="shared" si="76"/>
        <v>0</v>
      </c>
      <c r="U133" s="28"/>
      <c r="V133" s="28"/>
      <c r="W133" s="28"/>
      <c r="X133" s="28"/>
      <c r="Y133" s="25">
        <v>1</v>
      </c>
      <c r="Z133" s="25">
        <v>1</v>
      </c>
      <c r="AA133" s="19">
        <v>674</v>
      </c>
      <c r="AB133" s="13">
        <f t="shared" si="77"/>
        <v>674</v>
      </c>
      <c r="AC133" s="28"/>
      <c r="AD133" s="28"/>
      <c r="AE133" s="28"/>
      <c r="AF133" s="28"/>
      <c r="AG133" s="28"/>
      <c r="AH133" s="28"/>
      <c r="AI133" s="19">
        <v>674</v>
      </c>
      <c r="AJ133" s="13">
        <f t="shared" si="78"/>
        <v>0</v>
      </c>
      <c r="AK133" s="28"/>
      <c r="AL133" s="28"/>
      <c r="AM133" s="28"/>
      <c r="AN133" s="28"/>
      <c r="AO133" s="28"/>
      <c r="AP133" s="28"/>
      <c r="AQ133" s="19">
        <v>674</v>
      </c>
      <c r="AR133" s="13">
        <f t="shared" si="79"/>
        <v>0</v>
      </c>
      <c r="AS133" s="28"/>
      <c r="AT133" s="28"/>
      <c r="AU133" s="28"/>
      <c r="AV133" s="28"/>
      <c r="AW133" s="25">
        <v>1</v>
      </c>
      <c r="AX133" s="25">
        <v>1</v>
      </c>
      <c r="AY133" s="19">
        <v>674</v>
      </c>
      <c r="AZ133" s="13">
        <f t="shared" si="80"/>
        <v>674</v>
      </c>
      <c r="BA133" s="28"/>
      <c r="BB133" s="28"/>
      <c r="BC133" s="28"/>
      <c r="BD133" s="28"/>
      <c r="BE133" s="25"/>
      <c r="BF133" s="25"/>
      <c r="BG133" s="19">
        <v>674</v>
      </c>
      <c r="BH133" s="13">
        <f t="shared" si="81"/>
        <v>0</v>
      </c>
      <c r="BI133" s="28"/>
      <c r="BJ133" s="28"/>
      <c r="BK133" s="28"/>
      <c r="BL133" s="28"/>
      <c r="BM133" s="28"/>
      <c r="BN133" s="28"/>
      <c r="BO133" s="19">
        <v>674</v>
      </c>
      <c r="BP133" s="13">
        <f t="shared" si="82"/>
        <v>0</v>
      </c>
      <c r="BQ133" s="28"/>
      <c r="BR133" s="28"/>
      <c r="BS133" s="28"/>
      <c r="BT133" s="28"/>
      <c r="BU133" s="25">
        <v>1</v>
      </c>
      <c r="BV133" s="25">
        <v>1</v>
      </c>
      <c r="BW133" s="19">
        <v>674</v>
      </c>
      <c r="BX133" s="13">
        <f t="shared" si="83"/>
        <v>674</v>
      </c>
      <c r="BY133" s="28"/>
      <c r="BZ133" s="28"/>
      <c r="CA133" s="28"/>
      <c r="CB133" s="28"/>
      <c r="CC133" s="28"/>
      <c r="CD133" s="28"/>
      <c r="CE133" s="19">
        <v>674</v>
      </c>
      <c r="CF133" s="13">
        <f t="shared" si="84"/>
        <v>0</v>
      </c>
      <c r="CG133" s="15"/>
    </row>
    <row r="134" spans="1:246">
      <c r="A134" s="61" t="s">
        <v>109</v>
      </c>
      <c r="B134" s="10" t="s">
        <v>122</v>
      </c>
      <c r="C134" s="11"/>
      <c r="D134" s="12" t="s">
        <v>47</v>
      </c>
      <c r="E134" s="34"/>
      <c r="F134" s="34"/>
      <c r="G134" s="34"/>
      <c r="H134" s="34"/>
      <c r="I134" s="13">
        <v>1</v>
      </c>
      <c r="J134" s="13">
        <v>1</v>
      </c>
      <c r="K134" s="70">
        <v>1824</v>
      </c>
      <c r="L134" s="13">
        <f t="shared" si="75"/>
        <v>1824</v>
      </c>
      <c r="M134" s="34"/>
      <c r="N134" s="34"/>
      <c r="O134" s="34"/>
      <c r="P134" s="34"/>
      <c r="Q134" s="34">
        <v>1</v>
      </c>
      <c r="R134" s="34">
        <v>1</v>
      </c>
      <c r="S134" s="70">
        <v>1824</v>
      </c>
      <c r="T134" s="13">
        <f t="shared" si="76"/>
        <v>1824</v>
      </c>
      <c r="U134" s="34"/>
      <c r="V134" s="34"/>
      <c r="W134" s="34"/>
      <c r="X134" s="34"/>
      <c r="Y134" s="13">
        <v>1</v>
      </c>
      <c r="Z134" s="13">
        <v>1</v>
      </c>
      <c r="AA134" s="70">
        <v>1824</v>
      </c>
      <c r="AB134" s="13">
        <f t="shared" si="77"/>
        <v>1824</v>
      </c>
      <c r="AC134" s="34"/>
      <c r="AD134" s="34"/>
      <c r="AE134" s="34"/>
      <c r="AF134" s="34"/>
      <c r="AG134" s="34">
        <v>1</v>
      </c>
      <c r="AH134" s="34">
        <v>1</v>
      </c>
      <c r="AI134" s="70">
        <v>1824</v>
      </c>
      <c r="AJ134" s="13">
        <f t="shared" si="78"/>
        <v>1824</v>
      </c>
      <c r="AK134" s="34"/>
      <c r="AL134" s="34"/>
      <c r="AM134" s="34"/>
      <c r="AN134" s="34"/>
      <c r="AO134" s="34">
        <v>1</v>
      </c>
      <c r="AP134" s="34">
        <v>1</v>
      </c>
      <c r="AQ134" s="70">
        <v>1824</v>
      </c>
      <c r="AR134" s="13">
        <f t="shared" si="79"/>
        <v>1824</v>
      </c>
      <c r="AS134" s="34"/>
      <c r="AT134" s="34"/>
      <c r="AU134" s="34"/>
      <c r="AV134" s="34"/>
      <c r="AW134" s="13">
        <v>1</v>
      </c>
      <c r="AX134" s="13">
        <v>1</v>
      </c>
      <c r="AY134" s="70">
        <v>1824</v>
      </c>
      <c r="AZ134" s="13">
        <f t="shared" si="80"/>
        <v>1824</v>
      </c>
      <c r="BA134" s="34"/>
      <c r="BB134" s="34"/>
      <c r="BC134" s="34"/>
      <c r="BD134" s="34"/>
      <c r="BE134" s="13">
        <v>1</v>
      </c>
      <c r="BF134" s="13">
        <v>1</v>
      </c>
      <c r="BG134" s="70">
        <v>1824</v>
      </c>
      <c r="BH134" s="13">
        <f t="shared" si="81"/>
        <v>1824</v>
      </c>
      <c r="BI134" s="34"/>
      <c r="BJ134" s="34"/>
      <c r="BK134" s="34"/>
      <c r="BL134" s="34"/>
      <c r="BM134" s="34">
        <v>1</v>
      </c>
      <c r="BN134" s="34">
        <v>1</v>
      </c>
      <c r="BO134" s="70">
        <v>1824</v>
      </c>
      <c r="BP134" s="13">
        <f t="shared" si="82"/>
        <v>1824</v>
      </c>
      <c r="BQ134" s="34"/>
      <c r="BR134" s="34"/>
      <c r="BS134" s="34"/>
      <c r="BT134" s="34"/>
      <c r="BU134" s="13">
        <v>1</v>
      </c>
      <c r="BV134" s="13">
        <v>1</v>
      </c>
      <c r="BW134" s="70">
        <v>1824</v>
      </c>
      <c r="BX134" s="13">
        <f t="shared" si="83"/>
        <v>1824</v>
      </c>
      <c r="BY134" s="34"/>
      <c r="BZ134" s="34"/>
      <c r="CA134" s="34"/>
      <c r="CB134" s="34"/>
      <c r="CC134" s="34">
        <v>1</v>
      </c>
      <c r="CD134" s="34">
        <v>1</v>
      </c>
      <c r="CE134" s="70">
        <v>1824</v>
      </c>
      <c r="CF134" s="13">
        <f t="shared" si="84"/>
        <v>1824</v>
      </c>
      <c r="CG134" s="15"/>
    </row>
    <row r="135" spans="1:246">
      <c r="A135" s="61" t="s">
        <v>109</v>
      </c>
      <c r="B135" s="26" t="s">
        <v>123</v>
      </c>
      <c r="C135" s="11"/>
      <c r="D135" s="71" t="s">
        <v>49</v>
      </c>
      <c r="E135" s="40"/>
      <c r="F135" s="41"/>
      <c r="G135" s="41"/>
      <c r="H135" s="41"/>
      <c r="I135" s="28"/>
      <c r="J135" s="28"/>
      <c r="K135" s="72">
        <v>469</v>
      </c>
      <c r="L135" s="13">
        <f t="shared" si="75"/>
        <v>0</v>
      </c>
      <c r="M135" s="40"/>
      <c r="N135" s="41"/>
      <c r="O135" s="41"/>
      <c r="P135" s="41"/>
      <c r="Q135" s="40"/>
      <c r="R135" s="40"/>
      <c r="S135" s="72">
        <v>469</v>
      </c>
      <c r="T135" s="13">
        <f t="shared" si="76"/>
        <v>0</v>
      </c>
      <c r="U135" s="40"/>
      <c r="V135" s="41"/>
      <c r="W135" s="41"/>
      <c r="X135" s="41"/>
      <c r="Y135" s="28">
        <v>1</v>
      </c>
      <c r="Z135" s="28">
        <v>1</v>
      </c>
      <c r="AA135" s="72">
        <v>469</v>
      </c>
      <c r="AB135" s="13">
        <f t="shared" si="77"/>
        <v>469</v>
      </c>
      <c r="AC135" s="40"/>
      <c r="AD135" s="41"/>
      <c r="AE135" s="41"/>
      <c r="AF135" s="41"/>
      <c r="AG135" s="40"/>
      <c r="AH135" s="40"/>
      <c r="AI135" s="72">
        <v>469</v>
      </c>
      <c r="AJ135" s="13">
        <f t="shared" si="78"/>
        <v>0</v>
      </c>
      <c r="AK135" s="40"/>
      <c r="AL135" s="41"/>
      <c r="AM135" s="41"/>
      <c r="AN135" s="41"/>
      <c r="AO135" s="40"/>
      <c r="AP135" s="40"/>
      <c r="AQ135" s="72">
        <v>469</v>
      </c>
      <c r="AR135" s="13">
        <f t="shared" si="79"/>
        <v>0</v>
      </c>
      <c r="AS135" s="40"/>
      <c r="AT135" s="41"/>
      <c r="AU135" s="41"/>
      <c r="AV135" s="41"/>
      <c r="AW135" s="28">
        <v>1</v>
      </c>
      <c r="AX135" s="28">
        <v>1</v>
      </c>
      <c r="AY135" s="72">
        <v>469</v>
      </c>
      <c r="AZ135" s="13">
        <f t="shared" si="80"/>
        <v>469</v>
      </c>
      <c r="BA135" s="40"/>
      <c r="BB135" s="41"/>
      <c r="BC135" s="41"/>
      <c r="BD135" s="41"/>
      <c r="BE135" s="40"/>
      <c r="BF135" s="40"/>
      <c r="BG135" s="72">
        <v>469</v>
      </c>
      <c r="BH135" s="13">
        <f t="shared" si="81"/>
        <v>0</v>
      </c>
      <c r="BI135" s="40"/>
      <c r="BJ135" s="41"/>
      <c r="BK135" s="41"/>
      <c r="BL135" s="41"/>
      <c r="BM135" s="40"/>
      <c r="BN135" s="40"/>
      <c r="BO135" s="72">
        <v>469</v>
      </c>
      <c r="BP135" s="13">
        <f t="shared" si="82"/>
        <v>0</v>
      </c>
      <c r="BQ135" s="40"/>
      <c r="BR135" s="41"/>
      <c r="BS135" s="41"/>
      <c r="BT135" s="41"/>
      <c r="BU135" s="28">
        <v>1</v>
      </c>
      <c r="BV135" s="28">
        <v>1</v>
      </c>
      <c r="BW135" s="72">
        <v>469</v>
      </c>
      <c r="BX135" s="13">
        <f t="shared" si="83"/>
        <v>469</v>
      </c>
      <c r="BY135" s="40"/>
      <c r="BZ135" s="41"/>
      <c r="CA135" s="41"/>
      <c r="CB135" s="41"/>
      <c r="CC135" s="40"/>
      <c r="CD135" s="40"/>
      <c r="CE135" s="72">
        <v>469</v>
      </c>
      <c r="CF135" s="13">
        <f t="shared" si="84"/>
        <v>0</v>
      </c>
      <c r="CG135" s="15"/>
    </row>
    <row r="136" spans="1:246" ht="15">
      <c r="A136" s="61" t="s">
        <v>109</v>
      </c>
      <c r="B136" s="31" t="s">
        <v>124</v>
      </c>
      <c r="C136" s="11"/>
      <c r="D136" s="39" t="s">
        <v>51</v>
      </c>
      <c r="E136" s="80"/>
      <c r="F136" s="13"/>
      <c r="G136" s="13"/>
      <c r="H136" s="13"/>
      <c r="I136" s="34"/>
      <c r="J136" s="34"/>
      <c r="K136" s="73">
        <v>730</v>
      </c>
      <c r="L136" s="13">
        <f t="shared" si="75"/>
        <v>0</v>
      </c>
      <c r="M136" s="80"/>
      <c r="N136" s="13"/>
      <c r="O136" s="13"/>
      <c r="P136" s="13"/>
      <c r="Q136" s="80"/>
      <c r="R136" s="13"/>
      <c r="S136" s="73">
        <v>730</v>
      </c>
      <c r="T136" s="13">
        <f t="shared" si="76"/>
        <v>0</v>
      </c>
      <c r="U136" s="80"/>
      <c r="V136" s="13"/>
      <c r="W136" s="13"/>
      <c r="X136" s="13"/>
      <c r="Y136" s="34">
        <v>1</v>
      </c>
      <c r="Z136" s="34">
        <v>1</v>
      </c>
      <c r="AA136" s="73">
        <v>730</v>
      </c>
      <c r="AB136" s="13">
        <f t="shared" si="77"/>
        <v>730</v>
      </c>
      <c r="AC136" s="80"/>
      <c r="AD136" s="13"/>
      <c r="AE136" s="13"/>
      <c r="AF136" s="13"/>
      <c r="AG136" s="80"/>
      <c r="AH136" s="13"/>
      <c r="AI136" s="73">
        <v>730</v>
      </c>
      <c r="AJ136" s="13">
        <f t="shared" si="78"/>
        <v>0</v>
      </c>
      <c r="AK136" s="80"/>
      <c r="AL136" s="13"/>
      <c r="AM136" s="13"/>
      <c r="AN136" s="13"/>
      <c r="AO136" s="80"/>
      <c r="AP136" s="13"/>
      <c r="AQ136" s="73">
        <v>730</v>
      </c>
      <c r="AR136" s="13">
        <f t="shared" si="79"/>
        <v>0</v>
      </c>
      <c r="AS136" s="80"/>
      <c r="AT136" s="13"/>
      <c r="AU136" s="13"/>
      <c r="AV136" s="13"/>
      <c r="AW136" s="34">
        <v>1</v>
      </c>
      <c r="AX136" s="34">
        <v>1</v>
      </c>
      <c r="AY136" s="73">
        <v>730</v>
      </c>
      <c r="AZ136" s="13">
        <f t="shared" si="80"/>
        <v>730</v>
      </c>
      <c r="BA136" s="80"/>
      <c r="BB136" s="13"/>
      <c r="BC136" s="13"/>
      <c r="BD136" s="13"/>
      <c r="BE136" s="80"/>
      <c r="BF136" s="13"/>
      <c r="BG136" s="73">
        <v>730</v>
      </c>
      <c r="BH136" s="13">
        <f t="shared" si="81"/>
        <v>0</v>
      </c>
      <c r="BI136" s="80"/>
      <c r="BJ136" s="13"/>
      <c r="BK136" s="13"/>
      <c r="BL136" s="13"/>
      <c r="BM136" s="80"/>
      <c r="BN136" s="13"/>
      <c r="BO136" s="73">
        <v>730</v>
      </c>
      <c r="BP136" s="13">
        <f t="shared" si="82"/>
        <v>0</v>
      </c>
      <c r="BQ136" s="80"/>
      <c r="BR136" s="13"/>
      <c r="BS136" s="13"/>
      <c r="BT136" s="13"/>
      <c r="BU136" s="34">
        <v>1</v>
      </c>
      <c r="BV136" s="34">
        <v>1</v>
      </c>
      <c r="BW136" s="73">
        <v>730</v>
      </c>
      <c r="BX136" s="13">
        <f t="shared" si="83"/>
        <v>730</v>
      </c>
      <c r="BY136" s="80"/>
      <c r="BZ136" s="13"/>
      <c r="CA136" s="13"/>
      <c r="CB136" s="13"/>
      <c r="CC136" s="80"/>
      <c r="CD136" s="13"/>
      <c r="CE136" s="73">
        <v>730</v>
      </c>
      <c r="CF136" s="13">
        <f t="shared" si="84"/>
        <v>0</v>
      </c>
      <c r="CG136" s="15"/>
    </row>
    <row r="137" spans="1:246">
      <c r="A137" s="61" t="s">
        <v>109</v>
      </c>
      <c r="B137" s="37" t="s">
        <v>125</v>
      </c>
      <c r="C137" s="11"/>
      <c r="D137" s="76" t="s">
        <v>53</v>
      </c>
      <c r="E137" s="80"/>
      <c r="F137" s="13"/>
      <c r="G137" s="13"/>
      <c r="H137" s="13"/>
      <c r="I137" s="40"/>
      <c r="J137" s="40"/>
      <c r="K137" s="42">
        <v>989</v>
      </c>
      <c r="L137" s="13">
        <f t="shared" si="75"/>
        <v>0</v>
      </c>
      <c r="M137" s="80"/>
      <c r="N137" s="13"/>
      <c r="O137" s="13"/>
      <c r="P137" s="13"/>
      <c r="Q137" s="80"/>
      <c r="R137" s="13"/>
      <c r="S137" s="42">
        <v>989</v>
      </c>
      <c r="T137" s="13">
        <f t="shared" si="76"/>
        <v>0</v>
      </c>
      <c r="U137" s="80"/>
      <c r="V137" s="13"/>
      <c r="W137" s="13"/>
      <c r="X137" s="13"/>
      <c r="Y137" s="40">
        <v>1</v>
      </c>
      <c r="Z137" s="40">
        <v>1</v>
      </c>
      <c r="AA137" s="42">
        <v>989</v>
      </c>
      <c r="AB137" s="13">
        <f t="shared" si="77"/>
        <v>989</v>
      </c>
      <c r="AC137" s="80"/>
      <c r="AD137" s="13"/>
      <c r="AE137" s="13"/>
      <c r="AF137" s="13"/>
      <c r="AG137" s="80"/>
      <c r="AH137" s="13"/>
      <c r="AI137" s="42">
        <v>989</v>
      </c>
      <c r="AJ137" s="13">
        <f t="shared" si="78"/>
        <v>0</v>
      </c>
      <c r="AK137" s="80"/>
      <c r="AL137" s="13"/>
      <c r="AM137" s="13"/>
      <c r="AN137" s="13"/>
      <c r="AO137" s="80"/>
      <c r="AP137" s="13"/>
      <c r="AQ137" s="42">
        <v>989</v>
      </c>
      <c r="AR137" s="13">
        <f t="shared" si="79"/>
        <v>0</v>
      </c>
      <c r="AS137" s="80"/>
      <c r="AT137" s="13"/>
      <c r="AU137" s="13"/>
      <c r="AV137" s="13"/>
      <c r="AW137" s="40">
        <v>1</v>
      </c>
      <c r="AX137" s="40">
        <v>1</v>
      </c>
      <c r="AY137" s="42">
        <v>989</v>
      </c>
      <c r="AZ137" s="13">
        <f t="shared" si="80"/>
        <v>989</v>
      </c>
      <c r="BA137" s="80"/>
      <c r="BB137" s="13"/>
      <c r="BC137" s="13"/>
      <c r="BD137" s="13"/>
      <c r="BE137" s="80"/>
      <c r="BF137" s="13"/>
      <c r="BG137" s="42">
        <v>989</v>
      </c>
      <c r="BH137" s="13">
        <f t="shared" si="81"/>
        <v>0</v>
      </c>
      <c r="BI137" s="80"/>
      <c r="BJ137" s="13"/>
      <c r="BK137" s="13"/>
      <c r="BL137" s="13"/>
      <c r="BM137" s="80"/>
      <c r="BN137" s="13"/>
      <c r="BO137" s="42">
        <v>989</v>
      </c>
      <c r="BP137" s="13">
        <f t="shared" si="82"/>
        <v>0</v>
      </c>
      <c r="BQ137" s="80"/>
      <c r="BR137" s="13"/>
      <c r="BS137" s="13"/>
      <c r="BT137" s="13"/>
      <c r="BU137" s="40">
        <v>1</v>
      </c>
      <c r="BV137" s="40">
        <v>1</v>
      </c>
      <c r="BW137" s="42">
        <v>989</v>
      </c>
      <c r="BX137" s="13">
        <f t="shared" si="83"/>
        <v>989</v>
      </c>
      <c r="BY137" s="80"/>
      <c r="BZ137" s="13"/>
      <c r="CA137" s="13"/>
      <c r="CB137" s="13"/>
      <c r="CC137" s="80"/>
      <c r="CD137" s="13"/>
      <c r="CE137" s="42">
        <v>989</v>
      </c>
      <c r="CF137" s="13">
        <f t="shared" si="84"/>
        <v>0</v>
      </c>
      <c r="CG137" s="79">
        <v>97939.809663756299</v>
      </c>
    </row>
    <row r="138" spans="1:246">
      <c r="A138" s="81"/>
      <c r="B138" s="82"/>
      <c r="C138" s="58"/>
      <c r="D138" s="83"/>
      <c r="E138" s="84"/>
      <c r="F138" s="52"/>
      <c r="G138" s="52"/>
      <c r="H138" s="52"/>
      <c r="I138" s="84"/>
      <c r="J138" s="52"/>
      <c r="K138" s="52"/>
      <c r="L138" s="52"/>
      <c r="M138" s="84"/>
      <c r="N138" s="52"/>
      <c r="O138" s="52"/>
      <c r="P138" s="52"/>
      <c r="Q138" s="84"/>
      <c r="R138" s="85"/>
      <c r="S138" s="52"/>
      <c r="T138" s="52"/>
      <c r="U138" s="84"/>
      <c r="V138" s="52"/>
      <c r="W138" s="52"/>
      <c r="X138" s="52"/>
      <c r="Y138" s="84"/>
      <c r="Z138" s="86"/>
      <c r="AA138" s="52"/>
      <c r="AB138" s="52"/>
      <c r="AC138" s="84"/>
      <c r="AD138" s="52"/>
      <c r="AE138" s="52"/>
      <c r="AF138" s="52"/>
      <c r="AG138" s="84"/>
      <c r="AH138" s="86"/>
      <c r="AI138" s="52"/>
      <c r="AJ138" s="52"/>
      <c r="AK138" s="84"/>
      <c r="AL138" s="52"/>
      <c r="AM138" s="52"/>
      <c r="AN138" s="52"/>
      <c r="AO138" s="84"/>
      <c r="AP138" s="86"/>
      <c r="AQ138" s="52"/>
      <c r="AR138" s="52"/>
      <c r="AS138" s="84"/>
      <c r="AT138" s="52"/>
      <c r="AU138" s="52"/>
      <c r="AV138" s="52"/>
      <c r="AW138" s="84"/>
      <c r="AX138" s="86"/>
      <c r="AY138" s="52"/>
      <c r="AZ138" s="52"/>
      <c r="BA138" s="84"/>
      <c r="BB138" s="52"/>
      <c r="BC138" s="52"/>
      <c r="BD138" s="52"/>
      <c r="BE138" s="84"/>
      <c r="BF138" s="86"/>
      <c r="BG138" s="52"/>
      <c r="BH138" s="52"/>
      <c r="BI138" s="84"/>
      <c r="BJ138" s="52"/>
      <c r="BK138" s="52"/>
      <c r="BL138" s="52"/>
      <c r="BM138" s="84"/>
      <c r="BN138" s="86"/>
      <c r="BO138" s="52"/>
      <c r="BP138" s="52"/>
      <c r="BQ138" s="84"/>
      <c r="BR138" s="52"/>
      <c r="BS138" s="52"/>
      <c r="BT138" s="52"/>
      <c r="BU138" s="84"/>
      <c r="BV138" s="86"/>
      <c r="BW138" s="52"/>
      <c r="BX138" s="52"/>
      <c r="BY138" s="84"/>
      <c r="BZ138" s="52"/>
      <c r="CA138" s="52"/>
      <c r="CB138" s="52"/>
      <c r="CC138" s="84"/>
      <c r="CD138" s="86"/>
      <c r="CE138" s="52"/>
      <c r="CF138" s="52"/>
      <c r="CG138" s="79"/>
    </row>
    <row r="139" spans="1:246">
      <c r="A139" s="81"/>
      <c r="B139" s="82"/>
      <c r="C139" s="58"/>
      <c r="D139" s="83"/>
      <c r="E139" s="84"/>
      <c r="F139" s="52"/>
      <c r="G139" s="52"/>
      <c r="H139" s="52"/>
      <c r="I139" s="84"/>
      <c r="J139" s="52"/>
      <c r="K139" s="52"/>
      <c r="L139" s="52"/>
      <c r="M139" s="84"/>
      <c r="N139" s="52"/>
      <c r="O139" s="52"/>
      <c r="P139" s="52"/>
      <c r="Q139" s="84"/>
      <c r="R139" s="85"/>
      <c r="S139" s="52"/>
      <c r="T139" s="52"/>
      <c r="U139" s="84"/>
      <c r="V139" s="52"/>
      <c r="W139" s="52"/>
      <c r="X139" s="52"/>
      <c r="Y139" s="84"/>
      <c r="Z139" s="86"/>
      <c r="AA139" s="52"/>
      <c r="AB139" s="52"/>
      <c r="AC139" s="84"/>
      <c r="AD139" s="52"/>
      <c r="AE139" s="52"/>
      <c r="AF139" s="52"/>
      <c r="AG139" s="84"/>
      <c r="AH139" s="86"/>
      <c r="AI139" s="52"/>
      <c r="AJ139" s="52"/>
      <c r="AK139" s="84"/>
      <c r="AL139" s="52"/>
      <c r="AM139" s="52"/>
      <c r="AN139" s="52"/>
      <c r="AO139" s="84"/>
      <c r="AP139" s="86"/>
      <c r="AQ139" s="52"/>
      <c r="AR139" s="52"/>
      <c r="AS139" s="84"/>
      <c r="AT139" s="52"/>
      <c r="AU139" s="52"/>
      <c r="AV139" s="52"/>
      <c r="AW139" s="84"/>
      <c r="AX139" s="86"/>
      <c r="AY139" s="52"/>
      <c r="AZ139" s="52"/>
      <c r="BA139" s="84"/>
      <c r="BB139" s="52"/>
      <c r="BC139" s="52"/>
      <c r="BD139" s="52"/>
      <c r="BE139" s="84"/>
      <c r="BF139" s="86"/>
      <c r="BG139" s="52"/>
      <c r="BH139" s="52"/>
      <c r="BI139" s="84"/>
      <c r="BJ139" s="52"/>
      <c r="BK139" s="52"/>
      <c r="BL139" s="52"/>
      <c r="BM139" s="84"/>
      <c r="BN139" s="86"/>
      <c r="BO139" s="52"/>
      <c r="BP139" s="52"/>
      <c r="BQ139" s="84"/>
      <c r="BR139" s="52"/>
      <c r="BS139" s="52"/>
      <c r="BT139" s="52"/>
      <c r="BU139" s="84"/>
      <c r="BV139" s="86"/>
      <c r="BW139" s="52"/>
      <c r="BX139" s="52"/>
      <c r="BY139" s="84"/>
      <c r="BZ139" s="52"/>
      <c r="CA139" s="52"/>
      <c r="CB139" s="52"/>
      <c r="CC139" s="84"/>
      <c r="CD139" s="86"/>
      <c r="CE139" s="52"/>
      <c r="CF139" s="52"/>
      <c r="CG139" s="79"/>
    </row>
    <row r="140" spans="1:246">
      <c r="A140" s="62"/>
      <c r="B140" s="60"/>
      <c r="C140" s="49"/>
      <c r="D140" s="49"/>
      <c r="E140" s="51"/>
      <c r="F140" s="52"/>
      <c r="G140" s="52"/>
      <c r="H140" s="52"/>
      <c r="I140" s="51"/>
      <c r="J140" s="51"/>
      <c r="K140" s="52"/>
      <c r="L140" s="51"/>
      <c r="M140" s="51"/>
      <c r="N140" s="52"/>
      <c r="O140" s="52"/>
      <c r="P140" s="52"/>
      <c r="Q140" s="51"/>
      <c r="R140" s="51"/>
      <c r="S140" s="52"/>
      <c r="T140" s="51"/>
      <c r="U140" s="51"/>
      <c r="V140" s="52"/>
      <c r="W140" s="52"/>
      <c r="X140" s="52"/>
      <c r="Y140" s="51"/>
      <c r="Z140" s="51"/>
      <c r="AA140" s="52"/>
      <c r="AB140" s="51"/>
      <c r="AC140" s="51"/>
      <c r="AD140" s="52"/>
      <c r="AE140" s="52"/>
      <c r="AF140" s="52"/>
      <c r="AG140" s="51"/>
      <c r="AH140" s="51"/>
      <c r="AI140" s="52"/>
      <c r="AJ140" s="51"/>
      <c r="AK140" s="51"/>
      <c r="AL140" s="52"/>
      <c r="AM140" s="52"/>
      <c r="AN140" s="52"/>
      <c r="AO140" s="51"/>
      <c r="AP140" s="51"/>
      <c r="AQ140" s="52"/>
      <c r="AR140" s="51"/>
      <c r="AS140" s="51"/>
      <c r="AT140" s="52"/>
      <c r="AU140" s="52"/>
      <c r="AV140" s="52"/>
      <c r="AW140" s="51"/>
      <c r="AX140" s="51"/>
      <c r="AY140" s="52"/>
      <c r="AZ140" s="51"/>
      <c r="BA140" s="51"/>
      <c r="BB140" s="52"/>
      <c r="BC140" s="52"/>
      <c r="BD140" s="52"/>
      <c r="BE140" s="51"/>
      <c r="BF140" s="51"/>
      <c r="BG140" s="52"/>
      <c r="BH140" s="51"/>
      <c r="BI140" s="51"/>
      <c r="BJ140" s="52"/>
      <c r="BK140" s="52"/>
      <c r="BL140" s="52"/>
      <c r="BM140" s="51"/>
      <c r="BN140" s="51"/>
      <c r="BO140" s="52"/>
      <c r="BP140" s="51"/>
      <c r="BQ140" s="51"/>
      <c r="BR140" s="52"/>
      <c r="BS140" s="52"/>
      <c r="BT140" s="52"/>
      <c r="BU140" s="51"/>
      <c r="BV140" s="51"/>
      <c r="BW140" s="52"/>
      <c r="BX140" s="51"/>
      <c r="BY140" s="51"/>
      <c r="BZ140" s="52"/>
      <c r="CA140" s="52"/>
      <c r="CB140" s="52"/>
      <c r="CC140" s="51"/>
      <c r="CD140" s="51"/>
      <c r="CE140" s="52"/>
      <c r="CF140" s="51"/>
    </row>
    <row r="141" spans="1:246" ht="30">
      <c r="A141" s="1" t="s">
        <v>0</v>
      </c>
      <c r="B141" s="2" t="s">
        <v>1</v>
      </c>
      <c r="C141" s="3" t="s">
        <v>2</v>
      </c>
      <c r="D141" s="3" t="s">
        <v>3</v>
      </c>
      <c r="E141" s="4">
        <v>500</v>
      </c>
      <c r="F141" s="4">
        <v>1000</v>
      </c>
      <c r="G141" s="4">
        <v>1500</v>
      </c>
      <c r="H141" s="4">
        <v>2000</v>
      </c>
      <c r="I141" s="4">
        <v>2500</v>
      </c>
      <c r="J141" s="5" t="s">
        <v>4</v>
      </c>
      <c r="K141" s="4" t="s">
        <v>5</v>
      </c>
      <c r="L141" s="6" t="s">
        <v>6</v>
      </c>
      <c r="M141" s="4">
        <v>3000</v>
      </c>
      <c r="N141" s="4">
        <v>3500</v>
      </c>
      <c r="O141" s="4">
        <v>4000</v>
      </c>
      <c r="P141" s="4">
        <v>4500</v>
      </c>
      <c r="Q141" s="4">
        <v>5000</v>
      </c>
      <c r="R141" s="5" t="s">
        <v>4</v>
      </c>
      <c r="S141" s="4" t="s">
        <v>5</v>
      </c>
      <c r="T141" s="6" t="s">
        <v>6</v>
      </c>
      <c r="U141" s="4">
        <v>5500</v>
      </c>
      <c r="V141" s="4">
        <v>6000</v>
      </c>
      <c r="W141" s="4">
        <v>6500</v>
      </c>
      <c r="X141" s="4">
        <v>7000</v>
      </c>
      <c r="Y141" s="4">
        <v>7500</v>
      </c>
      <c r="Z141" s="5" t="s">
        <v>4</v>
      </c>
      <c r="AA141" s="4" t="s">
        <v>5</v>
      </c>
      <c r="AB141" s="6" t="s">
        <v>6</v>
      </c>
      <c r="AC141" s="4">
        <v>8000</v>
      </c>
      <c r="AD141" s="4">
        <v>8500</v>
      </c>
      <c r="AE141" s="4">
        <v>9000</v>
      </c>
      <c r="AF141" s="4">
        <v>9500</v>
      </c>
      <c r="AG141" s="4">
        <v>10000</v>
      </c>
      <c r="AH141" s="6" t="s">
        <v>4</v>
      </c>
      <c r="AI141" s="4" t="s">
        <v>5</v>
      </c>
      <c r="AJ141" s="6" t="s">
        <v>6</v>
      </c>
      <c r="AK141" s="4">
        <v>10500</v>
      </c>
      <c r="AL141" s="4">
        <v>11000</v>
      </c>
      <c r="AM141" s="4">
        <v>11500</v>
      </c>
      <c r="AN141" s="4">
        <v>12000</v>
      </c>
      <c r="AO141" s="4">
        <v>12500</v>
      </c>
      <c r="AP141" s="6" t="s">
        <v>4</v>
      </c>
      <c r="AQ141" s="4" t="s">
        <v>5</v>
      </c>
      <c r="AR141" s="6" t="s">
        <v>6</v>
      </c>
      <c r="AS141" s="4">
        <v>13000</v>
      </c>
      <c r="AT141" s="4">
        <v>13500</v>
      </c>
      <c r="AU141" s="4">
        <v>14000</v>
      </c>
      <c r="AV141" s="4">
        <v>14500</v>
      </c>
      <c r="AW141" s="4">
        <v>15000</v>
      </c>
      <c r="AX141" s="6" t="s">
        <v>4</v>
      </c>
      <c r="AY141" s="4" t="s">
        <v>5</v>
      </c>
      <c r="AZ141" s="6" t="s">
        <v>6</v>
      </c>
      <c r="BA141" s="4">
        <v>15500</v>
      </c>
      <c r="BB141" s="4">
        <v>16000</v>
      </c>
      <c r="BC141" s="4">
        <v>16500</v>
      </c>
      <c r="BD141" s="4">
        <v>17000</v>
      </c>
      <c r="BE141" s="4">
        <v>17500</v>
      </c>
      <c r="BF141" s="6" t="s">
        <v>4</v>
      </c>
      <c r="BG141" s="4" t="s">
        <v>5</v>
      </c>
      <c r="BH141" s="6" t="s">
        <v>6</v>
      </c>
      <c r="BI141" s="4">
        <v>18000</v>
      </c>
      <c r="BJ141" s="4">
        <v>18500</v>
      </c>
      <c r="BK141" s="4">
        <v>19000</v>
      </c>
      <c r="BL141" s="4">
        <v>19500</v>
      </c>
      <c r="BM141" s="4">
        <v>20000</v>
      </c>
      <c r="BN141" s="6" t="s">
        <v>4</v>
      </c>
      <c r="BO141" s="4" t="s">
        <v>5</v>
      </c>
      <c r="BP141" s="6" t="s">
        <v>6</v>
      </c>
      <c r="BQ141" s="4">
        <v>20500</v>
      </c>
      <c r="BR141" s="4">
        <v>21000</v>
      </c>
      <c r="BS141" s="4">
        <v>21500</v>
      </c>
      <c r="BT141" s="4">
        <v>22000</v>
      </c>
      <c r="BU141" s="4">
        <v>22500</v>
      </c>
      <c r="BV141" s="6" t="s">
        <v>4</v>
      </c>
      <c r="BW141" s="4" t="s">
        <v>5</v>
      </c>
      <c r="BX141" s="6" t="s">
        <v>6</v>
      </c>
      <c r="BY141" s="4">
        <v>23000</v>
      </c>
      <c r="BZ141" s="4">
        <v>23500</v>
      </c>
      <c r="CA141" s="4">
        <v>24000</v>
      </c>
      <c r="CB141" s="4">
        <v>24500</v>
      </c>
      <c r="CC141" s="4">
        <v>25000</v>
      </c>
      <c r="CD141" s="6" t="s">
        <v>4</v>
      </c>
      <c r="CE141" s="4" t="s">
        <v>5</v>
      </c>
      <c r="CF141" s="6" t="s">
        <v>6</v>
      </c>
      <c r="CG141" s="7"/>
      <c r="CH141" s="7"/>
      <c r="CI141" s="7"/>
      <c r="CJ141" s="7"/>
      <c r="CK141" s="7"/>
      <c r="CL141" s="7"/>
      <c r="CM141" s="7"/>
      <c r="CN141" s="7"/>
      <c r="CO141" s="7"/>
      <c r="CP141" s="7"/>
      <c r="CQ141" s="7"/>
      <c r="CR141" s="7"/>
      <c r="CS141" s="7"/>
      <c r="CT141" s="7"/>
      <c r="CU141" s="7"/>
      <c r="CV141" s="7"/>
      <c r="CW141" s="7"/>
      <c r="CX141" s="7"/>
      <c r="CY141" s="7"/>
      <c r="CZ141" s="7"/>
      <c r="DA141" s="7"/>
      <c r="DB141" s="7"/>
      <c r="DC141" s="7"/>
      <c r="DD141" s="7"/>
      <c r="DE141" s="7"/>
      <c r="DF141" s="7"/>
      <c r="DG141" s="7"/>
      <c r="DH141" s="7"/>
      <c r="DI141" s="7"/>
      <c r="DJ141" s="7"/>
      <c r="DK141" s="7"/>
      <c r="DL141" s="7"/>
      <c r="DM141" s="7"/>
      <c r="DN141" s="7"/>
      <c r="DO141" s="7"/>
      <c r="DP141" s="7"/>
      <c r="DQ141" s="7"/>
      <c r="DR141" s="7"/>
      <c r="DS141" s="7"/>
      <c r="DT141" s="7"/>
      <c r="DU141" s="7"/>
      <c r="DV141" s="7"/>
      <c r="DW141" s="7"/>
      <c r="DX141" s="7"/>
      <c r="DY141" s="7"/>
      <c r="DZ141" s="7"/>
      <c r="EA141" s="7"/>
      <c r="EB141" s="7"/>
      <c r="EC141" s="7"/>
      <c r="ED141" s="7"/>
      <c r="EE141" s="7"/>
      <c r="EF141" s="7"/>
      <c r="EG141" s="7"/>
      <c r="EH141" s="7"/>
      <c r="EI141" s="7"/>
      <c r="EJ141" s="7"/>
      <c r="EK141" s="7"/>
      <c r="EL141" s="7"/>
      <c r="EM141" s="7"/>
      <c r="EN141" s="7"/>
      <c r="EO141" s="7"/>
      <c r="EP141" s="7"/>
      <c r="EQ141" s="7"/>
      <c r="ER141" s="7"/>
      <c r="ES141" s="7"/>
      <c r="ET141" s="7"/>
      <c r="EU141" s="7"/>
      <c r="EV141" s="7"/>
      <c r="EW141" s="7"/>
      <c r="EX141" s="7"/>
      <c r="EY141" s="7"/>
      <c r="EZ141" s="7"/>
      <c r="FA141" s="7"/>
      <c r="FB141" s="7"/>
      <c r="FC141" s="7"/>
      <c r="FD141" s="7"/>
      <c r="FE141" s="7"/>
      <c r="FF141" s="7"/>
      <c r="FG141" s="7"/>
      <c r="FH141" s="7"/>
      <c r="FI141" s="7"/>
      <c r="FJ141" s="7"/>
      <c r="FK141" s="7"/>
      <c r="FL141" s="7"/>
      <c r="FM141" s="7"/>
      <c r="FN141" s="7"/>
      <c r="FO141" s="7"/>
      <c r="FP141" s="7"/>
      <c r="FQ141" s="7"/>
      <c r="FR141" s="7"/>
      <c r="FS141" s="7"/>
      <c r="FT141" s="7"/>
      <c r="FU141" s="7"/>
      <c r="FV141" s="7"/>
      <c r="FW141" s="7"/>
      <c r="FX141" s="7"/>
      <c r="FY141" s="7"/>
      <c r="FZ141" s="7"/>
      <c r="GA141" s="7"/>
      <c r="GB141" s="7"/>
      <c r="GC141" s="7"/>
      <c r="GD141" s="7"/>
      <c r="GE141" s="7"/>
      <c r="GF141" s="7"/>
      <c r="GG141" s="7"/>
      <c r="GH141" s="7"/>
      <c r="GI141" s="7"/>
      <c r="GJ141" s="7"/>
      <c r="GK141" s="7"/>
      <c r="GL141" s="7"/>
      <c r="GM141" s="7"/>
      <c r="GN141" s="7"/>
      <c r="GO141" s="7"/>
      <c r="GP141" s="7"/>
      <c r="GQ141" s="7"/>
      <c r="GR141" s="7"/>
      <c r="GS141" s="7"/>
      <c r="GT141" s="7"/>
      <c r="GU141" s="7"/>
      <c r="GV141" s="7"/>
      <c r="GW141" s="7"/>
      <c r="GX141" s="7"/>
      <c r="GY141" s="7"/>
      <c r="GZ141" s="7"/>
      <c r="HA141" s="7"/>
      <c r="HB141" s="7"/>
      <c r="HC141" s="7"/>
      <c r="HD141" s="7"/>
      <c r="HE141" s="7"/>
      <c r="HF141" s="7"/>
      <c r="HG141" s="7"/>
      <c r="HH141" s="7"/>
      <c r="HI141" s="7"/>
      <c r="HJ141" s="7"/>
      <c r="HK141" s="7"/>
      <c r="HL141" s="7"/>
      <c r="HM141" s="7"/>
      <c r="HN141" s="7"/>
      <c r="HO141" s="7"/>
      <c r="HP141" s="7"/>
      <c r="HQ141" s="7"/>
      <c r="HR141" s="7"/>
      <c r="HS141" s="7"/>
      <c r="HT141" s="7"/>
      <c r="HU141" s="7"/>
      <c r="HV141" s="7"/>
      <c r="HW141" s="7"/>
      <c r="HX141" s="7"/>
      <c r="HY141" s="7"/>
      <c r="HZ141" s="7"/>
      <c r="IA141" s="7"/>
      <c r="IB141" s="7"/>
      <c r="IC141" s="7"/>
      <c r="ID141" s="7"/>
      <c r="IE141" s="7"/>
      <c r="IF141" s="7"/>
      <c r="IG141" s="7"/>
      <c r="IH141" s="7"/>
      <c r="II141" s="7"/>
      <c r="IJ141" s="7"/>
      <c r="IK141" s="7"/>
      <c r="IL141" s="7"/>
    </row>
    <row r="142" spans="1:246" ht="15">
      <c r="A142" s="61" t="s">
        <v>126</v>
      </c>
      <c r="B142" s="10" t="s">
        <v>8</v>
      </c>
      <c r="C142" s="11"/>
      <c r="D142" s="12" t="s">
        <v>9</v>
      </c>
      <c r="E142" s="13">
        <v>1</v>
      </c>
      <c r="F142" s="13">
        <v>1</v>
      </c>
      <c r="G142" s="13">
        <v>1</v>
      </c>
      <c r="H142" s="13">
        <v>1</v>
      </c>
      <c r="I142" s="13">
        <v>1</v>
      </c>
      <c r="J142" s="13">
        <v>5</v>
      </c>
      <c r="K142" s="14">
        <v>154</v>
      </c>
      <c r="L142" s="13">
        <f>J142*K142</f>
        <v>770</v>
      </c>
      <c r="M142" s="13">
        <v>1</v>
      </c>
      <c r="N142" s="13">
        <v>1</v>
      </c>
      <c r="O142" s="13">
        <v>1</v>
      </c>
      <c r="P142" s="13">
        <v>1</v>
      </c>
      <c r="Q142" s="13">
        <v>1</v>
      </c>
      <c r="R142" s="13">
        <v>5</v>
      </c>
      <c r="S142" s="14">
        <v>154</v>
      </c>
      <c r="T142" s="13">
        <f>S142*R142</f>
        <v>770</v>
      </c>
      <c r="U142" s="13">
        <v>1</v>
      </c>
      <c r="V142" s="13">
        <v>1</v>
      </c>
      <c r="W142" s="13">
        <v>1</v>
      </c>
      <c r="X142" s="13">
        <v>1</v>
      </c>
      <c r="Y142" s="13">
        <v>1</v>
      </c>
      <c r="Z142" s="13">
        <v>5</v>
      </c>
      <c r="AA142" s="14">
        <v>154</v>
      </c>
      <c r="AB142" s="13">
        <f>AA142*Z142</f>
        <v>770</v>
      </c>
      <c r="AC142" s="13">
        <v>1</v>
      </c>
      <c r="AD142" s="13">
        <v>1</v>
      </c>
      <c r="AE142" s="13">
        <v>1</v>
      </c>
      <c r="AF142" s="13">
        <v>1</v>
      </c>
      <c r="AG142" s="13">
        <v>1</v>
      </c>
      <c r="AH142" s="13">
        <v>5</v>
      </c>
      <c r="AI142" s="14">
        <v>154</v>
      </c>
      <c r="AJ142" s="13">
        <f>AI142*AH142</f>
        <v>770</v>
      </c>
      <c r="AK142" s="13">
        <v>1</v>
      </c>
      <c r="AL142" s="13">
        <v>1</v>
      </c>
      <c r="AM142" s="13">
        <v>1</v>
      </c>
      <c r="AN142" s="13">
        <v>1</v>
      </c>
      <c r="AO142" s="13">
        <v>1</v>
      </c>
      <c r="AP142" s="13">
        <v>5</v>
      </c>
      <c r="AQ142" s="14">
        <v>154</v>
      </c>
      <c r="AR142" s="13">
        <f>AQ142*AP142</f>
        <v>770</v>
      </c>
      <c r="AS142" s="13">
        <v>1</v>
      </c>
      <c r="AT142" s="13">
        <v>1</v>
      </c>
      <c r="AU142" s="13">
        <v>1</v>
      </c>
      <c r="AV142" s="13">
        <v>1</v>
      </c>
      <c r="AW142" s="13">
        <v>1</v>
      </c>
      <c r="AX142" s="13">
        <v>5</v>
      </c>
      <c r="AY142" s="14">
        <v>154</v>
      </c>
      <c r="AZ142" s="13">
        <f>AY142*AX142</f>
        <v>770</v>
      </c>
      <c r="BA142" s="13">
        <v>1</v>
      </c>
      <c r="BB142" s="13">
        <v>1</v>
      </c>
      <c r="BC142" s="13">
        <v>1</v>
      </c>
      <c r="BD142" s="13">
        <v>1</v>
      </c>
      <c r="BE142" s="13">
        <v>1</v>
      </c>
      <c r="BF142" s="13">
        <v>5</v>
      </c>
      <c r="BG142" s="14">
        <v>154</v>
      </c>
      <c r="BH142" s="13">
        <f>BG142*BF142</f>
        <v>770</v>
      </c>
      <c r="BI142" s="13">
        <v>1</v>
      </c>
      <c r="BJ142" s="13">
        <v>1</v>
      </c>
      <c r="BK142" s="13">
        <v>1</v>
      </c>
      <c r="BL142" s="13">
        <v>1</v>
      </c>
      <c r="BM142" s="13">
        <v>1</v>
      </c>
      <c r="BN142" s="13">
        <v>5</v>
      </c>
      <c r="BO142" s="14">
        <v>154</v>
      </c>
      <c r="BP142" s="13">
        <f>BO142*BN142</f>
        <v>770</v>
      </c>
      <c r="BQ142" s="13">
        <v>1</v>
      </c>
      <c r="BR142" s="13">
        <v>1</v>
      </c>
      <c r="BS142" s="13">
        <v>1</v>
      </c>
      <c r="BT142" s="13">
        <v>1</v>
      </c>
      <c r="BU142" s="13">
        <v>1</v>
      </c>
      <c r="BV142" s="13">
        <v>5</v>
      </c>
      <c r="BW142" s="14">
        <v>154</v>
      </c>
      <c r="BX142" s="13">
        <f>BW142*BV142</f>
        <v>770</v>
      </c>
      <c r="BY142" s="13">
        <v>1</v>
      </c>
      <c r="BZ142" s="13">
        <v>1</v>
      </c>
      <c r="CA142" s="13">
        <v>1</v>
      </c>
      <c r="CB142" s="13">
        <v>1</v>
      </c>
      <c r="CC142" s="13">
        <v>1</v>
      </c>
      <c r="CD142" s="13">
        <v>5</v>
      </c>
      <c r="CE142" s="14">
        <v>154</v>
      </c>
      <c r="CF142" s="13">
        <f>CE142*CD142</f>
        <v>770</v>
      </c>
      <c r="CG142" s="15"/>
    </row>
    <row r="143" spans="1:246">
      <c r="A143" s="61" t="s">
        <v>126</v>
      </c>
      <c r="B143" s="16" t="s">
        <v>57</v>
      </c>
      <c r="C143" s="11"/>
      <c r="D143" s="17" t="s">
        <v>11</v>
      </c>
      <c r="E143" s="18"/>
      <c r="F143" s="13">
        <v>1</v>
      </c>
      <c r="G143" s="13"/>
      <c r="H143" s="13">
        <v>1</v>
      </c>
      <c r="I143" s="18"/>
      <c r="J143" s="13">
        <v>2</v>
      </c>
      <c r="K143" s="19">
        <v>156</v>
      </c>
      <c r="L143" s="13">
        <f t="shared" ref="L143:L164" si="85">J143*K143</f>
        <v>312</v>
      </c>
      <c r="M143" s="18"/>
      <c r="N143" s="13">
        <v>1</v>
      </c>
      <c r="O143" s="13"/>
      <c r="P143" s="13">
        <v>1</v>
      </c>
      <c r="Q143" s="18"/>
      <c r="R143" s="13">
        <v>2</v>
      </c>
      <c r="S143" s="19">
        <v>156</v>
      </c>
      <c r="T143" s="13">
        <f t="shared" ref="T143:T164" si="86">S143*R143</f>
        <v>312</v>
      </c>
      <c r="U143" s="18"/>
      <c r="V143" s="13">
        <v>1</v>
      </c>
      <c r="W143" s="13"/>
      <c r="X143" s="13">
        <v>1</v>
      </c>
      <c r="Y143" s="18"/>
      <c r="Z143" s="13">
        <v>2</v>
      </c>
      <c r="AA143" s="19">
        <v>156</v>
      </c>
      <c r="AB143" s="13">
        <f t="shared" ref="AB143:AB164" si="87">AA143*Z143</f>
        <v>312</v>
      </c>
      <c r="AC143" s="18"/>
      <c r="AD143" s="13">
        <v>1</v>
      </c>
      <c r="AE143" s="13"/>
      <c r="AF143" s="13">
        <v>1</v>
      </c>
      <c r="AG143" s="18"/>
      <c r="AH143" s="13">
        <v>2</v>
      </c>
      <c r="AI143" s="19">
        <v>156</v>
      </c>
      <c r="AJ143" s="13">
        <f t="shared" ref="AJ143:AJ164" si="88">AI143*AH143</f>
        <v>312</v>
      </c>
      <c r="AK143" s="18"/>
      <c r="AL143" s="13">
        <v>1</v>
      </c>
      <c r="AM143" s="13"/>
      <c r="AN143" s="13">
        <v>1</v>
      </c>
      <c r="AO143" s="18"/>
      <c r="AP143" s="13">
        <v>2</v>
      </c>
      <c r="AQ143" s="19">
        <v>156</v>
      </c>
      <c r="AR143" s="13">
        <f t="shared" ref="AR143:AR164" si="89">AQ143*AP143</f>
        <v>312</v>
      </c>
      <c r="AS143" s="18"/>
      <c r="AT143" s="13">
        <v>1</v>
      </c>
      <c r="AU143" s="13"/>
      <c r="AV143" s="13">
        <v>1</v>
      </c>
      <c r="AW143" s="18"/>
      <c r="AX143" s="13">
        <v>2</v>
      </c>
      <c r="AY143" s="19">
        <v>156</v>
      </c>
      <c r="AZ143" s="13">
        <f t="shared" ref="AZ143:AZ164" si="90">AY143*AX143</f>
        <v>312</v>
      </c>
      <c r="BA143" s="18"/>
      <c r="BB143" s="13">
        <v>1</v>
      </c>
      <c r="BC143" s="13"/>
      <c r="BD143" s="13">
        <v>1</v>
      </c>
      <c r="BE143" s="18"/>
      <c r="BF143" s="13">
        <v>2</v>
      </c>
      <c r="BG143" s="19">
        <v>156</v>
      </c>
      <c r="BH143" s="13">
        <f t="shared" ref="BH143:BH165" si="91">BG143*BF143</f>
        <v>312</v>
      </c>
      <c r="BI143" s="18"/>
      <c r="BJ143" s="13">
        <v>1</v>
      </c>
      <c r="BK143" s="13"/>
      <c r="BL143" s="13">
        <v>1</v>
      </c>
      <c r="BM143" s="18"/>
      <c r="BN143" s="13">
        <v>2</v>
      </c>
      <c r="BO143" s="19">
        <v>156</v>
      </c>
      <c r="BP143" s="13">
        <f t="shared" ref="BP143:BP164" si="92">BO143*BN143</f>
        <v>312</v>
      </c>
      <c r="BQ143" s="18"/>
      <c r="BR143" s="13">
        <v>1</v>
      </c>
      <c r="BS143" s="13"/>
      <c r="BT143" s="13">
        <v>1</v>
      </c>
      <c r="BU143" s="18"/>
      <c r="BV143" s="13">
        <v>2</v>
      </c>
      <c r="BW143" s="19">
        <v>156</v>
      </c>
      <c r="BX143" s="13">
        <f t="shared" ref="BX143:BX164" si="93">BW143*BV143</f>
        <v>312</v>
      </c>
      <c r="BY143" s="18"/>
      <c r="BZ143" s="13">
        <v>1</v>
      </c>
      <c r="CA143" s="13"/>
      <c r="CB143" s="13">
        <v>1</v>
      </c>
      <c r="CC143" s="18"/>
      <c r="CD143" s="13">
        <v>2</v>
      </c>
      <c r="CE143" s="19">
        <v>156</v>
      </c>
      <c r="CF143" s="13">
        <f t="shared" ref="CF143:CF164" si="94">CE143*CD143</f>
        <v>312</v>
      </c>
      <c r="CG143" s="15"/>
    </row>
    <row r="144" spans="1:246">
      <c r="A144" s="61" t="s">
        <v>126</v>
      </c>
      <c r="B144" s="20" t="s">
        <v>127</v>
      </c>
      <c r="C144" s="11"/>
      <c r="D144" s="11" t="s">
        <v>13</v>
      </c>
      <c r="E144" s="18"/>
      <c r="F144" s="13">
        <v>1</v>
      </c>
      <c r="G144" s="13"/>
      <c r="H144" s="13">
        <v>1</v>
      </c>
      <c r="I144" s="18"/>
      <c r="J144" s="13">
        <v>2</v>
      </c>
      <c r="K144" s="13">
        <v>104</v>
      </c>
      <c r="L144" s="13">
        <f t="shared" si="85"/>
        <v>208</v>
      </c>
      <c r="M144" s="18"/>
      <c r="N144" s="13">
        <v>1</v>
      </c>
      <c r="O144" s="13"/>
      <c r="P144" s="13">
        <v>1</v>
      </c>
      <c r="Q144" s="18"/>
      <c r="R144" s="13">
        <v>2</v>
      </c>
      <c r="S144" s="13">
        <v>104</v>
      </c>
      <c r="T144" s="13">
        <f t="shared" si="86"/>
        <v>208</v>
      </c>
      <c r="U144" s="18"/>
      <c r="V144" s="13">
        <v>1</v>
      </c>
      <c r="W144" s="13"/>
      <c r="X144" s="13">
        <v>1</v>
      </c>
      <c r="Y144" s="18"/>
      <c r="Z144" s="13">
        <v>2</v>
      </c>
      <c r="AA144" s="13">
        <v>104</v>
      </c>
      <c r="AB144" s="13">
        <f t="shared" si="87"/>
        <v>208</v>
      </c>
      <c r="AC144" s="18"/>
      <c r="AD144" s="13">
        <v>1</v>
      </c>
      <c r="AE144" s="13"/>
      <c r="AF144" s="13">
        <v>1</v>
      </c>
      <c r="AG144" s="18"/>
      <c r="AH144" s="13">
        <v>2</v>
      </c>
      <c r="AI144" s="13">
        <v>104</v>
      </c>
      <c r="AJ144" s="13">
        <f t="shared" si="88"/>
        <v>208</v>
      </c>
      <c r="AK144" s="18"/>
      <c r="AL144" s="13">
        <v>1</v>
      </c>
      <c r="AM144" s="13"/>
      <c r="AN144" s="13">
        <v>1</v>
      </c>
      <c r="AO144" s="18"/>
      <c r="AP144" s="13">
        <v>2</v>
      </c>
      <c r="AQ144" s="13">
        <v>104</v>
      </c>
      <c r="AR144" s="13">
        <f t="shared" si="89"/>
        <v>208</v>
      </c>
      <c r="AS144" s="18"/>
      <c r="AT144" s="13">
        <v>1</v>
      </c>
      <c r="AU144" s="13"/>
      <c r="AV144" s="13">
        <v>1</v>
      </c>
      <c r="AW144" s="18"/>
      <c r="AX144" s="13">
        <v>2</v>
      </c>
      <c r="AY144" s="13">
        <v>104</v>
      </c>
      <c r="AZ144" s="13">
        <f t="shared" si="90"/>
        <v>208</v>
      </c>
      <c r="BA144" s="18"/>
      <c r="BB144" s="13">
        <v>1</v>
      </c>
      <c r="BC144" s="13"/>
      <c r="BD144" s="13">
        <v>1</v>
      </c>
      <c r="BE144" s="18"/>
      <c r="BF144" s="13">
        <v>2</v>
      </c>
      <c r="BG144" s="13">
        <v>104</v>
      </c>
      <c r="BH144" s="13">
        <f t="shared" si="91"/>
        <v>208</v>
      </c>
      <c r="BI144" s="18"/>
      <c r="BJ144" s="13">
        <v>1</v>
      </c>
      <c r="BK144" s="13"/>
      <c r="BL144" s="13">
        <v>1</v>
      </c>
      <c r="BM144" s="18"/>
      <c r="BN144" s="13">
        <v>2</v>
      </c>
      <c r="BO144" s="13">
        <v>104</v>
      </c>
      <c r="BP144" s="13">
        <f t="shared" si="92"/>
        <v>208</v>
      </c>
      <c r="BQ144" s="18"/>
      <c r="BR144" s="13">
        <v>1</v>
      </c>
      <c r="BS144" s="13"/>
      <c r="BT144" s="13">
        <v>1</v>
      </c>
      <c r="BU144" s="18"/>
      <c r="BV144" s="13">
        <v>2</v>
      </c>
      <c r="BW144" s="13">
        <v>104</v>
      </c>
      <c r="BX144" s="13">
        <f t="shared" si="93"/>
        <v>208</v>
      </c>
      <c r="BY144" s="18"/>
      <c r="BZ144" s="13">
        <v>1</v>
      </c>
      <c r="CA144" s="13"/>
      <c r="CB144" s="13">
        <v>1</v>
      </c>
      <c r="CC144" s="18"/>
      <c r="CD144" s="13">
        <v>2</v>
      </c>
      <c r="CE144" s="13">
        <v>104</v>
      </c>
      <c r="CF144" s="13">
        <f t="shared" si="94"/>
        <v>208</v>
      </c>
      <c r="CG144" s="15"/>
    </row>
    <row r="145" spans="1:85">
      <c r="A145" s="61" t="s">
        <v>126</v>
      </c>
      <c r="B145" s="10" t="s">
        <v>128</v>
      </c>
      <c r="C145" s="11"/>
      <c r="D145" s="11" t="s">
        <v>15</v>
      </c>
      <c r="E145" s="18"/>
      <c r="F145" s="13"/>
      <c r="G145" s="13"/>
      <c r="H145" s="13"/>
      <c r="I145" s="18"/>
      <c r="J145" s="13">
        <v>1</v>
      </c>
      <c r="K145" s="13">
        <v>707</v>
      </c>
      <c r="L145" s="13">
        <f t="shared" si="85"/>
        <v>707</v>
      </c>
      <c r="M145" s="18"/>
      <c r="N145" s="13"/>
      <c r="O145" s="13"/>
      <c r="P145" s="13"/>
      <c r="Q145" s="18"/>
      <c r="R145" s="13"/>
      <c r="S145" s="13">
        <v>707</v>
      </c>
      <c r="T145" s="13">
        <f t="shared" si="86"/>
        <v>0</v>
      </c>
      <c r="U145" s="18"/>
      <c r="V145" s="13"/>
      <c r="W145" s="13"/>
      <c r="X145" s="13"/>
      <c r="Y145" s="18">
        <v>1</v>
      </c>
      <c r="Z145" s="13">
        <v>1</v>
      </c>
      <c r="AA145" s="13">
        <v>707</v>
      </c>
      <c r="AB145" s="13">
        <f t="shared" si="87"/>
        <v>707</v>
      </c>
      <c r="AC145" s="18"/>
      <c r="AD145" s="13"/>
      <c r="AE145" s="13"/>
      <c r="AF145" s="13"/>
      <c r="AG145" s="18"/>
      <c r="AH145" s="13"/>
      <c r="AI145" s="13">
        <v>707</v>
      </c>
      <c r="AJ145" s="13">
        <f t="shared" si="88"/>
        <v>0</v>
      </c>
      <c r="AK145" s="18"/>
      <c r="AL145" s="13"/>
      <c r="AM145" s="13"/>
      <c r="AN145" s="13"/>
      <c r="AO145" s="18"/>
      <c r="AP145" s="13"/>
      <c r="AQ145" s="13">
        <v>707</v>
      </c>
      <c r="AR145" s="13">
        <f t="shared" si="89"/>
        <v>0</v>
      </c>
      <c r="AS145" s="18"/>
      <c r="AT145" s="13"/>
      <c r="AU145" s="13"/>
      <c r="AV145" s="13"/>
      <c r="AW145" s="18"/>
      <c r="AX145" s="13"/>
      <c r="AY145" s="13">
        <v>707</v>
      </c>
      <c r="AZ145" s="13">
        <f t="shared" si="90"/>
        <v>0</v>
      </c>
      <c r="BA145" s="18"/>
      <c r="BB145" s="13"/>
      <c r="BC145" s="13"/>
      <c r="BD145" s="13"/>
      <c r="BE145" s="18"/>
      <c r="BF145" s="13">
        <v>0</v>
      </c>
      <c r="BG145" s="13">
        <v>707</v>
      </c>
      <c r="BH145" s="13">
        <f t="shared" si="91"/>
        <v>0</v>
      </c>
      <c r="BI145" s="18"/>
      <c r="BJ145" s="13"/>
      <c r="BK145" s="13"/>
      <c r="BL145" s="13"/>
      <c r="BM145" s="18"/>
      <c r="BN145" s="13"/>
      <c r="BO145" s="13">
        <v>707</v>
      </c>
      <c r="BP145" s="13">
        <f t="shared" si="92"/>
        <v>0</v>
      </c>
      <c r="BQ145" s="18"/>
      <c r="BR145" s="13"/>
      <c r="BS145" s="13"/>
      <c r="BT145" s="13"/>
      <c r="BU145" s="18"/>
      <c r="BV145" s="13"/>
      <c r="BW145" s="13">
        <v>707</v>
      </c>
      <c r="BX145" s="13">
        <f t="shared" si="93"/>
        <v>0</v>
      </c>
      <c r="BY145" s="18"/>
      <c r="BZ145" s="13"/>
      <c r="CA145" s="13"/>
      <c r="CB145" s="13"/>
      <c r="CC145" s="18"/>
      <c r="CD145" s="13"/>
      <c r="CE145" s="13">
        <v>707</v>
      </c>
      <c r="CF145" s="13">
        <f t="shared" si="94"/>
        <v>0</v>
      </c>
      <c r="CG145" s="15"/>
    </row>
    <row r="146" spans="1:85">
      <c r="A146" s="61" t="s">
        <v>126</v>
      </c>
      <c r="B146" s="10" t="s">
        <v>129</v>
      </c>
      <c r="C146" s="11"/>
      <c r="D146" s="11" t="s">
        <v>130</v>
      </c>
      <c r="E146" s="18"/>
      <c r="F146" s="13"/>
      <c r="G146" s="13"/>
      <c r="H146" s="13"/>
      <c r="I146" s="18"/>
      <c r="J146" s="13">
        <v>1</v>
      </c>
      <c r="K146" s="13">
        <v>574</v>
      </c>
      <c r="L146" s="13">
        <f t="shared" si="85"/>
        <v>574</v>
      </c>
      <c r="M146" s="18"/>
      <c r="N146" s="13"/>
      <c r="O146" s="13"/>
      <c r="P146" s="13"/>
      <c r="Q146" s="18"/>
      <c r="R146" s="13"/>
      <c r="S146" s="13">
        <v>574</v>
      </c>
      <c r="T146" s="13">
        <f t="shared" si="86"/>
        <v>0</v>
      </c>
      <c r="U146" s="18"/>
      <c r="V146" s="13"/>
      <c r="W146" s="13"/>
      <c r="X146" s="13"/>
      <c r="Y146" s="18">
        <v>1</v>
      </c>
      <c r="Z146" s="13">
        <v>1</v>
      </c>
      <c r="AA146" s="13">
        <v>574</v>
      </c>
      <c r="AB146" s="13">
        <f t="shared" si="87"/>
        <v>574</v>
      </c>
      <c r="AC146" s="18"/>
      <c r="AD146" s="13"/>
      <c r="AE146" s="13"/>
      <c r="AF146" s="13"/>
      <c r="AG146" s="18"/>
      <c r="AH146" s="13"/>
      <c r="AI146" s="13">
        <v>574</v>
      </c>
      <c r="AJ146" s="13">
        <f t="shared" si="88"/>
        <v>0</v>
      </c>
      <c r="AK146" s="18"/>
      <c r="AL146" s="13"/>
      <c r="AM146" s="13"/>
      <c r="AN146" s="13"/>
      <c r="AO146" s="18"/>
      <c r="AP146" s="13"/>
      <c r="AQ146" s="13">
        <v>574</v>
      </c>
      <c r="AR146" s="13">
        <f t="shared" si="89"/>
        <v>0</v>
      </c>
      <c r="AS146" s="18"/>
      <c r="AT146" s="13"/>
      <c r="AU146" s="13"/>
      <c r="AV146" s="13"/>
      <c r="AW146" s="18"/>
      <c r="AX146" s="13"/>
      <c r="AY146" s="13">
        <v>574</v>
      </c>
      <c r="AZ146" s="13">
        <f t="shared" si="90"/>
        <v>0</v>
      </c>
      <c r="BA146" s="18"/>
      <c r="BB146" s="13"/>
      <c r="BC146" s="13"/>
      <c r="BD146" s="13"/>
      <c r="BE146" s="18"/>
      <c r="BF146" s="13"/>
      <c r="BG146" s="13">
        <v>574</v>
      </c>
      <c r="BH146" s="13">
        <f t="shared" si="91"/>
        <v>0</v>
      </c>
      <c r="BI146" s="18"/>
      <c r="BJ146" s="13"/>
      <c r="BK146" s="13"/>
      <c r="BL146" s="13"/>
      <c r="BM146" s="18"/>
      <c r="BN146" s="13"/>
      <c r="BO146" s="13">
        <v>574</v>
      </c>
      <c r="BP146" s="13">
        <f t="shared" si="92"/>
        <v>0</v>
      </c>
      <c r="BQ146" s="18"/>
      <c r="BR146" s="13"/>
      <c r="BS146" s="13"/>
      <c r="BT146" s="13"/>
      <c r="BU146" s="18"/>
      <c r="BV146" s="13"/>
      <c r="BW146" s="13">
        <v>574</v>
      </c>
      <c r="BX146" s="13">
        <f t="shared" si="93"/>
        <v>0</v>
      </c>
      <c r="BY146" s="18"/>
      <c r="BZ146" s="13"/>
      <c r="CA146" s="13"/>
      <c r="CB146" s="13"/>
      <c r="CC146" s="18"/>
      <c r="CD146" s="13"/>
      <c r="CE146" s="13">
        <v>574</v>
      </c>
      <c r="CF146" s="13">
        <f t="shared" si="94"/>
        <v>0</v>
      </c>
      <c r="CG146" s="15"/>
    </row>
    <row r="147" spans="1:85">
      <c r="A147" s="61" t="s">
        <v>126</v>
      </c>
      <c r="B147" s="10" t="s">
        <v>18</v>
      </c>
      <c r="C147" s="11"/>
      <c r="D147" s="12" t="s">
        <v>19</v>
      </c>
      <c r="E147" s="18"/>
      <c r="F147" s="13">
        <v>1</v>
      </c>
      <c r="G147" s="13"/>
      <c r="H147" s="13">
        <v>1</v>
      </c>
      <c r="I147" s="18"/>
      <c r="J147" s="13">
        <v>2</v>
      </c>
      <c r="K147" s="19">
        <v>25</v>
      </c>
      <c r="L147" s="13">
        <f t="shared" si="85"/>
        <v>50</v>
      </c>
      <c r="M147" s="18"/>
      <c r="N147" s="13">
        <v>1</v>
      </c>
      <c r="O147" s="13"/>
      <c r="P147" s="13">
        <v>1</v>
      </c>
      <c r="Q147" s="18"/>
      <c r="R147" s="13">
        <v>2</v>
      </c>
      <c r="S147" s="19">
        <v>25</v>
      </c>
      <c r="T147" s="13">
        <f t="shared" si="86"/>
        <v>50</v>
      </c>
      <c r="U147" s="18"/>
      <c r="V147" s="13">
        <v>1</v>
      </c>
      <c r="W147" s="13"/>
      <c r="X147" s="13">
        <v>1</v>
      </c>
      <c r="Y147" s="18"/>
      <c r="Z147" s="13">
        <v>2</v>
      </c>
      <c r="AA147" s="19">
        <v>25</v>
      </c>
      <c r="AB147" s="13">
        <f t="shared" si="87"/>
        <v>50</v>
      </c>
      <c r="AC147" s="18"/>
      <c r="AD147" s="13">
        <v>1</v>
      </c>
      <c r="AE147" s="13"/>
      <c r="AF147" s="13">
        <v>1</v>
      </c>
      <c r="AG147" s="18"/>
      <c r="AH147" s="13">
        <v>2</v>
      </c>
      <c r="AI147" s="19">
        <v>25</v>
      </c>
      <c r="AJ147" s="13">
        <f t="shared" si="88"/>
        <v>50</v>
      </c>
      <c r="AK147" s="18"/>
      <c r="AL147" s="13">
        <v>1</v>
      </c>
      <c r="AM147" s="13"/>
      <c r="AN147" s="13">
        <v>1</v>
      </c>
      <c r="AO147" s="18"/>
      <c r="AP147" s="13">
        <v>2</v>
      </c>
      <c r="AQ147" s="19">
        <v>25</v>
      </c>
      <c r="AR147" s="13">
        <f t="shared" si="89"/>
        <v>50</v>
      </c>
      <c r="AS147" s="18"/>
      <c r="AT147" s="13">
        <v>1</v>
      </c>
      <c r="AU147" s="13"/>
      <c r="AV147" s="13">
        <v>1</v>
      </c>
      <c r="AW147" s="18"/>
      <c r="AX147" s="13">
        <v>2</v>
      </c>
      <c r="AY147" s="19">
        <v>25</v>
      </c>
      <c r="AZ147" s="13">
        <f t="shared" si="90"/>
        <v>50</v>
      </c>
      <c r="BA147" s="18"/>
      <c r="BB147" s="13">
        <v>1</v>
      </c>
      <c r="BC147" s="13"/>
      <c r="BD147" s="13">
        <v>1</v>
      </c>
      <c r="BE147" s="18"/>
      <c r="BF147" s="13">
        <v>2</v>
      </c>
      <c r="BG147" s="19">
        <v>25</v>
      </c>
      <c r="BH147" s="13">
        <f t="shared" si="91"/>
        <v>50</v>
      </c>
      <c r="BI147" s="18"/>
      <c r="BJ147" s="13">
        <v>1</v>
      </c>
      <c r="BK147" s="13"/>
      <c r="BL147" s="13">
        <v>1</v>
      </c>
      <c r="BM147" s="18"/>
      <c r="BN147" s="13">
        <v>2</v>
      </c>
      <c r="BO147" s="19">
        <v>25</v>
      </c>
      <c r="BP147" s="13">
        <f t="shared" si="92"/>
        <v>50</v>
      </c>
      <c r="BQ147" s="18"/>
      <c r="BR147" s="13">
        <v>1</v>
      </c>
      <c r="BS147" s="13"/>
      <c r="BT147" s="13">
        <v>1</v>
      </c>
      <c r="BU147" s="18"/>
      <c r="BV147" s="13">
        <v>2</v>
      </c>
      <c r="BW147" s="19">
        <v>25</v>
      </c>
      <c r="BX147" s="13">
        <f t="shared" si="93"/>
        <v>50</v>
      </c>
      <c r="BY147" s="18"/>
      <c r="BZ147" s="13">
        <v>1</v>
      </c>
      <c r="CA147" s="13"/>
      <c r="CB147" s="13">
        <v>1</v>
      </c>
      <c r="CC147" s="18"/>
      <c r="CD147" s="13">
        <v>2</v>
      </c>
      <c r="CE147" s="19">
        <v>25</v>
      </c>
      <c r="CF147" s="13">
        <f t="shared" si="94"/>
        <v>50</v>
      </c>
      <c r="CG147" s="15"/>
    </row>
    <row r="148" spans="1:85">
      <c r="A148" s="61" t="s">
        <v>126</v>
      </c>
      <c r="B148" s="10" t="s">
        <v>20</v>
      </c>
      <c r="C148" s="11"/>
      <c r="D148" s="12" t="s">
        <v>21</v>
      </c>
      <c r="E148" s="18"/>
      <c r="F148" s="13">
        <v>1</v>
      </c>
      <c r="G148" s="13"/>
      <c r="H148" s="13">
        <v>1</v>
      </c>
      <c r="I148" s="18"/>
      <c r="J148" s="13">
        <v>2</v>
      </c>
      <c r="K148" s="21">
        <v>112</v>
      </c>
      <c r="L148" s="13">
        <f t="shared" si="85"/>
        <v>224</v>
      </c>
      <c r="M148" s="18"/>
      <c r="N148" s="13">
        <v>1</v>
      </c>
      <c r="O148" s="13"/>
      <c r="P148" s="13">
        <v>1</v>
      </c>
      <c r="Q148" s="18"/>
      <c r="R148" s="13">
        <v>2</v>
      </c>
      <c r="S148" s="21">
        <v>112</v>
      </c>
      <c r="T148" s="13">
        <f t="shared" si="86"/>
        <v>224</v>
      </c>
      <c r="U148" s="18"/>
      <c r="V148" s="13">
        <v>1</v>
      </c>
      <c r="W148" s="13"/>
      <c r="X148" s="13">
        <v>1</v>
      </c>
      <c r="Y148" s="18"/>
      <c r="Z148" s="13">
        <v>2</v>
      </c>
      <c r="AA148" s="21">
        <v>112</v>
      </c>
      <c r="AB148" s="13">
        <f t="shared" si="87"/>
        <v>224</v>
      </c>
      <c r="AC148" s="18"/>
      <c r="AD148" s="13">
        <v>1</v>
      </c>
      <c r="AE148" s="13"/>
      <c r="AF148" s="13">
        <v>1</v>
      </c>
      <c r="AG148" s="18"/>
      <c r="AH148" s="13">
        <v>2</v>
      </c>
      <c r="AI148" s="21">
        <v>112</v>
      </c>
      <c r="AJ148" s="13">
        <f t="shared" si="88"/>
        <v>224</v>
      </c>
      <c r="AK148" s="18"/>
      <c r="AL148" s="13">
        <v>1</v>
      </c>
      <c r="AM148" s="13"/>
      <c r="AN148" s="13">
        <v>1</v>
      </c>
      <c r="AO148" s="18"/>
      <c r="AP148" s="13">
        <v>2</v>
      </c>
      <c r="AQ148" s="21">
        <v>112</v>
      </c>
      <c r="AR148" s="13">
        <f t="shared" si="89"/>
        <v>224</v>
      </c>
      <c r="AS148" s="18"/>
      <c r="AT148" s="13">
        <v>1</v>
      </c>
      <c r="AU148" s="13"/>
      <c r="AV148" s="13">
        <v>1</v>
      </c>
      <c r="AW148" s="18"/>
      <c r="AX148" s="13">
        <v>2</v>
      </c>
      <c r="AY148" s="21">
        <v>112</v>
      </c>
      <c r="AZ148" s="13">
        <f t="shared" si="90"/>
        <v>224</v>
      </c>
      <c r="BA148" s="18"/>
      <c r="BB148" s="13">
        <v>1</v>
      </c>
      <c r="BC148" s="13"/>
      <c r="BD148" s="13">
        <v>1</v>
      </c>
      <c r="BE148" s="18"/>
      <c r="BF148" s="13">
        <v>2</v>
      </c>
      <c r="BG148" s="21">
        <v>112</v>
      </c>
      <c r="BH148" s="13">
        <f t="shared" si="91"/>
        <v>224</v>
      </c>
      <c r="BI148" s="18"/>
      <c r="BJ148" s="13">
        <v>1</v>
      </c>
      <c r="BK148" s="13"/>
      <c r="BL148" s="13">
        <v>1</v>
      </c>
      <c r="BM148" s="18"/>
      <c r="BN148" s="13">
        <v>2</v>
      </c>
      <c r="BO148" s="21">
        <v>112</v>
      </c>
      <c r="BP148" s="13">
        <f t="shared" si="92"/>
        <v>224</v>
      </c>
      <c r="BQ148" s="18"/>
      <c r="BR148" s="13">
        <v>1</v>
      </c>
      <c r="BS148" s="13"/>
      <c r="BT148" s="13">
        <v>1</v>
      </c>
      <c r="BU148" s="18"/>
      <c r="BV148" s="13">
        <v>2</v>
      </c>
      <c r="BW148" s="21">
        <v>112</v>
      </c>
      <c r="BX148" s="13">
        <f t="shared" si="93"/>
        <v>224</v>
      </c>
      <c r="BY148" s="18"/>
      <c r="BZ148" s="13">
        <v>1</v>
      </c>
      <c r="CA148" s="13"/>
      <c r="CB148" s="13">
        <v>1</v>
      </c>
      <c r="CC148" s="18"/>
      <c r="CD148" s="13">
        <v>2</v>
      </c>
      <c r="CE148" s="21">
        <v>112</v>
      </c>
      <c r="CF148" s="13">
        <f t="shared" si="94"/>
        <v>224</v>
      </c>
      <c r="CG148" s="15"/>
    </row>
    <row r="149" spans="1:85">
      <c r="A149" s="61" t="s">
        <v>126</v>
      </c>
      <c r="B149" s="10" t="s">
        <v>22</v>
      </c>
      <c r="C149" s="11"/>
      <c r="D149" s="11" t="s">
        <v>23</v>
      </c>
      <c r="E149" s="18"/>
      <c r="F149" s="13">
        <v>1</v>
      </c>
      <c r="G149" s="13"/>
      <c r="H149" s="13">
        <v>1</v>
      </c>
      <c r="I149" s="18"/>
      <c r="J149" s="13">
        <v>2</v>
      </c>
      <c r="K149" s="22">
        <v>275</v>
      </c>
      <c r="L149" s="13">
        <f t="shared" si="85"/>
        <v>550</v>
      </c>
      <c r="M149" s="18"/>
      <c r="N149" s="13">
        <v>1</v>
      </c>
      <c r="O149" s="13"/>
      <c r="P149" s="13">
        <v>1</v>
      </c>
      <c r="Q149" s="18"/>
      <c r="R149" s="13">
        <v>2</v>
      </c>
      <c r="S149" s="22">
        <v>275</v>
      </c>
      <c r="T149" s="13">
        <f t="shared" si="86"/>
        <v>550</v>
      </c>
      <c r="U149" s="18"/>
      <c r="V149" s="13">
        <v>1</v>
      </c>
      <c r="W149" s="13"/>
      <c r="X149" s="13">
        <v>1</v>
      </c>
      <c r="Y149" s="18"/>
      <c r="Z149" s="13">
        <v>2</v>
      </c>
      <c r="AA149" s="22">
        <v>275</v>
      </c>
      <c r="AB149" s="13">
        <f t="shared" si="87"/>
        <v>550</v>
      </c>
      <c r="AC149" s="18"/>
      <c r="AD149" s="13">
        <v>1</v>
      </c>
      <c r="AE149" s="13"/>
      <c r="AF149" s="13">
        <v>1</v>
      </c>
      <c r="AG149" s="18"/>
      <c r="AH149" s="13">
        <v>2</v>
      </c>
      <c r="AI149" s="22">
        <v>275</v>
      </c>
      <c r="AJ149" s="13">
        <f t="shared" si="88"/>
        <v>550</v>
      </c>
      <c r="AK149" s="18"/>
      <c r="AL149" s="13">
        <v>1</v>
      </c>
      <c r="AM149" s="13"/>
      <c r="AN149" s="13">
        <v>1</v>
      </c>
      <c r="AO149" s="18"/>
      <c r="AP149" s="13">
        <v>2</v>
      </c>
      <c r="AQ149" s="22">
        <v>275</v>
      </c>
      <c r="AR149" s="13">
        <f t="shared" si="89"/>
        <v>550</v>
      </c>
      <c r="AS149" s="18"/>
      <c r="AT149" s="13">
        <v>1</v>
      </c>
      <c r="AU149" s="13"/>
      <c r="AV149" s="13">
        <v>1</v>
      </c>
      <c r="AW149" s="18"/>
      <c r="AX149" s="13">
        <v>2</v>
      </c>
      <c r="AY149" s="22">
        <v>275</v>
      </c>
      <c r="AZ149" s="13">
        <f t="shared" si="90"/>
        <v>550</v>
      </c>
      <c r="BA149" s="18"/>
      <c r="BB149" s="13">
        <v>1</v>
      </c>
      <c r="BC149" s="13"/>
      <c r="BD149" s="13">
        <v>1</v>
      </c>
      <c r="BE149" s="18"/>
      <c r="BF149" s="13">
        <v>2</v>
      </c>
      <c r="BG149" s="22">
        <v>275</v>
      </c>
      <c r="BH149" s="13">
        <f t="shared" si="91"/>
        <v>550</v>
      </c>
      <c r="BI149" s="18"/>
      <c r="BJ149" s="13">
        <v>1</v>
      </c>
      <c r="BK149" s="13"/>
      <c r="BL149" s="13">
        <v>1</v>
      </c>
      <c r="BM149" s="18"/>
      <c r="BN149" s="13">
        <v>2</v>
      </c>
      <c r="BO149" s="22">
        <v>275</v>
      </c>
      <c r="BP149" s="13">
        <f t="shared" si="92"/>
        <v>550</v>
      </c>
      <c r="BQ149" s="18"/>
      <c r="BR149" s="13">
        <v>1</v>
      </c>
      <c r="BS149" s="13"/>
      <c r="BT149" s="13">
        <v>1</v>
      </c>
      <c r="BU149" s="18"/>
      <c r="BV149" s="13">
        <v>2</v>
      </c>
      <c r="BW149" s="22">
        <v>275</v>
      </c>
      <c r="BX149" s="13">
        <f t="shared" si="93"/>
        <v>550</v>
      </c>
      <c r="BY149" s="18"/>
      <c r="BZ149" s="13">
        <v>1</v>
      </c>
      <c r="CA149" s="13"/>
      <c r="CB149" s="13">
        <v>1</v>
      </c>
      <c r="CC149" s="18"/>
      <c r="CD149" s="13">
        <v>2</v>
      </c>
      <c r="CE149" s="22">
        <v>275</v>
      </c>
      <c r="CF149" s="13">
        <f t="shared" si="94"/>
        <v>550</v>
      </c>
      <c r="CG149" s="15"/>
    </row>
    <row r="150" spans="1:85">
      <c r="A150" s="61" t="s">
        <v>126</v>
      </c>
      <c r="B150" s="10" t="s">
        <v>131</v>
      </c>
      <c r="C150" s="11"/>
      <c r="D150" s="12" t="s">
        <v>25</v>
      </c>
      <c r="E150" s="18"/>
      <c r="F150" s="13"/>
      <c r="G150" s="13"/>
      <c r="H150" s="13"/>
      <c r="I150" s="18"/>
      <c r="J150" s="13"/>
      <c r="K150" s="13">
        <v>583</v>
      </c>
      <c r="L150" s="13">
        <f t="shared" si="85"/>
        <v>0</v>
      </c>
      <c r="M150" s="18"/>
      <c r="N150" s="13"/>
      <c r="O150" s="13"/>
      <c r="P150" s="13"/>
      <c r="Q150" s="18"/>
      <c r="R150" s="13"/>
      <c r="S150" s="13">
        <v>583</v>
      </c>
      <c r="T150" s="13">
        <f t="shared" si="86"/>
        <v>0</v>
      </c>
      <c r="U150" s="18"/>
      <c r="V150" s="13"/>
      <c r="W150" s="13"/>
      <c r="X150" s="13"/>
      <c r="Y150" s="18">
        <v>1</v>
      </c>
      <c r="Z150" s="18">
        <v>1</v>
      </c>
      <c r="AA150" s="13">
        <v>583</v>
      </c>
      <c r="AB150" s="13">
        <f t="shared" si="87"/>
        <v>583</v>
      </c>
      <c r="AC150" s="18"/>
      <c r="AD150" s="13"/>
      <c r="AE150" s="13"/>
      <c r="AF150" s="13"/>
      <c r="AG150" s="18"/>
      <c r="AH150" s="13"/>
      <c r="AI150" s="13">
        <v>583</v>
      </c>
      <c r="AJ150" s="13">
        <f t="shared" si="88"/>
        <v>0</v>
      </c>
      <c r="AK150" s="18"/>
      <c r="AL150" s="13"/>
      <c r="AM150" s="13"/>
      <c r="AN150" s="13"/>
      <c r="AO150" s="18"/>
      <c r="AP150" s="13"/>
      <c r="AQ150" s="13">
        <v>583</v>
      </c>
      <c r="AR150" s="13">
        <f t="shared" si="89"/>
        <v>0</v>
      </c>
      <c r="AS150" s="18"/>
      <c r="AT150" s="13"/>
      <c r="AU150" s="13"/>
      <c r="AV150" s="13"/>
      <c r="AW150" s="18">
        <v>1</v>
      </c>
      <c r="AX150" s="18">
        <v>1</v>
      </c>
      <c r="AY150" s="13">
        <v>583</v>
      </c>
      <c r="AZ150" s="13">
        <f t="shared" si="90"/>
        <v>583</v>
      </c>
      <c r="BA150" s="18"/>
      <c r="BB150" s="13"/>
      <c r="BC150" s="13"/>
      <c r="BD150" s="13"/>
      <c r="BE150" s="18"/>
      <c r="BF150" s="13"/>
      <c r="BG150" s="13">
        <v>583</v>
      </c>
      <c r="BH150" s="13">
        <f t="shared" si="91"/>
        <v>0</v>
      </c>
      <c r="BI150" s="18"/>
      <c r="BJ150" s="13"/>
      <c r="BK150" s="13"/>
      <c r="BL150" s="13"/>
      <c r="BM150" s="18"/>
      <c r="BN150" s="13"/>
      <c r="BO150" s="13">
        <v>583</v>
      </c>
      <c r="BP150" s="13">
        <f t="shared" si="92"/>
        <v>0</v>
      </c>
      <c r="BQ150" s="18"/>
      <c r="BR150" s="13"/>
      <c r="BS150" s="13"/>
      <c r="BT150" s="13"/>
      <c r="BU150" s="18">
        <v>1</v>
      </c>
      <c r="BV150" s="18">
        <v>1</v>
      </c>
      <c r="BW150" s="13">
        <v>583</v>
      </c>
      <c r="BX150" s="13">
        <f t="shared" si="93"/>
        <v>583</v>
      </c>
      <c r="BY150" s="18"/>
      <c r="BZ150" s="13"/>
      <c r="CA150" s="13"/>
      <c r="CB150" s="13"/>
      <c r="CC150" s="18"/>
      <c r="CD150" s="13"/>
      <c r="CE150" s="13">
        <v>583</v>
      </c>
      <c r="CF150" s="13">
        <f t="shared" si="94"/>
        <v>0</v>
      </c>
      <c r="CG150" s="15"/>
    </row>
    <row r="151" spans="1:85">
      <c r="A151" s="61" t="s">
        <v>126</v>
      </c>
      <c r="B151" s="10" t="s">
        <v>132</v>
      </c>
      <c r="C151" s="11"/>
      <c r="D151" s="12" t="s">
        <v>133</v>
      </c>
      <c r="E151" s="18"/>
      <c r="F151" s="13"/>
      <c r="G151" s="13"/>
      <c r="H151" s="13"/>
      <c r="I151" s="18"/>
      <c r="J151" s="13"/>
      <c r="K151" s="13">
        <v>792</v>
      </c>
      <c r="L151" s="13">
        <f t="shared" si="85"/>
        <v>0</v>
      </c>
      <c r="M151" s="18"/>
      <c r="N151" s="13"/>
      <c r="O151" s="13"/>
      <c r="P151" s="13"/>
      <c r="Q151" s="18"/>
      <c r="R151" s="13"/>
      <c r="S151" s="13">
        <v>792</v>
      </c>
      <c r="T151" s="13">
        <f t="shared" si="86"/>
        <v>0</v>
      </c>
      <c r="U151" s="18"/>
      <c r="V151" s="13"/>
      <c r="W151" s="13"/>
      <c r="X151" s="13"/>
      <c r="Y151" s="18">
        <v>1</v>
      </c>
      <c r="Z151" s="18">
        <v>1</v>
      </c>
      <c r="AA151" s="13">
        <v>792</v>
      </c>
      <c r="AB151" s="13">
        <f t="shared" si="87"/>
        <v>792</v>
      </c>
      <c r="AC151" s="18"/>
      <c r="AD151" s="13"/>
      <c r="AE151" s="13"/>
      <c r="AF151" s="13"/>
      <c r="AG151" s="18"/>
      <c r="AH151" s="13"/>
      <c r="AI151" s="13">
        <v>792</v>
      </c>
      <c r="AJ151" s="13">
        <f t="shared" si="88"/>
        <v>0</v>
      </c>
      <c r="AK151" s="18"/>
      <c r="AL151" s="13"/>
      <c r="AM151" s="13"/>
      <c r="AN151" s="13"/>
      <c r="AO151" s="18"/>
      <c r="AP151" s="13"/>
      <c r="AQ151" s="13">
        <v>792</v>
      </c>
      <c r="AR151" s="13">
        <f t="shared" si="89"/>
        <v>0</v>
      </c>
      <c r="AS151" s="18"/>
      <c r="AT151" s="13"/>
      <c r="AU151" s="13"/>
      <c r="AV151" s="13"/>
      <c r="AW151" s="18">
        <v>1</v>
      </c>
      <c r="AX151" s="18">
        <v>1</v>
      </c>
      <c r="AY151" s="13">
        <v>792</v>
      </c>
      <c r="AZ151" s="13">
        <f t="shared" si="90"/>
        <v>792</v>
      </c>
      <c r="BA151" s="18"/>
      <c r="BB151" s="13"/>
      <c r="BC151" s="13"/>
      <c r="BD151" s="13"/>
      <c r="BE151" s="18"/>
      <c r="BF151" s="13"/>
      <c r="BG151" s="13">
        <v>792</v>
      </c>
      <c r="BH151" s="13">
        <f t="shared" si="91"/>
        <v>0</v>
      </c>
      <c r="BI151" s="18"/>
      <c r="BJ151" s="13"/>
      <c r="BK151" s="13"/>
      <c r="BL151" s="13"/>
      <c r="BM151" s="18"/>
      <c r="BN151" s="13"/>
      <c r="BO151" s="13">
        <v>792</v>
      </c>
      <c r="BP151" s="13">
        <f t="shared" si="92"/>
        <v>0</v>
      </c>
      <c r="BQ151" s="18"/>
      <c r="BR151" s="13"/>
      <c r="BS151" s="13"/>
      <c r="BT151" s="13"/>
      <c r="BU151" s="18">
        <v>1</v>
      </c>
      <c r="BV151" s="18">
        <v>1</v>
      </c>
      <c r="BW151" s="13">
        <v>792</v>
      </c>
      <c r="BX151" s="13">
        <f t="shared" si="93"/>
        <v>792</v>
      </c>
      <c r="BY151" s="18"/>
      <c r="BZ151" s="13"/>
      <c r="CA151" s="13"/>
      <c r="CB151" s="13"/>
      <c r="CC151" s="18"/>
      <c r="CD151" s="13"/>
      <c r="CE151" s="13">
        <v>792</v>
      </c>
      <c r="CF151" s="13">
        <f t="shared" si="94"/>
        <v>0</v>
      </c>
      <c r="CG151" s="15"/>
    </row>
    <row r="152" spans="1:85">
      <c r="A152" s="61" t="s">
        <v>126</v>
      </c>
      <c r="B152" s="10" t="s">
        <v>134</v>
      </c>
      <c r="C152" s="11"/>
      <c r="D152" s="11" t="s">
        <v>29</v>
      </c>
      <c r="E152" s="13"/>
      <c r="F152" s="13"/>
      <c r="G152" s="13"/>
      <c r="H152" s="13"/>
      <c r="I152" s="13"/>
      <c r="J152" s="13"/>
      <c r="K152" s="13">
        <v>2776</v>
      </c>
      <c r="L152" s="13">
        <f t="shared" si="85"/>
        <v>0</v>
      </c>
      <c r="M152" s="13"/>
      <c r="N152" s="13"/>
      <c r="O152" s="13"/>
      <c r="P152" s="13"/>
      <c r="Q152" s="13"/>
      <c r="R152" s="13"/>
      <c r="S152" s="13">
        <v>2776</v>
      </c>
      <c r="T152" s="13">
        <f t="shared" si="86"/>
        <v>0</v>
      </c>
      <c r="U152" s="13"/>
      <c r="V152" s="13"/>
      <c r="W152" s="13"/>
      <c r="X152" s="13"/>
      <c r="Y152" s="13">
        <v>1</v>
      </c>
      <c r="Z152" s="13">
        <v>1</v>
      </c>
      <c r="AA152" s="13">
        <v>2776</v>
      </c>
      <c r="AB152" s="13">
        <f t="shared" si="87"/>
        <v>2776</v>
      </c>
      <c r="AC152" s="13"/>
      <c r="AD152" s="13"/>
      <c r="AE152" s="13"/>
      <c r="AF152" s="13"/>
      <c r="AG152" s="13"/>
      <c r="AH152" s="13"/>
      <c r="AI152" s="13">
        <v>2776</v>
      </c>
      <c r="AJ152" s="13">
        <f t="shared" si="88"/>
        <v>0</v>
      </c>
      <c r="AK152" s="13"/>
      <c r="AL152" s="13"/>
      <c r="AM152" s="13"/>
      <c r="AN152" s="13"/>
      <c r="AO152" s="13"/>
      <c r="AP152" s="13"/>
      <c r="AQ152" s="13">
        <v>2776</v>
      </c>
      <c r="AR152" s="13">
        <f t="shared" si="89"/>
        <v>0</v>
      </c>
      <c r="AS152" s="13"/>
      <c r="AT152" s="13"/>
      <c r="AU152" s="13"/>
      <c r="AV152" s="13"/>
      <c r="AW152" s="13">
        <v>1</v>
      </c>
      <c r="AX152" s="13">
        <v>1</v>
      </c>
      <c r="AY152" s="13">
        <v>2776</v>
      </c>
      <c r="AZ152" s="13">
        <f t="shared" si="90"/>
        <v>2776</v>
      </c>
      <c r="BA152" s="13"/>
      <c r="BB152" s="13"/>
      <c r="BC152" s="13"/>
      <c r="BD152" s="13"/>
      <c r="BE152" s="13"/>
      <c r="BF152" s="13"/>
      <c r="BG152" s="13">
        <v>2776</v>
      </c>
      <c r="BH152" s="13">
        <f t="shared" si="91"/>
        <v>0</v>
      </c>
      <c r="BI152" s="13"/>
      <c r="BJ152" s="13"/>
      <c r="BK152" s="13"/>
      <c r="BL152" s="13"/>
      <c r="BM152" s="13"/>
      <c r="BN152" s="13"/>
      <c r="BO152" s="13">
        <v>2776</v>
      </c>
      <c r="BP152" s="13">
        <f t="shared" si="92"/>
        <v>0</v>
      </c>
      <c r="BQ152" s="13"/>
      <c r="BR152" s="13"/>
      <c r="BS152" s="13"/>
      <c r="BT152" s="13"/>
      <c r="BU152" s="13">
        <v>1</v>
      </c>
      <c r="BV152" s="13">
        <v>1</v>
      </c>
      <c r="BW152" s="13">
        <v>2776</v>
      </c>
      <c r="BX152" s="13">
        <f t="shared" si="93"/>
        <v>2776</v>
      </c>
      <c r="BY152" s="13"/>
      <c r="BZ152" s="13"/>
      <c r="CA152" s="13"/>
      <c r="CB152" s="13"/>
      <c r="CC152" s="13"/>
      <c r="CD152" s="13"/>
      <c r="CE152" s="13">
        <v>2776</v>
      </c>
      <c r="CF152" s="13">
        <f t="shared" si="94"/>
        <v>0</v>
      </c>
      <c r="CG152" s="15"/>
    </row>
    <row r="153" spans="1:85">
      <c r="A153" s="61" t="s">
        <v>126</v>
      </c>
      <c r="B153" s="10" t="s">
        <v>135</v>
      </c>
      <c r="C153" s="11"/>
      <c r="D153" s="11" t="s">
        <v>136</v>
      </c>
      <c r="E153" s="13"/>
      <c r="F153" s="13"/>
      <c r="G153" s="13"/>
      <c r="H153" s="13"/>
      <c r="I153" s="13"/>
      <c r="J153" s="13"/>
      <c r="K153" s="87">
        <v>4145</v>
      </c>
      <c r="L153" s="13">
        <f t="shared" si="85"/>
        <v>0</v>
      </c>
      <c r="M153" s="13"/>
      <c r="N153" s="13"/>
      <c r="O153" s="13"/>
      <c r="P153" s="13"/>
      <c r="Q153" s="13"/>
      <c r="R153" s="13"/>
      <c r="S153" s="87">
        <v>4145</v>
      </c>
      <c r="T153" s="13">
        <f t="shared" si="86"/>
        <v>0</v>
      </c>
      <c r="U153" s="13"/>
      <c r="V153" s="13"/>
      <c r="W153" s="13"/>
      <c r="X153" s="13"/>
      <c r="Y153" s="13">
        <v>1</v>
      </c>
      <c r="Z153" s="13">
        <v>1</v>
      </c>
      <c r="AA153" s="87">
        <v>4145</v>
      </c>
      <c r="AB153" s="13">
        <f t="shared" si="87"/>
        <v>4145</v>
      </c>
      <c r="AC153" s="13"/>
      <c r="AD153" s="13"/>
      <c r="AE153" s="13"/>
      <c r="AF153" s="13"/>
      <c r="AG153" s="13"/>
      <c r="AH153" s="13"/>
      <c r="AI153" s="87">
        <v>4145</v>
      </c>
      <c r="AJ153" s="13">
        <f t="shared" si="88"/>
        <v>0</v>
      </c>
      <c r="AK153" s="13"/>
      <c r="AL153" s="13"/>
      <c r="AM153" s="13"/>
      <c r="AN153" s="13"/>
      <c r="AO153" s="13"/>
      <c r="AP153" s="13"/>
      <c r="AQ153" s="87">
        <v>4145</v>
      </c>
      <c r="AR153" s="13">
        <f t="shared" si="89"/>
        <v>0</v>
      </c>
      <c r="AS153" s="13"/>
      <c r="AT153" s="13"/>
      <c r="AU153" s="13"/>
      <c r="AV153" s="13"/>
      <c r="AW153" s="13">
        <v>1</v>
      </c>
      <c r="AX153" s="13">
        <v>1</v>
      </c>
      <c r="AY153" s="87">
        <v>4145</v>
      </c>
      <c r="AZ153" s="13">
        <f t="shared" si="90"/>
        <v>4145</v>
      </c>
      <c r="BA153" s="13"/>
      <c r="BB153" s="13"/>
      <c r="BC153" s="13"/>
      <c r="BD153" s="13"/>
      <c r="BE153" s="13"/>
      <c r="BF153" s="13"/>
      <c r="BG153" s="87">
        <v>4145</v>
      </c>
      <c r="BH153" s="13">
        <f t="shared" si="91"/>
        <v>0</v>
      </c>
      <c r="BI153" s="13"/>
      <c r="BJ153" s="13"/>
      <c r="BK153" s="13"/>
      <c r="BL153" s="13"/>
      <c r="BM153" s="13"/>
      <c r="BN153" s="13"/>
      <c r="BO153" s="87">
        <v>4145</v>
      </c>
      <c r="BP153" s="13">
        <f t="shared" si="92"/>
        <v>0</v>
      </c>
      <c r="BQ153" s="13"/>
      <c r="BR153" s="13"/>
      <c r="BS153" s="13"/>
      <c r="BT153" s="13"/>
      <c r="BU153" s="13">
        <v>1</v>
      </c>
      <c r="BV153" s="13">
        <v>1</v>
      </c>
      <c r="BW153" s="87">
        <v>4145</v>
      </c>
      <c r="BX153" s="13">
        <f t="shared" si="93"/>
        <v>4145</v>
      </c>
      <c r="BY153" s="13"/>
      <c r="BZ153" s="13"/>
      <c r="CA153" s="13"/>
      <c r="CB153" s="13"/>
      <c r="CC153" s="13"/>
      <c r="CD153" s="13"/>
      <c r="CE153" s="87">
        <v>4145</v>
      </c>
      <c r="CF153" s="13">
        <f t="shared" si="94"/>
        <v>0</v>
      </c>
      <c r="CG153" s="15"/>
    </row>
    <row r="154" spans="1:85">
      <c r="A154" s="61" t="s">
        <v>126</v>
      </c>
      <c r="B154" s="20" t="s">
        <v>137</v>
      </c>
      <c r="C154" s="11"/>
      <c r="D154" s="12" t="s">
        <v>33</v>
      </c>
      <c r="E154" s="13"/>
      <c r="F154" s="13"/>
      <c r="G154" s="13"/>
      <c r="H154" s="13"/>
      <c r="I154" s="13"/>
      <c r="J154" s="13"/>
      <c r="K154" s="13">
        <v>1024</v>
      </c>
      <c r="L154" s="13">
        <f t="shared" si="85"/>
        <v>0</v>
      </c>
      <c r="M154" s="13"/>
      <c r="N154" s="13"/>
      <c r="O154" s="13"/>
      <c r="P154" s="13"/>
      <c r="Q154" s="13"/>
      <c r="R154" s="13"/>
      <c r="S154" s="13">
        <v>1024</v>
      </c>
      <c r="T154" s="13">
        <f t="shared" si="86"/>
        <v>0</v>
      </c>
      <c r="U154" s="13"/>
      <c r="V154" s="13"/>
      <c r="W154" s="13"/>
      <c r="X154" s="13"/>
      <c r="Y154" s="13">
        <v>1</v>
      </c>
      <c r="Z154" s="13">
        <v>1</v>
      </c>
      <c r="AA154" s="13">
        <v>1024</v>
      </c>
      <c r="AB154" s="13">
        <f t="shared" si="87"/>
        <v>1024</v>
      </c>
      <c r="AC154" s="13"/>
      <c r="AD154" s="13"/>
      <c r="AE154" s="13"/>
      <c r="AF154" s="13"/>
      <c r="AG154" s="13"/>
      <c r="AH154" s="13"/>
      <c r="AI154" s="13">
        <v>1024</v>
      </c>
      <c r="AJ154" s="13">
        <f t="shared" si="88"/>
        <v>0</v>
      </c>
      <c r="AK154" s="13"/>
      <c r="AL154" s="13"/>
      <c r="AM154" s="13"/>
      <c r="AN154" s="13"/>
      <c r="AO154" s="13"/>
      <c r="AP154" s="13"/>
      <c r="AQ154" s="13">
        <v>1024</v>
      </c>
      <c r="AR154" s="13">
        <f t="shared" si="89"/>
        <v>0</v>
      </c>
      <c r="AS154" s="13"/>
      <c r="AT154" s="13"/>
      <c r="AU154" s="13"/>
      <c r="AV154" s="13"/>
      <c r="AW154" s="13">
        <v>1</v>
      </c>
      <c r="AX154" s="13">
        <v>1</v>
      </c>
      <c r="AY154" s="13">
        <v>1024</v>
      </c>
      <c r="AZ154" s="13">
        <f t="shared" si="90"/>
        <v>1024</v>
      </c>
      <c r="BA154" s="13"/>
      <c r="BB154" s="13"/>
      <c r="BC154" s="13"/>
      <c r="BD154" s="13"/>
      <c r="BE154" s="13"/>
      <c r="BF154" s="13"/>
      <c r="BG154" s="13">
        <v>1024</v>
      </c>
      <c r="BH154" s="13">
        <f t="shared" si="91"/>
        <v>0</v>
      </c>
      <c r="BI154" s="13"/>
      <c r="BJ154" s="13"/>
      <c r="BK154" s="13"/>
      <c r="BL154" s="13"/>
      <c r="BM154" s="13"/>
      <c r="BN154" s="13"/>
      <c r="BO154" s="13">
        <v>1024</v>
      </c>
      <c r="BP154" s="13">
        <f t="shared" si="92"/>
        <v>0</v>
      </c>
      <c r="BQ154" s="13"/>
      <c r="BR154" s="13"/>
      <c r="BS154" s="13"/>
      <c r="BT154" s="13"/>
      <c r="BU154" s="13">
        <v>1</v>
      </c>
      <c r="BV154" s="13">
        <v>1</v>
      </c>
      <c r="BW154" s="13">
        <v>1024</v>
      </c>
      <c r="BX154" s="13">
        <f t="shared" si="93"/>
        <v>1024</v>
      </c>
      <c r="BY154" s="13"/>
      <c r="BZ154" s="13"/>
      <c r="CA154" s="13"/>
      <c r="CB154" s="13"/>
      <c r="CC154" s="13"/>
      <c r="CD154" s="13"/>
      <c r="CE154" s="13">
        <v>1024</v>
      </c>
      <c r="CF154" s="13">
        <f t="shared" si="94"/>
        <v>0</v>
      </c>
      <c r="CG154" s="15"/>
    </row>
    <row r="155" spans="1:85">
      <c r="A155" s="61" t="s">
        <v>126</v>
      </c>
      <c r="B155" s="20" t="s">
        <v>138</v>
      </c>
      <c r="C155" s="11"/>
      <c r="D155" s="12" t="s">
        <v>139</v>
      </c>
      <c r="E155" s="13"/>
      <c r="F155" s="13"/>
      <c r="G155" s="13"/>
      <c r="H155" s="13"/>
      <c r="I155" s="13"/>
      <c r="J155" s="13"/>
      <c r="K155" s="88">
        <v>1771</v>
      </c>
      <c r="L155" s="13">
        <f t="shared" si="85"/>
        <v>0</v>
      </c>
      <c r="M155" s="13"/>
      <c r="N155" s="13"/>
      <c r="O155" s="13"/>
      <c r="P155" s="13"/>
      <c r="Q155" s="13"/>
      <c r="R155" s="13"/>
      <c r="S155" s="88">
        <v>1771</v>
      </c>
      <c r="T155" s="13">
        <f t="shared" si="86"/>
        <v>0</v>
      </c>
      <c r="U155" s="13"/>
      <c r="V155" s="13"/>
      <c r="W155" s="13"/>
      <c r="X155" s="13"/>
      <c r="Y155" s="13">
        <v>1</v>
      </c>
      <c r="Z155" s="13">
        <v>1</v>
      </c>
      <c r="AA155" s="88">
        <v>1771</v>
      </c>
      <c r="AB155" s="13">
        <f t="shared" si="87"/>
        <v>1771</v>
      </c>
      <c r="AC155" s="13"/>
      <c r="AD155" s="13"/>
      <c r="AE155" s="13"/>
      <c r="AF155" s="13"/>
      <c r="AG155" s="13"/>
      <c r="AH155" s="13"/>
      <c r="AI155" s="88">
        <v>1771</v>
      </c>
      <c r="AJ155" s="13">
        <f t="shared" si="88"/>
        <v>0</v>
      </c>
      <c r="AK155" s="13"/>
      <c r="AL155" s="13"/>
      <c r="AM155" s="13"/>
      <c r="AN155" s="13"/>
      <c r="AO155" s="13"/>
      <c r="AP155" s="13"/>
      <c r="AQ155" s="88">
        <v>1771</v>
      </c>
      <c r="AR155" s="13">
        <f t="shared" si="89"/>
        <v>0</v>
      </c>
      <c r="AS155" s="13"/>
      <c r="AT155" s="13"/>
      <c r="AU155" s="13"/>
      <c r="AV155" s="13"/>
      <c r="AW155" s="13">
        <v>1</v>
      </c>
      <c r="AX155" s="13">
        <v>1</v>
      </c>
      <c r="AY155" s="88">
        <v>1771</v>
      </c>
      <c r="AZ155" s="13">
        <f t="shared" si="90"/>
        <v>1771</v>
      </c>
      <c r="BA155" s="13"/>
      <c r="BB155" s="13"/>
      <c r="BC155" s="13"/>
      <c r="BD155" s="13"/>
      <c r="BE155" s="13"/>
      <c r="BF155" s="13"/>
      <c r="BG155" s="88">
        <v>1771</v>
      </c>
      <c r="BH155" s="13">
        <f t="shared" si="91"/>
        <v>0</v>
      </c>
      <c r="BI155" s="13"/>
      <c r="BJ155" s="13"/>
      <c r="BK155" s="13"/>
      <c r="BL155" s="13"/>
      <c r="BM155" s="13"/>
      <c r="BN155" s="13"/>
      <c r="BO155" s="88">
        <v>1771</v>
      </c>
      <c r="BP155" s="13">
        <f t="shared" si="92"/>
        <v>0</v>
      </c>
      <c r="BQ155" s="13"/>
      <c r="BR155" s="13"/>
      <c r="BS155" s="13"/>
      <c r="BT155" s="13"/>
      <c r="BU155" s="13">
        <v>1</v>
      </c>
      <c r="BV155" s="13">
        <v>1</v>
      </c>
      <c r="BW155" s="88">
        <v>1771</v>
      </c>
      <c r="BX155" s="13">
        <f t="shared" si="93"/>
        <v>1771</v>
      </c>
      <c r="BY155" s="13"/>
      <c r="BZ155" s="13"/>
      <c r="CA155" s="13"/>
      <c r="CB155" s="13"/>
      <c r="CC155" s="13"/>
      <c r="CD155" s="13"/>
      <c r="CE155" s="88">
        <v>1771</v>
      </c>
      <c r="CF155" s="13">
        <f t="shared" si="94"/>
        <v>0</v>
      </c>
      <c r="CG155" s="15"/>
    </row>
    <row r="156" spans="1:85">
      <c r="A156" s="61" t="s">
        <v>126</v>
      </c>
      <c r="B156" s="10" t="s">
        <v>140</v>
      </c>
      <c r="C156" s="11"/>
      <c r="D156" s="11" t="s">
        <v>37</v>
      </c>
      <c r="E156" s="13"/>
      <c r="F156" s="13"/>
      <c r="G156" s="13"/>
      <c r="H156" s="13"/>
      <c r="I156" s="13"/>
      <c r="J156" s="13"/>
      <c r="K156" s="87">
        <v>13470</v>
      </c>
      <c r="L156" s="13">
        <f t="shared" si="85"/>
        <v>0</v>
      </c>
      <c r="M156" s="13"/>
      <c r="N156" s="13"/>
      <c r="O156" s="13"/>
      <c r="P156" s="13"/>
      <c r="Q156" s="13"/>
      <c r="R156" s="13"/>
      <c r="S156" s="87">
        <v>13470</v>
      </c>
      <c r="T156" s="13">
        <f t="shared" si="86"/>
        <v>0</v>
      </c>
      <c r="U156" s="13"/>
      <c r="V156" s="13"/>
      <c r="W156" s="13"/>
      <c r="X156" s="13"/>
      <c r="Y156" s="13"/>
      <c r="Z156" s="13"/>
      <c r="AA156" s="87">
        <v>13470</v>
      </c>
      <c r="AB156" s="13">
        <f t="shared" si="87"/>
        <v>0</v>
      </c>
      <c r="AC156" s="13"/>
      <c r="AD156" s="13"/>
      <c r="AE156" s="13"/>
      <c r="AF156" s="13"/>
      <c r="AG156" s="13"/>
      <c r="AH156" s="13"/>
      <c r="AI156" s="87">
        <v>13470</v>
      </c>
      <c r="AJ156" s="13">
        <f t="shared" si="88"/>
        <v>0</v>
      </c>
      <c r="AK156" s="13"/>
      <c r="AL156" s="13"/>
      <c r="AM156" s="13"/>
      <c r="AN156" s="13"/>
      <c r="AO156" s="13"/>
      <c r="AP156" s="13"/>
      <c r="AQ156" s="87">
        <v>13470</v>
      </c>
      <c r="AR156" s="13">
        <f t="shared" si="89"/>
        <v>0</v>
      </c>
      <c r="AS156" s="13"/>
      <c r="AT156" s="13"/>
      <c r="AU156" s="13"/>
      <c r="AV156" s="13"/>
      <c r="AW156" s="13">
        <v>1</v>
      </c>
      <c r="AX156" s="13">
        <v>1</v>
      </c>
      <c r="AY156" s="87">
        <v>13470</v>
      </c>
      <c r="AZ156" s="13">
        <f t="shared" si="90"/>
        <v>13470</v>
      </c>
      <c r="BA156" s="13"/>
      <c r="BB156" s="13"/>
      <c r="BC156" s="13"/>
      <c r="BD156" s="13"/>
      <c r="BE156" s="13"/>
      <c r="BF156" s="13"/>
      <c r="BG156" s="87">
        <v>13470</v>
      </c>
      <c r="BH156" s="13">
        <f t="shared" si="91"/>
        <v>0</v>
      </c>
      <c r="BI156" s="13"/>
      <c r="BJ156" s="13"/>
      <c r="BK156" s="13"/>
      <c r="BL156" s="13"/>
      <c r="BM156" s="13"/>
      <c r="BN156" s="13"/>
      <c r="BO156" s="87">
        <v>13470</v>
      </c>
      <c r="BP156" s="13">
        <f t="shared" si="92"/>
        <v>0</v>
      </c>
      <c r="BQ156" s="13"/>
      <c r="BR156" s="13"/>
      <c r="BS156" s="13"/>
      <c r="BT156" s="13"/>
      <c r="BU156" s="13"/>
      <c r="BV156" s="13"/>
      <c r="BW156" s="87">
        <v>13470</v>
      </c>
      <c r="BX156" s="13">
        <f t="shared" si="93"/>
        <v>0</v>
      </c>
      <c r="BY156" s="13"/>
      <c r="BZ156" s="13"/>
      <c r="CA156" s="13"/>
      <c r="CB156" s="13"/>
      <c r="CC156" s="13"/>
      <c r="CD156" s="13"/>
      <c r="CE156" s="87">
        <v>13470</v>
      </c>
      <c r="CF156" s="13">
        <f t="shared" si="94"/>
        <v>0</v>
      </c>
      <c r="CG156" s="15"/>
    </row>
    <row r="157" spans="1:85">
      <c r="A157" s="61" t="s">
        <v>126</v>
      </c>
      <c r="B157" s="10" t="s">
        <v>141</v>
      </c>
      <c r="C157" s="11"/>
      <c r="D157" s="12" t="s">
        <v>39</v>
      </c>
      <c r="E157" s="13"/>
      <c r="F157" s="13"/>
      <c r="G157" s="13"/>
      <c r="H157" s="13"/>
      <c r="I157" s="13"/>
      <c r="J157" s="13"/>
      <c r="K157" s="13">
        <v>685</v>
      </c>
      <c r="L157" s="13">
        <f t="shared" si="85"/>
        <v>0</v>
      </c>
      <c r="M157" s="13"/>
      <c r="N157" s="13"/>
      <c r="O157" s="13"/>
      <c r="P157" s="13"/>
      <c r="Q157" s="13">
        <v>2</v>
      </c>
      <c r="R157" s="13">
        <v>2</v>
      </c>
      <c r="S157" s="13">
        <v>685</v>
      </c>
      <c r="T157" s="13">
        <f t="shared" si="86"/>
        <v>1370</v>
      </c>
      <c r="U157" s="13"/>
      <c r="V157" s="13"/>
      <c r="W157" s="13"/>
      <c r="X157" s="13"/>
      <c r="Y157" s="13"/>
      <c r="Z157" s="13"/>
      <c r="AA157" s="13">
        <v>685</v>
      </c>
      <c r="AB157" s="13">
        <f t="shared" si="87"/>
        <v>0</v>
      </c>
      <c r="AC157" s="13"/>
      <c r="AD157" s="13"/>
      <c r="AE157" s="13"/>
      <c r="AF157" s="13"/>
      <c r="AG157" s="13">
        <v>2</v>
      </c>
      <c r="AH157" s="13">
        <v>2</v>
      </c>
      <c r="AI157" s="13">
        <v>685</v>
      </c>
      <c r="AJ157" s="13">
        <f t="shared" si="88"/>
        <v>1370</v>
      </c>
      <c r="AK157" s="13"/>
      <c r="AL157" s="13"/>
      <c r="AM157" s="13"/>
      <c r="AN157" s="13"/>
      <c r="AO157" s="13"/>
      <c r="AP157" s="13"/>
      <c r="AQ157" s="13">
        <v>685</v>
      </c>
      <c r="AR157" s="13">
        <f t="shared" si="89"/>
        <v>0</v>
      </c>
      <c r="AS157" s="13"/>
      <c r="AT157" s="13"/>
      <c r="AU157" s="13"/>
      <c r="AV157" s="13"/>
      <c r="AW157" s="13">
        <v>2</v>
      </c>
      <c r="AX157" s="13">
        <v>2</v>
      </c>
      <c r="AY157" s="13">
        <v>685</v>
      </c>
      <c r="AZ157" s="13">
        <f t="shared" si="90"/>
        <v>1370</v>
      </c>
      <c r="BA157" s="13"/>
      <c r="BB157" s="13"/>
      <c r="BC157" s="13"/>
      <c r="BD157" s="13"/>
      <c r="BE157" s="13"/>
      <c r="BF157" s="13"/>
      <c r="BG157" s="13">
        <v>685</v>
      </c>
      <c r="BH157" s="13">
        <f t="shared" si="91"/>
        <v>0</v>
      </c>
      <c r="BI157" s="13"/>
      <c r="BJ157" s="13"/>
      <c r="BK157" s="13"/>
      <c r="BL157" s="13"/>
      <c r="BM157" s="13">
        <v>2</v>
      </c>
      <c r="BN157" s="13">
        <v>2</v>
      </c>
      <c r="BO157" s="13">
        <v>685</v>
      </c>
      <c r="BP157" s="13">
        <f t="shared" si="92"/>
        <v>1370</v>
      </c>
      <c r="BQ157" s="13"/>
      <c r="BR157" s="13"/>
      <c r="BS157" s="13"/>
      <c r="BT157" s="13"/>
      <c r="BU157" s="13"/>
      <c r="BV157" s="13"/>
      <c r="BW157" s="13">
        <v>685</v>
      </c>
      <c r="BX157" s="13">
        <f t="shared" si="93"/>
        <v>0</v>
      </c>
      <c r="BY157" s="13"/>
      <c r="BZ157" s="13"/>
      <c r="CA157" s="13"/>
      <c r="CB157" s="13"/>
      <c r="CC157" s="13">
        <v>2</v>
      </c>
      <c r="CD157" s="13">
        <v>2</v>
      </c>
      <c r="CE157" s="13">
        <v>685</v>
      </c>
      <c r="CF157" s="13">
        <f t="shared" si="94"/>
        <v>1370</v>
      </c>
      <c r="CG157" s="15"/>
    </row>
    <row r="158" spans="1:85">
      <c r="A158" s="61" t="s">
        <v>126</v>
      </c>
      <c r="B158" s="10" t="s">
        <v>142</v>
      </c>
      <c r="C158" s="11"/>
      <c r="D158" s="12" t="s">
        <v>143</v>
      </c>
      <c r="E158" s="13"/>
      <c r="F158" s="13"/>
      <c r="G158" s="13"/>
      <c r="H158" s="13"/>
      <c r="I158" s="13"/>
      <c r="J158" s="13"/>
      <c r="K158" s="13">
        <v>1720</v>
      </c>
      <c r="L158" s="13">
        <f t="shared" si="85"/>
        <v>0</v>
      </c>
      <c r="M158" s="13"/>
      <c r="N158" s="13"/>
      <c r="O158" s="13"/>
      <c r="P158" s="13"/>
      <c r="Q158" s="13"/>
      <c r="R158" s="13"/>
      <c r="S158" s="13">
        <v>1720</v>
      </c>
      <c r="T158" s="13">
        <f t="shared" si="86"/>
        <v>0</v>
      </c>
      <c r="U158" s="13"/>
      <c r="V158" s="13"/>
      <c r="W158" s="13"/>
      <c r="X158" s="13"/>
      <c r="Y158" s="13">
        <v>1</v>
      </c>
      <c r="Z158" s="13">
        <v>1</v>
      </c>
      <c r="AA158" s="13">
        <v>1720</v>
      </c>
      <c r="AB158" s="13">
        <f t="shared" si="87"/>
        <v>1720</v>
      </c>
      <c r="AC158" s="13"/>
      <c r="AD158" s="13"/>
      <c r="AE158" s="13"/>
      <c r="AF158" s="13"/>
      <c r="AG158" s="13"/>
      <c r="AH158" s="13"/>
      <c r="AI158" s="13">
        <v>1720</v>
      </c>
      <c r="AJ158" s="13">
        <f t="shared" si="88"/>
        <v>0</v>
      </c>
      <c r="AK158" s="13"/>
      <c r="AL158" s="13"/>
      <c r="AM158" s="13"/>
      <c r="AN158" s="13"/>
      <c r="AO158" s="13"/>
      <c r="AP158" s="13"/>
      <c r="AQ158" s="13">
        <v>1720</v>
      </c>
      <c r="AR158" s="13">
        <f t="shared" si="89"/>
        <v>0</v>
      </c>
      <c r="AS158" s="13"/>
      <c r="AT158" s="13"/>
      <c r="AU158" s="13"/>
      <c r="AV158" s="13"/>
      <c r="AW158" s="13">
        <v>1</v>
      </c>
      <c r="AX158" s="13">
        <v>1</v>
      </c>
      <c r="AY158" s="13">
        <v>1720</v>
      </c>
      <c r="AZ158" s="13">
        <f t="shared" si="90"/>
        <v>1720</v>
      </c>
      <c r="BA158" s="13"/>
      <c r="BB158" s="13"/>
      <c r="BC158" s="13"/>
      <c r="BD158" s="13"/>
      <c r="BE158" s="13"/>
      <c r="BF158" s="13"/>
      <c r="BG158" s="13">
        <v>1720</v>
      </c>
      <c r="BH158" s="13">
        <f t="shared" si="91"/>
        <v>0</v>
      </c>
      <c r="BI158" s="13"/>
      <c r="BJ158" s="13"/>
      <c r="BK158" s="13"/>
      <c r="BL158" s="13"/>
      <c r="BM158" s="13"/>
      <c r="BN158" s="13"/>
      <c r="BO158" s="13">
        <v>1720</v>
      </c>
      <c r="BP158" s="13">
        <f t="shared" si="92"/>
        <v>0</v>
      </c>
      <c r="BQ158" s="13"/>
      <c r="BR158" s="13"/>
      <c r="BS158" s="13"/>
      <c r="BT158" s="13"/>
      <c r="BU158" s="13">
        <v>1</v>
      </c>
      <c r="BV158" s="13">
        <v>1</v>
      </c>
      <c r="BW158" s="13">
        <v>1720</v>
      </c>
      <c r="BX158" s="13">
        <f t="shared" si="93"/>
        <v>1720</v>
      </c>
      <c r="BY158" s="13"/>
      <c r="BZ158" s="13"/>
      <c r="CA158" s="13"/>
      <c r="CB158" s="13"/>
      <c r="CC158" s="13"/>
      <c r="CD158" s="13"/>
      <c r="CE158" s="13">
        <v>1720</v>
      </c>
      <c r="CF158" s="13">
        <f t="shared" si="94"/>
        <v>0</v>
      </c>
      <c r="CG158" s="15"/>
    </row>
    <row r="159" spans="1:85">
      <c r="A159" s="61" t="s">
        <v>126</v>
      </c>
      <c r="B159" s="10" t="s">
        <v>144</v>
      </c>
      <c r="C159" s="11"/>
      <c r="D159" s="11" t="s">
        <v>119</v>
      </c>
      <c r="E159" s="13"/>
      <c r="F159" s="13"/>
      <c r="G159" s="13"/>
      <c r="H159" s="13"/>
      <c r="I159" s="13"/>
      <c r="J159" s="13"/>
      <c r="K159" s="13">
        <v>2486</v>
      </c>
      <c r="L159" s="13">
        <f t="shared" si="85"/>
        <v>0</v>
      </c>
      <c r="M159" s="13"/>
      <c r="N159" s="13"/>
      <c r="O159" s="13"/>
      <c r="P159" s="13"/>
      <c r="Q159" s="13"/>
      <c r="R159" s="13"/>
      <c r="S159" s="13">
        <v>2486</v>
      </c>
      <c r="T159" s="13">
        <f t="shared" si="86"/>
        <v>0</v>
      </c>
      <c r="U159" s="13"/>
      <c r="V159" s="13"/>
      <c r="W159" s="13"/>
      <c r="X159" s="13"/>
      <c r="Y159" s="13">
        <v>1</v>
      </c>
      <c r="Z159" s="13">
        <v>1</v>
      </c>
      <c r="AA159" s="13">
        <v>2486</v>
      </c>
      <c r="AB159" s="13">
        <f t="shared" si="87"/>
        <v>2486</v>
      </c>
      <c r="AC159" s="13"/>
      <c r="AD159" s="13"/>
      <c r="AE159" s="13"/>
      <c r="AF159" s="13"/>
      <c r="AG159" s="13"/>
      <c r="AH159" s="13"/>
      <c r="AI159" s="13">
        <v>2486</v>
      </c>
      <c r="AJ159" s="13">
        <f t="shared" si="88"/>
        <v>0</v>
      </c>
      <c r="AK159" s="13"/>
      <c r="AL159" s="13"/>
      <c r="AM159" s="13"/>
      <c r="AN159" s="13"/>
      <c r="AO159" s="13"/>
      <c r="AP159" s="13"/>
      <c r="AQ159" s="13">
        <v>2486</v>
      </c>
      <c r="AR159" s="13">
        <f t="shared" si="89"/>
        <v>0</v>
      </c>
      <c r="AS159" s="13"/>
      <c r="AT159" s="13"/>
      <c r="AU159" s="13"/>
      <c r="AV159" s="13"/>
      <c r="AW159" s="13">
        <v>1</v>
      </c>
      <c r="AX159" s="13">
        <v>1</v>
      </c>
      <c r="AY159" s="13">
        <v>2486</v>
      </c>
      <c r="AZ159" s="13">
        <f t="shared" si="90"/>
        <v>2486</v>
      </c>
      <c r="BA159" s="13"/>
      <c r="BB159" s="13"/>
      <c r="BC159" s="13"/>
      <c r="BD159" s="13"/>
      <c r="BE159" s="13"/>
      <c r="BF159" s="13"/>
      <c r="BG159" s="13">
        <v>2486</v>
      </c>
      <c r="BH159" s="13">
        <f t="shared" si="91"/>
        <v>0</v>
      </c>
      <c r="BI159" s="13"/>
      <c r="BJ159" s="13"/>
      <c r="BK159" s="13"/>
      <c r="BL159" s="13"/>
      <c r="BM159" s="13"/>
      <c r="BN159" s="13"/>
      <c r="BO159" s="13">
        <v>2486</v>
      </c>
      <c r="BP159" s="13">
        <f t="shared" si="92"/>
        <v>0</v>
      </c>
      <c r="BQ159" s="13"/>
      <c r="BR159" s="13"/>
      <c r="BS159" s="13"/>
      <c r="BT159" s="13"/>
      <c r="BU159" s="13">
        <v>1</v>
      </c>
      <c r="BV159" s="13">
        <v>1</v>
      </c>
      <c r="BW159" s="13">
        <v>2486</v>
      </c>
      <c r="BX159" s="13">
        <f t="shared" si="93"/>
        <v>2486</v>
      </c>
      <c r="BY159" s="13"/>
      <c r="BZ159" s="13"/>
      <c r="CA159" s="13"/>
      <c r="CB159" s="13"/>
      <c r="CC159" s="13"/>
      <c r="CD159" s="13"/>
      <c r="CE159" s="13">
        <v>2486</v>
      </c>
      <c r="CF159" s="13">
        <f t="shared" si="94"/>
        <v>0</v>
      </c>
      <c r="CG159" s="15"/>
    </row>
    <row r="160" spans="1:85">
      <c r="A160" s="61" t="s">
        <v>126</v>
      </c>
      <c r="B160" s="10" t="s">
        <v>145</v>
      </c>
      <c r="C160" s="11"/>
      <c r="D160" s="12" t="s">
        <v>121</v>
      </c>
      <c r="E160" s="25"/>
      <c r="F160" s="13"/>
      <c r="G160" s="13"/>
      <c r="H160" s="13"/>
      <c r="I160" s="25"/>
      <c r="J160" s="25"/>
      <c r="K160" s="13">
        <v>1484</v>
      </c>
      <c r="L160" s="13">
        <f t="shared" si="85"/>
        <v>0</v>
      </c>
      <c r="M160" s="25"/>
      <c r="N160" s="13"/>
      <c r="O160" s="13"/>
      <c r="P160" s="13"/>
      <c r="Q160" s="25"/>
      <c r="R160" s="25"/>
      <c r="S160" s="13">
        <v>1484</v>
      </c>
      <c r="T160" s="13">
        <f t="shared" si="86"/>
        <v>0</v>
      </c>
      <c r="U160" s="25"/>
      <c r="V160" s="13"/>
      <c r="W160" s="13"/>
      <c r="X160" s="13"/>
      <c r="Y160" s="25">
        <v>1</v>
      </c>
      <c r="Z160" s="25">
        <v>1</v>
      </c>
      <c r="AA160" s="13">
        <v>1484</v>
      </c>
      <c r="AB160" s="13">
        <f t="shared" si="87"/>
        <v>1484</v>
      </c>
      <c r="AC160" s="25"/>
      <c r="AD160" s="13"/>
      <c r="AE160" s="13"/>
      <c r="AF160" s="13"/>
      <c r="AG160" s="25"/>
      <c r="AH160" s="25"/>
      <c r="AI160" s="13">
        <v>1484</v>
      </c>
      <c r="AJ160" s="13">
        <f t="shared" si="88"/>
        <v>0</v>
      </c>
      <c r="AK160" s="25"/>
      <c r="AL160" s="13"/>
      <c r="AM160" s="13"/>
      <c r="AN160" s="13"/>
      <c r="AO160" s="25"/>
      <c r="AP160" s="25"/>
      <c r="AQ160" s="13">
        <v>1484</v>
      </c>
      <c r="AR160" s="13">
        <f t="shared" si="89"/>
        <v>0</v>
      </c>
      <c r="AS160" s="25"/>
      <c r="AT160" s="13"/>
      <c r="AU160" s="13"/>
      <c r="AV160" s="13"/>
      <c r="AW160" s="25">
        <v>1</v>
      </c>
      <c r="AX160" s="25">
        <v>1</v>
      </c>
      <c r="AY160" s="13">
        <v>1484</v>
      </c>
      <c r="AZ160" s="13">
        <f t="shared" si="90"/>
        <v>1484</v>
      </c>
      <c r="BA160" s="25"/>
      <c r="BB160" s="13"/>
      <c r="BC160" s="13"/>
      <c r="BD160" s="13"/>
      <c r="BE160" s="25"/>
      <c r="BF160" s="25"/>
      <c r="BG160" s="13">
        <v>1484</v>
      </c>
      <c r="BH160" s="13">
        <f t="shared" si="91"/>
        <v>0</v>
      </c>
      <c r="BI160" s="25"/>
      <c r="BJ160" s="13"/>
      <c r="BK160" s="13"/>
      <c r="BL160" s="13"/>
      <c r="BM160" s="25"/>
      <c r="BN160" s="25"/>
      <c r="BO160" s="13">
        <v>1484</v>
      </c>
      <c r="BP160" s="13">
        <f t="shared" si="92"/>
        <v>0</v>
      </c>
      <c r="BQ160" s="25"/>
      <c r="BR160" s="13"/>
      <c r="BS160" s="13"/>
      <c r="BT160" s="13"/>
      <c r="BU160" s="25">
        <v>1</v>
      </c>
      <c r="BV160" s="25">
        <v>1</v>
      </c>
      <c r="BW160" s="13">
        <v>1484</v>
      </c>
      <c r="BX160" s="13">
        <f t="shared" si="93"/>
        <v>1484</v>
      </c>
      <c r="BY160" s="25"/>
      <c r="BZ160" s="13"/>
      <c r="CA160" s="13"/>
      <c r="CB160" s="13"/>
      <c r="CC160" s="25"/>
      <c r="CD160" s="25"/>
      <c r="CE160" s="13">
        <v>1484</v>
      </c>
      <c r="CF160" s="13">
        <f t="shared" si="94"/>
        <v>0</v>
      </c>
      <c r="CG160" s="79">
        <v>97939.809663756299</v>
      </c>
    </row>
    <row r="161" spans="1:246">
      <c r="A161" s="61" t="s">
        <v>126</v>
      </c>
      <c r="B161" s="23" t="s">
        <v>44</v>
      </c>
      <c r="C161" s="11"/>
      <c r="D161" s="10" t="s">
        <v>45</v>
      </c>
      <c r="E161" s="13"/>
      <c r="F161" s="13"/>
      <c r="G161" s="13"/>
      <c r="H161" s="13"/>
      <c r="I161" s="13"/>
      <c r="J161" s="13"/>
      <c r="K161" s="19">
        <v>674</v>
      </c>
      <c r="L161" s="13">
        <f t="shared" si="85"/>
        <v>0</v>
      </c>
      <c r="M161" s="13"/>
      <c r="N161" s="13"/>
      <c r="O161" s="13"/>
      <c r="P161" s="13"/>
      <c r="Q161" s="13"/>
      <c r="R161" s="13"/>
      <c r="S161" s="19">
        <v>674</v>
      </c>
      <c r="T161" s="13">
        <f t="shared" si="86"/>
        <v>0</v>
      </c>
      <c r="U161" s="13"/>
      <c r="V161" s="13"/>
      <c r="W161" s="13"/>
      <c r="X161" s="13"/>
      <c r="Y161" s="13">
        <v>1</v>
      </c>
      <c r="Z161" s="13">
        <v>1</v>
      </c>
      <c r="AA161" s="19">
        <v>674</v>
      </c>
      <c r="AB161" s="13">
        <f t="shared" si="87"/>
        <v>674</v>
      </c>
      <c r="AC161" s="13"/>
      <c r="AD161" s="13"/>
      <c r="AE161" s="13"/>
      <c r="AF161" s="13"/>
      <c r="AG161" s="13"/>
      <c r="AH161" s="13"/>
      <c r="AI161" s="19">
        <v>674</v>
      </c>
      <c r="AJ161" s="13">
        <f t="shared" si="88"/>
        <v>0</v>
      </c>
      <c r="AK161" s="13"/>
      <c r="AL161" s="13"/>
      <c r="AM161" s="13"/>
      <c r="AN161" s="13"/>
      <c r="AO161" s="13"/>
      <c r="AP161" s="13"/>
      <c r="AQ161" s="19">
        <v>674</v>
      </c>
      <c r="AR161" s="13">
        <f t="shared" si="89"/>
        <v>0</v>
      </c>
      <c r="AS161" s="13"/>
      <c r="AT161" s="13"/>
      <c r="AU161" s="13"/>
      <c r="AV161" s="13"/>
      <c r="AW161" s="13">
        <v>1</v>
      </c>
      <c r="AX161" s="13">
        <v>1</v>
      </c>
      <c r="AY161" s="19">
        <v>674</v>
      </c>
      <c r="AZ161" s="13">
        <f t="shared" si="90"/>
        <v>674</v>
      </c>
      <c r="BA161" s="13"/>
      <c r="BB161" s="13"/>
      <c r="BC161" s="13"/>
      <c r="BD161" s="13"/>
      <c r="BE161" s="13"/>
      <c r="BF161" s="13"/>
      <c r="BG161" s="19">
        <v>674</v>
      </c>
      <c r="BH161" s="13">
        <f t="shared" si="91"/>
        <v>0</v>
      </c>
      <c r="BI161" s="13"/>
      <c r="BJ161" s="13"/>
      <c r="BK161" s="13"/>
      <c r="BL161" s="13"/>
      <c r="BM161" s="13"/>
      <c r="BN161" s="13"/>
      <c r="BO161" s="19">
        <v>674</v>
      </c>
      <c r="BP161" s="13">
        <f t="shared" si="92"/>
        <v>0</v>
      </c>
      <c r="BQ161" s="13"/>
      <c r="BR161" s="13"/>
      <c r="BS161" s="13"/>
      <c r="BT161" s="13"/>
      <c r="BU161" s="13">
        <v>1</v>
      </c>
      <c r="BV161" s="13">
        <v>1</v>
      </c>
      <c r="BW161" s="19">
        <v>674</v>
      </c>
      <c r="BX161" s="13">
        <f t="shared" si="93"/>
        <v>674</v>
      </c>
      <c r="BY161" s="13"/>
      <c r="BZ161" s="13"/>
      <c r="CA161" s="13"/>
      <c r="CB161" s="13"/>
      <c r="CC161" s="13"/>
      <c r="CD161" s="13"/>
      <c r="CE161" s="19">
        <v>674</v>
      </c>
      <c r="CF161" s="13">
        <f t="shared" si="94"/>
        <v>0</v>
      </c>
      <c r="CG161" s="15"/>
    </row>
    <row r="162" spans="1:246">
      <c r="A162" s="61" t="s">
        <v>126</v>
      </c>
      <c r="B162" s="10" t="s">
        <v>146</v>
      </c>
      <c r="C162" s="11"/>
      <c r="D162" s="12" t="s">
        <v>47</v>
      </c>
      <c r="E162" s="28"/>
      <c r="F162" s="28"/>
      <c r="G162" s="28"/>
      <c r="H162" s="28"/>
      <c r="I162" s="13">
        <v>1</v>
      </c>
      <c r="J162" s="13">
        <v>1</v>
      </c>
      <c r="K162" s="13">
        <v>5896</v>
      </c>
      <c r="L162" s="13">
        <f t="shared" si="85"/>
        <v>5896</v>
      </c>
      <c r="M162" s="28"/>
      <c r="N162" s="28"/>
      <c r="O162" s="28"/>
      <c r="P162" s="28"/>
      <c r="Q162" s="13">
        <v>1</v>
      </c>
      <c r="R162" s="13">
        <v>1</v>
      </c>
      <c r="S162" s="13">
        <v>5896</v>
      </c>
      <c r="T162" s="13">
        <f t="shared" si="86"/>
        <v>5896</v>
      </c>
      <c r="U162" s="28"/>
      <c r="V162" s="28"/>
      <c r="W162" s="28"/>
      <c r="X162" s="28"/>
      <c r="Y162" s="13">
        <v>1</v>
      </c>
      <c r="Z162" s="13">
        <v>1</v>
      </c>
      <c r="AA162" s="13">
        <v>5896</v>
      </c>
      <c r="AB162" s="13">
        <f t="shared" si="87"/>
        <v>5896</v>
      </c>
      <c r="AC162" s="28"/>
      <c r="AD162" s="28"/>
      <c r="AE162" s="28"/>
      <c r="AF162" s="28"/>
      <c r="AG162" s="13">
        <v>1</v>
      </c>
      <c r="AH162" s="13">
        <v>1</v>
      </c>
      <c r="AI162" s="13">
        <v>5896</v>
      </c>
      <c r="AJ162" s="13">
        <f t="shared" si="88"/>
        <v>5896</v>
      </c>
      <c r="AK162" s="28"/>
      <c r="AL162" s="28"/>
      <c r="AM162" s="28"/>
      <c r="AN162" s="28"/>
      <c r="AO162" s="13">
        <v>1</v>
      </c>
      <c r="AP162" s="13">
        <v>1</v>
      </c>
      <c r="AQ162" s="13">
        <v>5896</v>
      </c>
      <c r="AR162" s="13">
        <f t="shared" si="89"/>
        <v>5896</v>
      </c>
      <c r="AS162" s="28"/>
      <c r="AT162" s="28"/>
      <c r="AU162" s="28"/>
      <c r="AV162" s="28"/>
      <c r="AW162" s="13">
        <v>1</v>
      </c>
      <c r="AX162" s="13">
        <v>1</v>
      </c>
      <c r="AY162" s="13">
        <v>5896</v>
      </c>
      <c r="AZ162" s="13">
        <f t="shared" si="90"/>
        <v>5896</v>
      </c>
      <c r="BA162" s="28"/>
      <c r="BB162" s="28"/>
      <c r="BC162" s="28"/>
      <c r="BD162" s="28"/>
      <c r="BE162" s="13">
        <v>1</v>
      </c>
      <c r="BF162" s="13">
        <v>1</v>
      </c>
      <c r="BG162" s="13">
        <v>5896</v>
      </c>
      <c r="BH162" s="13">
        <f t="shared" si="91"/>
        <v>5896</v>
      </c>
      <c r="BI162" s="28"/>
      <c r="BJ162" s="28"/>
      <c r="BK162" s="28"/>
      <c r="BL162" s="28"/>
      <c r="BM162" s="13">
        <v>1</v>
      </c>
      <c r="BN162" s="13">
        <v>1</v>
      </c>
      <c r="BO162" s="13">
        <v>5896</v>
      </c>
      <c r="BP162" s="13">
        <f t="shared" si="92"/>
        <v>5896</v>
      </c>
      <c r="BQ162" s="28"/>
      <c r="BR162" s="28"/>
      <c r="BS162" s="28"/>
      <c r="BT162" s="28"/>
      <c r="BU162" s="13">
        <v>1</v>
      </c>
      <c r="BV162" s="13">
        <v>1</v>
      </c>
      <c r="BW162" s="13">
        <v>5896</v>
      </c>
      <c r="BX162" s="13">
        <f t="shared" si="93"/>
        <v>5896</v>
      </c>
      <c r="BY162" s="28"/>
      <c r="BZ162" s="28"/>
      <c r="CA162" s="28"/>
      <c r="CB162" s="28"/>
      <c r="CC162" s="13">
        <v>1</v>
      </c>
      <c r="CD162" s="13">
        <v>1</v>
      </c>
      <c r="CE162" s="13">
        <v>5896</v>
      </c>
      <c r="CF162" s="13">
        <f t="shared" si="94"/>
        <v>5896</v>
      </c>
      <c r="CG162" s="15"/>
    </row>
    <row r="163" spans="1:246">
      <c r="A163" s="61" t="s">
        <v>126</v>
      </c>
      <c r="B163" s="26" t="s">
        <v>147</v>
      </c>
      <c r="C163" s="11"/>
      <c r="D163" s="71" t="s">
        <v>49</v>
      </c>
      <c r="E163" s="34"/>
      <c r="F163" s="34"/>
      <c r="G163" s="34"/>
      <c r="H163" s="34"/>
      <c r="I163" s="34"/>
      <c r="J163" s="34"/>
      <c r="K163" s="13">
        <v>909</v>
      </c>
      <c r="L163" s="13">
        <f t="shared" si="85"/>
        <v>0</v>
      </c>
      <c r="M163" s="34"/>
      <c r="N163" s="34"/>
      <c r="O163" s="34"/>
      <c r="P163" s="34"/>
      <c r="Q163" s="34"/>
      <c r="R163" s="34"/>
      <c r="S163" s="13">
        <v>909</v>
      </c>
      <c r="T163" s="13">
        <f t="shared" si="86"/>
        <v>0</v>
      </c>
      <c r="U163" s="34"/>
      <c r="V163" s="34"/>
      <c r="W163" s="34"/>
      <c r="X163" s="34"/>
      <c r="Y163" s="34">
        <v>1</v>
      </c>
      <c r="Z163" s="34">
        <v>1</v>
      </c>
      <c r="AA163" s="13">
        <v>909</v>
      </c>
      <c r="AB163" s="13">
        <f t="shared" si="87"/>
        <v>909</v>
      </c>
      <c r="AC163" s="34"/>
      <c r="AD163" s="34"/>
      <c r="AE163" s="34"/>
      <c r="AF163" s="34"/>
      <c r="AG163" s="34"/>
      <c r="AH163" s="34"/>
      <c r="AI163" s="13">
        <v>909</v>
      </c>
      <c r="AJ163" s="13">
        <f t="shared" si="88"/>
        <v>0</v>
      </c>
      <c r="AK163" s="34"/>
      <c r="AL163" s="34"/>
      <c r="AM163" s="34"/>
      <c r="AN163" s="34"/>
      <c r="AO163" s="34"/>
      <c r="AP163" s="34"/>
      <c r="AQ163" s="13">
        <v>909</v>
      </c>
      <c r="AR163" s="13">
        <f t="shared" si="89"/>
        <v>0</v>
      </c>
      <c r="AS163" s="34"/>
      <c r="AT163" s="34"/>
      <c r="AU163" s="34"/>
      <c r="AV163" s="34"/>
      <c r="AW163" s="34">
        <v>1</v>
      </c>
      <c r="AX163" s="34">
        <v>1</v>
      </c>
      <c r="AY163" s="13">
        <v>909</v>
      </c>
      <c r="AZ163" s="13">
        <f t="shared" si="90"/>
        <v>909</v>
      </c>
      <c r="BA163" s="34"/>
      <c r="BB163" s="34"/>
      <c r="BC163" s="34"/>
      <c r="BD163" s="34"/>
      <c r="BE163" s="34"/>
      <c r="BF163" s="34"/>
      <c r="BG163" s="13">
        <v>909</v>
      </c>
      <c r="BH163" s="13">
        <f t="shared" si="91"/>
        <v>0</v>
      </c>
      <c r="BI163" s="34"/>
      <c r="BJ163" s="34"/>
      <c r="BK163" s="34"/>
      <c r="BL163" s="34"/>
      <c r="BM163" s="34"/>
      <c r="BN163" s="34"/>
      <c r="BO163" s="13">
        <v>909</v>
      </c>
      <c r="BP163" s="13">
        <f t="shared" si="92"/>
        <v>0</v>
      </c>
      <c r="BQ163" s="34"/>
      <c r="BR163" s="34"/>
      <c r="BS163" s="34"/>
      <c r="BT163" s="34"/>
      <c r="BU163" s="34">
        <v>1</v>
      </c>
      <c r="BV163" s="34">
        <v>1</v>
      </c>
      <c r="BW163" s="13">
        <v>909</v>
      </c>
      <c r="BX163" s="13">
        <f t="shared" si="93"/>
        <v>909</v>
      </c>
      <c r="BY163" s="34"/>
      <c r="BZ163" s="34"/>
      <c r="CA163" s="34"/>
      <c r="CB163" s="34"/>
      <c r="CC163" s="34"/>
      <c r="CD163" s="34"/>
      <c r="CE163" s="13">
        <v>909</v>
      </c>
      <c r="CF163" s="13">
        <f t="shared" si="94"/>
        <v>0</v>
      </c>
      <c r="CG163" s="15"/>
    </row>
    <row r="164" spans="1:246">
      <c r="A164" s="61" t="s">
        <v>126</v>
      </c>
      <c r="B164" s="37" t="s">
        <v>125</v>
      </c>
      <c r="C164" s="65"/>
      <c r="D164" s="39" t="s">
        <v>53</v>
      </c>
      <c r="E164" s="40"/>
      <c r="F164" s="41"/>
      <c r="G164" s="41"/>
      <c r="H164" s="41"/>
      <c r="I164" s="40"/>
      <c r="J164" s="40"/>
      <c r="K164" s="41">
        <v>989</v>
      </c>
      <c r="L164" s="13">
        <f t="shared" si="85"/>
        <v>0</v>
      </c>
      <c r="M164" s="40"/>
      <c r="N164" s="41"/>
      <c r="O164" s="41"/>
      <c r="P164" s="41"/>
      <c r="Q164" s="40"/>
      <c r="R164" s="40"/>
      <c r="S164" s="41">
        <v>989</v>
      </c>
      <c r="T164" s="13">
        <f t="shared" si="86"/>
        <v>0</v>
      </c>
      <c r="U164" s="40"/>
      <c r="V164" s="41"/>
      <c r="W164" s="41"/>
      <c r="X164" s="41"/>
      <c r="Y164" s="40">
        <v>1</v>
      </c>
      <c r="Z164" s="40">
        <v>1</v>
      </c>
      <c r="AA164" s="41">
        <v>989</v>
      </c>
      <c r="AB164" s="13">
        <f t="shared" si="87"/>
        <v>989</v>
      </c>
      <c r="AC164" s="40"/>
      <c r="AD164" s="41"/>
      <c r="AE164" s="41"/>
      <c r="AF164" s="41"/>
      <c r="AG164" s="40"/>
      <c r="AH164" s="40"/>
      <c r="AI164" s="41">
        <v>989</v>
      </c>
      <c r="AJ164" s="13">
        <f t="shared" si="88"/>
        <v>0</v>
      </c>
      <c r="AK164" s="40"/>
      <c r="AL164" s="41"/>
      <c r="AM164" s="41"/>
      <c r="AN164" s="41"/>
      <c r="AO164" s="40"/>
      <c r="AP164" s="40"/>
      <c r="AQ164" s="41">
        <v>989</v>
      </c>
      <c r="AR164" s="13">
        <f t="shared" si="89"/>
        <v>0</v>
      </c>
      <c r="AS164" s="40"/>
      <c r="AT164" s="41"/>
      <c r="AU164" s="41"/>
      <c r="AV164" s="41"/>
      <c r="AW164" s="40">
        <v>1</v>
      </c>
      <c r="AX164" s="40">
        <v>1</v>
      </c>
      <c r="AY164" s="41">
        <v>989</v>
      </c>
      <c r="AZ164" s="13">
        <f t="shared" si="90"/>
        <v>989</v>
      </c>
      <c r="BA164" s="40"/>
      <c r="BB164" s="41"/>
      <c r="BC164" s="41"/>
      <c r="BD164" s="41"/>
      <c r="BE164" s="40"/>
      <c r="BF164" s="40"/>
      <c r="BG164" s="41">
        <v>989</v>
      </c>
      <c r="BH164" s="13">
        <f t="shared" si="91"/>
        <v>0</v>
      </c>
      <c r="BI164" s="40"/>
      <c r="BJ164" s="41"/>
      <c r="BK164" s="41"/>
      <c r="BL164" s="41"/>
      <c r="BM164" s="40"/>
      <c r="BN164" s="40"/>
      <c r="BO164" s="41">
        <v>989</v>
      </c>
      <c r="BP164" s="13">
        <f t="shared" si="92"/>
        <v>0</v>
      </c>
      <c r="BQ164" s="40"/>
      <c r="BR164" s="41"/>
      <c r="BS164" s="41"/>
      <c r="BT164" s="41"/>
      <c r="BU164" s="40">
        <v>1</v>
      </c>
      <c r="BV164" s="40">
        <v>1</v>
      </c>
      <c r="BW164" s="41">
        <v>989</v>
      </c>
      <c r="BX164" s="13">
        <f t="shared" si="93"/>
        <v>989</v>
      </c>
      <c r="BY164" s="40"/>
      <c r="BZ164" s="41"/>
      <c r="CA164" s="41"/>
      <c r="CB164" s="41"/>
      <c r="CC164" s="40"/>
      <c r="CD164" s="40"/>
      <c r="CE164" s="41">
        <v>989</v>
      </c>
      <c r="CF164" s="13">
        <f t="shared" si="94"/>
        <v>0</v>
      </c>
      <c r="CG164" s="79"/>
    </row>
    <row r="165" spans="1:246" s="44" customFormat="1">
      <c r="A165" s="81"/>
      <c r="B165" s="82"/>
      <c r="C165" s="58"/>
      <c r="D165" s="50"/>
      <c r="E165" s="84"/>
      <c r="F165" s="52"/>
      <c r="G165" s="52"/>
      <c r="H165" s="52"/>
      <c r="I165" s="84"/>
      <c r="J165" s="52"/>
      <c r="K165" s="52"/>
      <c r="L165" s="52"/>
      <c r="M165" s="84"/>
      <c r="N165" s="52"/>
      <c r="O165" s="52"/>
      <c r="P165" s="52"/>
      <c r="Q165" s="84"/>
      <c r="R165" s="85"/>
      <c r="S165" s="52"/>
      <c r="T165" s="52"/>
      <c r="U165" s="84"/>
      <c r="V165" s="52"/>
      <c r="W165" s="52"/>
      <c r="X165" s="52"/>
      <c r="Y165" s="84"/>
      <c r="Z165" s="86"/>
      <c r="AA165" s="52"/>
      <c r="AB165" s="52"/>
      <c r="AC165" s="84"/>
      <c r="AD165" s="52"/>
      <c r="AE165" s="52"/>
      <c r="AF165" s="52"/>
      <c r="AG165" s="84"/>
      <c r="AH165" s="86"/>
      <c r="AI165" s="52"/>
      <c r="AJ165" s="52"/>
      <c r="AK165" s="84"/>
      <c r="AL165" s="52"/>
      <c r="AM165" s="52"/>
      <c r="AN165" s="52"/>
      <c r="AO165" s="84"/>
      <c r="AP165" s="86"/>
      <c r="AQ165" s="52"/>
      <c r="AR165" s="52"/>
      <c r="AS165" s="84"/>
      <c r="AT165" s="52"/>
      <c r="AU165" s="52"/>
      <c r="AV165" s="52"/>
      <c r="AW165" s="84"/>
      <c r="AX165" s="86"/>
      <c r="AY165" s="52"/>
      <c r="AZ165" s="52"/>
      <c r="BA165" s="84"/>
      <c r="BB165" s="52"/>
      <c r="BC165" s="52"/>
      <c r="BD165" s="52"/>
      <c r="BE165" s="84"/>
      <c r="BF165" s="86"/>
      <c r="BG165" s="52"/>
      <c r="BH165" s="13">
        <f t="shared" si="91"/>
        <v>0</v>
      </c>
      <c r="BI165" s="84"/>
      <c r="BJ165" s="52"/>
      <c r="BK165" s="52"/>
      <c r="BL165" s="52"/>
      <c r="BM165" s="84"/>
      <c r="BN165" s="86"/>
      <c r="BO165" s="52"/>
      <c r="BP165" s="52"/>
      <c r="BQ165" s="84"/>
      <c r="BR165" s="52"/>
      <c r="BS165" s="52"/>
      <c r="BT165" s="52"/>
      <c r="BU165" s="84"/>
      <c r="BV165" s="86"/>
      <c r="BW165" s="52"/>
      <c r="BX165" s="52"/>
      <c r="BY165" s="84"/>
      <c r="BZ165" s="52"/>
      <c r="CA165" s="52"/>
      <c r="CB165" s="52"/>
      <c r="CC165" s="84"/>
      <c r="CD165" s="86"/>
      <c r="CE165" s="52"/>
      <c r="CF165" s="52"/>
      <c r="CG165" s="79"/>
    </row>
    <row r="166" spans="1:246" s="94" customFormat="1" ht="15" thickBot="1">
      <c r="A166" s="89"/>
      <c r="B166" s="90"/>
      <c r="C166" s="91"/>
      <c r="D166" s="50"/>
      <c r="E166" s="92"/>
      <c r="F166" s="93"/>
      <c r="G166" s="93"/>
      <c r="H166" s="93"/>
      <c r="I166" s="92"/>
      <c r="J166" s="92"/>
      <c r="K166" s="93"/>
      <c r="L166" s="92"/>
      <c r="M166" s="92"/>
      <c r="N166" s="93"/>
      <c r="O166" s="93"/>
      <c r="P166" s="93"/>
      <c r="Q166" s="92"/>
      <c r="R166" s="92"/>
      <c r="S166" s="93"/>
      <c r="T166" s="92"/>
      <c r="U166" s="92"/>
      <c r="V166" s="93"/>
      <c r="W166" s="93"/>
      <c r="X166" s="93"/>
      <c r="Y166" s="92"/>
      <c r="Z166" s="92"/>
      <c r="AA166" s="93"/>
      <c r="AB166" s="92"/>
      <c r="AC166" s="92"/>
      <c r="AD166" s="93"/>
      <c r="AE166" s="93"/>
      <c r="AF166" s="93"/>
      <c r="AG166" s="92"/>
      <c r="AH166" s="92"/>
      <c r="AI166" s="93"/>
      <c r="AJ166" s="92"/>
      <c r="AK166" s="92"/>
      <c r="AL166" s="93"/>
      <c r="AM166" s="93"/>
      <c r="AN166" s="93"/>
      <c r="AO166" s="92"/>
      <c r="AP166" s="92"/>
      <c r="AQ166" s="93"/>
      <c r="AR166" s="92"/>
      <c r="AS166" s="92"/>
      <c r="AT166" s="93"/>
      <c r="AU166" s="93"/>
      <c r="AV166" s="93"/>
      <c r="AW166" s="92"/>
      <c r="AX166" s="92"/>
      <c r="AY166" s="93"/>
      <c r="AZ166" s="92"/>
      <c r="BA166" s="92"/>
      <c r="BB166" s="93"/>
      <c r="BC166" s="93"/>
      <c r="BD166" s="93"/>
      <c r="BE166" s="92"/>
      <c r="BF166" s="92"/>
      <c r="BG166" s="93"/>
      <c r="BH166" s="92"/>
      <c r="BI166" s="92"/>
      <c r="BJ166" s="93"/>
      <c r="BK166" s="93"/>
      <c r="BL166" s="93"/>
      <c r="BM166" s="92"/>
      <c r="BN166" s="92"/>
      <c r="BO166" s="93"/>
      <c r="BP166" s="92"/>
      <c r="BQ166" s="92"/>
      <c r="BR166" s="93"/>
      <c r="BS166" s="93"/>
      <c r="BT166" s="93"/>
      <c r="BU166" s="92"/>
      <c r="BV166" s="92"/>
      <c r="BW166" s="93"/>
      <c r="BX166" s="92"/>
      <c r="BY166" s="92"/>
      <c r="BZ166" s="93"/>
      <c r="CA166" s="93"/>
      <c r="CB166" s="93"/>
      <c r="CC166" s="92"/>
      <c r="CD166" s="92"/>
      <c r="CE166" s="93"/>
      <c r="CF166" s="92"/>
    </row>
    <row r="167" spans="1:246" ht="30">
      <c r="A167" s="95" t="s">
        <v>0</v>
      </c>
      <c r="B167" s="96" t="s">
        <v>1</v>
      </c>
      <c r="C167" s="97" t="s">
        <v>2</v>
      </c>
      <c r="D167" s="98" t="s">
        <v>3</v>
      </c>
      <c r="E167" s="99">
        <v>500</v>
      </c>
      <c r="F167" s="100">
        <v>1000</v>
      </c>
      <c r="G167" s="100">
        <v>1500</v>
      </c>
      <c r="H167" s="100">
        <v>2000</v>
      </c>
      <c r="I167" s="100">
        <v>2500</v>
      </c>
      <c r="J167" s="5" t="s">
        <v>4</v>
      </c>
      <c r="K167" s="100" t="s">
        <v>5</v>
      </c>
      <c r="L167" s="101" t="s">
        <v>6</v>
      </c>
      <c r="M167" s="100">
        <v>3000</v>
      </c>
      <c r="N167" s="100">
        <v>3500</v>
      </c>
      <c r="O167" s="100">
        <v>4000</v>
      </c>
      <c r="P167" s="100">
        <v>4500</v>
      </c>
      <c r="Q167" s="100">
        <v>5000</v>
      </c>
      <c r="R167" s="5" t="s">
        <v>4</v>
      </c>
      <c r="S167" s="100" t="s">
        <v>5</v>
      </c>
      <c r="T167" s="101" t="s">
        <v>6</v>
      </c>
      <c r="U167" s="100">
        <v>5500</v>
      </c>
      <c r="V167" s="100">
        <v>6000</v>
      </c>
      <c r="W167" s="100">
        <v>6500</v>
      </c>
      <c r="X167" s="100">
        <v>7000</v>
      </c>
      <c r="Y167" s="100">
        <v>7500</v>
      </c>
      <c r="Z167" s="5" t="s">
        <v>4</v>
      </c>
      <c r="AA167" s="100" t="s">
        <v>5</v>
      </c>
      <c r="AB167" s="101" t="s">
        <v>6</v>
      </c>
      <c r="AC167" s="100">
        <v>8000</v>
      </c>
      <c r="AD167" s="100">
        <v>8500</v>
      </c>
      <c r="AE167" s="100">
        <v>9000</v>
      </c>
      <c r="AF167" s="100">
        <v>9500</v>
      </c>
      <c r="AG167" s="100">
        <v>10000</v>
      </c>
      <c r="AH167" s="101" t="s">
        <v>4</v>
      </c>
      <c r="AI167" s="100" t="s">
        <v>5</v>
      </c>
      <c r="AJ167" s="101" t="s">
        <v>6</v>
      </c>
      <c r="AK167" s="100">
        <v>10500</v>
      </c>
      <c r="AL167" s="100">
        <v>11000</v>
      </c>
      <c r="AM167" s="100">
        <v>11500</v>
      </c>
      <c r="AN167" s="100">
        <v>12000</v>
      </c>
      <c r="AO167" s="100">
        <v>12500</v>
      </c>
      <c r="AP167" s="101" t="s">
        <v>4</v>
      </c>
      <c r="AQ167" s="100" t="s">
        <v>5</v>
      </c>
      <c r="AR167" s="101" t="s">
        <v>6</v>
      </c>
      <c r="AS167" s="100">
        <v>13000</v>
      </c>
      <c r="AT167" s="100">
        <v>13500</v>
      </c>
      <c r="AU167" s="100">
        <v>14000</v>
      </c>
      <c r="AV167" s="100">
        <v>14500</v>
      </c>
      <c r="AW167" s="100">
        <v>15000</v>
      </c>
      <c r="AX167" s="101" t="s">
        <v>4</v>
      </c>
      <c r="AY167" s="100" t="s">
        <v>5</v>
      </c>
      <c r="AZ167" s="101" t="s">
        <v>6</v>
      </c>
      <c r="BA167" s="100">
        <v>15500</v>
      </c>
      <c r="BB167" s="100">
        <v>16000</v>
      </c>
      <c r="BC167" s="100">
        <v>16500</v>
      </c>
      <c r="BD167" s="100">
        <v>17000</v>
      </c>
      <c r="BE167" s="100">
        <v>17500</v>
      </c>
      <c r="BF167" s="101" t="s">
        <v>4</v>
      </c>
      <c r="BG167" s="100" t="s">
        <v>5</v>
      </c>
      <c r="BH167" s="101" t="s">
        <v>6</v>
      </c>
      <c r="BI167" s="100">
        <v>18000</v>
      </c>
      <c r="BJ167" s="100">
        <v>18500</v>
      </c>
      <c r="BK167" s="100">
        <v>19000</v>
      </c>
      <c r="BL167" s="100">
        <v>19500</v>
      </c>
      <c r="BM167" s="100">
        <v>20000</v>
      </c>
      <c r="BN167" s="101" t="s">
        <v>4</v>
      </c>
      <c r="BO167" s="100" t="s">
        <v>5</v>
      </c>
      <c r="BP167" s="101" t="s">
        <v>6</v>
      </c>
      <c r="BQ167" s="100">
        <v>20500</v>
      </c>
      <c r="BR167" s="100">
        <v>21000</v>
      </c>
      <c r="BS167" s="100">
        <v>21500</v>
      </c>
      <c r="BT167" s="100">
        <v>22000</v>
      </c>
      <c r="BU167" s="100">
        <v>22500</v>
      </c>
      <c r="BV167" s="101" t="s">
        <v>4</v>
      </c>
      <c r="BW167" s="100" t="s">
        <v>5</v>
      </c>
      <c r="BX167" s="101" t="s">
        <v>6</v>
      </c>
      <c r="BY167" s="100">
        <v>23000</v>
      </c>
      <c r="BZ167" s="100">
        <v>23500</v>
      </c>
      <c r="CA167" s="100">
        <v>24000</v>
      </c>
      <c r="CB167" s="100">
        <v>24500</v>
      </c>
      <c r="CC167" s="100">
        <v>25000</v>
      </c>
      <c r="CD167" s="101" t="s">
        <v>4</v>
      </c>
      <c r="CE167" s="100" t="s">
        <v>5</v>
      </c>
      <c r="CF167" s="101" t="s">
        <v>6</v>
      </c>
      <c r="CG167" s="7"/>
      <c r="CH167" s="7"/>
      <c r="CI167" s="7"/>
      <c r="CJ167" s="7"/>
      <c r="CK167" s="7"/>
      <c r="CL167" s="7"/>
      <c r="CM167" s="7"/>
      <c r="CN167" s="7"/>
      <c r="CO167" s="7"/>
      <c r="CP167" s="7"/>
      <c r="CQ167" s="7"/>
      <c r="CR167" s="7"/>
      <c r="CS167" s="7"/>
      <c r="CT167" s="7"/>
      <c r="CU167" s="7"/>
      <c r="CV167" s="7"/>
      <c r="CW167" s="7"/>
      <c r="CX167" s="7"/>
      <c r="CY167" s="7"/>
      <c r="CZ167" s="7"/>
      <c r="DA167" s="7"/>
      <c r="DB167" s="7"/>
      <c r="DC167" s="7"/>
      <c r="DD167" s="7"/>
      <c r="DE167" s="7"/>
      <c r="DF167" s="7"/>
      <c r="DG167" s="7"/>
      <c r="DH167" s="7"/>
      <c r="DI167" s="7"/>
      <c r="DJ167" s="7"/>
      <c r="DK167" s="7"/>
      <c r="DL167" s="7"/>
      <c r="DM167" s="7"/>
      <c r="DN167" s="7"/>
      <c r="DO167" s="7"/>
      <c r="DP167" s="7"/>
      <c r="DQ167" s="7"/>
      <c r="DR167" s="7"/>
      <c r="DS167" s="7"/>
      <c r="DT167" s="7"/>
      <c r="DU167" s="7"/>
      <c r="DV167" s="7"/>
      <c r="DW167" s="7"/>
      <c r="DX167" s="7"/>
      <c r="DY167" s="7"/>
      <c r="DZ167" s="7"/>
      <c r="EA167" s="7"/>
      <c r="EB167" s="7"/>
      <c r="EC167" s="7"/>
      <c r="ED167" s="7"/>
      <c r="EE167" s="7"/>
      <c r="EF167" s="7"/>
      <c r="EG167" s="7"/>
      <c r="EH167" s="7"/>
      <c r="EI167" s="7"/>
      <c r="EJ167" s="7"/>
      <c r="EK167" s="7"/>
      <c r="EL167" s="7"/>
      <c r="EM167" s="7"/>
      <c r="EN167" s="7"/>
      <c r="EO167" s="7"/>
      <c r="EP167" s="7"/>
      <c r="EQ167" s="7"/>
      <c r="ER167" s="7"/>
      <c r="ES167" s="7"/>
      <c r="ET167" s="7"/>
      <c r="EU167" s="7"/>
      <c r="EV167" s="7"/>
      <c r="EW167" s="7"/>
      <c r="EX167" s="7"/>
      <c r="EY167" s="7"/>
      <c r="EZ167" s="7"/>
      <c r="FA167" s="7"/>
      <c r="FB167" s="7"/>
      <c r="FC167" s="7"/>
      <c r="FD167" s="7"/>
      <c r="FE167" s="7"/>
      <c r="FF167" s="7"/>
      <c r="FG167" s="7"/>
      <c r="FH167" s="7"/>
      <c r="FI167" s="7"/>
      <c r="FJ167" s="7"/>
      <c r="FK167" s="7"/>
      <c r="FL167" s="7"/>
      <c r="FM167" s="7"/>
      <c r="FN167" s="7"/>
      <c r="FO167" s="7"/>
      <c r="FP167" s="7"/>
      <c r="FQ167" s="7"/>
      <c r="FR167" s="7"/>
      <c r="FS167" s="7"/>
      <c r="FT167" s="7"/>
      <c r="FU167" s="7"/>
      <c r="FV167" s="7"/>
      <c r="FW167" s="7"/>
      <c r="FX167" s="7"/>
      <c r="FY167" s="7"/>
      <c r="FZ167" s="7"/>
      <c r="GA167" s="7"/>
      <c r="GB167" s="7"/>
      <c r="GC167" s="7"/>
      <c r="GD167" s="7"/>
      <c r="GE167" s="7"/>
      <c r="GF167" s="7"/>
      <c r="GG167" s="7"/>
      <c r="GH167" s="7"/>
      <c r="GI167" s="7"/>
      <c r="GJ167" s="7"/>
      <c r="GK167" s="7"/>
      <c r="GL167" s="7"/>
      <c r="GM167" s="7"/>
      <c r="GN167" s="7"/>
      <c r="GO167" s="7"/>
      <c r="GP167" s="7"/>
      <c r="GQ167" s="7"/>
      <c r="GR167" s="7"/>
      <c r="GS167" s="7"/>
      <c r="GT167" s="7"/>
      <c r="GU167" s="7"/>
      <c r="GV167" s="7"/>
      <c r="GW167" s="7"/>
      <c r="GX167" s="7"/>
      <c r="GY167" s="7"/>
      <c r="GZ167" s="7"/>
      <c r="HA167" s="7"/>
      <c r="HB167" s="7"/>
      <c r="HC167" s="7"/>
      <c r="HD167" s="7"/>
      <c r="HE167" s="7"/>
      <c r="HF167" s="7"/>
      <c r="HG167" s="7"/>
      <c r="HH167" s="7"/>
      <c r="HI167" s="7"/>
      <c r="HJ167" s="7"/>
      <c r="HK167" s="7"/>
      <c r="HL167" s="7"/>
      <c r="HM167" s="7"/>
      <c r="HN167" s="7"/>
      <c r="HO167" s="7"/>
      <c r="HP167" s="7"/>
      <c r="HQ167" s="7"/>
      <c r="HR167" s="7"/>
      <c r="HS167" s="7"/>
      <c r="HT167" s="7"/>
      <c r="HU167" s="7"/>
      <c r="HV167" s="7"/>
      <c r="HW167" s="7"/>
      <c r="HX167" s="7"/>
      <c r="HY167" s="7"/>
      <c r="HZ167" s="7"/>
      <c r="IA167" s="7"/>
      <c r="IB167" s="7"/>
      <c r="IC167" s="7"/>
      <c r="ID167" s="7"/>
      <c r="IE167" s="7"/>
      <c r="IF167" s="7"/>
      <c r="IG167" s="7"/>
      <c r="IH167" s="7"/>
      <c r="II167" s="7"/>
      <c r="IJ167" s="7"/>
      <c r="IK167" s="7"/>
      <c r="IL167" s="7"/>
    </row>
    <row r="168" spans="1:246" ht="15">
      <c r="A168" s="61" t="s">
        <v>148</v>
      </c>
      <c r="B168" s="10" t="s">
        <v>8</v>
      </c>
      <c r="C168" s="11"/>
      <c r="D168" s="12" t="s">
        <v>9</v>
      </c>
      <c r="E168" s="13">
        <v>1</v>
      </c>
      <c r="F168" s="13">
        <v>1</v>
      </c>
      <c r="G168" s="13">
        <v>1</v>
      </c>
      <c r="H168" s="13">
        <v>1</v>
      </c>
      <c r="I168" s="13">
        <v>1</v>
      </c>
      <c r="J168" s="13">
        <v>5</v>
      </c>
      <c r="K168" s="14">
        <v>154</v>
      </c>
      <c r="L168" s="13">
        <f>J168*K168</f>
        <v>770</v>
      </c>
      <c r="M168" s="13">
        <v>1</v>
      </c>
      <c r="N168" s="13">
        <v>1</v>
      </c>
      <c r="O168" s="13">
        <v>1</v>
      </c>
      <c r="P168" s="13">
        <v>1</v>
      </c>
      <c r="Q168" s="13">
        <v>1</v>
      </c>
      <c r="R168" s="13">
        <v>5</v>
      </c>
      <c r="S168" s="14">
        <v>154</v>
      </c>
      <c r="T168" s="13">
        <f>S168*R168</f>
        <v>770</v>
      </c>
      <c r="U168" s="13">
        <v>1</v>
      </c>
      <c r="V168" s="13">
        <v>1</v>
      </c>
      <c r="W168" s="13">
        <v>1</v>
      </c>
      <c r="X168" s="13">
        <v>1</v>
      </c>
      <c r="Y168" s="13">
        <v>1</v>
      </c>
      <c r="Z168" s="13">
        <v>5</v>
      </c>
      <c r="AA168" s="14">
        <v>154</v>
      </c>
      <c r="AB168" s="13">
        <f>AA168*Z168</f>
        <v>770</v>
      </c>
      <c r="AC168" s="13">
        <v>1</v>
      </c>
      <c r="AD168" s="13">
        <v>1</v>
      </c>
      <c r="AE168" s="13">
        <v>1</v>
      </c>
      <c r="AF168" s="13">
        <v>1</v>
      </c>
      <c r="AG168" s="13">
        <v>1</v>
      </c>
      <c r="AH168" s="13">
        <v>5</v>
      </c>
      <c r="AI168" s="14">
        <v>154</v>
      </c>
      <c r="AJ168" s="13">
        <f>AI168*AH168</f>
        <v>770</v>
      </c>
      <c r="AK168" s="13">
        <v>1</v>
      </c>
      <c r="AL168" s="13">
        <v>1</v>
      </c>
      <c r="AM168" s="13">
        <v>1</v>
      </c>
      <c r="AN168" s="13">
        <v>1</v>
      </c>
      <c r="AO168" s="13">
        <v>1</v>
      </c>
      <c r="AP168" s="13">
        <v>5</v>
      </c>
      <c r="AQ168" s="14">
        <v>154</v>
      </c>
      <c r="AR168" s="13">
        <f>AQ168*AP168</f>
        <v>770</v>
      </c>
      <c r="AS168" s="13">
        <v>1</v>
      </c>
      <c r="AT168" s="13">
        <v>1</v>
      </c>
      <c r="AU168" s="13">
        <v>1</v>
      </c>
      <c r="AV168" s="13">
        <v>1</v>
      </c>
      <c r="AW168" s="13">
        <v>1</v>
      </c>
      <c r="AX168" s="13">
        <v>5</v>
      </c>
      <c r="AY168" s="14">
        <v>154</v>
      </c>
      <c r="AZ168" s="13">
        <f>AY168*AX168</f>
        <v>770</v>
      </c>
      <c r="BA168" s="13">
        <v>1</v>
      </c>
      <c r="BB168" s="13">
        <v>1</v>
      </c>
      <c r="BC168" s="13">
        <v>1</v>
      </c>
      <c r="BD168" s="13">
        <v>1</v>
      </c>
      <c r="BE168" s="13">
        <v>1</v>
      </c>
      <c r="BF168" s="13">
        <v>5</v>
      </c>
      <c r="BG168" s="14">
        <v>154</v>
      </c>
      <c r="BH168" s="13">
        <f>BG168*BF168</f>
        <v>770</v>
      </c>
      <c r="BI168" s="13">
        <v>1</v>
      </c>
      <c r="BJ168" s="13">
        <v>1</v>
      </c>
      <c r="BK168" s="13">
        <v>1</v>
      </c>
      <c r="BL168" s="13">
        <v>1</v>
      </c>
      <c r="BM168" s="13">
        <v>1</v>
      </c>
      <c r="BN168" s="13">
        <v>5</v>
      </c>
      <c r="BO168" s="14">
        <v>154</v>
      </c>
      <c r="BP168" s="13">
        <f>BO168*BN168</f>
        <v>770</v>
      </c>
      <c r="BQ168" s="13">
        <v>1</v>
      </c>
      <c r="BR168" s="13">
        <v>1</v>
      </c>
      <c r="BS168" s="13">
        <v>1</v>
      </c>
      <c r="BT168" s="13">
        <v>1</v>
      </c>
      <c r="BU168" s="13">
        <v>1</v>
      </c>
      <c r="BV168" s="13">
        <v>5</v>
      </c>
      <c r="BW168" s="14">
        <v>154</v>
      </c>
      <c r="BX168" s="13">
        <f>BW168*BV168</f>
        <v>770</v>
      </c>
      <c r="BY168" s="13">
        <v>1</v>
      </c>
      <c r="BZ168" s="13">
        <v>1</v>
      </c>
      <c r="CA168" s="13">
        <v>1</v>
      </c>
      <c r="CB168" s="13">
        <v>1</v>
      </c>
      <c r="CC168" s="13">
        <v>1</v>
      </c>
      <c r="CD168" s="13">
        <v>5</v>
      </c>
      <c r="CE168" s="14">
        <v>154</v>
      </c>
      <c r="CF168" s="13">
        <f>CE168*CD168</f>
        <v>770</v>
      </c>
    </row>
    <row r="169" spans="1:246">
      <c r="A169" s="61" t="s">
        <v>148</v>
      </c>
      <c r="B169" s="16" t="s">
        <v>57</v>
      </c>
      <c r="C169" s="11"/>
      <c r="D169" s="17" t="s">
        <v>11</v>
      </c>
      <c r="E169" s="18"/>
      <c r="F169" s="13">
        <v>2</v>
      </c>
      <c r="G169" s="13"/>
      <c r="H169" s="13">
        <v>2</v>
      </c>
      <c r="I169" s="18"/>
      <c r="J169" s="13">
        <v>4</v>
      </c>
      <c r="K169" s="19">
        <v>156</v>
      </c>
      <c r="L169" s="13">
        <f t="shared" ref="L169:L192" si="95">J169*K169</f>
        <v>624</v>
      </c>
      <c r="M169" s="18"/>
      <c r="N169" s="13">
        <v>2</v>
      </c>
      <c r="O169" s="13"/>
      <c r="P169" s="13">
        <v>2</v>
      </c>
      <c r="Q169" s="18"/>
      <c r="R169" s="13">
        <v>4</v>
      </c>
      <c r="S169" s="19">
        <v>156</v>
      </c>
      <c r="T169" s="13">
        <f t="shared" ref="T169:T177" si="96">S169*R169</f>
        <v>624</v>
      </c>
      <c r="U169" s="18"/>
      <c r="V169" s="13">
        <v>2</v>
      </c>
      <c r="W169" s="13"/>
      <c r="X169" s="13">
        <v>2</v>
      </c>
      <c r="Y169" s="18"/>
      <c r="Z169" s="13">
        <v>4</v>
      </c>
      <c r="AA169" s="19">
        <v>156</v>
      </c>
      <c r="AB169" s="13">
        <f t="shared" ref="AB169:AB177" si="97">AA169*Z169</f>
        <v>624</v>
      </c>
      <c r="AC169" s="18"/>
      <c r="AD169" s="13">
        <v>2</v>
      </c>
      <c r="AE169" s="13"/>
      <c r="AF169" s="13">
        <v>2</v>
      </c>
      <c r="AG169" s="18"/>
      <c r="AH169" s="13">
        <v>4</v>
      </c>
      <c r="AI169" s="19">
        <v>156</v>
      </c>
      <c r="AJ169" s="13">
        <f t="shared" ref="AJ169:AJ192" si="98">AI169*AH169</f>
        <v>624</v>
      </c>
      <c r="AK169" s="18"/>
      <c r="AL169" s="13">
        <v>2</v>
      </c>
      <c r="AM169" s="13"/>
      <c r="AN169" s="13">
        <v>2</v>
      </c>
      <c r="AO169" s="18"/>
      <c r="AP169" s="13">
        <v>4</v>
      </c>
      <c r="AQ169" s="19">
        <v>156</v>
      </c>
      <c r="AR169" s="13">
        <f t="shared" ref="AR169:AR192" si="99">AQ169*AP169</f>
        <v>624</v>
      </c>
      <c r="AS169" s="18"/>
      <c r="AT169" s="13">
        <v>2</v>
      </c>
      <c r="AU169" s="13"/>
      <c r="AV169" s="13">
        <v>2</v>
      </c>
      <c r="AW169" s="18"/>
      <c r="AX169" s="13">
        <v>4</v>
      </c>
      <c r="AY169" s="19">
        <v>156</v>
      </c>
      <c r="AZ169" s="13">
        <f t="shared" ref="AZ169:AZ192" si="100">AY169*AX169</f>
        <v>624</v>
      </c>
      <c r="BA169" s="18"/>
      <c r="BB169" s="13">
        <v>2</v>
      </c>
      <c r="BC169" s="13"/>
      <c r="BD169" s="13">
        <v>2</v>
      </c>
      <c r="BE169" s="18"/>
      <c r="BF169" s="13">
        <v>4</v>
      </c>
      <c r="BG169" s="19">
        <v>156</v>
      </c>
      <c r="BH169" s="13">
        <f t="shared" ref="BH169:BH192" si="101">BG169*BF169</f>
        <v>624</v>
      </c>
      <c r="BI169" s="18"/>
      <c r="BJ169" s="13">
        <v>2</v>
      </c>
      <c r="BK169" s="13"/>
      <c r="BL169" s="13">
        <v>2</v>
      </c>
      <c r="BM169" s="18"/>
      <c r="BN169" s="13">
        <v>4</v>
      </c>
      <c r="BO169" s="19">
        <v>156</v>
      </c>
      <c r="BP169" s="13">
        <f>BN169*BO169</f>
        <v>624</v>
      </c>
      <c r="BQ169" s="18"/>
      <c r="BR169" s="13">
        <v>2</v>
      </c>
      <c r="BS169" s="13"/>
      <c r="BT169" s="13">
        <v>2</v>
      </c>
      <c r="BU169" s="18"/>
      <c r="BV169" s="13">
        <v>4</v>
      </c>
      <c r="BW169" s="19">
        <v>156</v>
      </c>
      <c r="BX169" s="13">
        <f t="shared" ref="BX169:BX192" si="102">BW169*BV169</f>
        <v>624</v>
      </c>
      <c r="BY169" s="18"/>
      <c r="BZ169" s="13">
        <v>2</v>
      </c>
      <c r="CA169" s="13"/>
      <c r="CB169" s="13">
        <v>2</v>
      </c>
      <c r="CC169" s="18"/>
      <c r="CD169" s="13">
        <v>4</v>
      </c>
      <c r="CE169" s="19">
        <v>156</v>
      </c>
      <c r="CF169" s="13">
        <f t="shared" ref="CF169:CF192" si="103">CE169*CD169</f>
        <v>624</v>
      </c>
    </row>
    <row r="170" spans="1:246">
      <c r="A170" s="61" t="s">
        <v>148</v>
      </c>
      <c r="B170" s="20" t="s">
        <v>12</v>
      </c>
      <c r="C170" s="11"/>
      <c r="D170" s="11" t="s">
        <v>13</v>
      </c>
      <c r="E170" s="18"/>
      <c r="F170" s="13">
        <v>1</v>
      </c>
      <c r="G170" s="13"/>
      <c r="H170" s="13">
        <v>1</v>
      </c>
      <c r="I170" s="18"/>
      <c r="J170" s="13">
        <v>2</v>
      </c>
      <c r="K170" s="19">
        <v>306</v>
      </c>
      <c r="L170" s="13">
        <f t="shared" si="95"/>
        <v>612</v>
      </c>
      <c r="M170" s="18"/>
      <c r="N170" s="13">
        <v>1</v>
      </c>
      <c r="O170" s="13"/>
      <c r="P170" s="13">
        <v>1</v>
      </c>
      <c r="Q170" s="18"/>
      <c r="R170" s="13">
        <v>2</v>
      </c>
      <c r="S170" s="19">
        <v>306</v>
      </c>
      <c r="T170" s="13">
        <f t="shared" si="96"/>
        <v>612</v>
      </c>
      <c r="U170" s="18"/>
      <c r="V170" s="13">
        <v>1</v>
      </c>
      <c r="W170" s="13"/>
      <c r="X170" s="13">
        <v>1</v>
      </c>
      <c r="Y170" s="18"/>
      <c r="Z170" s="13">
        <v>2</v>
      </c>
      <c r="AA170" s="19">
        <v>306</v>
      </c>
      <c r="AB170" s="13">
        <f t="shared" si="97"/>
        <v>612</v>
      </c>
      <c r="AC170" s="18"/>
      <c r="AD170" s="13">
        <v>1</v>
      </c>
      <c r="AE170" s="13"/>
      <c r="AF170" s="13">
        <v>1</v>
      </c>
      <c r="AG170" s="18"/>
      <c r="AH170" s="13">
        <v>2</v>
      </c>
      <c r="AI170" s="19">
        <v>306</v>
      </c>
      <c r="AJ170" s="13">
        <f t="shared" si="98"/>
        <v>612</v>
      </c>
      <c r="AK170" s="18"/>
      <c r="AL170" s="13">
        <v>1</v>
      </c>
      <c r="AM170" s="13"/>
      <c r="AN170" s="13">
        <v>1</v>
      </c>
      <c r="AO170" s="18"/>
      <c r="AP170" s="13">
        <v>2</v>
      </c>
      <c r="AQ170" s="19">
        <v>306</v>
      </c>
      <c r="AR170" s="13">
        <f t="shared" si="99"/>
        <v>612</v>
      </c>
      <c r="AS170" s="18"/>
      <c r="AT170" s="13">
        <v>1</v>
      </c>
      <c r="AU170" s="13"/>
      <c r="AV170" s="13">
        <v>1</v>
      </c>
      <c r="AW170" s="18"/>
      <c r="AX170" s="13">
        <v>2</v>
      </c>
      <c r="AY170" s="19">
        <v>306</v>
      </c>
      <c r="AZ170" s="13">
        <f t="shared" si="100"/>
        <v>612</v>
      </c>
      <c r="BA170" s="18"/>
      <c r="BB170" s="13">
        <v>1</v>
      </c>
      <c r="BC170" s="13"/>
      <c r="BD170" s="13">
        <v>1</v>
      </c>
      <c r="BE170" s="18"/>
      <c r="BF170" s="13">
        <v>2</v>
      </c>
      <c r="BG170" s="19">
        <v>306</v>
      </c>
      <c r="BH170" s="13">
        <f t="shared" si="101"/>
        <v>612</v>
      </c>
      <c r="BI170" s="18"/>
      <c r="BJ170" s="13">
        <v>1</v>
      </c>
      <c r="BK170" s="13"/>
      <c r="BL170" s="13">
        <v>1</v>
      </c>
      <c r="BM170" s="18"/>
      <c r="BN170" s="13">
        <v>2</v>
      </c>
      <c r="BO170" s="19">
        <v>306</v>
      </c>
      <c r="BP170" s="13">
        <f t="shared" ref="BP170:BP192" si="104">BN170*BO170</f>
        <v>612</v>
      </c>
      <c r="BQ170" s="18"/>
      <c r="BR170" s="13">
        <v>1</v>
      </c>
      <c r="BS170" s="13"/>
      <c r="BT170" s="13">
        <v>1</v>
      </c>
      <c r="BU170" s="18"/>
      <c r="BV170" s="13">
        <v>2</v>
      </c>
      <c r="BW170" s="19">
        <v>306</v>
      </c>
      <c r="BX170" s="13">
        <f t="shared" si="102"/>
        <v>612</v>
      </c>
      <c r="BY170" s="18"/>
      <c r="BZ170" s="13">
        <v>1</v>
      </c>
      <c r="CA170" s="13"/>
      <c r="CB170" s="13">
        <v>1</v>
      </c>
      <c r="CC170" s="18"/>
      <c r="CD170" s="13">
        <v>2</v>
      </c>
      <c r="CE170" s="19">
        <v>306</v>
      </c>
      <c r="CF170" s="13">
        <f t="shared" si="103"/>
        <v>612</v>
      </c>
    </row>
    <row r="171" spans="1:246">
      <c r="A171" s="61" t="s">
        <v>148</v>
      </c>
      <c r="B171" s="10" t="s">
        <v>90</v>
      </c>
      <c r="C171" s="11"/>
      <c r="D171" s="11" t="s">
        <v>91</v>
      </c>
      <c r="E171" s="18"/>
      <c r="F171" s="13"/>
      <c r="G171" s="13"/>
      <c r="H171" s="13"/>
      <c r="I171" s="18"/>
      <c r="J171" s="13"/>
      <c r="K171" s="21">
        <v>143</v>
      </c>
      <c r="L171" s="13">
        <f t="shared" si="95"/>
        <v>0</v>
      </c>
      <c r="M171" s="18"/>
      <c r="N171" s="13"/>
      <c r="O171" s="13"/>
      <c r="P171" s="13"/>
      <c r="Q171" s="18"/>
      <c r="R171" s="13"/>
      <c r="S171" s="21">
        <v>143</v>
      </c>
      <c r="T171" s="13">
        <f t="shared" si="96"/>
        <v>0</v>
      </c>
      <c r="U171" s="18"/>
      <c r="V171" s="13"/>
      <c r="W171" s="13"/>
      <c r="X171" s="13"/>
      <c r="Y171" s="18">
        <v>1</v>
      </c>
      <c r="Z171" s="13">
        <v>1</v>
      </c>
      <c r="AA171" s="21">
        <v>143</v>
      </c>
      <c r="AB171" s="13">
        <f t="shared" si="97"/>
        <v>143</v>
      </c>
      <c r="AC171" s="18"/>
      <c r="AD171" s="13"/>
      <c r="AE171" s="13"/>
      <c r="AF171" s="13"/>
      <c r="AG171" s="18"/>
      <c r="AH171" s="13"/>
      <c r="AI171" s="21">
        <v>143</v>
      </c>
      <c r="AJ171" s="13">
        <f t="shared" si="98"/>
        <v>0</v>
      </c>
      <c r="AK171" s="18"/>
      <c r="AL171" s="13"/>
      <c r="AM171" s="13"/>
      <c r="AN171" s="13"/>
      <c r="AO171" s="18">
        <v>1</v>
      </c>
      <c r="AP171" s="13">
        <v>1</v>
      </c>
      <c r="AQ171" s="21">
        <v>143</v>
      </c>
      <c r="AR171" s="13">
        <f t="shared" si="99"/>
        <v>143</v>
      </c>
      <c r="AS171" s="18"/>
      <c r="AT171" s="13"/>
      <c r="AU171" s="13"/>
      <c r="AV171" s="13"/>
      <c r="AW171" s="18"/>
      <c r="AX171" s="13"/>
      <c r="AY171" s="21">
        <v>143</v>
      </c>
      <c r="AZ171" s="13">
        <f t="shared" si="100"/>
        <v>0</v>
      </c>
      <c r="BA171" s="18"/>
      <c r="BB171" s="13"/>
      <c r="BC171" s="13"/>
      <c r="BD171" s="13"/>
      <c r="BE171" s="18">
        <v>1</v>
      </c>
      <c r="BF171" s="13"/>
      <c r="BG171" s="21">
        <v>143</v>
      </c>
      <c r="BH171" s="13">
        <f t="shared" si="101"/>
        <v>0</v>
      </c>
      <c r="BI171" s="18"/>
      <c r="BJ171" s="13"/>
      <c r="BK171" s="13"/>
      <c r="BL171" s="13"/>
      <c r="BM171" s="18"/>
      <c r="BN171" s="13"/>
      <c r="BO171" s="21">
        <v>143</v>
      </c>
      <c r="BP171" s="13">
        <f t="shared" si="104"/>
        <v>0</v>
      </c>
      <c r="BQ171" s="18"/>
      <c r="BR171" s="13"/>
      <c r="BS171" s="13"/>
      <c r="BT171" s="13"/>
      <c r="BU171" s="18">
        <v>1</v>
      </c>
      <c r="BV171" s="13">
        <v>1</v>
      </c>
      <c r="BW171" s="21">
        <v>143</v>
      </c>
      <c r="BX171" s="13">
        <f t="shared" si="102"/>
        <v>143</v>
      </c>
      <c r="BY171" s="18"/>
      <c r="BZ171" s="13"/>
      <c r="CA171" s="13"/>
      <c r="CB171" s="13"/>
      <c r="CC171" s="18"/>
      <c r="CD171" s="13"/>
      <c r="CE171" s="21">
        <v>143</v>
      </c>
      <c r="CF171" s="13">
        <f t="shared" si="103"/>
        <v>0</v>
      </c>
    </row>
    <row r="172" spans="1:246">
      <c r="A172" s="61" t="s">
        <v>148</v>
      </c>
      <c r="B172" s="10" t="s">
        <v>14</v>
      </c>
      <c r="C172" s="11"/>
      <c r="D172" s="11" t="s">
        <v>110</v>
      </c>
      <c r="E172" s="18"/>
      <c r="F172" s="13"/>
      <c r="G172" s="13"/>
      <c r="H172" s="13"/>
      <c r="I172" s="18"/>
      <c r="J172" s="13"/>
      <c r="K172" s="21">
        <v>242</v>
      </c>
      <c r="L172" s="13">
        <f t="shared" si="95"/>
        <v>0</v>
      </c>
      <c r="M172" s="18"/>
      <c r="N172" s="13"/>
      <c r="O172" s="13"/>
      <c r="P172" s="13"/>
      <c r="Q172" s="18"/>
      <c r="R172" s="13"/>
      <c r="S172" s="21">
        <v>242</v>
      </c>
      <c r="T172" s="13">
        <f t="shared" si="96"/>
        <v>0</v>
      </c>
      <c r="U172" s="18"/>
      <c r="V172" s="13"/>
      <c r="W172" s="13"/>
      <c r="X172" s="13"/>
      <c r="Y172" s="18">
        <v>1</v>
      </c>
      <c r="Z172" s="13">
        <v>1</v>
      </c>
      <c r="AA172" s="21">
        <v>242</v>
      </c>
      <c r="AB172" s="13">
        <f t="shared" si="97"/>
        <v>242</v>
      </c>
      <c r="AC172" s="18"/>
      <c r="AD172" s="13"/>
      <c r="AE172" s="13"/>
      <c r="AF172" s="13"/>
      <c r="AG172" s="18"/>
      <c r="AH172" s="13"/>
      <c r="AI172" s="21">
        <v>242</v>
      </c>
      <c r="AJ172" s="13">
        <f t="shared" si="98"/>
        <v>0</v>
      </c>
      <c r="AK172" s="18"/>
      <c r="AL172" s="13"/>
      <c r="AM172" s="13"/>
      <c r="AN172" s="13"/>
      <c r="AO172" s="18">
        <v>1</v>
      </c>
      <c r="AP172" s="13">
        <v>1</v>
      </c>
      <c r="AQ172" s="21">
        <v>242</v>
      </c>
      <c r="AR172" s="13">
        <f t="shared" si="99"/>
        <v>242</v>
      </c>
      <c r="AS172" s="18"/>
      <c r="AT172" s="13"/>
      <c r="AU172" s="13"/>
      <c r="AV172" s="13"/>
      <c r="AW172" s="18"/>
      <c r="AX172" s="13"/>
      <c r="AY172" s="21">
        <v>242</v>
      </c>
      <c r="AZ172" s="13">
        <f t="shared" si="100"/>
        <v>0</v>
      </c>
      <c r="BA172" s="18"/>
      <c r="BB172" s="13"/>
      <c r="BC172" s="13"/>
      <c r="BD172" s="13"/>
      <c r="BE172" s="18">
        <v>1</v>
      </c>
      <c r="BF172" s="13"/>
      <c r="BG172" s="21">
        <v>242</v>
      </c>
      <c r="BH172" s="13">
        <f t="shared" si="101"/>
        <v>0</v>
      </c>
      <c r="BI172" s="18"/>
      <c r="BJ172" s="13"/>
      <c r="BK172" s="13"/>
      <c r="BL172" s="13"/>
      <c r="BM172" s="18"/>
      <c r="BN172" s="13"/>
      <c r="BO172" s="21">
        <v>242</v>
      </c>
      <c r="BP172" s="13">
        <f t="shared" si="104"/>
        <v>0</v>
      </c>
      <c r="BQ172" s="18"/>
      <c r="BR172" s="13"/>
      <c r="BS172" s="13"/>
      <c r="BT172" s="13"/>
      <c r="BU172" s="18">
        <v>1</v>
      </c>
      <c r="BV172" s="13">
        <v>1</v>
      </c>
      <c r="BW172" s="21">
        <v>242</v>
      </c>
      <c r="BX172" s="13">
        <f t="shared" si="102"/>
        <v>242</v>
      </c>
      <c r="BY172" s="18"/>
      <c r="BZ172" s="13"/>
      <c r="CA172" s="13"/>
      <c r="CB172" s="13"/>
      <c r="CC172" s="18"/>
      <c r="CD172" s="13"/>
      <c r="CE172" s="21">
        <v>242</v>
      </c>
      <c r="CF172" s="13">
        <f t="shared" si="103"/>
        <v>0</v>
      </c>
    </row>
    <row r="173" spans="1:246">
      <c r="A173" s="61" t="s">
        <v>148</v>
      </c>
      <c r="B173" s="10" t="s">
        <v>18</v>
      </c>
      <c r="C173" s="11"/>
      <c r="D173" s="12" t="s">
        <v>19</v>
      </c>
      <c r="E173" s="18"/>
      <c r="F173" s="13">
        <v>1</v>
      </c>
      <c r="G173" s="13"/>
      <c r="H173" s="13">
        <v>1</v>
      </c>
      <c r="I173" s="18"/>
      <c r="J173" s="13">
        <v>2</v>
      </c>
      <c r="K173" s="19">
        <v>25</v>
      </c>
      <c r="L173" s="13">
        <f t="shared" si="95"/>
        <v>50</v>
      </c>
      <c r="M173" s="18"/>
      <c r="N173" s="13">
        <v>1</v>
      </c>
      <c r="O173" s="13"/>
      <c r="P173" s="13">
        <v>1</v>
      </c>
      <c r="Q173" s="18"/>
      <c r="R173" s="13">
        <v>2</v>
      </c>
      <c r="S173" s="19">
        <v>25</v>
      </c>
      <c r="T173" s="13">
        <f t="shared" si="96"/>
        <v>50</v>
      </c>
      <c r="U173" s="18"/>
      <c r="V173" s="13">
        <v>1</v>
      </c>
      <c r="W173" s="13"/>
      <c r="X173" s="13">
        <v>1</v>
      </c>
      <c r="Y173" s="18"/>
      <c r="Z173" s="13">
        <v>2</v>
      </c>
      <c r="AA173" s="19">
        <v>25</v>
      </c>
      <c r="AB173" s="13">
        <f t="shared" si="97"/>
        <v>50</v>
      </c>
      <c r="AC173" s="18"/>
      <c r="AD173" s="13">
        <v>1</v>
      </c>
      <c r="AE173" s="13"/>
      <c r="AF173" s="13">
        <v>1</v>
      </c>
      <c r="AG173" s="18"/>
      <c r="AH173" s="13">
        <v>2</v>
      </c>
      <c r="AI173" s="19">
        <v>25</v>
      </c>
      <c r="AJ173" s="13">
        <f t="shared" si="98"/>
        <v>50</v>
      </c>
      <c r="AK173" s="18"/>
      <c r="AL173" s="13">
        <v>1</v>
      </c>
      <c r="AM173" s="13"/>
      <c r="AN173" s="13">
        <v>1</v>
      </c>
      <c r="AO173" s="18"/>
      <c r="AP173" s="13">
        <v>2</v>
      </c>
      <c r="AQ173" s="19">
        <v>25</v>
      </c>
      <c r="AR173" s="13">
        <f t="shared" si="99"/>
        <v>50</v>
      </c>
      <c r="AS173" s="18"/>
      <c r="AT173" s="13">
        <v>1</v>
      </c>
      <c r="AU173" s="13"/>
      <c r="AV173" s="13">
        <v>1</v>
      </c>
      <c r="AW173" s="18"/>
      <c r="AX173" s="13">
        <v>2</v>
      </c>
      <c r="AY173" s="19">
        <v>25</v>
      </c>
      <c r="AZ173" s="13">
        <f t="shared" si="100"/>
        <v>50</v>
      </c>
      <c r="BA173" s="18"/>
      <c r="BB173" s="13">
        <v>1</v>
      </c>
      <c r="BC173" s="13"/>
      <c r="BD173" s="13">
        <v>1</v>
      </c>
      <c r="BE173" s="18"/>
      <c r="BF173" s="13">
        <v>2</v>
      </c>
      <c r="BG173" s="19">
        <v>25</v>
      </c>
      <c r="BH173" s="13">
        <f t="shared" si="101"/>
        <v>50</v>
      </c>
      <c r="BI173" s="18"/>
      <c r="BJ173" s="13">
        <v>1</v>
      </c>
      <c r="BK173" s="13"/>
      <c r="BL173" s="13">
        <v>1</v>
      </c>
      <c r="BM173" s="18"/>
      <c r="BN173" s="13">
        <v>2</v>
      </c>
      <c r="BO173" s="19">
        <v>25</v>
      </c>
      <c r="BP173" s="13">
        <f t="shared" si="104"/>
        <v>50</v>
      </c>
      <c r="BQ173" s="18"/>
      <c r="BR173" s="13">
        <v>1</v>
      </c>
      <c r="BS173" s="13"/>
      <c r="BT173" s="13">
        <v>1</v>
      </c>
      <c r="BU173" s="18"/>
      <c r="BV173" s="13">
        <v>2</v>
      </c>
      <c r="BW173" s="19">
        <v>25</v>
      </c>
      <c r="BX173" s="13">
        <f t="shared" si="102"/>
        <v>50</v>
      </c>
      <c r="BY173" s="18"/>
      <c r="BZ173" s="13">
        <v>1</v>
      </c>
      <c r="CA173" s="13"/>
      <c r="CB173" s="13">
        <v>1</v>
      </c>
      <c r="CC173" s="18"/>
      <c r="CD173" s="13">
        <v>2</v>
      </c>
      <c r="CE173" s="19">
        <v>25</v>
      </c>
      <c r="CF173" s="13">
        <f t="shared" si="103"/>
        <v>50</v>
      </c>
    </row>
    <row r="174" spans="1:246">
      <c r="A174" s="61" t="s">
        <v>148</v>
      </c>
      <c r="B174" s="10" t="s">
        <v>20</v>
      </c>
      <c r="C174" s="11"/>
      <c r="D174" s="12" t="s">
        <v>21</v>
      </c>
      <c r="E174" s="18"/>
      <c r="F174" s="13">
        <v>1</v>
      </c>
      <c r="G174" s="13"/>
      <c r="H174" s="13">
        <v>1</v>
      </c>
      <c r="I174" s="18"/>
      <c r="J174" s="13">
        <v>2</v>
      </c>
      <c r="K174" s="21">
        <v>112</v>
      </c>
      <c r="L174" s="13">
        <f t="shared" si="95"/>
        <v>224</v>
      </c>
      <c r="M174" s="18"/>
      <c r="N174" s="13">
        <v>1</v>
      </c>
      <c r="O174" s="13"/>
      <c r="P174" s="13">
        <v>1</v>
      </c>
      <c r="Q174" s="18"/>
      <c r="R174" s="13">
        <v>2</v>
      </c>
      <c r="S174" s="21">
        <v>112</v>
      </c>
      <c r="T174" s="13">
        <f t="shared" si="96"/>
        <v>224</v>
      </c>
      <c r="U174" s="18"/>
      <c r="V174" s="13">
        <v>1</v>
      </c>
      <c r="W174" s="13"/>
      <c r="X174" s="13">
        <v>1</v>
      </c>
      <c r="Y174" s="18"/>
      <c r="Z174" s="13">
        <v>2</v>
      </c>
      <c r="AA174" s="21">
        <v>112</v>
      </c>
      <c r="AB174" s="13">
        <f t="shared" si="97"/>
        <v>224</v>
      </c>
      <c r="AC174" s="18"/>
      <c r="AD174" s="13">
        <v>1</v>
      </c>
      <c r="AE174" s="13"/>
      <c r="AF174" s="13">
        <v>1</v>
      </c>
      <c r="AG174" s="18"/>
      <c r="AH174" s="13">
        <v>2</v>
      </c>
      <c r="AI174" s="21">
        <v>112</v>
      </c>
      <c r="AJ174" s="13">
        <f t="shared" si="98"/>
        <v>224</v>
      </c>
      <c r="AK174" s="18"/>
      <c r="AL174" s="13">
        <v>1</v>
      </c>
      <c r="AM174" s="13"/>
      <c r="AN174" s="13">
        <v>1</v>
      </c>
      <c r="AO174" s="18"/>
      <c r="AP174" s="13">
        <v>2</v>
      </c>
      <c r="AQ174" s="21">
        <v>112</v>
      </c>
      <c r="AR174" s="13">
        <f t="shared" si="99"/>
        <v>224</v>
      </c>
      <c r="AS174" s="18"/>
      <c r="AT174" s="13">
        <v>1</v>
      </c>
      <c r="AU174" s="13"/>
      <c r="AV174" s="13">
        <v>1</v>
      </c>
      <c r="AW174" s="18"/>
      <c r="AX174" s="13">
        <v>2</v>
      </c>
      <c r="AY174" s="21">
        <v>112</v>
      </c>
      <c r="AZ174" s="13">
        <f t="shared" si="100"/>
        <v>224</v>
      </c>
      <c r="BA174" s="18"/>
      <c r="BB174" s="13">
        <v>1</v>
      </c>
      <c r="BC174" s="13"/>
      <c r="BD174" s="13">
        <v>1</v>
      </c>
      <c r="BE174" s="18"/>
      <c r="BF174" s="13">
        <v>2</v>
      </c>
      <c r="BG174" s="21">
        <v>112</v>
      </c>
      <c r="BH174" s="13">
        <f t="shared" si="101"/>
        <v>224</v>
      </c>
      <c r="BI174" s="18"/>
      <c r="BJ174" s="13">
        <v>1</v>
      </c>
      <c r="BK174" s="13"/>
      <c r="BL174" s="13">
        <v>1</v>
      </c>
      <c r="BM174" s="18"/>
      <c r="BN174" s="13">
        <v>2</v>
      </c>
      <c r="BO174" s="21">
        <v>112</v>
      </c>
      <c r="BP174" s="13">
        <f t="shared" si="104"/>
        <v>224</v>
      </c>
      <c r="BQ174" s="18"/>
      <c r="BR174" s="13">
        <v>1</v>
      </c>
      <c r="BS174" s="13"/>
      <c r="BT174" s="13">
        <v>1</v>
      </c>
      <c r="BU174" s="18"/>
      <c r="BV174" s="13">
        <v>2</v>
      </c>
      <c r="BW174" s="21">
        <v>112</v>
      </c>
      <c r="BX174" s="13">
        <f t="shared" si="102"/>
        <v>224</v>
      </c>
      <c r="BY174" s="18"/>
      <c r="BZ174" s="13">
        <v>1</v>
      </c>
      <c r="CA174" s="13"/>
      <c r="CB174" s="13">
        <v>1</v>
      </c>
      <c r="CC174" s="18"/>
      <c r="CD174" s="13">
        <v>2</v>
      </c>
      <c r="CE174" s="21">
        <v>112</v>
      </c>
      <c r="CF174" s="13">
        <f t="shared" si="103"/>
        <v>224</v>
      </c>
    </row>
    <row r="175" spans="1:246">
      <c r="A175" s="61" t="s">
        <v>148</v>
      </c>
      <c r="B175" s="10" t="s">
        <v>22</v>
      </c>
      <c r="C175" s="11"/>
      <c r="D175" s="11" t="s">
        <v>23</v>
      </c>
      <c r="E175" s="18"/>
      <c r="F175" s="13">
        <v>1</v>
      </c>
      <c r="G175" s="13"/>
      <c r="H175" s="13">
        <v>1</v>
      </c>
      <c r="I175" s="18"/>
      <c r="J175" s="13">
        <v>2</v>
      </c>
      <c r="K175" s="22">
        <v>275</v>
      </c>
      <c r="L175" s="13">
        <f t="shared" si="95"/>
        <v>550</v>
      </c>
      <c r="M175" s="18"/>
      <c r="N175" s="13">
        <v>1</v>
      </c>
      <c r="O175" s="13"/>
      <c r="P175" s="13">
        <v>1</v>
      </c>
      <c r="Q175" s="18"/>
      <c r="R175" s="13">
        <v>2</v>
      </c>
      <c r="S175" s="22">
        <v>275</v>
      </c>
      <c r="T175" s="13">
        <f t="shared" si="96"/>
        <v>550</v>
      </c>
      <c r="U175" s="18"/>
      <c r="V175" s="13">
        <v>1</v>
      </c>
      <c r="W175" s="13"/>
      <c r="X175" s="13">
        <v>1</v>
      </c>
      <c r="Y175" s="18"/>
      <c r="Z175" s="13">
        <v>2</v>
      </c>
      <c r="AA175" s="22">
        <v>275</v>
      </c>
      <c r="AB175" s="13">
        <f t="shared" si="97"/>
        <v>550</v>
      </c>
      <c r="AC175" s="18"/>
      <c r="AD175" s="13">
        <v>1</v>
      </c>
      <c r="AE175" s="13"/>
      <c r="AF175" s="13">
        <v>1</v>
      </c>
      <c r="AG175" s="18"/>
      <c r="AH175" s="13">
        <v>2</v>
      </c>
      <c r="AI175" s="22">
        <v>275</v>
      </c>
      <c r="AJ175" s="13">
        <f t="shared" si="98"/>
        <v>550</v>
      </c>
      <c r="AK175" s="18"/>
      <c r="AL175" s="13">
        <v>1</v>
      </c>
      <c r="AM175" s="13"/>
      <c r="AN175" s="13">
        <v>1</v>
      </c>
      <c r="AO175" s="18"/>
      <c r="AP175" s="13">
        <v>2</v>
      </c>
      <c r="AQ175" s="22">
        <v>275</v>
      </c>
      <c r="AR175" s="13">
        <f t="shared" si="99"/>
        <v>550</v>
      </c>
      <c r="AS175" s="18"/>
      <c r="AT175" s="13">
        <v>1</v>
      </c>
      <c r="AU175" s="13"/>
      <c r="AV175" s="13">
        <v>1</v>
      </c>
      <c r="AW175" s="18"/>
      <c r="AX175" s="13">
        <v>2</v>
      </c>
      <c r="AY175" s="22">
        <v>275</v>
      </c>
      <c r="AZ175" s="13">
        <f t="shared" si="100"/>
        <v>550</v>
      </c>
      <c r="BA175" s="18"/>
      <c r="BB175" s="13">
        <v>1</v>
      </c>
      <c r="BC175" s="13"/>
      <c r="BD175" s="13">
        <v>1</v>
      </c>
      <c r="BE175" s="18"/>
      <c r="BF175" s="13">
        <v>2</v>
      </c>
      <c r="BG175" s="22">
        <v>275</v>
      </c>
      <c r="BH175" s="13">
        <f t="shared" si="101"/>
        <v>550</v>
      </c>
      <c r="BI175" s="18"/>
      <c r="BJ175" s="13">
        <v>1</v>
      </c>
      <c r="BK175" s="13"/>
      <c r="BL175" s="13">
        <v>1</v>
      </c>
      <c r="BM175" s="18"/>
      <c r="BN175" s="13">
        <v>2</v>
      </c>
      <c r="BO175" s="22">
        <v>275</v>
      </c>
      <c r="BP175" s="13">
        <f t="shared" si="104"/>
        <v>550</v>
      </c>
      <c r="BQ175" s="18"/>
      <c r="BR175" s="13">
        <v>1</v>
      </c>
      <c r="BS175" s="13"/>
      <c r="BT175" s="13">
        <v>1</v>
      </c>
      <c r="BU175" s="18"/>
      <c r="BV175" s="13">
        <v>2</v>
      </c>
      <c r="BW175" s="22">
        <v>275</v>
      </c>
      <c r="BX175" s="13">
        <f t="shared" si="102"/>
        <v>550</v>
      </c>
      <c r="BY175" s="18"/>
      <c r="BZ175" s="13">
        <v>1</v>
      </c>
      <c r="CA175" s="13"/>
      <c r="CB175" s="13">
        <v>1</v>
      </c>
      <c r="CC175" s="18"/>
      <c r="CD175" s="13">
        <v>2</v>
      </c>
      <c r="CE175" s="22">
        <v>275</v>
      </c>
      <c r="CF175" s="13">
        <f t="shared" si="103"/>
        <v>550</v>
      </c>
    </row>
    <row r="176" spans="1:246">
      <c r="A176" s="61" t="s">
        <v>148</v>
      </c>
      <c r="B176" s="10" t="s">
        <v>93</v>
      </c>
      <c r="C176" s="11"/>
      <c r="D176" s="12" t="s">
        <v>94</v>
      </c>
      <c r="E176" s="18"/>
      <c r="F176" s="13"/>
      <c r="G176" s="13"/>
      <c r="H176" s="13"/>
      <c r="I176" s="18"/>
      <c r="J176" s="13"/>
      <c r="K176" s="22">
        <v>1529</v>
      </c>
      <c r="L176" s="13">
        <f t="shared" si="95"/>
        <v>0</v>
      </c>
      <c r="M176" s="18"/>
      <c r="N176" s="13"/>
      <c r="O176" s="13"/>
      <c r="P176" s="13"/>
      <c r="Q176" s="18"/>
      <c r="R176" s="13"/>
      <c r="S176" s="22">
        <v>1529</v>
      </c>
      <c r="T176" s="13">
        <f t="shared" si="96"/>
        <v>0</v>
      </c>
      <c r="U176" s="18"/>
      <c r="V176" s="13"/>
      <c r="W176" s="13"/>
      <c r="X176" s="13"/>
      <c r="Y176" s="18"/>
      <c r="Z176" s="13"/>
      <c r="AA176" s="22">
        <v>1529</v>
      </c>
      <c r="AB176" s="13">
        <f t="shared" si="97"/>
        <v>0</v>
      </c>
      <c r="AC176" s="18"/>
      <c r="AD176" s="13"/>
      <c r="AE176" s="13"/>
      <c r="AF176" s="13"/>
      <c r="AG176" s="18"/>
      <c r="AH176" s="13"/>
      <c r="AI176" s="22">
        <v>1529</v>
      </c>
      <c r="AJ176" s="13">
        <f t="shared" si="98"/>
        <v>0</v>
      </c>
      <c r="AK176" s="18"/>
      <c r="AL176" s="13"/>
      <c r="AM176" s="13"/>
      <c r="AN176" s="13"/>
      <c r="AO176" s="18"/>
      <c r="AP176" s="13"/>
      <c r="AQ176" s="22">
        <v>1529</v>
      </c>
      <c r="AR176" s="13">
        <f t="shared" si="99"/>
        <v>0</v>
      </c>
      <c r="AS176" s="18"/>
      <c r="AT176" s="13"/>
      <c r="AU176" s="13"/>
      <c r="AV176" s="13"/>
      <c r="AW176" s="18"/>
      <c r="AX176" s="13"/>
      <c r="AY176" s="22">
        <v>1529</v>
      </c>
      <c r="AZ176" s="13">
        <f t="shared" si="100"/>
        <v>0</v>
      </c>
      <c r="BA176" s="18"/>
      <c r="BB176" s="13"/>
      <c r="BC176" s="13"/>
      <c r="BD176" s="13"/>
      <c r="BE176" s="18"/>
      <c r="BF176" s="13"/>
      <c r="BG176" s="22">
        <v>1529</v>
      </c>
      <c r="BH176" s="13">
        <f t="shared" si="101"/>
        <v>0</v>
      </c>
      <c r="BI176" s="18"/>
      <c r="BJ176" s="13"/>
      <c r="BK176" s="13"/>
      <c r="BL176" s="13"/>
      <c r="BM176" s="18"/>
      <c r="BN176" s="13"/>
      <c r="BO176" s="22">
        <v>1529</v>
      </c>
      <c r="BP176" s="13">
        <f t="shared" si="104"/>
        <v>0</v>
      </c>
      <c r="BQ176" s="18"/>
      <c r="BR176" s="13"/>
      <c r="BS176" s="13"/>
      <c r="BT176" s="13"/>
      <c r="BU176" s="18"/>
      <c r="BV176" s="13"/>
      <c r="BW176" s="22">
        <v>1529</v>
      </c>
      <c r="BX176" s="13">
        <f t="shared" si="102"/>
        <v>0</v>
      </c>
      <c r="BY176" s="18"/>
      <c r="BZ176" s="13"/>
      <c r="CA176" s="13"/>
      <c r="CB176" s="13"/>
      <c r="CC176" s="18"/>
      <c r="CD176" s="13"/>
      <c r="CE176" s="22">
        <v>1529</v>
      </c>
      <c r="CF176" s="13">
        <f t="shared" si="103"/>
        <v>0</v>
      </c>
    </row>
    <row r="177" spans="1:84">
      <c r="A177" s="61" t="s">
        <v>148</v>
      </c>
      <c r="B177" s="10" t="s">
        <v>24</v>
      </c>
      <c r="C177" s="11"/>
      <c r="D177" s="12" t="s">
        <v>25</v>
      </c>
      <c r="E177" s="18"/>
      <c r="F177" s="13"/>
      <c r="G177" s="13"/>
      <c r="H177" s="13"/>
      <c r="I177" s="18"/>
      <c r="J177" s="13"/>
      <c r="K177" s="19">
        <v>623</v>
      </c>
      <c r="L177" s="13">
        <f t="shared" si="95"/>
        <v>0</v>
      </c>
      <c r="M177" s="18"/>
      <c r="N177" s="13"/>
      <c r="O177" s="13"/>
      <c r="P177" s="13"/>
      <c r="Q177" s="18"/>
      <c r="R177" s="13"/>
      <c r="S177" s="19">
        <v>623</v>
      </c>
      <c r="T177" s="13">
        <f t="shared" si="96"/>
        <v>0</v>
      </c>
      <c r="U177" s="18"/>
      <c r="V177" s="13"/>
      <c r="W177" s="13"/>
      <c r="X177" s="13"/>
      <c r="Y177" s="18"/>
      <c r="Z177" s="13"/>
      <c r="AA177" s="19">
        <v>623</v>
      </c>
      <c r="AB177" s="13">
        <f t="shared" si="97"/>
        <v>0</v>
      </c>
      <c r="AC177" s="18"/>
      <c r="AD177" s="13"/>
      <c r="AE177" s="13"/>
      <c r="AF177" s="13"/>
      <c r="AG177" s="18"/>
      <c r="AH177" s="13"/>
      <c r="AI177" s="19">
        <v>623</v>
      </c>
      <c r="AJ177" s="13">
        <f t="shared" si="98"/>
        <v>0</v>
      </c>
      <c r="AK177" s="18"/>
      <c r="AL177" s="13"/>
      <c r="AM177" s="13"/>
      <c r="AN177" s="13"/>
      <c r="AO177" s="18"/>
      <c r="AP177" s="13"/>
      <c r="AQ177" s="19">
        <v>623</v>
      </c>
      <c r="AR177" s="13">
        <f t="shared" si="99"/>
        <v>0</v>
      </c>
      <c r="AS177" s="18"/>
      <c r="AT177" s="13"/>
      <c r="AU177" s="13"/>
      <c r="AV177" s="13"/>
      <c r="AW177" s="18"/>
      <c r="AX177" s="13"/>
      <c r="AY177" s="19">
        <v>623</v>
      </c>
      <c r="AZ177" s="13">
        <f t="shared" si="100"/>
        <v>0</v>
      </c>
      <c r="BA177" s="18"/>
      <c r="BB177" s="13"/>
      <c r="BC177" s="13"/>
      <c r="BD177" s="13"/>
      <c r="BE177" s="18"/>
      <c r="BF177" s="13"/>
      <c r="BG177" s="19">
        <v>623</v>
      </c>
      <c r="BH177" s="13">
        <f t="shared" si="101"/>
        <v>0</v>
      </c>
      <c r="BI177" s="18"/>
      <c r="BJ177" s="13"/>
      <c r="BK177" s="13"/>
      <c r="BL177" s="13"/>
      <c r="BM177" s="18"/>
      <c r="BN177" s="13"/>
      <c r="BO177" s="19">
        <v>623</v>
      </c>
      <c r="BP177" s="13">
        <f t="shared" si="104"/>
        <v>0</v>
      </c>
      <c r="BQ177" s="18"/>
      <c r="BR177" s="13"/>
      <c r="BS177" s="13"/>
      <c r="BT177" s="13"/>
      <c r="BU177" s="18"/>
      <c r="BV177" s="13"/>
      <c r="BW177" s="19">
        <v>623</v>
      </c>
      <c r="BX177" s="13">
        <f t="shared" si="102"/>
        <v>0</v>
      </c>
      <c r="BY177" s="18"/>
      <c r="BZ177" s="13"/>
      <c r="CA177" s="13"/>
      <c r="CB177" s="13"/>
      <c r="CC177" s="18"/>
      <c r="CD177" s="13"/>
      <c r="CE177" s="19">
        <v>623</v>
      </c>
      <c r="CF177" s="13">
        <f t="shared" si="103"/>
        <v>0</v>
      </c>
    </row>
    <row r="178" spans="1:84">
      <c r="A178" s="61" t="s">
        <v>148</v>
      </c>
      <c r="B178" s="10" t="s">
        <v>149</v>
      </c>
      <c r="C178" s="11"/>
      <c r="D178" s="11" t="s">
        <v>150</v>
      </c>
      <c r="E178" s="13"/>
      <c r="F178" s="13"/>
      <c r="G178" s="13"/>
      <c r="H178" s="13"/>
      <c r="I178" s="13"/>
      <c r="J178" s="13"/>
      <c r="K178" s="13">
        <v>3655</v>
      </c>
      <c r="L178" s="13">
        <f t="shared" si="95"/>
        <v>0</v>
      </c>
      <c r="M178" s="13"/>
      <c r="N178" s="13"/>
      <c r="O178" s="13"/>
      <c r="P178" s="13"/>
      <c r="Q178" s="13"/>
      <c r="R178" s="13"/>
      <c r="S178" s="13">
        <v>3655</v>
      </c>
      <c r="T178" s="13">
        <f>S178*R178</f>
        <v>0</v>
      </c>
      <c r="U178" s="13"/>
      <c r="V178" s="13"/>
      <c r="W178" s="13"/>
      <c r="X178" s="13"/>
      <c r="Y178" s="13">
        <v>2</v>
      </c>
      <c r="Z178" s="13">
        <v>2</v>
      </c>
      <c r="AA178" s="13">
        <v>3655</v>
      </c>
      <c r="AB178" s="13">
        <f>AA178*Z178</f>
        <v>7310</v>
      </c>
      <c r="AC178" s="13"/>
      <c r="AD178" s="13"/>
      <c r="AE178" s="13"/>
      <c r="AF178" s="13"/>
      <c r="AG178" s="13"/>
      <c r="AH178" s="13"/>
      <c r="AI178" s="13">
        <v>3655</v>
      </c>
      <c r="AJ178" s="13">
        <f t="shared" si="98"/>
        <v>0</v>
      </c>
      <c r="AK178" s="13"/>
      <c r="AL178" s="13"/>
      <c r="AM178" s="13"/>
      <c r="AN178" s="13"/>
      <c r="AO178" s="13"/>
      <c r="AP178" s="13"/>
      <c r="AQ178" s="13">
        <v>3655</v>
      </c>
      <c r="AR178" s="13">
        <f t="shared" si="99"/>
        <v>0</v>
      </c>
      <c r="AS178" s="13"/>
      <c r="AT178" s="13"/>
      <c r="AU178" s="13"/>
      <c r="AV178" s="13"/>
      <c r="AW178" s="13">
        <v>2</v>
      </c>
      <c r="AX178" s="13">
        <v>2</v>
      </c>
      <c r="AY178" s="13">
        <v>3655</v>
      </c>
      <c r="AZ178" s="13">
        <f t="shared" si="100"/>
        <v>7310</v>
      </c>
      <c r="BA178" s="13"/>
      <c r="BB178" s="13"/>
      <c r="BC178" s="13"/>
      <c r="BD178" s="13"/>
      <c r="BE178" s="13"/>
      <c r="BF178" s="13"/>
      <c r="BG178" s="13">
        <v>3655</v>
      </c>
      <c r="BH178" s="13">
        <f t="shared" si="101"/>
        <v>0</v>
      </c>
      <c r="BI178" s="13"/>
      <c r="BJ178" s="13"/>
      <c r="BK178" s="13"/>
      <c r="BL178" s="13"/>
      <c r="BM178" s="13"/>
      <c r="BN178" s="13"/>
      <c r="BO178" s="13">
        <v>3655</v>
      </c>
      <c r="BP178" s="13">
        <f t="shared" si="104"/>
        <v>0</v>
      </c>
      <c r="BQ178" s="13"/>
      <c r="BR178" s="13"/>
      <c r="BS178" s="13"/>
      <c r="BT178" s="13"/>
      <c r="BU178" s="13">
        <v>2</v>
      </c>
      <c r="BV178" s="13">
        <v>2</v>
      </c>
      <c r="BW178" s="13">
        <v>3655</v>
      </c>
      <c r="BX178" s="13">
        <f t="shared" si="102"/>
        <v>7310</v>
      </c>
      <c r="BY178" s="13"/>
      <c r="BZ178" s="13"/>
      <c r="CA178" s="13"/>
      <c r="CB178" s="13"/>
      <c r="CC178" s="13"/>
      <c r="CD178" s="13"/>
      <c r="CE178" s="13">
        <v>3655</v>
      </c>
      <c r="CF178" s="13">
        <f t="shared" si="103"/>
        <v>0</v>
      </c>
    </row>
    <row r="179" spans="1:84">
      <c r="A179" s="61" t="s">
        <v>148</v>
      </c>
      <c r="B179" s="10" t="s">
        <v>28</v>
      </c>
      <c r="C179" s="11"/>
      <c r="D179" s="11" t="s">
        <v>29</v>
      </c>
      <c r="E179" s="13"/>
      <c r="F179" s="13"/>
      <c r="G179" s="13"/>
      <c r="H179" s="13"/>
      <c r="I179" s="13"/>
      <c r="J179" s="13"/>
      <c r="K179" s="13">
        <v>3398</v>
      </c>
      <c r="L179" s="13">
        <f t="shared" si="95"/>
        <v>0</v>
      </c>
      <c r="M179" s="13"/>
      <c r="N179" s="13"/>
      <c r="O179" s="13"/>
      <c r="P179" s="13"/>
      <c r="Q179" s="13"/>
      <c r="R179" s="13"/>
      <c r="S179" s="13">
        <v>3398</v>
      </c>
      <c r="T179" s="13">
        <f>S179*R179</f>
        <v>0</v>
      </c>
      <c r="U179" s="13"/>
      <c r="V179" s="13"/>
      <c r="W179" s="13"/>
      <c r="X179" s="13"/>
      <c r="Y179" s="13">
        <v>1</v>
      </c>
      <c r="Z179" s="13">
        <v>1</v>
      </c>
      <c r="AA179" s="13">
        <v>3398</v>
      </c>
      <c r="AB179" s="13">
        <f>AA179*Z179</f>
        <v>3398</v>
      </c>
      <c r="AC179" s="13"/>
      <c r="AD179" s="13"/>
      <c r="AE179" s="13"/>
      <c r="AF179" s="13"/>
      <c r="AG179" s="13"/>
      <c r="AH179" s="13"/>
      <c r="AI179" s="13">
        <v>3398</v>
      </c>
      <c r="AJ179" s="13">
        <f t="shared" si="98"/>
        <v>0</v>
      </c>
      <c r="AK179" s="13"/>
      <c r="AL179" s="13"/>
      <c r="AM179" s="13"/>
      <c r="AN179" s="13"/>
      <c r="AO179" s="13"/>
      <c r="AP179" s="13"/>
      <c r="AQ179" s="13">
        <v>3398</v>
      </c>
      <c r="AR179" s="13">
        <f t="shared" si="99"/>
        <v>0</v>
      </c>
      <c r="AS179" s="13"/>
      <c r="AT179" s="13"/>
      <c r="AU179" s="13"/>
      <c r="AV179" s="13"/>
      <c r="AW179" s="13">
        <v>1</v>
      </c>
      <c r="AX179" s="13">
        <v>1</v>
      </c>
      <c r="AY179" s="13">
        <v>3398</v>
      </c>
      <c r="AZ179" s="13">
        <f t="shared" si="100"/>
        <v>3398</v>
      </c>
      <c r="BA179" s="13"/>
      <c r="BB179" s="13"/>
      <c r="BC179" s="13"/>
      <c r="BD179" s="13"/>
      <c r="BE179" s="13"/>
      <c r="BF179" s="13"/>
      <c r="BG179" s="13">
        <v>3398</v>
      </c>
      <c r="BH179" s="13">
        <f t="shared" si="101"/>
        <v>0</v>
      </c>
      <c r="BI179" s="13"/>
      <c r="BJ179" s="13"/>
      <c r="BK179" s="13"/>
      <c r="BL179" s="13"/>
      <c r="BM179" s="13"/>
      <c r="BN179" s="13"/>
      <c r="BO179" s="13">
        <v>3398</v>
      </c>
      <c r="BP179" s="13">
        <f t="shared" si="104"/>
        <v>0</v>
      </c>
      <c r="BQ179" s="13"/>
      <c r="BR179" s="13"/>
      <c r="BS179" s="13"/>
      <c r="BT179" s="13"/>
      <c r="BU179" s="13">
        <v>1</v>
      </c>
      <c r="BV179" s="13">
        <v>1</v>
      </c>
      <c r="BW179" s="13">
        <v>3398</v>
      </c>
      <c r="BX179" s="13">
        <f t="shared" si="102"/>
        <v>3398</v>
      </c>
      <c r="BY179" s="13"/>
      <c r="BZ179" s="13"/>
      <c r="CA179" s="13"/>
      <c r="CB179" s="13"/>
      <c r="CC179" s="13"/>
      <c r="CD179" s="13"/>
      <c r="CE179" s="13">
        <v>3398</v>
      </c>
      <c r="CF179" s="13">
        <f t="shared" si="103"/>
        <v>0</v>
      </c>
    </row>
    <row r="180" spans="1:84">
      <c r="A180" s="61" t="s">
        <v>148</v>
      </c>
      <c r="B180" s="20" t="s">
        <v>151</v>
      </c>
      <c r="C180" s="11"/>
      <c r="D180" s="12" t="s">
        <v>152</v>
      </c>
      <c r="E180" s="13"/>
      <c r="F180" s="13"/>
      <c r="G180" s="13"/>
      <c r="H180" s="13"/>
      <c r="I180" s="13"/>
      <c r="J180" s="13"/>
      <c r="K180" s="13">
        <v>5325</v>
      </c>
      <c r="L180" s="13">
        <f t="shared" si="95"/>
        <v>0</v>
      </c>
      <c r="M180" s="13"/>
      <c r="N180" s="13"/>
      <c r="O180" s="13"/>
      <c r="P180" s="13"/>
      <c r="Q180" s="13"/>
      <c r="R180" s="13"/>
      <c r="S180" s="13">
        <v>5325</v>
      </c>
      <c r="T180" s="13">
        <f>S180*R180</f>
        <v>0</v>
      </c>
      <c r="U180" s="13"/>
      <c r="V180" s="13"/>
      <c r="W180" s="13"/>
      <c r="X180" s="13"/>
      <c r="Y180" s="13">
        <v>2</v>
      </c>
      <c r="Z180" s="13">
        <v>2</v>
      </c>
      <c r="AA180" s="13">
        <v>5325</v>
      </c>
      <c r="AB180" s="13">
        <f>AA180*Z180</f>
        <v>10650</v>
      </c>
      <c r="AC180" s="13"/>
      <c r="AD180" s="13"/>
      <c r="AE180" s="13"/>
      <c r="AF180" s="13"/>
      <c r="AG180" s="13"/>
      <c r="AH180" s="13"/>
      <c r="AI180" s="13">
        <v>5325</v>
      </c>
      <c r="AJ180" s="13">
        <f t="shared" si="98"/>
        <v>0</v>
      </c>
      <c r="AK180" s="13"/>
      <c r="AL180" s="13"/>
      <c r="AM180" s="13"/>
      <c r="AN180" s="13"/>
      <c r="AO180" s="13"/>
      <c r="AP180" s="13"/>
      <c r="AQ180" s="13">
        <v>5325</v>
      </c>
      <c r="AR180" s="13">
        <f t="shared" si="99"/>
        <v>0</v>
      </c>
      <c r="AS180" s="13"/>
      <c r="AT180" s="13"/>
      <c r="AU180" s="13"/>
      <c r="AV180" s="13"/>
      <c r="AW180" s="13">
        <v>2</v>
      </c>
      <c r="AX180" s="13">
        <v>2</v>
      </c>
      <c r="AY180" s="13">
        <v>5325</v>
      </c>
      <c r="AZ180" s="13">
        <f t="shared" si="100"/>
        <v>10650</v>
      </c>
      <c r="BA180" s="13"/>
      <c r="BB180" s="13"/>
      <c r="BC180" s="13"/>
      <c r="BD180" s="13"/>
      <c r="BE180" s="13"/>
      <c r="BF180" s="13"/>
      <c r="BG180" s="13">
        <v>5325</v>
      </c>
      <c r="BH180" s="13">
        <f t="shared" si="101"/>
        <v>0</v>
      </c>
      <c r="BI180" s="13"/>
      <c r="BJ180" s="13"/>
      <c r="BK180" s="13"/>
      <c r="BL180" s="13"/>
      <c r="BM180" s="13"/>
      <c r="BN180" s="13"/>
      <c r="BO180" s="13">
        <v>5325</v>
      </c>
      <c r="BP180" s="13">
        <f t="shared" si="104"/>
        <v>0</v>
      </c>
      <c r="BQ180" s="13"/>
      <c r="BR180" s="13"/>
      <c r="BS180" s="13"/>
      <c r="BT180" s="13"/>
      <c r="BU180" s="13">
        <v>2</v>
      </c>
      <c r="BV180" s="13">
        <v>2</v>
      </c>
      <c r="BW180" s="13">
        <v>5325</v>
      </c>
      <c r="BX180" s="13">
        <f t="shared" si="102"/>
        <v>10650</v>
      </c>
      <c r="BY180" s="13"/>
      <c r="BZ180" s="13"/>
      <c r="CA180" s="13"/>
      <c r="CB180" s="13"/>
      <c r="CC180" s="13"/>
      <c r="CD180" s="13"/>
      <c r="CE180" s="13">
        <v>5325</v>
      </c>
      <c r="CF180" s="13">
        <f t="shared" si="103"/>
        <v>0</v>
      </c>
    </row>
    <row r="181" spans="1:84">
      <c r="A181" s="61" t="s">
        <v>148</v>
      </c>
      <c r="B181" s="20" t="s">
        <v>111</v>
      </c>
      <c r="C181" s="11"/>
      <c r="D181" s="12" t="s">
        <v>33</v>
      </c>
      <c r="E181" s="13"/>
      <c r="F181" s="13"/>
      <c r="G181" s="13"/>
      <c r="H181" s="13"/>
      <c r="I181" s="13"/>
      <c r="J181" s="13"/>
      <c r="K181" s="13">
        <v>1088</v>
      </c>
      <c r="L181" s="13">
        <f t="shared" si="95"/>
        <v>0</v>
      </c>
      <c r="M181" s="13"/>
      <c r="N181" s="13"/>
      <c r="O181" s="13"/>
      <c r="P181" s="13"/>
      <c r="Q181" s="13"/>
      <c r="R181" s="13"/>
      <c r="S181" s="13">
        <v>1088</v>
      </c>
      <c r="T181" s="13">
        <f>S181*R181</f>
        <v>0</v>
      </c>
      <c r="U181" s="13"/>
      <c r="V181" s="13"/>
      <c r="W181" s="13"/>
      <c r="X181" s="13"/>
      <c r="Y181" s="13">
        <v>1</v>
      </c>
      <c r="Z181" s="13">
        <v>1</v>
      </c>
      <c r="AA181" s="13">
        <v>1088</v>
      </c>
      <c r="AB181" s="13">
        <f>AA181*Z181</f>
        <v>1088</v>
      </c>
      <c r="AC181" s="13"/>
      <c r="AD181" s="13"/>
      <c r="AE181" s="13"/>
      <c r="AF181" s="13"/>
      <c r="AG181" s="13"/>
      <c r="AH181" s="13"/>
      <c r="AI181" s="13">
        <v>1088</v>
      </c>
      <c r="AJ181" s="13">
        <f t="shared" si="98"/>
        <v>0</v>
      </c>
      <c r="AK181" s="13"/>
      <c r="AL181" s="13"/>
      <c r="AM181" s="13"/>
      <c r="AN181" s="13"/>
      <c r="AO181" s="13"/>
      <c r="AP181" s="13"/>
      <c r="AQ181" s="13">
        <v>1088</v>
      </c>
      <c r="AR181" s="13">
        <f t="shared" si="99"/>
        <v>0</v>
      </c>
      <c r="AS181" s="13"/>
      <c r="AT181" s="13"/>
      <c r="AU181" s="13"/>
      <c r="AV181" s="13"/>
      <c r="AW181" s="13">
        <v>1</v>
      </c>
      <c r="AX181" s="13">
        <v>1</v>
      </c>
      <c r="AY181" s="13">
        <v>1088</v>
      </c>
      <c r="AZ181" s="13">
        <f t="shared" si="100"/>
        <v>1088</v>
      </c>
      <c r="BA181" s="13"/>
      <c r="BB181" s="13"/>
      <c r="BC181" s="13"/>
      <c r="BD181" s="13"/>
      <c r="BE181" s="13"/>
      <c r="BF181" s="13"/>
      <c r="BG181" s="13">
        <v>1088</v>
      </c>
      <c r="BH181" s="13">
        <f t="shared" si="101"/>
        <v>0</v>
      </c>
      <c r="BI181" s="13"/>
      <c r="BJ181" s="13"/>
      <c r="BK181" s="13"/>
      <c r="BL181" s="13"/>
      <c r="BM181" s="13"/>
      <c r="BN181" s="13"/>
      <c r="BO181" s="13">
        <v>1088</v>
      </c>
      <c r="BP181" s="13">
        <f t="shared" si="104"/>
        <v>0</v>
      </c>
      <c r="BQ181" s="13"/>
      <c r="BR181" s="13"/>
      <c r="BS181" s="13"/>
      <c r="BT181" s="13"/>
      <c r="BU181" s="13">
        <v>1</v>
      </c>
      <c r="BV181" s="13">
        <v>1</v>
      </c>
      <c r="BW181" s="13">
        <v>1088</v>
      </c>
      <c r="BX181" s="13">
        <f t="shared" si="102"/>
        <v>1088</v>
      </c>
      <c r="BY181" s="13"/>
      <c r="BZ181" s="13"/>
      <c r="CA181" s="13"/>
      <c r="CB181" s="13"/>
      <c r="CC181" s="13"/>
      <c r="CD181" s="13"/>
      <c r="CE181" s="13">
        <v>1088</v>
      </c>
      <c r="CF181" s="13">
        <f t="shared" si="103"/>
        <v>0</v>
      </c>
    </row>
    <row r="182" spans="1:84">
      <c r="A182" s="61" t="s">
        <v>148</v>
      </c>
      <c r="B182" s="10" t="s">
        <v>112</v>
      </c>
      <c r="C182" s="11"/>
      <c r="D182" s="11" t="s">
        <v>37</v>
      </c>
      <c r="E182" s="13"/>
      <c r="F182" s="13"/>
      <c r="G182" s="13"/>
      <c r="H182" s="13"/>
      <c r="I182" s="13"/>
      <c r="J182" s="13"/>
      <c r="K182" s="13">
        <v>14219</v>
      </c>
      <c r="L182" s="13">
        <f t="shared" si="95"/>
        <v>0</v>
      </c>
      <c r="M182" s="13"/>
      <c r="N182" s="13"/>
      <c r="O182" s="13"/>
      <c r="P182" s="13"/>
      <c r="Q182" s="13"/>
      <c r="R182" s="13"/>
      <c r="S182" s="13">
        <v>14219</v>
      </c>
      <c r="T182" s="13">
        <f t="shared" ref="T182:T192" si="105">S182*R182</f>
        <v>0</v>
      </c>
      <c r="U182" s="13"/>
      <c r="V182" s="13"/>
      <c r="W182" s="13"/>
      <c r="X182" s="13"/>
      <c r="Y182" s="13"/>
      <c r="Z182" s="13"/>
      <c r="AA182" s="13">
        <v>14219</v>
      </c>
      <c r="AB182" s="13">
        <f t="shared" ref="AB182:AB192" si="106">AA182*Z182</f>
        <v>0</v>
      </c>
      <c r="AC182" s="13"/>
      <c r="AD182" s="13"/>
      <c r="AE182" s="13"/>
      <c r="AF182" s="13"/>
      <c r="AG182" s="13"/>
      <c r="AH182" s="13"/>
      <c r="AI182" s="13">
        <v>14219</v>
      </c>
      <c r="AJ182" s="13">
        <f t="shared" si="98"/>
        <v>0</v>
      </c>
      <c r="AK182" s="13"/>
      <c r="AL182" s="13"/>
      <c r="AM182" s="13"/>
      <c r="AN182" s="13"/>
      <c r="AO182" s="13"/>
      <c r="AP182" s="13"/>
      <c r="AQ182" s="13">
        <v>14219</v>
      </c>
      <c r="AR182" s="13">
        <f t="shared" si="99"/>
        <v>0</v>
      </c>
      <c r="AS182" s="13"/>
      <c r="AT182" s="13"/>
      <c r="AU182" s="13"/>
      <c r="AV182" s="13"/>
      <c r="AW182" s="13">
        <v>1</v>
      </c>
      <c r="AX182" s="13">
        <v>1</v>
      </c>
      <c r="AY182" s="13">
        <v>14219</v>
      </c>
      <c r="AZ182" s="13">
        <f t="shared" si="100"/>
        <v>14219</v>
      </c>
      <c r="BA182" s="13"/>
      <c r="BB182" s="13"/>
      <c r="BC182" s="13"/>
      <c r="BD182" s="13"/>
      <c r="BE182" s="13"/>
      <c r="BF182" s="13"/>
      <c r="BG182" s="13">
        <v>14219</v>
      </c>
      <c r="BH182" s="13">
        <f t="shared" si="101"/>
        <v>0</v>
      </c>
      <c r="BI182" s="13"/>
      <c r="BJ182" s="13"/>
      <c r="BK182" s="13"/>
      <c r="BL182" s="13"/>
      <c r="BM182" s="13"/>
      <c r="BN182" s="13"/>
      <c r="BO182" s="13">
        <v>14219</v>
      </c>
      <c r="BP182" s="13">
        <f t="shared" si="104"/>
        <v>0</v>
      </c>
      <c r="BQ182" s="13"/>
      <c r="BR182" s="13"/>
      <c r="BS182" s="13"/>
      <c r="BT182" s="13"/>
      <c r="BU182" s="13"/>
      <c r="BV182" s="13"/>
      <c r="BW182" s="13">
        <v>14219</v>
      </c>
      <c r="BX182" s="13">
        <f t="shared" si="102"/>
        <v>0</v>
      </c>
      <c r="BY182" s="13"/>
      <c r="BZ182" s="13"/>
      <c r="CA182" s="13"/>
      <c r="CB182" s="13"/>
      <c r="CC182" s="13"/>
      <c r="CD182" s="13"/>
      <c r="CE182" s="13">
        <v>14219</v>
      </c>
      <c r="CF182" s="13">
        <f t="shared" si="103"/>
        <v>0</v>
      </c>
    </row>
    <row r="183" spans="1:84" ht="15">
      <c r="A183" s="61" t="s">
        <v>148</v>
      </c>
      <c r="B183" s="10" t="s">
        <v>113</v>
      </c>
      <c r="C183" s="11"/>
      <c r="D183" s="12" t="s">
        <v>39</v>
      </c>
      <c r="E183" s="13"/>
      <c r="F183" s="13"/>
      <c r="G183" s="13"/>
      <c r="H183" s="13"/>
      <c r="I183" s="13"/>
      <c r="J183" s="13"/>
      <c r="K183" s="14">
        <v>429</v>
      </c>
      <c r="L183" s="13">
        <f t="shared" si="95"/>
        <v>0</v>
      </c>
      <c r="M183" s="13"/>
      <c r="N183" s="13"/>
      <c r="O183" s="13"/>
      <c r="P183" s="13"/>
      <c r="Q183" s="13">
        <v>2</v>
      </c>
      <c r="R183" s="13">
        <v>2</v>
      </c>
      <c r="S183" s="14">
        <v>429</v>
      </c>
      <c r="T183" s="13">
        <f t="shared" si="105"/>
        <v>858</v>
      </c>
      <c r="U183" s="13"/>
      <c r="V183" s="13"/>
      <c r="W183" s="13"/>
      <c r="X183" s="13"/>
      <c r="Y183" s="13"/>
      <c r="Z183" s="13"/>
      <c r="AA183" s="14">
        <v>429</v>
      </c>
      <c r="AB183" s="13">
        <f t="shared" si="106"/>
        <v>0</v>
      </c>
      <c r="AC183" s="13"/>
      <c r="AD183" s="13"/>
      <c r="AE183" s="13"/>
      <c r="AF183" s="13"/>
      <c r="AG183" s="13">
        <v>2</v>
      </c>
      <c r="AH183" s="13">
        <v>2</v>
      </c>
      <c r="AI183" s="14">
        <v>429</v>
      </c>
      <c r="AJ183" s="13">
        <f t="shared" si="98"/>
        <v>858</v>
      </c>
      <c r="AK183" s="13"/>
      <c r="AL183" s="13"/>
      <c r="AM183" s="13"/>
      <c r="AN183" s="13"/>
      <c r="AO183" s="13"/>
      <c r="AP183" s="13"/>
      <c r="AQ183" s="14">
        <v>429</v>
      </c>
      <c r="AR183" s="13">
        <f t="shared" si="99"/>
        <v>0</v>
      </c>
      <c r="AS183" s="13"/>
      <c r="AT183" s="13"/>
      <c r="AU183" s="13"/>
      <c r="AV183" s="13"/>
      <c r="AW183" s="13">
        <v>2</v>
      </c>
      <c r="AX183" s="13">
        <v>2</v>
      </c>
      <c r="AY183" s="14">
        <v>429</v>
      </c>
      <c r="AZ183" s="13">
        <f t="shared" si="100"/>
        <v>858</v>
      </c>
      <c r="BA183" s="13"/>
      <c r="BB183" s="13"/>
      <c r="BC183" s="13"/>
      <c r="BD183" s="13"/>
      <c r="BE183" s="13"/>
      <c r="BF183" s="13"/>
      <c r="BG183" s="14">
        <v>429</v>
      </c>
      <c r="BH183" s="13">
        <f t="shared" si="101"/>
        <v>0</v>
      </c>
      <c r="BI183" s="13"/>
      <c r="BJ183" s="13"/>
      <c r="BK183" s="13"/>
      <c r="BL183" s="13"/>
      <c r="BM183" s="13">
        <v>2</v>
      </c>
      <c r="BN183" s="13">
        <v>2</v>
      </c>
      <c r="BO183" s="14">
        <v>429</v>
      </c>
      <c r="BP183" s="13">
        <f t="shared" si="104"/>
        <v>858</v>
      </c>
      <c r="BQ183" s="13"/>
      <c r="BR183" s="13"/>
      <c r="BS183" s="13"/>
      <c r="BT183" s="13"/>
      <c r="BU183" s="13"/>
      <c r="BV183" s="13"/>
      <c r="BW183" s="14">
        <v>429</v>
      </c>
      <c r="BX183" s="13">
        <f t="shared" si="102"/>
        <v>0</v>
      </c>
      <c r="BY183" s="13"/>
      <c r="BZ183" s="13"/>
      <c r="CA183" s="13"/>
      <c r="CB183" s="13"/>
      <c r="CC183" s="13">
        <v>2</v>
      </c>
      <c r="CD183" s="13">
        <v>2</v>
      </c>
      <c r="CE183" s="14">
        <v>429</v>
      </c>
      <c r="CF183" s="13">
        <f t="shared" si="103"/>
        <v>858</v>
      </c>
    </row>
    <row r="184" spans="1:84" ht="15">
      <c r="A184" s="61" t="s">
        <v>148</v>
      </c>
      <c r="B184" s="10" t="s">
        <v>114</v>
      </c>
      <c r="C184" s="11"/>
      <c r="D184" s="11" t="s">
        <v>115</v>
      </c>
      <c r="E184" s="13"/>
      <c r="F184" s="13"/>
      <c r="G184" s="13"/>
      <c r="H184" s="13"/>
      <c r="I184" s="13"/>
      <c r="J184" s="13"/>
      <c r="K184" s="14">
        <v>906</v>
      </c>
      <c r="L184" s="13">
        <f t="shared" si="95"/>
        <v>0</v>
      </c>
      <c r="M184" s="13"/>
      <c r="N184" s="13"/>
      <c r="O184" s="13"/>
      <c r="P184" s="13"/>
      <c r="Q184" s="13"/>
      <c r="R184" s="13"/>
      <c r="S184" s="14">
        <v>906</v>
      </c>
      <c r="T184" s="13">
        <f t="shared" si="105"/>
        <v>0</v>
      </c>
      <c r="U184" s="13"/>
      <c r="V184" s="13"/>
      <c r="W184" s="13"/>
      <c r="X184" s="13"/>
      <c r="Y184" s="13">
        <v>1</v>
      </c>
      <c r="Z184" s="13">
        <v>1</v>
      </c>
      <c r="AA184" s="14">
        <v>906</v>
      </c>
      <c r="AB184" s="13">
        <f t="shared" si="106"/>
        <v>906</v>
      </c>
      <c r="AC184" s="13"/>
      <c r="AD184" s="13"/>
      <c r="AE184" s="13"/>
      <c r="AF184" s="13"/>
      <c r="AG184" s="13"/>
      <c r="AH184" s="13"/>
      <c r="AI184" s="14">
        <v>906</v>
      </c>
      <c r="AJ184" s="13">
        <f t="shared" si="98"/>
        <v>0</v>
      </c>
      <c r="AK184" s="13"/>
      <c r="AL184" s="13"/>
      <c r="AM184" s="13"/>
      <c r="AN184" s="13"/>
      <c r="AO184" s="13"/>
      <c r="AP184" s="13"/>
      <c r="AQ184" s="14">
        <v>906</v>
      </c>
      <c r="AR184" s="13">
        <f t="shared" si="99"/>
        <v>0</v>
      </c>
      <c r="AS184" s="13"/>
      <c r="AT184" s="13"/>
      <c r="AU184" s="13"/>
      <c r="AV184" s="13"/>
      <c r="AW184" s="13">
        <v>1</v>
      </c>
      <c r="AX184" s="13">
        <v>1</v>
      </c>
      <c r="AY184" s="14">
        <v>906</v>
      </c>
      <c r="AZ184" s="13">
        <f t="shared" si="100"/>
        <v>906</v>
      </c>
      <c r="BA184" s="13"/>
      <c r="BB184" s="13"/>
      <c r="BC184" s="13"/>
      <c r="BD184" s="13"/>
      <c r="BE184" s="13"/>
      <c r="BF184" s="13"/>
      <c r="BG184" s="14">
        <v>906</v>
      </c>
      <c r="BH184" s="13">
        <f t="shared" si="101"/>
        <v>0</v>
      </c>
      <c r="BI184" s="13"/>
      <c r="BJ184" s="13"/>
      <c r="BK184" s="13"/>
      <c r="BL184" s="13"/>
      <c r="BM184" s="13"/>
      <c r="BN184" s="13"/>
      <c r="BO184" s="14">
        <v>906</v>
      </c>
      <c r="BP184" s="13">
        <f t="shared" si="104"/>
        <v>0</v>
      </c>
      <c r="BQ184" s="13"/>
      <c r="BR184" s="13"/>
      <c r="BS184" s="13"/>
      <c r="BT184" s="13"/>
      <c r="BU184" s="13">
        <v>1</v>
      </c>
      <c r="BV184" s="13">
        <v>1</v>
      </c>
      <c r="BW184" s="14">
        <v>906</v>
      </c>
      <c r="BX184" s="13">
        <f t="shared" si="102"/>
        <v>906</v>
      </c>
      <c r="BY184" s="13"/>
      <c r="BZ184" s="13"/>
      <c r="CA184" s="13"/>
      <c r="CB184" s="13"/>
      <c r="CC184" s="13"/>
      <c r="CD184" s="13"/>
      <c r="CE184" s="14">
        <v>906</v>
      </c>
      <c r="CF184" s="13">
        <f t="shared" si="103"/>
        <v>0</v>
      </c>
    </row>
    <row r="185" spans="1:84" ht="15">
      <c r="A185" s="61" t="s">
        <v>148</v>
      </c>
      <c r="B185" s="10" t="s">
        <v>116</v>
      </c>
      <c r="C185" s="11"/>
      <c r="D185" s="11" t="s">
        <v>117</v>
      </c>
      <c r="E185" s="13"/>
      <c r="F185" s="13"/>
      <c r="G185" s="13"/>
      <c r="H185" s="13"/>
      <c r="I185" s="13"/>
      <c r="J185" s="13"/>
      <c r="K185" s="14">
        <v>910</v>
      </c>
      <c r="L185" s="13">
        <f t="shared" si="95"/>
        <v>0</v>
      </c>
      <c r="M185" s="13"/>
      <c r="N185" s="13"/>
      <c r="O185" s="13"/>
      <c r="P185" s="13"/>
      <c r="Q185" s="13"/>
      <c r="R185" s="13"/>
      <c r="S185" s="14">
        <v>910</v>
      </c>
      <c r="T185" s="13">
        <f t="shared" si="105"/>
        <v>0</v>
      </c>
      <c r="U185" s="13"/>
      <c r="V185" s="13"/>
      <c r="W185" s="13"/>
      <c r="X185" s="13"/>
      <c r="Y185" s="13">
        <v>1</v>
      </c>
      <c r="Z185" s="13">
        <v>1</v>
      </c>
      <c r="AA185" s="14">
        <v>910</v>
      </c>
      <c r="AB185" s="13">
        <f t="shared" si="106"/>
        <v>910</v>
      </c>
      <c r="AC185" s="13"/>
      <c r="AD185" s="13"/>
      <c r="AE185" s="13"/>
      <c r="AF185" s="13"/>
      <c r="AG185" s="13"/>
      <c r="AH185" s="13"/>
      <c r="AI185" s="14">
        <v>910</v>
      </c>
      <c r="AJ185" s="13">
        <f t="shared" si="98"/>
        <v>0</v>
      </c>
      <c r="AK185" s="13"/>
      <c r="AL185" s="13"/>
      <c r="AM185" s="13"/>
      <c r="AN185" s="13"/>
      <c r="AO185" s="13"/>
      <c r="AP185" s="13"/>
      <c r="AQ185" s="14">
        <v>910</v>
      </c>
      <c r="AR185" s="13">
        <f t="shared" si="99"/>
        <v>0</v>
      </c>
      <c r="AS185" s="13"/>
      <c r="AT185" s="13"/>
      <c r="AU185" s="13"/>
      <c r="AV185" s="13"/>
      <c r="AW185" s="13">
        <v>1</v>
      </c>
      <c r="AX185" s="13">
        <v>1</v>
      </c>
      <c r="AY185" s="14">
        <v>910</v>
      </c>
      <c r="AZ185" s="13">
        <f t="shared" si="100"/>
        <v>910</v>
      </c>
      <c r="BA185" s="13"/>
      <c r="BB185" s="13"/>
      <c r="BC185" s="13"/>
      <c r="BD185" s="13"/>
      <c r="BE185" s="13"/>
      <c r="BF185" s="13"/>
      <c r="BG185" s="14">
        <v>910</v>
      </c>
      <c r="BH185" s="13">
        <f t="shared" si="101"/>
        <v>0</v>
      </c>
      <c r="BI185" s="13"/>
      <c r="BJ185" s="13"/>
      <c r="BK185" s="13"/>
      <c r="BL185" s="13"/>
      <c r="BM185" s="13"/>
      <c r="BN185" s="13"/>
      <c r="BO185" s="14">
        <v>910</v>
      </c>
      <c r="BP185" s="13">
        <f t="shared" si="104"/>
        <v>0</v>
      </c>
      <c r="BQ185" s="13"/>
      <c r="BR185" s="13"/>
      <c r="BS185" s="13"/>
      <c r="BT185" s="13"/>
      <c r="BU185" s="13">
        <v>1</v>
      </c>
      <c r="BV185" s="13">
        <v>1</v>
      </c>
      <c r="BW185" s="14">
        <v>910</v>
      </c>
      <c r="BX185" s="13">
        <f t="shared" si="102"/>
        <v>910</v>
      </c>
      <c r="BY185" s="13"/>
      <c r="BZ185" s="13"/>
      <c r="CA185" s="13"/>
      <c r="CB185" s="13"/>
      <c r="CC185" s="13"/>
      <c r="CD185" s="13"/>
      <c r="CE185" s="14">
        <v>910</v>
      </c>
      <c r="CF185" s="13">
        <f t="shared" si="103"/>
        <v>0</v>
      </c>
    </row>
    <row r="186" spans="1:84">
      <c r="A186" s="61" t="s">
        <v>148</v>
      </c>
      <c r="B186" s="10" t="s">
        <v>118</v>
      </c>
      <c r="C186" s="11"/>
      <c r="D186" s="12" t="s">
        <v>119</v>
      </c>
      <c r="E186" s="25"/>
      <c r="F186" s="13"/>
      <c r="G186" s="13"/>
      <c r="H186" s="13"/>
      <c r="I186" s="25"/>
      <c r="J186" s="25"/>
      <c r="K186" s="13">
        <v>3254</v>
      </c>
      <c r="L186" s="13">
        <f t="shared" si="95"/>
        <v>0</v>
      </c>
      <c r="M186" s="25"/>
      <c r="N186" s="13"/>
      <c r="O186" s="13"/>
      <c r="P186" s="13"/>
      <c r="Q186" s="25"/>
      <c r="R186" s="25"/>
      <c r="S186" s="13">
        <v>3254</v>
      </c>
      <c r="T186" s="13">
        <f t="shared" si="105"/>
        <v>0</v>
      </c>
      <c r="U186" s="25"/>
      <c r="V186" s="13"/>
      <c r="W186" s="13"/>
      <c r="X186" s="13"/>
      <c r="Y186" s="25">
        <v>1</v>
      </c>
      <c r="Z186" s="25">
        <v>1</v>
      </c>
      <c r="AA186" s="13">
        <v>3254</v>
      </c>
      <c r="AB186" s="13">
        <f t="shared" si="106"/>
        <v>3254</v>
      </c>
      <c r="AC186" s="25"/>
      <c r="AD186" s="13"/>
      <c r="AE186" s="13"/>
      <c r="AF186" s="13"/>
      <c r="AG186" s="25"/>
      <c r="AH186" s="25"/>
      <c r="AI186" s="13">
        <v>3254</v>
      </c>
      <c r="AJ186" s="13">
        <f t="shared" si="98"/>
        <v>0</v>
      </c>
      <c r="AK186" s="25"/>
      <c r="AL186" s="13"/>
      <c r="AM186" s="13"/>
      <c r="AN186" s="13"/>
      <c r="AO186" s="25"/>
      <c r="AP186" s="25"/>
      <c r="AQ186" s="13">
        <v>3254</v>
      </c>
      <c r="AR186" s="13">
        <f t="shared" si="99"/>
        <v>0</v>
      </c>
      <c r="AS186" s="25"/>
      <c r="AT186" s="13"/>
      <c r="AU186" s="13"/>
      <c r="AV186" s="13"/>
      <c r="AW186" s="25">
        <v>1</v>
      </c>
      <c r="AX186" s="25">
        <v>1</v>
      </c>
      <c r="AY186" s="13">
        <v>3254</v>
      </c>
      <c r="AZ186" s="13">
        <f t="shared" si="100"/>
        <v>3254</v>
      </c>
      <c r="BA186" s="25"/>
      <c r="BB186" s="13"/>
      <c r="BC186" s="13"/>
      <c r="BD186" s="13"/>
      <c r="BE186" s="25"/>
      <c r="BF186" s="25"/>
      <c r="BG186" s="13">
        <v>3254</v>
      </c>
      <c r="BH186" s="13">
        <f t="shared" si="101"/>
        <v>0</v>
      </c>
      <c r="BI186" s="25"/>
      <c r="BJ186" s="13"/>
      <c r="BK186" s="13"/>
      <c r="BL186" s="13"/>
      <c r="BM186" s="25"/>
      <c r="BN186" s="25"/>
      <c r="BO186" s="13">
        <v>3254</v>
      </c>
      <c r="BP186" s="13">
        <f t="shared" si="104"/>
        <v>0</v>
      </c>
      <c r="BQ186" s="25"/>
      <c r="BR186" s="13"/>
      <c r="BS186" s="13"/>
      <c r="BT186" s="13"/>
      <c r="BU186" s="25">
        <v>1</v>
      </c>
      <c r="BV186" s="25">
        <v>1</v>
      </c>
      <c r="BW186" s="13">
        <v>3254</v>
      </c>
      <c r="BX186" s="13">
        <f t="shared" si="102"/>
        <v>3254</v>
      </c>
      <c r="BY186" s="25"/>
      <c r="BZ186" s="13"/>
      <c r="CA186" s="13"/>
      <c r="CB186" s="13"/>
      <c r="CC186" s="25"/>
      <c r="CD186" s="25"/>
      <c r="CE186" s="13">
        <v>3254</v>
      </c>
      <c r="CF186" s="13">
        <f t="shared" si="103"/>
        <v>0</v>
      </c>
    </row>
    <row r="187" spans="1:84">
      <c r="A187" s="61" t="s">
        <v>148</v>
      </c>
      <c r="B187" s="10" t="s">
        <v>120</v>
      </c>
      <c r="C187" s="11"/>
      <c r="D187" s="12" t="s">
        <v>121</v>
      </c>
      <c r="E187" s="13"/>
      <c r="F187" s="13"/>
      <c r="G187" s="13"/>
      <c r="H187" s="13"/>
      <c r="I187" s="13"/>
      <c r="J187" s="13"/>
      <c r="K187" s="69">
        <v>3608</v>
      </c>
      <c r="L187" s="13">
        <f t="shared" si="95"/>
        <v>0</v>
      </c>
      <c r="M187" s="13"/>
      <c r="N187" s="13"/>
      <c r="O187" s="13"/>
      <c r="P187" s="13"/>
      <c r="Q187" s="13"/>
      <c r="R187" s="13"/>
      <c r="S187" s="69">
        <v>3608</v>
      </c>
      <c r="T187" s="13">
        <f t="shared" si="105"/>
        <v>0</v>
      </c>
      <c r="U187" s="13"/>
      <c r="V187" s="13"/>
      <c r="W187" s="13"/>
      <c r="X187" s="13"/>
      <c r="Y187" s="13">
        <v>1</v>
      </c>
      <c r="Z187" s="13">
        <v>1</v>
      </c>
      <c r="AA187" s="69">
        <v>3608</v>
      </c>
      <c r="AB187" s="13">
        <f t="shared" si="106"/>
        <v>3608</v>
      </c>
      <c r="AC187" s="13"/>
      <c r="AD187" s="13"/>
      <c r="AE187" s="13"/>
      <c r="AF187" s="13"/>
      <c r="AG187" s="13"/>
      <c r="AH187" s="13"/>
      <c r="AI187" s="69">
        <v>3608</v>
      </c>
      <c r="AJ187" s="13">
        <f t="shared" si="98"/>
        <v>0</v>
      </c>
      <c r="AK187" s="13"/>
      <c r="AL187" s="13"/>
      <c r="AM187" s="13"/>
      <c r="AN187" s="13"/>
      <c r="AO187" s="13"/>
      <c r="AP187" s="13"/>
      <c r="AQ187" s="69">
        <v>3608</v>
      </c>
      <c r="AR187" s="13">
        <f t="shared" si="99"/>
        <v>0</v>
      </c>
      <c r="AS187" s="13"/>
      <c r="AT187" s="13"/>
      <c r="AU187" s="13"/>
      <c r="AV187" s="13"/>
      <c r="AW187" s="13">
        <v>1</v>
      </c>
      <c r="AX187" s="13">
        <v>1</v>
      </c>
      <c r="AY187" s="69">
        <v>3608</v>
      </c>
      <c r="AZ187" s="13">
        <f t="shared" si="100"/>
        <v>3608</v>
      </c>
      <c r="BA187" s="13"/>
      <c r="BB187" s="13"/>
      <c r="BC187" s="13"/>
      <c r="BD187" s="13"/>
      <c r="BE187" s="13"/>
      <c r="BF187" s="13"/>
      <c r="BG187" s="69">
        <v>3608</v>
      </c>
      <c r="BH187" s="13">
        <f t="shared" si="101"/>
        <v>0</v>
      </c>
      <c r="BI187" s="13"/>
      <c r="BJ187" s="13"/>
      <c r="BK187" s="13"/>
      <c r="BL187" s="13"/>
      <c r="BM187" s="13"/>
      <c r="BN187" s="13"/>
      <c r="BO187" s="69">
        <v>3608</v>
      </c>
      <c r="BP187" s="13">
        <f t="shared" si="104"/>
        <v>0</v>
      </c>
      <c r="BQ187" s="13"/>
      <c r="BR187" s="13"/>
      <c r="BS187" s="13"/>
      <c r="BT187" s="13"/>
      <c r="BU187" s="13">
        <v>1</v>
      </c>
      <c r="BV187" s="13">
        <v>1</v>
      </c>
      <c r="BW187" s="69">
        <v>3608</v>
      </c>
      <c r="BX187" s="13">
        <f t="shared" si="102"/>
        <v>3608</v>
      </c>
      <c r="BY187" s="13"/>
      <c r="BZ187" s="13"/>
      <c r="CA187" s="13"/>
      <c r="CB187" s="13"/>
      <c r="CC187" s="13"/>
      <c r="CD187" s="13"/>
      <c r="CE187" s="69">
        <v>3608</v>
      </c>
      <c r="CF187" s="13">
        <f t="shared" si="103"/>
        <v>0</v>
      </c>
    </row>
    <row r="188" spans="1:84">
      <c r="A188" s="61" t="s">
        <v>148</v>
      </c>
      <c r="B188" s="23" t="s">
        <v>44</v>
      </c>
      <c r="C188" s="11"/>
      <c r="D188" s="10" t="s">
        <v>45</v>
      </c>
      <c r="E188" s="28"/>
      <c r="F188" s="28"/>
      <c r="G188" s="28"/>
      <c r="H188" s="28"/>
      <c r="I188" s="25"/>
      <c r="J188" s="25"/>
      <c r="K188" s="19">
        <v>674</v>
      </c>
      <c r="L188" s="13">
        <f t="shared" si="95"/>
        <v>0</v>
      </c>
      <c r="M188" s="28"/>
      <c r="N188" s="28"/>
      <c r="O188" s="28"/>
      <c r="P188" s="28"/>
      <c r="Q188" s="28"/>
      <c r="R188" s="28"/>
      <c r="S188" s="19">
        <v>674</v>
      </c>
      <c r="T188" s="13">
        <f t="shared" si="105"/>
        <v>0</v>
      </c>
      <c r="U188" s="28"/>
      <c r="V188" s="28"/>
      <c r="W188" s="28"/>
      <c r="X188" s="28"/>
      <c r="Y188" s="25">
        <v>1</v>
      </c>
      <c r="Z188" s="25">
        <v>1</v>
      </c>
      <c r="AA188" s="19">
        <v>674</v>
      </c>
      <c r="AB188" s="13">
        <f t="shared" si="106"/>
        <v>674</v>
      </c>
      <c r="AC188" s="28"/>
      <c r="AD188" s="28"/>
      <c r="AE188" s="28"/>
      <c r="AF188" s="28"/>
      <c r="AG188" s="28"/>
      <c r="AH188" s="28"/>
      <c r="AI188" s="19">
        <v>674</v>
      </c>
      <c r="AJ188" s="13">
        <f t="shared" si="98"/>
        <v>0</v>
      </c>
      <c r="AK188" s="28"/>
      <c r="AL188" s="28"/>
      <c r="AM188" s="28"/>
      <c r="AN188" s="28"/>
      <c r="AO188" s="28"/>
      <c r="AP188" s="28"/>
      <c r="AQ188" s="19">
        <v>674</v>
      </c>
      <c r="AR188" s="13">
        <f t="shared" si="99"/>
        <v>0</v>
      </c>
      <c r="AS188" s="28"/>
      <c r="AT188" s="28"/>
      <c r="AU188" s="28"/>
      <c r="AV188" s="28"/>
      <c r="AW188" s="25">
        <v>1</v>
      </c>
      <c r="AX188" s="25">
        <v>1</v>
      </c>
      <c r="AY188" s="19">
        <v>674</v>
      </c>
      <c r="AZ188" s="13">
        <f t="shared" si="100"/>
        <v>674</v>
      </c>
      <c r="BA188" s="28"/>
      <c r="BB188" s="28"/>
      <c r="BC188" s="28"/>
      <c r="BD188" s="28"/>
      <c r="BE188" s="25"/>
      <c r="BF188" s="25"/>
      <c r="BG188" s="19">
        <v>674</v>
      </c>
      <c r="BH188" s="13">
        <f t="shared" si="101"/>
        <v>0</v>
      </c>
      <c r="BI188" s="28"/>
      <c r="BJ188" s="28"/>
      <c r="BK188" s="28"/>
      <c r="BL188" s="28"/>
      <c r="BM188" s="28"/>
      <c r="BN188" s="28"/>
      <c r="BO188" s="19">
        <v>674</v>
      </c>
      <c r="BP188" s="13">
        <f t="shared" si="104"/>
        <v>0</v>
      </c>
      <c r="BQ188" s="28"/>
      <c r="BR188" s="28"/>
      <c r="BS188" s="28"/>
      <c r="BT188" s="28"/>
      <c r="BU188" s="25">
        <v>1</v>
      </c>
      <c r="BV188" s="25">
        <v>1</v>
      </c>
      <c r="BW188" s="19">
        <v>674</v>
      </c>
      <c r="BX188" s="13">
        <f t="shared" si="102"/>
        <v>674</v>
      </c>
      <c r="BY188" s="28"/>
      <c r="BZ188" s="28"/>
      <c r="CA188" s="28"/>
      <c r="CB188" s="28"/>
      <c r="CC188" s="28"/>
      <c r="CD188" s="28"/>
      <c r="CE188" s="19">
        <v>674</v>
      </c>
      <c r="CF188" s="13">
        <f t="shared" si="103"/>
        <v>0</v>
      </c>
    </row>
    <row r="189" spans="1:84">
      <c r="A189" s="61" t="s">
        <v>148</v>
      </c>
      <c r="B189" s="10" t="s">
        <v>153</v>
      </c>
      <c r="C189" s="11"/>
      <c r="D189" s="12" t="s">
        <v>47</v>
      </c>
      <c r="E189" s="34"/>
      <c r="F189" s="34"/>
      <c r="G189" s="34"/>
      <c r="H189" s="34"/>
      <c r="I189" s="13">
        <v>1</v>
      </c>
      <c r="J189" s="13">
        <v>1</v>
      </c>
      <c r="K189" s="70">
        <v>4371</v>
      </c>
      <c r="L189" s="13">
        <f t="shared" si="95"/>
        <v>4371</v>
      </c>
      <c r="M189" s="34"/>
      <c r="N189" s="34"/>
      <c r="O189" s="34"/>
      <c r="P189" s="34"/>
      <c r="Q189" s="34">
        <v>1</v>
      </c>
      <c r="R189" s="34">
        <v>1</v>
      </c>
      <c r="S189" s="70">
        <v>4371</v>
      </c>
      <c r="T189" s="13">
        <f t="shared" si="105"/>
        <v>4371</v>
      </c>
      <c r="U189" s="34"/>
      <c r="V189" s="34"/>
      <c r="W189" s="34"/>
      <c r="X189" s="34"/>
      <c r="Y189" s="13">
        <v>1</v>
      </c>
      <c r="Z189" s="13">
        <v>1</v>
      </c>
      <c r="AA189" s="70">
        <v>4371</v>
      </c>
      <c r="AB189" s="13">
        <f t="shared" si="106"/>
        <v>4371</v>
      </c>
      <c r="AC189" s="34"/>
      <c r="AD189" s="34"/>
      <c r="AE189" s="34"/>
      <c r="AF189" s="34"/>
      <c r="AG189" s="34">
        <v>1</v>
      </c>
      <c r="AH189" s="34">
        <v>1</v>
      </c>
      <c r="AI189" s="70">
        <v>4371</v>
      </c>
      <c r="AJ189" s="13">
        <f t="shared" si="98"/>
        <v>4371</v>
      </c>
      <c r="AK189" s="34"/>
      <c r="AL189" s="34"/>
      <c r="AM189" s="34"/>
      <c r="AN189" s="34"/>
      <c r="AO189" s="34">
        <v>1</v>
      </c>
      <c r="AP189" s="34">
        <v>1</v>
      </c>
      <c r="AQ189" s="70">
        <v>4371</v>
      </c>
      <c r="AR189" s="13">
        <f t="shared" si="99"/>
        <v>4371</v>
      </c>
      <c r="AS189" s="34"/>
      <c r="AT189" s="34"/>
      <c r="AU189" s="34"/>
      <c r="AV189" s="34"/>
      <c r="AW189" s="13">
        <v>1</v>
      </c>
      <c r="AX189" s="13">
        <v>1</v>
      </c>
      <c r="AY189" s="70">
        <v>4371</v>
      </c>
      <c r="AZ189" s="13">
        <f t="shared" si="100"/>
        <v>4371</v>
      </c>
      <c r="BA189" s="34"/>
      <c r="BB189" s="34"/>
      <c r="BC189" s="34"/>
      <c r="BD189" s="34"/>
      <c r="BE189" s="13">
        <v>1</v>
      </c>
      <c r="BF189" s="13">
        <v>1</v>
      </c>
      <c r="BG189" s="70">
        <v>4371</v>
      </c>
      <c r="BH189" s="13">
        <f t="shared" si="101"/>
        <v>4371</v>
      </c>
      <c r="BI189" s="34"/>
      <c r="BJ189" s="34"/>
      <c r="BK189" s="34"/>
      <c r="BL189" s="34"/>
      <c r="BM189" s="34">
        <v>1</v>
      </c>
      <c r="BN189" s="34">
        <v>1</v>
      </c>
      <c r="BO189" s="70">
        <v>4371</v>
      </c>
      <c r="BP189" s="13">
        <f t="shared" si="104"/>
        <v>4371</v>
      </c>
      <c r="BQ189" s="34"/>
      <c r="BR189" s="34"/>
      <c r="BS189" s="34"/>
      <c r="BT189" s="34"/>
      <c r="BU189" s="13">
        <v>1</v>
      </c>
      <c r="BV189" s="13">
        <v>1</v>
      </c>
      <c r="BW189" s="70">
        <v>4371</v>
      </c>
      <c r="BX189" s="13">
        <f t="shared" si="102"/>
        <v>4371</v>
      </c>
      <c r="BY189" s="34"/>
      <c r="BZ189" s="34"/>
      <c r="CA189" s="34"/>
      <c r="CB189" s="34"/>
      <c r="CC189" s="34">
        <v>1</v>
      </c>
      <c r="CD189" s="34">
        <v>1</v>
      </c>
      <c r="CE189" s="70">
        <v>4371</v>
      </c>
      <c r="CF189" s="13">
        <f t="shared" si="103"/>
        <v>4371</v>
      </c>
    </row>
    <row r="190" spans="1:84">
      <c r="A190" s="61" t="s">
        <v>148</v>
      </c>
      <c r="B190" s="26" t="s">
        <v>123</v>
      </c>
      <c r="C190" s="11"/>
      <c r="D190" s="71" t="s">
        <v>49</v>
      </c>
      <c r="E190" s="40"/>
      <c r="F190" s="41"/>
      <c r="G190" s="41"/>
      <c r="H190" s="41"/>
      <c r="I190" s="28"/>
      <c r="J190" s="28"/>
      <c r="K190" s="72">
        <v>469</v>
      </c>
      <c r="L190" s="13">
        <f t="shared" si="95"/>
        <v>0</v>
      </c>
      <c r="M190" s="40"/>
      <c r="N190" s="41"/>
      <c r="O190" s="41"/>
      <c r="P190" s="41"/>
      <c r="Q190" s="40"/>
      <c r="R190" s="40"/>
      <c r="S190" s="72">
        <v>469</v>
      </c>
      <c r="T190" s="13">
        <f t="shared" si="105"/>
        <v>0</v>
      </c>
      <c r="U190" s="40"/>
      <c r="V190" s="41"/>
      <c r="W190" s="41"/>
      <c r="X190" s="41"/>
      <c r="Y190" s="28">
        <v>1</v>
      </c>
      <c r="Z190" s="28">
        <v>1</v>
      </c>
      <c r="AA190" s="72">
        <v>469</v>
      </c>
      <c r="AB190" s="13">
        <f t="shared" si="106"/>
        <v>469</v>
      </c>
      <c r="AC190" s="40"/>
      <c r="AD190" s="41"/>
      <c r="AE190" s="41"/>
      <c r="AF190" s="41"/>
      <c r="AG190" s="40"/>
      <c r="AH190" s="40"/>
      <c r="AI190" s="72">
        <v>469</v>
      </c>
      <c r="AJ190" s="13">
        <f t="shared" si="98"/>
        <v>0</v>
      </c>
      <c r="AK190" s="40"/>
      <c r="AL190" s="41"/>
      <c r="AM190" s="41"/>
      <c r="AN190" s="41"/>
      <c r="AO190" s="40"/>
      <c r="AP190" s="40"/>
      <c r="AQ190" s="72">
        <v>469</v>
      </c>
      <c r="AR190" s="13">
        <f t="shared" si="99"/>
        <v>0</v>
      </c>
      <c r="AS190" s="40"/>
      <c r="AT190" s="41"/>
      <c r="AU190" s="41"/>
      <c r="AV190" s="41"/>
      <c r="AW190" s="28">
        <v>1</v>
      </c>
      <c r="AX190" s="28">
        <v>1</v>
      </c>
      <c r="AY190" s="72">
        <v>469</v>
      </c>
      <c r="AZ190" s="13">
        <f t="shared" si="100"/>
        <v>469</v>
      </c>
      <c r="BA190" s="40"/>
      <c r="BB190" s="41"/>
      <c r="BC190" s="41"/>
      <c r="BD190" s="41"/>
      <c r="BE190" s="40"/>
      <c r="BF190" s="40"/>
      <c r="BG190" s="72">
        <v>469</v>
      </c>
      <c r="BH190" s="13">
        <f t="shared" si="101"/>
        <v>0</v>
      </c>
      <c r="BI190" s="40"/>
      <c r="BJ190" s="41"/>
      <c r="BK190" s="41"/>
      <c r="BL190" s="41"/>
      <c r="BM190" s="40"/>
      <c r="BN190" s="40"/>
      <c r="BO190" s="72">
        <v>469</v>
      </c>
      <c r="BP190" s="13">
        <f t="shared" si="104"/>
        <v>0</v>
      </c>
      <c r="BQ190" s="40"/>
      <c r="BR190" s="41"/>
      <c r="BS190" s="41"/>
      <c r="BT190" s="41"/>
      <c r="BU190" s="28">
        <v>1</v>
      </c>
      <c r="BV190" s="28">
        <v>1</v>
      </c>
      <c r="BW190" s="72">
        <v>469</v>
      </c>
      <c r="BX190" s="13">
        <f t="shared" si="102"/>
        <v>469</v>
      </c>
      <c r="BY190" s="40"/>
      <c r="BZ190" s="41"/>
      <c r="CA190" s="41"/>
      <c r="CB190" s="41"/>
      <c r="CC190" s="40"/>
      <c r="CD190" s="40"/>
      <c r="CE190" s="72">
        <v>469</v>
      </c>
      <c r="CF190" s="13">
        <f t="shared" si="103"/>
        <v>0</v>
      </c>
    </row>
    <row r="191" spans="1:84" ht="15">
      <c r="A191" s="61" t="s">
        <v>148</v>
      </c>
      <c r="B191" s="31" t="s">
        <v>124</v>
      </c>
      <c r="C191" s="11"/>
      <c r="D191" s="39" t="s">
        <v>51</v>
      </c>
      <c r="E191" s="80"/>
      <c r="F191" s="13"/>
      <c r="G191" s="13"/>
      <c r="H191" s="13"/>
      <c r="I191" s="34"/>
      <c r="J191" s="34"/>
      <c r="K191" s="73">
        <v>730</v>
      </c>
      <c r="L191" s="13">
        <f t="shared" si="95"/>
        <v>0</v>
      </c>
      <c r="M191" s="80"/>
      <c r="N191" s="13"/>
      <c r="O191" s="13"/>
      <c r="P191" s="13"/>
      <c r="Q191" s="80"/>
      <c r="R191" s="13"/>
      <c r="S191" s="73">
        <v>730</v>
      </c>
      <c r="T191" s="13">
        <f t="shared" si="105"/>
        <v>0</v>
      </c>
      <c r="U191" s="80"/>
      <c r="V191" s="13"/>
      <c r="W191" s="13"/>
      <c r="X191" s="13"/>
      <c r="Y191" s="34">
        <v>1</v>
      </c>
      <c r="Z191" s="34">
        <v>1</v>
      </c>
      <c r="AA191" s="73">
        <v>730</v>
      </c>
      <c r="AB191" s="13">
        <f t="shared" si="106"/>
        <v>730</v>
      </c>
      <c r="AC191" s="80"/>
      <c r="AD191" s="13"/>
      <c r="AE191" s="13"/>
      <c r="AF191" s="13"/>
      <c r="AG191" s="80"/>
      <c r="AH191" s="13"/>
      <c r="AI191" s="73">
        <v>730</v>
      </c>
      <c r="AJ191" s="13">
        <f t="shared" si="98"/>
        <v>0</v>
      </c>
      <c r="AK191" s="80"/>
      <c r="AL191" s="13"/>
      <c r="AM191" s="13"/>
      <c r="AN191" s="13"/>
      <c r="AO191" s="80"/>
      <c r="AP191" s="13"/>
      <c r="AQ191" s="73">
        <v>730</v>
      </c>
      <c r="AR191" s="13">
        <f t="shared" si="99"/>
        <v>0</v>
      </c>
      <c r="AS191" s="80"/>
      <c r="AT191" s="13"/>
      <c r="AU191" s="13"/>
      <c r="AV191" s="13"/>
      <c r="AW191" s="34">
        <v>1</v>
      </c>
      <c r="AX191" s="34">
        <v>1</v>
      </c>
      <c r="AY191" s="73">
        <v>730</v>
      </c>
      <c r="AZ191" s="13">
        <f t="shared" si="100"/>
        <v>730</v>
      </c>
      <c r="BA191" s="80"/>
      <c r="BB191" s="13"/>
      <c r="BC191" s="13"/>
      <c r="BD191" s="13"/>
      <c r="BE191" s="80"/>
      <c r="BF191" s="13"/>
      <c r="BG191" s="73">
        <v>730</v>
      </c>
      <c r="BH191" s="13">
        <f t="shared" si="101"/>
        <v>0</v>
      </c>
      <c r="BI191" s="80"/>
      <c r="BJ191" s="13"/>
      <c r="BK191" s="13"/>
      <c r="BL191" s="13"/>
      <c r="BM191" s="80"/>
      <c r="BN191" s="13"/>
      <c r="BO191" s="73">
        <v>730</v>
      </c>
      <c r="BP191" s="13">
        <f t="shared" si="104"/>
        <v>0</v>
      </c>
      <c r="BQ191" s="80"/>
      <c r="BR191" s="13"/>
      <c r="BS191" s="13"/>
      <c r="BT191" s="13"/>
      <c r="BU191" s="34">
        <v>1</v>
      </c>
      <c r="BV191" s="34">
        <v>1</v>
      </c>
      <c r="BW191" s="73">
        <v>730</v>
      </c>
      <c r="BX191" s="13">
        <f t="shared" si="102"/>
        <v>730</v>
      </c>
      <c r="BY191" s="80"/>
      <c r="BZ191" s="13"/>
      <c r="CA191" s="13"/>
      <c r="CB191" s="13"/>
      <c r="CC191" s="80"/>
      <c r="CD191" s="13"/>
      <c r="CE191" s="73">
        <v>730</v>
      </c>
      <c r="CF191" s="13">
        <f t="shared" si="103"/>
        <v>0</v>
      </c>
    </row>
    <row r="192" spans="1:84">
      <c r="A192" s="63" t="s">
        <v>148</v>
      </c>
      <c r="B192" s="102" t="s">
        <v>125</v>
      </c>
      <c r="C192" s="27"/>
      <c r="D192" s="103" t="s">
        <v>53</v>
      </c>
      <c r="E192" s="104"/>
      <c r="F192" s="28"/>
      <c r="G192" s="28"/>
      <c r="H192" s="28"/>
      <c r="I192" s="105"/>
      <c r="J192" s="105"/>
      <c r="K192" s="106">
        <v>989</v>
      </c>
      <c r="L192" s="28">
        <f t="shared" si="95"/>
        <v>0</v>
      </c>
      <c r="M192" s="104"/>
      <c r="N192" s="28"/>
      <c r="O192" s="28"/>
      <c r="P192" s="28"/>
      <c r="Q192" s="104"/>
      <c r="R192" s="28"/>
      <c r="S192" s="106">
        <v>989</v>
      </c>
      <c r="T192" s="28">
        <f t="shared" si="105"/>
        <v>0</v>
      </c>
      <c r="U192" s="104"/>
      <c r="V192" s="28"/>
      <c r="W192" s="28"/>
      <c r="X192" s="28"/>
      <c r="Y192" s="105">
        <v>1</v>
      </c>
      <c r="Z192" s="105">
        <v>1</v>
      </c>
      <c r="AA192" s="106">
        <v>989</v>
      </c>
      <c r="AB192" s="28">
        <f t="shared" si="106"/>
        <v>989</v>
      </c>
      <c r="AC192" s="104"/>
      <c r="AD192" s="28"/>
      <c r="AE192" s="28"/>
      <c r="AF192" s="28"/>
      <c r="AG192" s="104"/>
      <c r="AH192" s="28"/>
      <c r="AI192" s="106">
        <v>989</v>
      </c>
      <c r="AJ192" s="28">
        <f t="shared" si="98"/>
        <v>0</v>
      </c>
      <c r="AK192" s="104"/>
      <c r="AL192" s="28"/>
      <c r="AM192" s="28"/>
      <c r="AN192" s="28"/>
      <c r="AO192" s="104"/>
      <c r="AP192" s="28"/>
      <c r="AQ192" s="106">
        <v>989</v>
      </c>
      <c r="AR192" s="28">
        <f t="shared" si="99"/>
        <v>0</v>
      </c>
      <c r="AS192" s="104"/>
      <c r="AT192" s="28"/>
      <c r="AU192" s="28"/>
      <c r="AV192" s="28"/>
      <c r="AW192" s="105">
        <v>1</v>
      </c>
      <c r="AX192" s="105">
        <v>1</v>
      </c>
      <c r="AY192" s="106">
        <v>989</v>
      </c>
      <c r="AZ192" s="13">
        <f t="shared" si="100"/>
        <v>989</v>
      </c>
      <c r="BA192" s="104"/>
      <c r="BB192" s="28"/>
      <c r="BC192" s="28"/>
      <c r="BD192" s="28"/>
      <c r="BE192" s="104"/>
      <c r="BF192" s="28"/>
      <c r="BG192" s="106">
        <v>989</v>
      </c>
      <c r="BH192" s="28">
        <f t="shared" si="101"/>
        <v>0</v>
      </c>
      <c r="BI192" s="104"/>
      <c r="BJ192" s="28"/>
      <c r="BK192" s="28"/>
      <c r="BL192" s="28"/>
      <c r="BM192" s="104"/>
      <c r="BN192" s="28"/>
      <c r="BO192" s="106">
        <v>989</v>
      </c>
      <c r="BP192" s="13">
        <f t="shared" si="104"/>
        <v>0</v>
      </c>
      <c r="BQ192" s="104"/>
      <c r="BR192" s="28"/>
      <c r="BS192" s="28"/>
      <c r="BT192" s="28"/>
      <c r="BU192" s="105">
        <v>1</v>
      </c>
      <c r="BV192" s="105">
        <v>1</v>
      </c>
      <c r="BW192" s="106">
        <v>989</v>
      </c>
      <c r="BX192" s="28">
        <f t="shared" si="102"/>
        <v>989</v>
      </c>
      <c r="BY192" s="104"/>
      <c r="BZ192" s="28"/>
      <c r="CA192" s="28"/>
      <c r="CB192" s="28"/>
      <c r="CC192" s="104"/>
      <c r="CD192" s="28"/>
      <c r="CE192" s="106">
        <v>989</v>
      </c>
      <c r="CF192" s="28">
        <f t="shared" si="103"/>
        <v>0</v>
      </c>
    </row>
    <row r="193" spans="1:246">
      <c r="A193" s="107"/>
      <c r="B193" s="108"/>
      <c r="C193" s="109"/>
      <c r="D193" s="110"/>
      <c r="E193" s="111"/>
      <c r="F193" s="112"/>
      <c r="G193" s="112"/>
      <c r="H193" s="112"/>
      <c r="I193" s="113"/>
      <c r="J193" s="113"/>
      <c r="K193" s="114"/>
      <c r="L193" s="112"/>
      <c r="M193" s="111"/>
      <c r="N193" s="112"/>
      <c r="O193" s="112"/>
      <c r="P193" s="112"/>
      <c r="Q193" s="111"/>
      <c r="R193" s="112"/>
      <c r="S193" s="112"/>
      <c r="T193" s="112"/>
      <c r="U193" s="111"/>
      <c r="V193" s="112"/>
      <c r="W193" s="112"/>
      <c r="X193" s="112"/>
      <c r="Y193" s="113"/>
      <c r="Z193" s="113"/>
      <c r="AA193" s="112"/>
      <c r="AB193" s="112"/>
      <c r="AC193" s="111"/>
      <c r="AD193" s="112"/>
      <c r="AE193" s="112"/>
      <c r="AF193" s="112"/>
      <c r="AG193" s="111"/>
      <c r="AH193" s="112"/>
      <c r="AI193" s="112"/>
      <c r="AJ193" s="112"/>
      <c r="AK193" s="111"/>
      <c r="AL193" s="112"/>
      <c r="AM193" s="112"/>
      <c r="AN193" s="112"/>
      <c r="AO193" s="111"/>
      <c r="AP193" s="112"/>
      <c r="AQ193" s="112"/>
      <c r="AR193" s="112"/>
      <c r="AS193" s="111"/>
      <c r="AT193" s="112"/>
      <c r="AU193" s="112"/>
      <c r="AV193" s="112"/>
      <c r="AW193" s="113"/>
      <c r="AX193" s="113"/>
      <c r="AY193" s="112"/>
      <c r="AZ193" s="112"/>
      <c r="BA193" s="111"/>
      <c r="BB193" s="112"/>
      <c r="BC193" s="112"/>
      <c r="BD193" s="112"/>
      <c r="BE193" s="111"/>
      <c r="BF193" s="112"/>
      <c r="BG193" s="112"/>
      <c r="BH193" s="112"/>
      <c r="BI193" s="111"/>
      <c r="BJ193" s="112"/>
      <c r="BK193" s="112"/>
      <c r="BL193" s="112"/>
      <c r="BM193" s="111"/>
      <c r="BN193" s="112"/>
      <c r="BO193" s="112"/>
      <c r="BP193" s="112"/>
      <c r="BQ193" s="111"/>
      <c r="BR193" s="112"/>
      <c r="BS193" s="112"/>
      <c r="BT193" s="112"/>
      <c r="BU193" s="113"/>
      <c r="BV193" s="113"/>
      <c r="BW193" s="112"/>
      <c r="BX193" s="112"/>
      <c r="BY193" s="111"/>
      <c r="BZ193" s="112"/>
      <c r="CA193" s="112"/>
      <c r="CB193" s="112"/>
      <c r="CC193" s="111"/>
      <c r="CD193" s="112"/>
      <c r="CE193" s="112"/>
      <c r="CF193" s="112"/>
    </row>
    <row r="194" spans="1:246">
      <c r="A194" s="62"/>
      <c r="B194" s="48"/>
      <c r="C194" s="58"/>
      <c r="D194" s="50"/>
      <c r="E194" s="84"/>
      <c r="F194" s="52"/>
      <c r="G194" s="52"/>
      <c r="H194" s="52"/>
      <c r="I194" s="51"/>
      <c r="J194" s="51"/>
      <c r="K194" s="115"/>
      <c r="L194" s="52"/>
      <c r="M194" s="84"/>
      <c r="N194" s="52"/>
      <c r="O194" s="52"/>
      <c r="P194" s="52"/>
      <c r="Q194" s="84"/>
      <c r="R194" s="52"/>
      <c r="S194" s="52"/>
      <c r="T194" s="52"/>
      <c r="U194" s="84"/>
      <c r="V194" s="52"/>
      <c r="W194" s="52"/>
      <c r="X194" s="52"/>
      <c r="Y194" s="51"/>
      <c r="Z194" s="51"/>
      <c r="AA194" s="52"/>
      <c r="AB194" s="52"/>
      <c r="AC194" s="84"/>
      <c r="AD194" s="52"/>
      <c r="AE194" s="52"/>
      <c r="AF194" s="52"/>
      <c r="AG194" s="84"/>
      <c r="AH194" s="52"/>
      <c r="AI194" s="52"/>
      <c r="AJ194" s="52"/>
      <c r="AK194" s="84"/>
      <c r="AL194" s="52"/>
      <c r="AM194" s="52"/>
      <c r="AN194" s="52"/>
      <c r="AO194" s="84"/>
      <c r="AP194" s="52"/>
      <c r="AQ194" s="52"/>
      <c r="AR194" s="52"/>
      <c r="AS194" s="84"/>
      <c r="AT194" s="52"/>
      <c r="AU194" s="52"/>
      <c r="AV194" s="52"/>
      <c r="AW194" s="51"/>
      <c r="AX194" s="51"/>
      <c r="AY194" s="52"/>
      <c r="AZ194" s="52"/>
      <c r="BA194" s="84"/>
      <c r="BB194" s="52"/>
      <c r="BC194" s="52"/>
      <c r="BD194" s="52"/>
      <c r="BE194" s="84"/>
      <c r="BF194" s="52"/>
      <c r="BG194" s="52"/>
      <c r="BH194" s="52"/>
      <c r="BI194" s="84"/>
      <c r="BJ194" s="52"/>
      <c r="BK194" s="52"/>
      <c r="BL194" s="52"/>
      <c r="BM194" s="84"/>
      <c r="BN194" s="52"/>
      <c r="BO194" s="52"/>
      <c r="BP194" s="52"/>
      <c r="BQ194" s="84"/>
      <c r="BR194" s="52"/>
      <c r="BS194" s="52"/>
      <c r="BT194" s="52"/>
      <c r="BU194" s="51"/>
      <c r="BV194" s="51"/>
      <c r="BW194" s="52"/>
      <c r="BX194" s="52"/>
      <c r="BY194" s="84"/>
      <c r="BZ194" s="52"/>
      <c r="CA194" s="52"/>
      <c r="CB194" s="52"/>
      <c r="CC194" s="84"/>
      <c r="CD194" s="52"/>
      <c r="CE194" s="52"/>
      <c r="CF194" s="52"/>
    </row>
    <row r="195" spans="1:246">
      <c r="A195" s="62"/>
      <c r="B195" s="48"/>
      <c r="C195" s="58"/>
      <c r="D195" s="50"/>
      <c r="E195" s="84"/>
      <c r="F195" s="52"/>
      <c r="G195" s="52"/>
      <c r="H195" s="52"/>
      <c r="I195" s="51"/>
      <c r="J195" s="51"/>
      <c r="K195" s="115"/>
      <c r="L195" s="52"/>
      <c r="M195" s="84"/>
      <c r="N195" s="52"/>
      <c r="O195" s="52"/>
      <c r="P195" s="52"/>
      <c r="Q195" s="84"/>
      <c r="R195" s="52"/>
      <c r="S195" s="52"/>
      <c r="T195" s="52"/>
      <c r="U195" s="84"/>
      <c r="V195" s="52"/>
      <c r="W195" s="52"/>
      <c r="X195" s="52"/>
      <c r="Y195" s="51"/>
      <c r="Z195" s="51"/>
      <c r="AA195" s="52"/>
      <c r="AB195" s="52"/>
      <c r="AC195" s="84"/>
      <c r="AD195" s="52"/>
      <c r="AE195" s="52"/>
      <c r="AF195" s="52"/>
      <c r="AG195" s="84"/>
      <c r="AH195" s="52"/>
      <c r="AI195" s="52"/>
      <c r="AJ195" s="52"/>
      <c r="AK195" s="84"/>
      <c r="AL195" s="52"/>
      <c r="AM195" s="52"/>
      <c r="AN195" s="52"/>
      <c r="AO195" s="84"/>
      <c r="AP195" s="52"/>
      <c r="AQ195" s="52"/>
      <c r="AR195" s="52"/>
      <c r="AS195" s="84"/>
      <c r="AT195" s="52"/>
      <c r="AU195" s="52"/>
      <c r="AV195" s="52"/>
      <c r="AW195" s="51"/>
      <c r="AX195" s="51"/>
      <c r="AY195" s="52"/>
      <c r="AZ195" s="52"/>
      <c r="BA195" s="84"/>
      <c r="BB195" s="52"/>
      <c r="BC195" s="52"/>
      <c r="BD195" s="52"/>
      <c r="BE195" s="84"/>
      <c r="BF195" s="52"/>
      <c r="BG195" s="52"/>
      <c r="BH195" s="52"/>
      <c r="BI195" s="84"/>
      <c r="BJ195" s="52"/>
      <c r="BK195" s="52"/>
      <c r="BL195" s="52"/>
      <c r="BM195" s="84"/>
      <c r="BN195" s="52"/>
      <c r="BO195" s="52"/>
      <c r="BP195" s="52"/>
      <c r="BQ195" s="84"/>
      <c r="BR195" s="52"/>
      <c r="BS195" s="52"/>
      <c r="BT195" s="52"/>
      <c r="BU195" s="51"/>
      <c r="BV195" s="51"/>
      <c r="BW195" s="52"/>
      <c r="BX195" s="52"/>
      <c r="BY195" s="84"/>
      <c r="BZ195" s="52"/>
      <c r="CA195" s="52"/>
      <c r="CB195" s="52"/>
      <c r="CC195" s="84"/>
      <c r="CD195" s="52"/>
      <c r="CE195" s="52"/>
      <c r="CF195" s="52"/>
    </row>
    <row r="196" spans="1:246" ht="30">
      <c r="A196" s="116" t="s">
        <v>0</v>
      </c>
      <c r="B196" s="117" t="s">
        <v>1</v>
      </c>
      <c r="C196" s="98" t="s">
        <v>2</v>
      </c>
      <c r="D196" s="98" t="s">
        <v>3</v>
      </c>
      <c r="E196" s="118">
        <v>500</v>
      </c>
      <c r="F196" s="118">
        <v>1000</v>
      </c>
      <c r="G196" s="118">
        <v>1500</v>
      </c>
      <c r="H196" s="118">
        <v>2000</v>
      </c>
      <c r="I196" s="118">
        <v>2500</v>
      </c>
      <c r="J196" s="119" t="s">
        <v>4</v>
      </c>
      <c r="K196" s="118" t="s">
        <v>5</v>
      </c>
      <c r="L196" s="120" t="s">
        <v>6</v>
      </c>
      <c r="M196" s="118">
        <v>3000</v>
      </c>
      <c r="N196" s="118">
        <v>3500</v>
      </c>
      <c r="O196" s="118">
        <v>4000</v>
      </c>
      <c r="P196" s="118">
        <v>4500</v>
      </c>
      <c r="Q196" s="118">
        <v>5000</v>
      </c>
      <c r="R196" s="119" t="s">
        <v>4</v>
      </c>
      <c r="S196" s="118" t="s">
        <v>5</v>
      </c>
      <c r="T196" s="120" t="s">
        <v>6</v>
      </c>
      <c r="U196" s="118">
        <v>5500</v>
      </c>
      <c r="V196" s="118">
        <v>6000</v>
      </c>
      <c r="W196" s="118">
        <v>6500</v>
      </c>
      <c r="X196" s="118">
        <v>7000</v>
      </c>
      <c r="Y196" s="118">
        <v>7500</v>
      </c>
      <c r="Z196" s="119" t="s">
        <v>4</v>
      </c>
      <c r="AA196" s="118" t="s">
        <v>5</v>
      </c>
      <c r="AB196" s="120" t="s">
        <v>6</v>
      </c>
      <c r="AC196" s="118">
        <v>8000</v>
      </c>
      <c r="AD196" s="118">
        <v>8500</v>
      </c>
      <c r="AE196" s="118">
        <v>9000</v>
      </c>
      <c r="AF196" s="118">
        <v>9500</v>
      </c>
      <c r="AG196" s="118">
        <v>10000</v>
      </c>
      <c r="AH196" s="120" t="s">
        <v>4</v>
      </c>
      <c r="AI196" s="118" t="s">
        <v>5</v>
      </c>
      <c r="AJ196" s="120" t="s">
        <v>6</v>
      </c>
      <c r="AK196" s="118">
        <v>10500</v>
      </c>
      <c r="AL196" s="118">
        <v>11000</v>
      </c>
      <c r="AM196" s="118">
        <v>11500</v>
      </c>
      <c r="AN196" s="118">
        <v>12000</v>
      </c>
      <c r="AO196" s="118">
        <v>12500</v>
      </c>
      <c r="AP196" s="120" t="s">
        <v>4</v>
      </c>
      <c r="AQ196" s="118" t="s">
        <v>5</v>
      </c>
      <c r="AR196" s="120" t="s">
        <v>6</v>
      </c>
      <c r="AS196" s="118">
        <v>13000</v>
      </c>
      <c r="AT196" s="118">
        <v>13500</v>
      </c>
      <c r="AU196" s="118">
        <v>14000</v>
      </c>
      <c r="AV196" s="118">
        <v>14500</v>
      </c>
      <c r="AW196" s="118">
        <v>15000</v>
      </c>
      <c r="AX196" s="120" t="s">
        <v>4</v>
      </c>
      <c r="AY196" s="118" t="s">
        <v>5</v>
      </c>
      <c r="AZ196" s="120" t="s">
        <v>6</v>
      </c>
      <c r="BA196" s="118">
        <v>15500</v>
      </c>
      <c r="BB196" s="118">
        <v>16000</v>
      </c>
      <c r="BC196" s="118">
        <v>16500</v>
      </c>
      <c r="BD196" s="118">
        <v>17000</v>
      </c>
      <c r="BE196" s="118">
        <v>17500</v>
      </c>
      <c r="BF196" s="120" t="s">
        <v>4</v>
      </c>
      <c r="BG196" s="118" t="s">
        <v>5</v>
      </c>
      <c r="BH196" s="120" t="s">
        <v>6</v>
      </c>
      <c r="BI196" s="118">
        <v>18000</v>
      </c>
      <c r="BJ196" s="118">
        <v>18500</v>
      </c>
      <c r="BK196" s="118">
        <v>19000</v>
      </c>
      <c r="BL196" s="118">
        <v>19500</v>
      </c>
      <c r="BM196" s="118">
        <v>20000</v>
      </c>
      <c r="BN196" s="120" t="s">
        <v>4</v>
      </c>
      <c r="BO196" s="118" t="s">
        <v>5</v>
      </c>
      <c r="BP196" s="120" t="s">
        <v>6</v>
      </c>
      <c r="BQ196" s="118">
        <v>20500</v>
      </c>
      <c r="BR196" s="118">
        <v>21000</v>
      </c>
      <c r="BS196" s="118">
        <v>21500</v>
      </c>
      <c r="BT196" s="118">
        <v>22000</v>
      </c>
      <c r="BU196" s="118">
        <v>22500</v>
      </c>
      <c r="BV196" s="120" t="s">
        <v>4</v>
      </c>
      <c r="BW196" s="118" t="s">
        <v>5</v>
      </c>
      <c r="BX196" s="120" t="s">
        <v>6</v>
      </c>
      <c r="BY196" s="118">
        <v>23000</v>
      </c>
      <c r="BZ196" s="118">
        <v>23500</v>
      </c>
      <c r="CA196" s="118">
        <v>24000</v>
      </c>
      <c r="CB196" s="118">
        <v>24500</v>
      </c>
      <c r="CC196" s="118">
        <v>25000</v>
      </c>
      <c r="CD196" s="120" t="s">
        <v>4</v>
      </c>
      <c r="CE196" s="118" t="s">
        <v>5</v>
      </c>
      <c r="CF196" s="120" t="s">
        <v>6</v>
      </c>
      <c r="CG196" s="7"/>
      <c r="CH196" s="7"/>
      <c r="CI196" s="7"/>
      <c r="CJ196" s="7"/>
      <c r="CK196" s="7"/>
      <c r="CL196" s="7"/>
      <c r="CM196" s="7"/>
      <c r="CN196" s="7"/>
      <c r="CO196" s="7"/>
      <c r="CP196" s="7"/>
      <c r="CQ196" s="7"/>
      <c r="CR196" s="7"/>
      <c r="CS196" s="7"/>
      <c r="CT196" s="7"/>
      <c r="CU196" s="7"/>
      <c r="CV196" s="7"/>
      <c r="CW196" s="7"/>
      <c r="CX196" s="7"/>
      <c r="CY196" s="7"/>
      <c r="CZ196" s="7"/>
      <c r="DA196" s="7"/>
      <c r="DB196" s="7"/>
      <c r="DC196" s="7"/>
      <c r="DD196" s="7"/>
      <c r="DE196" s="7"/>
      <c r="DF196" s="7"/>
      <c r="DG196" s="7"/>
      <c r="DH196" s="7"/>
      <c r="DI196" s="7"/>
      <c r="DJ196" s="7"/>
      <c r="DK196" s="7"/>
      <c r="DL196" s="7"/>
      <c r="DM196" s="7"/>
      <c r="DN196" s="7"/>
      <c r="DO196" s="7"/>
      <c r="DP196" s="7"/>
      <c r="DQ196" s="7"/>
      <c r="DR196" s="7"/>
      <c r="DS196" s="7"/>
      <c r="DT196" s="7"/>
      <c r="DU196" s="7"/>
      <c r="DV196" s="7"/>
      <c r="DW196" s="7"/>
      <c r="DX196" s="7"/>
      <c r="DY196" s="7"/>
      <c r="DZ196" s="7"/>
      <c r="EA196" s="7"/>
      <c r="EB196" s="7"/>
      <c r="EC196" s="7"/>
      <c r="ED196" s="7"/>
      <c r="EE196" s="7"/>
      <c r="EF196" s="7"/>
      <c r="EG196" s="7"/>
      <c r="EH196" s="7"/>
      <c r="EI196" s="7"/>
      <c r="EJ196" s="7"/>
      <c r="EK196" s="7"/>
      <c r="EL196" s="7"/>
      <c r="EM196" s="7"/>
      <c r="EN196" s="7"/>
      <c r="EO196" s="7"/>
      <c r="EP196" s="7"/>
      <c r="EQ196" s="7"/>
      <c r="ER196" s="7"/>
      <c r="ES196" s="7"/>
      <c r="ET196" s="7"/>
      <c r="EU196" s="7"/>
      <c r="EV196" s="7"/>
      <c r="EW196" s="7"/>
      <c r="EX196" s="7"/>
      <c r="EY196" s="7"/>
      <c r="EZ196" s="7"/>
      <c r="FA196" s="7"/>
      <c r="FB196" s="7"/>
      <c r="FC196" s="7"/>
      <c r="FD196" s="7"/>
      <c r="FE196" s="7"/>
      <c r="FF196" s="7"/>
      <c r="FG196" s="7"/>
      <c r="FH196" s="7"/>
      <c r="FI196" s="7"/>
      <c r="FJ196" s="7"/>
      <c r="FK196" s="7"/>
      <c r="FL196" s="7"/>
      <c r="FM196" s="7"/>
      <c r="FN196" s="7"/>
      <c r="FO196" s="7"/>
      <c r="FP196" s="7"/>
      <c r="FQ196" s="7"/>
      <c r="FR196" s="7"/>
      <c r="FS196" s="7"/>
      <c r="FT196" s="7"/>
      <c r="FU196" s="7"/>
      <c r="FV196" s="7"/>
      <c r="FW196" s="7"/>
      <c r="FX196" s="7"/>
      <c r="FY196" s="7"/>
      <c r="FZ196" s="7"/>
      <c r="GA196" s="7"/>
      <c r="GB196" s="7"/>
      <c r="GC196" s="7"/>
      <c r="GD196" s="7"/>
      <c r="GE196" s="7"/>
      <c r="GF196" s="7"/>
      <c r="GG196" s="7"/>
      <c r="GH196" s="7"/>
      <c r="GI196" s="7"/>
      <c r="GJ196" s="7"/>
      <c r="GK196" s="7"/>
      <c r="GL196" s="7"/>
      <c r="GM196" s="7"/>
      <c r="GN196" s="7"/>
      <c r="GO196" s="7"/>
      <c r="GP196" s="7"/>
      <c r="GQ196" s="7"/>
      <c r="GR196" s="7"/>
      <c r="GS196" s="7"/>
      <c r="GT196" s="7"/>
      <c r="GU196" s="7"/>
      <c r="GV196" s="7"/>
      <c r="GW196" s="7"/>
      <c r="GX196" s="7"/>
      <c r="GY196" s="7"/>
      <c r="GZ196" s="7"/>
      <c r="HA196" s="7"/>
      <c r="HB196" s="7"/>
      <c r="HC196" s="7"/>
      <c r="HD196" s="7"/>
      <c r="HE196" s="7"/>
      <c r="HF196" s="7"/>
      <c r="HG196" s="7"/>
      <c r="HH196" s="7"/>
      <c r="HI196" s="7"/>
      <c r="HJ196" s="7"/>
      <c r="HK196" s="7"/>
      <c r="HL196" s="7"/>
      <c r="HM196" s="7"/>
      <c r="HN196" s="7"/>
      <c r="HO196" s="7"/>
      <c r="HP196" s="7"/>
      <c r="HQ196" s="7"/>
      <c r="HR196" s="7"/>
      <c r="HS196" s="7"/>
      <c r="HT196" s="7"/>
      <c r="HU196" s="7"/>
      <c r="HV196" s="7"/>
      <c r="HW196" s="7"/>
      <c r="HX196" s="7"/>
      <c r="HY196" s="7"/>
      <c r="HZ196" s="7"/>
      <c r="IA196" s="7"/>
      <c r="IB196" s="7"/>
      <c r="IC196" s="7"/>
      <c r="ID196" s="7"/>
      <c r="IE196" s="7"/>
      <c r="IF196" s="7"/>
      <c r="IG196" s="7"/>
      <c r="IH196" s="7"/>
      <c r="II196" s="7"/>
      <c r="IJ196" s="7"/>
      <c r="IK196" s="7"/>
      <c r="IL196" s="7"/>
    </row>
    <row r="197" spans="1:246" ht="15">
      <c r="A197" s="121" t="s">
        <v>154</v>
      </c>
      <c r="B197" s="122" t="s">
        <v>8</v>
      </c>
      <c r="C197" s="123"/>
      <c r="D197" s="124" t="s">
        <v>9</v>
      </c>
      <c r="E197" s="13">
        <v>1</v>
      </c>
      <c r="F197" s="13">
        <v>1</v>
      </c>
      <c r="G197" s="13">
        <v>1</v>
      </c>
      <c r="H197" s="13">
        <v>1</v>
      </c>
      <c r="I197" s="13">
        <v>1</v>
      </c>
      <c r="J197" s="13">
        <v>5</v>
      </c>
      <c r="K197" s="14">
        <v>154</v>
      </c>
      <c r="L197" s="13">
        <f>J197*K197</f>
        <v>770</v>
      </c>
      <c r="M197" s="13">
        <v>1</v>
      </c>
      <c r="N197" s="13">
        <v>1</v>
      </c>
      <c r="O197" s="13">
        <v>1</v>
      </c>
      <c r="P197" s="13">
        <v>1</v>
      </c>
      <c r="Q197" s="13">
        <v>1</v>
      </c>
      <c r="R197" s="13">
        <v>5</v>
      </c>
      <c r="S197" s="14">
        <v>154</v>
      </c>
      <c r="T197" s="13">
        <f>S197*R197</f>
        <v>770</v>
      </c>
      <c r="U197" s="13">
        <v>1</v>
      </c>
      <c r="V197" s="13">
        <v>1</v>
      </c>
      <c r="W197" s="13">
        <v>1</v>
      </c>
      <c r="X197" s="13">
        <v>1</v>
      </c>
      <c r="Y197" s="13">
        <v>1</v>
      </c>
      <c r="Z197" s="13">
        <v>5</v>
      </c>
      <c r="AA197" s="14">
        <v>154</v>
      </c>
      <c r="AB197" s="13">
        <f>AA197*Z197</f>
        <v>770</v>
      </c>
      <c r="AC197" s="13">
        <v>1</v>
      </c>
      <c r="AD197" s="13">
        <v>1</v>
      </c>
      <c r="AE197" s="13">
        <v>1</v>
      </c>
      <c r="AF197" s="13">
        <v>1</v>
      </c>
      <c r="AG197" s="13">
        <v>1</v>
      </c>
      <c r="AH197" s="13">
        <v>5</v>
      </c>
      <c r="AI197" s="14">
        <v>154</v>
      </c>
      <c r="AJ197" s="13">
        <f>AI197*AH197</f>
        <v>770</v>
      </c>
      <c r="AK197" s="13">
        <v>1</v>
      </c>
      <c r="AL197" s="13">
        <v>1</v>
      </c>
      <c r="AM197" s="13">
        <v>1</v>
      </c>
      <c r="AN197" s="13">
        <v>1</v>
      </c>
      <c r="AO197" s="13">
        <v>1</v>
      </c>
      <c r="AP197" s="13">
        <v>5</v>
      </c>
      <c r="AQ197" s="14">
        <v>154</v>
      </c>
      <c r="AR197" s="13">
        <f>AQ197*AP197</f>
        <v>770</v>
      </c>
      <c r="AS197" s="13">
        <v>1</v>
      </c>
      <c r="AT197" s="13">
        <v>1</v>
      </c>
      <c r="AU197" s="13">
        <v>1</v>
      </c>
      <c r="AV197" s="13">
        <v>1</v>
      </c>
      <c r="AW197" s="13">
        <v>1</v>
      </c>
      <c r="AX197" s="13">
        <v>5</v>
      </c>
      <c r="AY197" s="14">
        <v>154</v>
      </c>
      <c r="AZ197" s="13">
        <f>AY197*AX197</f>
        <v>770</v>
      </c>
      <c r="BA197" s="13">
        <v>1</v>
      </c>
      <c r="BB197" s="13">
        <v>1</v>
      </c>
      <c r="BC197" s="13">
        <v>1</v>
      </c>
      <c r="BD197" s="13">
        <v>1</v>
      </c>
      <c r="BE197" s="13">
        <v>1</v>
      </c>
      <c r="BF197" s="13">
        <v>5</v>
      </c>
      <c r="BG197" s="14">
        <v>154</v>
      </c>
      <c r="BH197" s="13">
        <f>BG197*BF197</f>
        <v>770</v>
      </c>
      <c r="BI197" s="13">
        <v>1</v>
      </c>
      <c r="BJ197" s="13">
        <v>1</v>
      </c>
      <c r="BK197" s="13">
        <v>1</v>
      </c>
      <c r="BL197" s="13">
        <v>1</v>
      </c>
      <c r="BM197" s="13">
        <v>1</v>
      </c>
      <c r="BN197" s="13">
        <v>5</v>
      </c>
      <c r="BO197" s="14">
        <v>154</v>
      </c>
      <c r="BP197" s="13">
        <f>BO197*BN197</f>
        <v>770</v>
      </c>
      <c r="BQ197" s="13">
        <v>1</v>
      </c>
      <c r="BR197" s="13">
        <v>1</v>
      </c>
      <c r="BS197" s="13">
        <v>1</v>
      </c>
      <c r="BT197" s="13">
        <v>1</v>
      </c>
      <c r="BU197" s="13">
        <v>1</v>
      </c>
      <c r="BV197" s="13">
        <v>5</v>
      </c>
      <c r="BW197" s="14">
        <v>154</v>
      </c>
      <c r="BX197" s="13">
        <f>BW197*BV197</f>
        <v>770</v>
      </c>
      <c r="BY197" s="13">
        <v>1</v>
      </c>
      <c r="BZ197" s="13">
        <v>1</v>
      </c>
      <c r="CA197" s="13">
        <v>1</v>
      </c>
      <c r="CB197" s="13">
        <v>1</v>
      </c>
      <c r="CC197" s="13">
        <v>1</v>
      </c>
      <c r="CD197" s="13">
        <v>5</v>
      </c>
      <c r="CE197" s="14">
        <v>154</v>
      </c>
      <c r="CF197" s="13">
        <f>CE197*CD197</f>
        <v>770</v>
      </c>
    </row>
    <row r="198" spans="1:246">
      <c r="A198" s="61" t="s">
        <v>154</v>
      </c>
      <c r="B198" s="16" t="s">
        <v>10</v>
      </c>
      <c r="C198" s="11"/>
      <c r="D198" s="17" t="s">
        <v>11</v>
      </c>
      <c r="E198" s="18"/>
      <c r="F198" s="13">
        <v>2</v>
      </c>
      <c r="G198" s="13"/>
      <c r="H198" s="13">
        <v>2</v>
      </c>
      <c r="I198" s="18"/>
      <c r="J198" s="13">
        <v>4</v>
      </c>
      <c r="K198" s="19">
        <v>165</v>
      </c>
      <c r="L198" s="13">
        <f t="shared" ref="L198:L215" si="107">J198*K198</f>
        <v>660</v>
      </c>
      <c r="M198" s="18"/>
      <c r="N198" s="13">
        <v>1</v>
      </c>
      <c r="O198" s="13"/>
      <c r="P198" s="13">
        <v>1</v>
      </c>
      <c r="Q198" s="18"/>
      <c r="R198" s="13">
        <v>2</v>
      </c>
      <c r="S198" s="19">
        <v>165</v>
      </c>
      <c r="T198" s="13">
        <f t="shared" ref="T198:T215" si="108">S198*R198</f>
        <v>330</v>
      </c>
      <c r="U198" s="18"/>
      <c r="V198" s="13">
        <v>1</v>
      </c>
      <c r="W198" s="13"/>
      <c r="X198" s="13">
        <v>1</v>
      </c>
      <c r="Y198" s="18"/>
      <c r="Z198" s="13">
        <v>2</v>
      </c>
      <c r="AA198" s="19">
        <v>165</v>
      </c>
      <c r="AB198" s="13">
        <f t="shared" ref="AB198:AB215" si="109">AA198*Z198</f>
        <v>330</v>
      </c>
      <c r="AC198" s="18"/>
      <c r="AD198" s="13">
        <v>1</v>
      </c>
      <c r="AE198" s="13"/>
      <c r="AF198" s="13">
        <v>1</v>
      </c>
      <c r="AG198" s="18"/>
      <c r="AH198" s="13">
        <v>2</v>
      </c>
      <c r="AI198" s="19">
        <v>165</v>
      </c>
      <c r="AJ198" s="13">
        <f t="shared" ref="AJ198:AJ215" si="110">AI198*AH198</f>
        <v>330</v>
      </c>
      <c r="AK198" s="18"/>
      <c r="AL198" s="13">
        <v>1</v>
      </c>
      <c r="AM198" s="13"/>
      <c r="AN198" s="13">
        <v>1</v>
      </c>
      <c r="AO198" s="18"/>
      <c r="AP198" s="13">
        <v>2</v>
      </c>
      <c r="AQ198" s="19">
        <v>165</v>
      </c>
      <c r="AR198" s="13">
        <f t="shared" ref="AR198:AR215" si="111">AQ198*AP198</f>
        <v>330</v>
      </c>
      <c r="AS198" s="18"/>
      <c r="AT198" s="13">
        <v>1</v>
      </c>
      <c r="AU198" s="13"/>
      <c r="AV198" s="13">
        <v>1</v>
      </c>
      <c r="AW198" s="18"/>
      <c r="AX198" s="13">
        <v>2</v>
      </c>
      <c r="AY198" s="19">
        <v>165</v>
      </c>
      <c r="AZ198" s="13">
        <f t="shared" ref="AZ198:AZ215" si="112">AY198*AX198</f>
        <v>330</v>
      </c>
      <c r="BA198" s="18"/>
      <c r="BB198" s="13">
        <v>1</v>
      </c>
      <c r="BC198" s="13"/>
      <c r="BD198" s="13">
        <v>1</v>
      </c>
      <c r="BE198" s="18"/>
      <c r="BF198" s="13">
        <v>2</v>
      </c>
      <c r="BG198" s="19">
        <v>165</v>
      </c>
      <c r="BH198" s="13">
        <f t="shared" ref="BH198:BH215" si="113">BG198*BF198</f>
        <v>330</v>
      </c>
      <c r="BI198" s="18"/>
      <c r="BJ198" s="13">
        <v>1</v>
      </c>
      <c r="BK198" s="13"/>
      <c r="BL198" s="13">
        <v>1</v>
      </c>
      <c r="BM198" s="18"/>
      <c r="BN198" s="13">
        <v>2</v>
      </c>
      <c r="BO198" s="19">
        <v>165</v>
      </c>
      <c r="BP198" s="13">
        <f t="shared" ref="BP198:BP215" si="114">BO198*BN198</f>
        <v>330</v>
      </c>
      <c r="BQ198" s="18"/>
      <c r="BR198" s="13">
        <v>1</v>
      </c>
      <c r="BS198" s="13"/>
      <c r="BT198" s="13">
        <v>1</v>
      </c>
      <c r="BU198" s="18"/>
      <c r="BV198" s="13">
        <v>2</v>
      </c>
      <c r="BW198" s="19">
        <v>165</v>
      </c>
      <c r="BX198" s="13">
        <f t="shared" ref="BX198:BX215" si="115">BW198*BV198</f>
        <v>330</v>
      </c>
      <c r="BY198" s="18"/>
      <c r="BZ198" s="13">
        <v>1</v>
      </c>
      <c r="CA198" s="13"/>
      <c r="CB198" s="13">
        <v>1</v>
      </c>
      <c r="CC198" s="18"/>
      <c r="CD198" s="13">
        <v>2</v>
      </c>
      <c r="CE198" s="19">
        <v>165</v>
      </c>
      <c r="CF198" s="13">
        <f t="shared" ref="CF198:CF215" si="116">CE198*CD198</f>
        <v>330</v>
      </c>
    </row>
    <row r="199" spans="1:246">
      <c r="A199" s="61" t="s">
        <v>154</v>
      </c>
      <c r="B199" s="20" t="s">
        <v>12</v>
      </c>
      <c r="C199" s="11"/>
      <c r="D199" s="11" t="s">
        <v>13</v>
      </c>
      <c r="E199" s="18"/>
      <c r="F199" s="13">
        <v>1</v>
      </c>
      <c r="G199" s="13"/>
      <c r="H199" s="13">
        <v>1</v>
      </c>
      <c r="I199" s="18"/>
      <c r="J199" s="13">
        <v>2</v>
      </c>
      <c r="K199" s="19">
        <v>306</v>
      </c>
      <c r="L199" s="13">
        <f t="shared" si="107"/>
        <v>612</v>
      </c>
      <c r="M199" s="18"/>
      <c r="N199" s="13">
        <v>1</v>
      </c>
      <c r="O199" s="13"/>
      <c r="P199" s="13">
        <v>1</v>
      </c>
      <c r="Q199" s="18"/>
      <c r="R199" s="13">
        <v>2</v>
      </c>
      <c r="S199" s="19">
        <v>306</v>
      </c>
      <c r="T199" s="13">
        <f t="shared" si="108"/>
        <v>612</v>
      </c>
      <c r="U199" s="18"/>
      <c r="V199" s="13">
        <v>1</v>
      </c>
      <c r="W199" s="13"/>
      <c r="X199" s="13">
        <v>1</v>
      </c>
      <c r="Y199" s="18"/>
      <c r="Z199" s="13">
        <v>2</v>
      </c>
      <c r="AA199" s="19">
        <v>306</v>
      </c>
      <c r="AB199" s="13">
        <f t="shared" si="109"/>
        <v>612</v>
      </c>
      <c r="AC199" s="18"/>
      <c r="AD199" s="13">
        <v>1</v>
      </c>
      <c r="AE199" s="13"/>
      <c r="AF199" s="13">
        <v>1</v>
      </c>
      <c r="AG199" s="18"/>
      <c r="AH199" s="13">
        <v>2</v>
      </c>
      <c r="AI199" s="19">
        <v>306</v>
      </c>
      <c r="AJ199" s="13">
        <f t="shared" si="110"/>
        <v>612</v>
      </c>
      <c r="AK199" s="18"/>
      <c r="AL199" s="13">
        <v>1</v>
      </c>
      <c r="AM199" s="13"/>
      <c r="AN199" s="13">
        <v>1</v>
      </c>
      <c r="AO199" s="18"/>
      <c r="AP199" s="13">
        <v>2</v>
      </c>
      <c r="AQ199" s="19">
        <v>306</v>
      </c>
      <c r="AR199" s="13">
        <f t="shared" si="111"/>
        <v>612</v>
      </c>
      <c r="AS199" s="18"/>
      <c r="AT199" s="13">
        <v>1</v>
      </c>
      <c r="AU199" s="13"/>
      <c r="AV199" s="13">
        <v>1</v>
      </c>
      <c r="AW199" s="18"/>
      <c r="AX199" s="13">
        <v>2</v>
      </c>
      <c r="AY199" s="19">
        <v>306</v>
      </c>
      <c r="AZ199" s="13">
        <f t="shared" si="112"/>
        <v>612</v>
      </c>
      <c r="BA199" s="18"/>
      <c r="BB199" s="13">
        <v>1</v>
      </c>
      <c r="BC199" s="13"/>
      <c r="BD199" s="13">
        <v>1</v>
      </c>
      <c r="BE199" s="18"/>
      <c r="BF199" s="13">
        <v>2</v>
      </c>
      <c r="BG199" s="19">
        <v>306</v>
      </c>
      <c r="BH199" s="13">
        <f t="shared" si="113"/>
        <v>612</v>
      </c>
      <c r="BI199" s="18"/>
      <c r="BJ199" s="13">
        <v>1</v>
      </c>
      <c r="BK199" s="13"/>
      <c r="BL199" s="13">
        <v>1</v>
      </c>
      <c r="BM199" s="18"/>
      <c r="BN199" s="13">
        <v>2</v>
      </c>
      <c r="BO199" s="19">
        <v>306</v>
      </c>
      <c r="BP199" s="13">
        <f t="shared" si="114"/>
        <v>612</v>
      </c>
      <c r="BQ199" s="18"/>
      <c r="BR199" s="13">
        <v>1</v>
      </c>
      <c r="BS199" s="13"/>
      <c r="BT199" s="13">
        <v>1</v>
      </c>
      <c r="BU199" s="18"/>
      <c r="BV199" s="13">
        <v>2</v>
      </c>
      <c r="BW199" s="19">
        <v>306</v>
      </c>
      <c r="BX199" s="13">
        <f t="shared" si="115"/>
        <v>612</v>
      </c>
      <c r="BY199" s="18"/>
      <c r="BZ199" s="13">
        <v>1</v>
      </c>
      <c r="CA199" s="13"/>
      <c r="CB199" s="13">
        <v>1</v>
      </c>
      <c r="CC199" s="18"/>
      <c r="CD199" s="13">
        <v>2</v>
      </c>
      <c r="CE199" s="19">
        <v>306</v>
      </c>
      <c r="CF199" s="13">
        <f t="shared" si="116"/>
        <v>612</v>
      </c>
    </row>
    <row r="200" spans="1:246">
      <c r="A200" s="61" t="s">
        <v>154</v>
      </c>
      <c r="B200" s="10" t="s">
        <v>14</v>
      </c>
      <c r="C200" s="11"/>
      <c r="D200" s="11" t="s">
        <v>15</v>
      </c>
      <c r="E200" s="18"/>
      <c r="F200" s="13"/>
      <c r="G200" s="13"/>
      <c r="H200" s="13"/>
      <c r="I200" s="18"/>
      <c r="J200" s="13"/>
      <c r="K200" s="21">
        <v>166</v>
      </c>
      <c r="L200" s="13">
        <f t="shared" si="107"/>
        <v>0</v>
      </c>
      <c r="M200" s="18"/>
      <c r="N200" s="13"/>
      <c r="O200" s="13"/>
      <c r="P200" s="13"/>
      <c r="Q200" s="18"/>
      <c r="R200" s="13"/>
      <c r="S200" s="21">
        <v>166</v>
      </c>
      <c r="T200" s="13">
        <f t="shared" si="108"/>
        <v>0</v>
      </c>
      <c r="U200" s="18"/>
      <c r="V200" s="13"/>
      <c r="W200" s="13"/>
      <c r="X200" s="13"/>
      <c r="Y200" s="18">
        <v>2</v>
      </c>
      <c r="Z200" s="13">
        <v>2</v>
      </c>
      <c r="AA200" s="21">
        <v>166</v>
      </c>
      <c r="AB200" s="13">
        <f t="shared" si="109"/>
        <v>332</v>
      </c>
      <c r="AC200" s="18"/>
      <c r="AD200" s="13"/>
      <c r="AE200" s="13"/>
      <c r="AF200" s="13"/>
      <c r="AG200" s="18"/>
      <c r="AH200" s="13">
        <v>0</v>
      </c>
      <c r="AI200" s="21">
        <v>166</v>
      </c>
      <c r="AJ200" s="13">
        <f t="shared" si="110"/>
        <v>0</v>
      </c>
      <c r="AK200" s="18"/>
      <c r="AL200" s="13"/>
      <c r="AM200" s="13"/>
      <c r="AN200" s="13"/>
      <c r="AO200" s="18"/>
      <c r="AP200" s="13">
        <v>0</v>
      </c>
      <c r="AQ200" s="21">
        <v>166</v>
      </c>
      <c r="AR200" s="13">
        <f t="shared" si="111"/>
        <v>0</v>
      </c>
      <c r="AS200" s="18"/>
      <c r="AT200" s="13"/>
      <c r="AU200" s="13"/>
      <c r="AV200" s="13"/>
      <c r="AW200" s="18">
        <v>2</v>
      </c>
      <c r="AX200" s="13">
        <v>2</v>
      </c>
      <c r="AY200" s="21">
        <v>166</v>
      </c>
      <c r="AZ200" s="13">
        <f t="shared" si="112"/>
        <v>332</v>
      </c>
      <c r="BA200" s="18"/>
      <c r="BB200" s="13"/>
      <c r="BC200" s="13"/>
      <c r="BD200" s="13"/>
      <c r="BE200" s="18"/>
      <c r="BF200" s="13">
        <v>0</v>
      </c>
      <c r="BG200" s="21">
        <v>166</v>
      </c>
      <c r="BH200" s="13">
        <f t="shared" si="113"/>
        <v>0</v>
      </c>
      <c r="BI200" s="18"/>
      <c r="BJ200" s="13"/>
      <c r="BK200" s="13"/>
      <c r="BL200" s="13"/>
      <c r="BM200" s="18"/>
      <c r="BN200" s="13">
        <v>0</v>
      </c>
      <c r="BO200" s="21">
        <v>166</v>
      </c>
      <c r="BP200" s="13">
        <f t="shared" si="114"/>
        <v>0</v>
      </c>
      <c r="BQ200" s="18"/>
      <c r="BR200" s="13"/>
      <c r="BS200" s="13"/>
      <c r="BT200" s="13"/>
      <c r="BU200" s="18">
        <v>2</v>
      </c>
      <c r="BV200" s="13">
        <v>2</v>
      </c>
      <c r="BW200" s="21">
        <v>166</v>
      </c>
      <c r="BX200" s="13">
        <f t="shared" si="115"/>
        <v>332</v>
      </c>
      <c r="BY200" s="18"/>
      <c r="BZ200" s="13"/>
      <c r="CA200" s="13"/>
      <c r="CB200" s="13"/>
      <c r="CC200" s="18"/>
      <c r="CD200" s="13">
        <v>0</v>
      </c>
      <c r="CE200" s="21">
        <v>166</v>
      </c>
      <c r="CF200" s="13">
        <f t="shared" si="116"/>
        <v>0</v>
      </c>
    </row>
    <row r="201" spans="1:246">
      <c r="A201" s="61" t="s">
        <v>154</v>
      </c>
      <c r="B201" s="10" t="s">
        <v>18</v>
      </c>
      <c r="C201" s="11"/>
      <c r="D201" s="12" t="s">
        <v>19</v>
      </c>
      <c r="E201" s="18"/>
      <c r="F201" s="13">
        <v>1</v>
      </c>
      <c r="G201" s="13"/>
      <c r="H201" s="13">
        <v>1</v>
      </c>
      <c r="I201" s="18"/>
      <c r="J201" s="13">
        <v>1</v>
      </c>
      <c r="K201" s="19">
        <v>25</v>
      </c>
      <c r="L201" s="13">
        <f t="shared" si="107"/>
        <v>25</v>
      </c>
      <c r="M201" s="18"/>
      <c r="N201" s="13">
        <v>1</v>
      </c>
      <c r="O201" s="13"/>
      <c r="P201" s="13">
        <v>1</v>
      </c>
      <c r="Q201" s="18"/>
      <c r="R201" s="13">
        <v>1</v>
      </c>
      <c r="S201" s="19">
        <v>25</v>
      </c>
      <c r="T201" s="13">
        <f t="shared" si="108"/>
        <v>25</v>
      </c>
      <c r="U201" s="18"/>
      <c r="V201" s="13">
        <v>1</v>
      </c>
      <c r="W201" s="13"/>
      <c r="X201" s="13">
        <v>1</v>
      </c>
      <c r="Y201" s="18"/>
      <c r="Z201" s="13">
        <v>1</v>
      </c>
      <c r="AA201" s="19">
        <v>25</v>
      </c>
      <c r="AB201" s="13">
        <f t="shared" si="109"/>
        <v>25</v>
      </c>
      <c r="AC201" s="18"/>
      <c r="AD201" s="13">
        <v>1</v>
      </c>
      <c r="AE201" s="13"/>
      <c r="AF201" s="13">
        <v>1</v>
      </c>
      <c r="AG201" s="18"/>
      <c r="AH201" s="13">
        <v>1</v>
      </c>
      <c r="AI201" s="19">
        <v>25</v>
      </c>
      <c r="AJ201" s="13">
        <f t="shared" si="110"/>
        <v>25</v>
      </c>
      <c r="AK201" s="18"/>
      <c r="AL201" s="13">
        <v>1</v>
      </c>
      <c r="AM201" s="13"/>
      <c r="AN201" s="13">
        <v>1</v>
      </c>
      <c r="AO201" s="18"/>
      <c r="AP201" s="13">
        <v>1</v>
      </c>
      <c r="AQ201" s="19">
        <v>25</v>
      </c>
      <c r="AR201" s="13">
        <f t="shared" si="111"/>
        <v>25</v>
      </c>
      <c r="AS201" s="18"/>
      <c r="AT201" s="13">
        <v>1</v>
      </c>
      <c r="AU201" s="13"/>
      <c r="AV201" s="13">
        <v>1</v>
      </c>
      <c r="AW201" s="18"/>
      <c r="AX201" s="13">
        <v>1</v>
      </c>
      <c r="AY201" s="19">
        <v>25</v>
      </c>
      <c r="AZ201" s="13">
        <f t="shared" si="112"/>
        <v>25</v>
      </c>
      <c r="BA201" s="18"/>
      <c r="BB201" s="13">
        <v>1</v>
      </c>
      <c r="BC201" s="13"/>
      <c r="BD201" s="13">
        <v>1</v>
      </c>
      <c r="BE201" s="18"/>
      <c r="BF201" s="13">
        <v>1</v>
      </c>
      <c r="BG201" s="19">
        <v>25</v>
      </c>
      <c r="BH201" s="13">
        <f t="shared" si="113"/>
        <v>25</v>
      </c>
      <c r="BI201" s="18"/>
      <c r="BJ201" s="13">
        <v>1</v>
      </c>
      <c r="BK201" s="13"/>
      <c r="BL201" s="13">
        <v>1</v>
      </c>
      <c r="BM201" s="18"/>
      <c r="BN201" s="13">
        <v>1</v>
      </c>
      <c r="BO201" s="19">
        <v>25</v>
      </c>
      <c r="BP201" s="13">
        <f t="shared" si="114"/>
        <v>25</v>
      </c>
      <c r="BQ201" s="18"/>
      <c r="BR201" s="13">
        <v>1</v>
      </c>
      <c r="BS201" s="13"/>
      <c r="BT201" s="13">
        <v>1</v>
      </c>
      <c r="BU201" s="18"/>
      <c r="BV201" s="13">
        <v>1</v>
      </c>
      <c r="BW201" s="19">
        <v>25</v>
      </c>
      <c r="BX201" s="13">
        <f t="shared" si="115"/>
        <v>25</v>
      </c>
      <c r="BY201" s="18"/>
      <c r="BZ201" s="13">
        <v>1</v>
      </c>
      <c r="CA201" s="13"/>
      <c r="CB201" s="13">
        <v>1</v>
      </c>
      <c r="CC201" s="18"/>
      <c r="CD201" s="13">
        <v>1</v>
      </c>
      <c r="CE201" s="19">
        <v>25</v>
      </c>
      <c r="CF201" s="13">
        <f t="shared" si="116"/>
        <v>25</v>
      </c>
    </row>
    <row r="202" spans="1:246">
      <c r="A202" s="61" t="s">
        <v>154</v>
      </c>
      <c r="B202" s="10" t="s">
        <v>20</v>
      </c>
      <c r="C202" s="11"/>
      <c r="D202" s="12" t="s">
        <v>21</v>
      </c>
      <c r="E202" s="18"/>
      <c r="F202" s="13">
        <v>1</v>
      </c>
      <c r="G202" s="13"/>
      <c r="H202" s="13">
        <v>1</v>
      </c>
      <c r="I202" s="18"/>
      <c r="J202" s="13">
        <v>2</v>
      </c>
      <c r="K202" s="21">
        <v>112</v>
      </c>
      <c r="L202" s="13">
        <f t="shared" si="107"/>
        <v>224</v>
      </c>
      <c r="M202" s="18"/>
      <c r="N202" s="13">
        <v>1</v>
      </c>
      <c r="O202" s="13"/>
      <c r="P202" s="13">
        <v>1</v>
      </c>
      <c r="Q202" s="18"/>
      <c r="R202" s="13">
        <v>2</v>
      </c>
      <c r="S202" s="21">
        <v>112</v>
      </c>
      <c r="T202" s="13">
        <f t="shared" si="108"/>
        <v>224</v>
      </c>
      <c r="U202" s="18"/>
      <c r="V202" s="13">
        <v>1</v>
      </c>
      <c r="W202" s="13"/>
      <c r="X202" s="13">
        <v>1</v>
      </c>
      <c r="Y202" s="18"/>
      <c r="Z202" s="13">
        <v>2</v>
      </c>
      <c r="AA202" s="21">
        <v>112</v>
      </c>
      <c r="AB202" s="13">
        <f t="shared" si="109"/>
        <v>224</v>
      </c>
      <c r="AC202" s="18"/>
      <c r="AD202" s="13">
        <v>1</v>
      </c>
      <c r="AE202" s="13"/>
      <c r="AF202" s="13">
        <v>1</v>
      </c>
      <c r="AG202" s="18"/>
      <c r="AH202" s="13">
        <v>2</v>
      </c>
      <c r="AI202" s="21">
        <v>112</v>
      </c>
      <c r="AJ202" s="13">
        <f t="shared" si="110"/>
        <v>224</v>
      </c>
      <c r="AK202" s="18"/>
      <c r="AL202" s="13">
        <v>1</v>
      </c>
      <c r="AM202" s="13"/>
      <c r="AN202" s="13">
        <v>1</v>
      </c>
      <c r="AO202" s="18"/>
      <c r="AP202" s="13">
        <v>2</v>
      </c>
      <c r="AQ202" s="21">
        <v>112</v>
      </c>
      <c r="AR202" s="13">
        <f t="shared" si="111"/>
        <v>224</v>
      </c>
      <c r="AS202" s="18"/>
      <c r="AT202" s="13">
        <v>1</v>
      </c>
      <c r="AU202" s="13"/>
      <c r="AV202" s="13">
        <v>1</v>
      </c>
      <c r="AW202" s="18"/>
      <c r="AX202" s="13">
        <v>2</v>
      </c>
      <c r="AY202" s="21">
        <v>112</v>
      </c>
      <c r="AZ202" s="13">
        <f t="shared" si="112"/>
        <v>224</v>
      </c>
      <c r="BA202" s="18"/>
      <c r="BB202" s="13">
        <v>1</v>
      </c>
      <c r="BC202" s="13"/>
      <c r="BD202" s="13">
        <v>1</v>
      </c>
      <c r="BE202" s="18"/>
      <c r="BF202" s="13">
        <v>2</v>
      </c>
      <c r="BG202" s="21">
        <v>112</v>
      </c>
      <c r="BH202" s="13">
        <f t="shared" si="113"/>
        <v>224</v>
      </c>
      <c r="BI202" s="18"/>
      <c r="BJ202" s="13">
        <v>1</v>
      </c>
      <c r="BK202" s="13"/>
      <c r="BL202" s="13">
        <v>1</v>
      </c>
      <c r="BM202" s="18"/>
      <c r="BN202" s="13">
        <v>2</v>
      </c>
      <c r="BO202" s="21">
        <v>112</v>
      </c>
      <c r="BP202" s="13">
        <f t="shared" si="114"/>
        <v>224</v>
      </c>
      <c r="BQ202" s="18"/>
      <c r="BR202" s="13">
        <v>1</v>
      </c>
      <c r="BS202" s="13"/>
      <c r="BT202" s="13">
        <v>1</v>
      </c>
      <c r="BU202" s="18"/>
      <c r="BV202" s="13">
        <v>2</v>
      </c>
      <c r="BW202" s="21">
        <v>112</v>
      </c>
      <c r="BX202" s="13">
        <f t="shared" si="115"/>
        <v>224</v>
      </c>
      <c r="BY202" s="18"/>
      <c r="BZ202" s="13">
        <v>1</v>
      </c>
      <c r="CA202" s="13"/>
      <c r="CB202" s="13">
        <v>1</v>
      </c>
      <c r="CC202" s="18"/>
      <c r="CD202" s="13">
        <v>2</v>
      </c>
      <c r="CE202" s="21">
        <v>112</v>
      </c>
      <c r="CF202" s="13">
        <f t="shared" si="116"/>
        <v>224</v>
      </c>
    </row>
    <row r="203" spans="1:246">
      <c r="A203" s="61" t="s">
        <v>154</v>
      </c>
      <c r="B203" s="10" t="s">
        <v>22</v>
      </c>
      <c r="C203" s="11"/>
      <c r="D203" s="11" t="s">
        <v>23</v>
      </c>
      <c r="E203" s="18"/>
      <c r="F203" s="13">
        <v>1</v>
      </c>
      <c r="G203" s="13"/>
      <c r="H203" s="13">
        <v>1</v>
      </c>
      <c r="I203" s="18"/>
      <c r="J203" s="13">
        <v>2</v>
      </c>
      <c r="K203" s="22">
        <v>275</v>
      </c>
      <c r="L203" s="13">
        <f t="shared" si="107"/>
        <v>550</v>
      </c>
      <c r="M203" s="18"/>
      <c r="N203" s="13">
        <v>1</v>
      </c>
      <c r="O203" s="13"/>
      <c r="P203" s="13">
        <v>1</v>
      </c>
      <c r="Q203" s="18"/>
      <c r="R203" s="13">
        <v>2</v>
      </c>
      <c r="S203" s="22">
        <v>275</v>
      </c>
      <c r="T203" s="13">
        <f t="shared" si="108"/>
        <v>550</v>
      </c>
      <c r="U203" s="18"/>
      <c r="V203" s="13">
        <v>1</v>
      </c>
      <c r="W203" s="13"/>
      <c r="X203" s="13">
        <v>1</v>
      </c>
      <c r="Y203" s="18"/>
      <c r="Z203" s="13">
        <v>2</v>
      </c>
      <c r="AA203" s="22">
        <v>275</v>
      </c>
      <c r="AB203" s="13">
        <f t="shared" si="109"/>
        <v>550</v>
      </c>
      <c r="AC203" s="18"/>
      <c r="AD203" s="13">
        <v>1</v>
      </c>
      <c r="AE203" s="13"/>
      <c r="AF203" s="13">
        <v>1</v>
      </c>
      <c r="AG203" s="18"/>
      <c r="AH203" s="13">
        <v>2</v>
      </c>
      <c r="AI203" s="22">
        <v>275</v>
      </c>
      <c r="AJ203" s="13">
        <f t="shared" si="110"/>
        <v>550</v>
      </c>
      <c r="AK203" s="18"/>
      <c r="AL203" s="13">
        <v>1</v>
      </c>
      <c r="AM203" s="13"/>
      <c r="AN203" s="13">
        <v>1</v>
      </c>
      <c r="AO203" s="18"/>
      <c r="AP203" s="13">
        <v>2</v>
      </c>
      <c r="AQ203" s="22">
        <v>275</v>
      </c>
      <c r="AR203" s="13">
        <f t="shared" si="111"/>
        <v>550</v>
      </c>
      <c r="AS203" s="18"/>
      <c r="AT203" s="13">
        <v>1</v>
      </c>
      <c r="AU203" s="13"/>
      <c r="AV203" s="13">
        <v>1</v>
      </c>
      <c r="AW203" s="18"/>
      <c r="AX203" s="13">
        <v>2</v>
      </c>
      <c r="AY203" s="22">
        <v>275</v>
      </c>
      <c r="AZ203" s="13">
        <f t="shared" si="112"/>
        <v>550</v>
      </c>
      <c r="BA203" s="18"/>
      <c r="BB203" s="13">
        <v>1</v>
      </c>
      <c r="BC203" s="13"/>
      <c r="BD203" s="13">
        <v>1</v>
      </c>
      <c r="BE203" s="18"/>
      <c r="BF203" s="13">
        <v>2</v>
      </c>
      <c r="BG203" s="22">
        <v>275</v>
      </c>
      <c r="BH203" s="13">
        <f t="shared" si="113"/>
        <v>550</v>
      </c>
      <c r="BI203" s="18"/>
      <c r="BJ203" s="13">
        <v>1</v>
      </c>
      <c r="BK203" s="13"/>
      <c r="BL203" s="13">
        <v>1</v>
      </c>
      <c r="BM203" s="18"/>
      <c r="BN203" s="13">
        <v>2</v>
      </c>
      <c r="BO203" s="22">
        <v>275</v>
      </c>
      <c r="BP203" s="13">
        <f t="shared" si="114"/>
        <v>550</v>
      </c>
      <c r="BQ203" s="18"/>
      <c r="BR203" s="13">
        <v>1</v>
      </c>
      <c r="BS203" s="13"/>
      <c r="BT203" s="13">
        <v>1</v>
      </c>
      <c r="BU203" s="18"/>
      <c r="BV203" s="13">
        <v>2</v>
      </c>
      <c r="BW203" s="22">
        <v>275</v>
      </c>
      <c r="BX203" s="13">
        <f t="shared" si="115"/>
        <v>550</v>
      </c>
      <c r="BY203" s="18"/>
      <c r="BZ203" s="13">
        <v>1</v>
      </c>
      <c r="CA203" s="13"/>
      <c r="CB203" s="13">
        <v>1</v>
      </c>
      <c r="CC203" s="18"/>
      <c r="CD203" s="13">
        <v>2</v>
      </c>
      <c r="CE203" s="22">
        <v>275</v>
      </c>
      <c r="CF203" s="13">
        <f t="shared" si="116"/>
        <v>550</v>
      </c>
    </row>
    <row r="204" spans="1:246">
      <c r="A204" s="61" t="s">
        <v>154</v>
      </c>
      <c r="B204" s="10" t="s">
        <v>24</v>
      </c>
      <c r="C204" s="11"/>
      <c r="D204" s="12" t="s">
        <v>25</v>
      </c>
      <c r="E204" s="18"/>
      <c r="F204" s="13"/>
      <c r="G204" s="13"/>
      <c r="H204" s="13"/>
      <c r="I204" s="18"/>
      <c r="J204" s="13"/>
      <c r="K204" s="19">
        <v>623</v>
      </c>
      <c r="L204" s="13">
        <f t="shared" si="107"/>
        <v>0</v>
      </c>
      <c r="M204" s="18"/>
      <c r="N204" s="13"/>
      <c r="O204" s="13"/>
      <c r="P204" s="13"/>
      <c r="Q204" s="18"/>
      <c r="R204" s="13"/>
      <c r="S204" s="19">
        <v>623</v>
      </c>
      <c r="T204" s="13">
        <f t="shared" si="108"/>
        <v>0</v>
      </c>
      <c r="U204" s="18"/>
      <c r="V204" s="13"/>
      <c r="W204" s="13"/>
      <c r="X204" s="13"/>
      <c r="Y204" s="18">
        <v>2</v>
      </c>
      <c r="Z204" s="13">
        <v>2</v>
      </c>
      <c r="AA204" s="19">
        <v>623</v>
      </c>
      <c r="AB204" s="13">
        <f t="shared" si="109"/>
        <v>1246</v>
      </c>
      <c r="AC204" s="18"/>
      <c r="AD204" s="13"/>
      <c r="AE204" s="13"/>
      <c r="AF204" s="13"/>
      <c r="AG204" s="18"/>
      <c r="AH204" s="13"/>
      <c r="AI204" s="19">
        <v>623</v>
      </c>
      <c r="AJ204" s="13">
        <f t="shared" si="110"/>
        <v>0</v>
      </c>
      <c r="AK204" s="18"/>
      <c r="AL204" s="13"/>
      <c r="AM204" s="13"/>
      <c r="AN204" s="13"/>
      <c r="AO204" s="18"/>
      <c r="AP204" s="13"/>
      <c r="AQ204" s="19">
        <v>623</v>
      </c>
      <c r="AR204" s="13">
        <f t="shared" si="111"/>
        <v>0</v>
      </c>
      <c r="AS204" s="18"/>
      <c r="AT204" s="13"/>
      <c r="AU204" s="13"/>
      <c r="AV204" s="13"/>
      <c r="AW204" s="18">
        <v>2</v>
      </c>
      <c r="AX204" s="13">
        <v>2</v>
      </c>
      <c r="AY204" s="19">
        <v>623</v>
      </c>
      <c r="AZ204" s="13">
        <f t="shared" si="112"/>
        <v>1246</v>
      </c>
      <c r="BA204" s="18"/>
      <c r="BB204" s="13"/>
      <c r="BC204" s="13"/>
      <c r="BD204" s="13"/>
      <c r="BE204" s="18"/>
      <c r="BF204" s="13"/>
      <c r="BG204" s="19">
        <v>623</v>
      </c>
      <c r="BH204" s="13">
        <f t="shared" si="113"/>
        <v>0</v>
      </c>
      <c r="BI204" s="18"/>
      <c r="BJ204" s="13"/>
      <c r="BK204" s="13"/>
      <c r="BL204" s="13"/>
      <c r="BM204" s="18"/>
      <c r="BN204" s="13"/>
      <c r="BO204" s="19">
        <v>623</v>
      </c>
      <c r="BP204" s="13">
        <f t="shared" si="114"/>
        <v>0</v>
      </c>
      <c r="BQ204" s="18"/>
      <c r="BR204" s="13"/>
      <c r="BS204" s="13"/>
      <c r="BT204" s="13"/>
      <c r="BU204" s="18">
        <v>2</v>
      </c>
      <c r="BV204" s="13">
        <v>2</v>
      </c>
      <c r="BW204" s="19">
        <v>623</v>
      </c>
      <c r="BX204" s="13">
        <f t="shared" si="115"/>
        <v>1246</v>
      </c>
      <c r="BY204" s="18"/>
      <c r="BZ204" s="13"/>
      <c r="CA204" s="13"/>
      <c r="CB204" s="13"/>
      <c r="CC204" s="18"/>
      <c r="CD204" s="13"/>
      <c r="CE204" s="19">
        <v>623</v>
      </c>
      <c r="CF204" s="13">
        <f t="shared" si="116"/>
        <v>0</v>
      </c>
    </row>
    <row r="205" spans="1:246">
      <c r="A205" s="61" t="s">
        <v>154</v>
      </c>
      <c r="B205" s="10" t="s">
        <v>155</v>
      </c>
      <c r="C205" s="11"/>
      <c r="D205" s="11" t="s">
        <v>156</v>
      </c>
      <c r="E205" s="125"/>
      <c r="F205" s="13"/>
      <c r="G205" s="13"/>
      <c r="H205" s="13"/>
      <c r="I205" s="125"/>
      <c r="J205" s="25"/>
      <c r="K205" s="13">
        <v>3147</v>
      </c>
      <c r="L205" s="13">
        <f t="shared" si="107"/>
        <v>0</v>
      </c>
      <c r="M205" s="125"/>
      <c r="N205" s="13"/>
      <c r="O205" s="13"/>
      <c r="P205" s="13"/>
      <c r="Q205" s="125"/>
      <c r="R205" s="25"/>
      <c r="S205" s="13">
        <v>3147</v>
      </c>
      <c r="T205" s="13">
        <f t="shared" si="108"/>
        <v>0</v>
      </c>
      <c r="U205" s="125"/>
      <c r="V205" s="13"/>
      <c r="W205" s="13"/>
      <c r="X205" s="13"/>
      <c r="Y205" s="125">
        <v>1</v>
      </c>
      <c r="Z205" s="25">
        <v>1</v>
      </c>
      <c r="AA205" s="13">
        <v>3147</v>
      </c>
      <c r="AB205" s="13">
        <f t="shared" si="109"/>
        <v>3147</v>
      </c>
      <c r="AC205" s="125"/>
      <c r="AD205" s="13"/>
      <c r="AE205" s="13"/>
      <c r="AF205" s="13"/>
      <c r="AG205" s="125"/>
      <c r="AH205" s="25"/>
      <c r="AI205" s="13">
        <v>3147</v>
      </c>
      <c r="AJ205" s="13">
        <f t="shared" si="110"/>
        <v>0</v>
      </c>
      <c r="AK205" s="125"/>
      <c r="AL205" s="13"/>
      <c r="AM205" s="13"/>
      <c r="AN205" s="13"/>
      <c r="AO205" s="125"/>
      <c r="AP205" s="25"/>
      <c r="AQ205" s="13">
        <v>3147</v>
      </c>
      <c r="AR205" s="13">
        <f t="shared" si="111"/>
        <v>0</v>
      </c>
      <c r="AS205" s="125"/>
      <c r="AT205" s="13"/>
      <c r="AU205" s="13"/>
      <c r="AV205" s="13"/>
      <c r="AW205" s="125">
        <v>1</v>
      </c>
      <c r="AX205" s="25">
        <v>1</v>
      </c>
      <c r="AY205" s="13">
        <v>3147</v>
      </c>
      <c r="AZ205" s="13">
        <f t="shared" si="112"/>
        <v>3147</v>
      </c>
      <c r="BA205" s="125"/>
      <c r="BB205" s="13"/>
      <c r="BC205" s="13"/>
      <c r="BD205" s="13"/>
      <c r="BE205" s="125"/>
      <c r="BF205" s="25"/>
      <c r="BG205" s="13">
        <v>3147</v>
      </c>
      <c r="BH205" s="13">
        <f t="shared" si="113"/>
        <v>0</v>
      </c>
      <c r="BI205" s="125"/>
      <c r="BJ205" s="13"/>
      <c r="BK205" s="13"/>
      <c r="BL205" s="13"/>
      <c r="BM205" s="125"/>
      <c r="BN205" s="25"/>
      <c r="BO205" s="13">
        <v>3147</v>
      </c>
      <c r="BP205" s="13">
        <f t="shared" si="114"/>
        <v>0</v>
      </c>
      <c r="BQ205" s="125"/>
      <c r="BR205" s="13"/>
      <c r="BS205" s="13"/>
      <c r="BT205" s="13"/>
      <c r="BU205" s="125">
        <v>1</v>
      </c>
      <c r="BV205" s="25">
        <v>1</v>
      </c>
      <c r="BW205" s="13">
        <v>3147</v>
      </c>
      <c r="BX205" s="13">
        <f t="shared" si="115"/>
        <v>3147</v>
      </c>
      <c r="BY205" s="125"/>
      <c r="BZ205" s="13"/>
      <c r="CA205" s="13"/>
      <c r="CB205" s="13"/>
      <c r="CC205" s="125"/>
      <c r="CD205" s="25"/>
      <c r="CE205" s="13">
        <v>3147</v>
      </c>
      <c r="CF205" s="13">
        <f t="shared" si="116"/>
        <v>0</v>
      </c>
    </row>
    <row r="206" spans="1:246">
      <c r="A206" s="61" t="s">
        <v>154</v>
      </c>
      <c r="B206" s="10" t="s">
        <v>157</v>
      </c>
      <c r="C206" s="11"/>
      <c r="D206" s="11" t="s">
        <v>158</v>
      </c>
      <c r="E206" s="125"/>
      <c r="F206" s="13"/>
      <c r="G206" s="13"/>
      <c r="H206" s="13"/>
      <c r="I206" s="125"/>
      <c r="J206" s="25"/>
      <c r="K206" s="13">
        <v>2595</v>
      </c>
      <c r="L206" s="13">
        <f t="shared" si="107"/>
        <v>0</v>
      </c>
      <c r="M206" s="125"/>
      <c r="N206" s="13"/>
      <c r="O206" s="13"/>
      <c r="P206" s="13"/>
      <c r="Q206" s="125"/>
      <c r="R206" s="25"/>
      <c r="S206" s="13">
        <v>2595</v>
      </c>
      <c r="T206" s="13">
        <f t="shared" si="108"/>
        <v>0</v>
      </c>
      <c r="U206" s="125"/>
      <c r="V206" s="13"/>
      <c r="W206" s="13"/>
      <c r="X206" s="13"/>
      <c r="Y206" s="125">
        <v>1</v>
      </c>
      <c r="Z206" s="25">
        <v>1</v>
      </c>
      <c r="AA206" s="13">
        <v>2595</v>
      </c>
      <c r="AB206" s="13">
        <f t="shared" si="109"/>
        <v>2595</v>
      </c>
      <c r="AC206" s="125"/>
      <c r="AD206" s="13"/>
      <c r="AE206" s="13"/>
      <c r="AF206" s="13"/>
      <c r="AG206" s="125"/>
      <c r="AH206" s="25"/>
      <c r="AI206" s="13">
        <v>2595</v>
      </c>
      <c r="AJ206" s="13">
        <f t="shared" si="110"/>
        <v>0</v>
      </c>
      <c r="AK206" s="125"/>
      <c r="AL206" s="13"/>
      <c r="AM206" s="13"/>
      <c r="AN206" s="13"/>
      <c r="AO206" s="125"/>
      <c r="AP206" s="25"/>
      <c r="AQ206" s="13">
        <v>2595</v>
      </c>
      <c r="AR206" s="13">
        <f t="shared" si="111"/>
        <v>0</v>
      </c>
      <c r="AS206" s="125"/>
      <c r="AT206" s="13"/>
      <c r="AU206" s="13"/>
      <c r="AV206" s="13"/>
      <c r="AW206" s="125">
        <v>1</v>
      </c>
      <c r="AX206" s="25">
        <v>1</v>
      </c>
      <c r="AY206" s="13">
        <v>2595</v>
      </c>
      <c r="AZ206" s="13">
        <f t="shared" si="112"/>
        <v>2595</v>
      </c>
      <c r="BA206" s="125"/>
      <c r="BB206" s="13"/>
      <c r="BC206" s="13"/>
      <c r="BD206" s="13"/>
      <c r="BE206" s="125"/>
      <c r="BF206" s="25"/>
      <c r="BG206" s="13">
        <v>2595</v>
      </c>
      <c r="BH206" s="13">
        <f t="shared" si="113"/>
        <v>0</v>
      </c>
      <c r="BI206" s="125"/>
      <c r="BJ206" s="13"/>
      <c r="BK206" s="13"/>
      <c r="BL206" s="13"/>
      <c r="BM206" s="125"/>
      <c r="BN206" s="25"/>
      <c r="BO206" s="13">
        <v>2595</v>
      </c>
      <c r="BP206" s="13">
        <f t="shared" si="114"/>
        <v>0</v>
      </c>
      <c r="BQ206" s="125"/>
      <c r="BR206" s="13"/>
      <c r="BS206" s="13"/>
      <c r="BT206" s="13"/>
      <c r="BU206" s="125">
        <v>1</v>
      </c>
      <c r="BV206" s="25">
        <v>1</v>
      </c>
      <c r="BW206" s="13">
        <v>2595</v>
      </c>
      <c r="BX206" s="13">
        <f t="shared" si="115"/>
        <v>2595</v>
      </c>
      <c r="BY206" s="125"/>
      <c r="BZ206" s="13"/>
      <c r="CA206" s="13"/>
      <c r="CB206" s="13"/>
      <c r="CC206" s="125"/>
      <c r="CD206" s="25"/>
      <c r="CE206" s="13">
        <v>2595</v>
      </c>
      <c r="CF206" s="13">
        <f t="shared" si="116"/>
        <v>0</v>
      </c>
    </row>
    <row r="207" spans="1:246">
      <c r="A207" s="61" t="s">
        <v>154</v>
      </c>
      <c r="B207" s="20" t="s">
        <v>32</v>
      </c>
      <c r="C207" s="11"/>
      <c r="D207" s="12" t="s">
        <v>33</v>
      </c>
      <c r="E207" s="126"/>
      <c r="F207" s="13"/>
      <c r="G207" s="13"/>
      <c r="H207" s="13"/>
      <c r="I207" s="125"/>
      <c r="J207" s="13"/>
      <c r="K207" s="13">
        <v>1236</v>
      </c>
      <c r="L207" s="13">
        <f t="shared" si="107"/>
        <v>0</v>
      </c>
      <c r="M207" s="126"/>
      <c r="N207" s="13"/>
      <c r="O207" s="13"/>
      <c r="P207" s="13"/>
      <c r="Q207" s="125"/>
      <c r="R207" s="13"/>
      <c r="S207" s="13">
        <v>1236</v>
      </c>
      <c r="T207" s="13">
        <f t="shared" si="108"/>
        <v>0</v>
      </c>
      <c r="U207" s="126"/>
      <c r="V207" s="13"/>
      <c r="W207" s="13"/>
      <c r="X207" s="13"/>
      <c r="Y207" s="125">
        <v>2</v>
      </c>
      <c r="Z207" s="13">
        <v>2</v>
      </c>
      <c r="AA207" s="13">
        <v>1236</v>
      </c>
      <c r="AB207" s="13">
        <f t="shared" si="109"/>
        <v>2472</v>
      </c>
      <c r="AC207" s="126"/>
      <c r="AD207" s="13"/>
      <c r="AE207" s="13"/>
      <c r="AF207" s="13"/>
      <c r="AG207" s="125"/>
      <c r="AH207" s="13"/>
      <c r="AI207" s="13">
        <v>1236</v>
      </c>
      <c r="AJ207" s="13">
        <f t="shared" si="110"/>
        <v>0</v>
      </c>
      <c r="AK207" s="126"/>
      <c r="AL207" s="13"/>
      <c r="AM207" s="13"/>
      <c r="AN207" s="13"/>
      <c r="AO207" s="125"/>
      <c r="AP207" s="13"/>
      <c r="AQ207" s="13">
        <v>1236</v>
      </c>
      <c r="AR207" s="13">
        <f t="shared" si="111"/>
        <v>0</v>
      </c>
      <c r="AS207" s="126"/>
      <c r="AT207" s="13"/>
      <c r="AU207" s="13"/>
      <c r="AV207" s="13"/>
      <c r="AW207" s="125">
        <v>2</v>
      </c>
      <c r="AX207" s="13">
        <v>2</v>
      </c>
      <c r="AY207" s="13">
        <v>1236</v>
      </c>
      <c r="AZ207" s="13">
        <f t="shared" si="112"/>
        <v>2472</v>
      </c>
      <c r="BA207" s="126"/>
      <c r="BB207" s="13"/>
      <c r="BC207" s="13"/>
      <c r="BD207" s="13"/>
      <c r="BE207" s="125"/>
      <c r="BF207" s="13"/>
      <c r="BG207" s="13">
        <v>1236</v>
      </c>
      <c r="BH207" s="13">
        <f t="shared" si="113"/>
        <v>0</v>
      </c>
      <c r="BI207" s="126"/>
      <c r="BJ207" s="13"/>
      <c r="BK207" s="13"/>
      <c r="BL207" s="13"/>
      <c r="BM207" s="125"/>
      <c r="BN207" s="13"/>
      <c r="BO207" s="13">
        <v>1236</v>
      </c>
      <c r="BP207" s="13">
        <f t="shared" si="114"/>
        <v>0</v>
      </c>
      <c r="BQ207" s="126"/>
      <c r="BR207" s="13"/>
      <c r="BS207" s="13"/>
      <c r="BT207" s="13"/>
      <c r="BU207" s="125">
        <v>2</v>
      </c>
      <c r="BV207" s="13">
        <v>2</v>
      </c>
      <c r="BW207" s="13">
        <v>1236</v>
      </c>
      <c r="BX207" s="13">
        <f t="shared" si="115"/>
        <v>2472</v>
      </c>
      <c r="BY207" s="126"/>
      <c r="BZ207" s="13"/>
      <c r="CA207" s="13"/>
      <c r="CB207" s="13"/>
      <c r="CC207" s="125"/>
      <c r="CD207" s="13"/>
      <c r="CE207" s="13">
        <v>1236</v>
      </c>
      <c r="CF207" s="13">
        <f t="shared" si="116"/>
        <v>0</v>
      </c>
    </row>
    <row r="208" spans="1:246" ht="15" customHeight="1">
      <c r="A208" s="61" t="s">
        <v>154</v>
      </c>
      <c r="B208" s="10" t="s">
        <v>159</v>
      </c>
      <c r="C208" s="11"/>
      <c r="D208" s="11" t="s">
        <v>37</v>
      </c>
      <c r="E208" s="127"/>
      <c r="F208" s="13"/>
      <c r="G208" s="13"/>
      <c r="H208" s="13"/>
      <c r="I208" s="127"/>
      <c r="J208" s="13"/>
      <c r="K208" s="13">
        <v>6925</v>
      </c>
      <c r="L208" s="13">
        <f t="shared" si="107"/>
        <v>0</v>
      </c>
      <c r="M208" s="127"/>
      <c r="N208" s="13"/>
      <c r="O208" s="13"/>
      <c r="P208" s="13"/>
      <c r="Q208" s="127"/>
      <c r="R208" s="13"/>
      <c r="S208" s="13">
        <v>6925</v>
      </c>
      <c r="T208" s="13">
        <f t="shared" si="108"/>
        <v>0</v>
      </c>
      <c r="U208" s="127"/>
      <c r="V208" s="13"/>
      <c r="W208" s="13"/>
      <c r="X208" s="13"/>
      <c r="Y208" s="127"/>
      <c r="Z208" s="13"/>
      <c r="AA208" s="13">
        <v>6925</v>
      </c>
      <c r="AB208" s="13">
        <f t="shared" si="109"/>
        <v>0</v>
      </c>
      <c r="AC208" s="127"/>
      <c r="AD208" s="13"/>
      <c r="AE208" s="13"/>
      <c r="AF208" s="13"/>
      <c r="AG208" s="127"/>
      <c r="AH208" s="13"/>
      <c r="AI208" s="13">
        <v>6925</v>
      </c>
      <c r="AJ208" s="13">
        <f t="shared" si="110"/>
        <v>0</v>
      </c>
      <c r="AK208" s="127"/>
      <c r="AL208" s="13"/>
      <c r="AM208" s="13"/>
      <c r="AN208" s="13"/>
      <c r="AO208" s="127"/>
      <c r="AP208" s="13"/>
      <c r="AQ208" s="13">
        <v>6925</v>
      </c>
      <c r="AR208" s="13">
        <f t="shared" si="111"/>
        <v>0</v>
      </c>
      <c r="AS208" s="127"/>
      <c r="AT208" s="13"/>
      <c r="AU208" s="13"/>
      <c r="AV208" s="13"/>
      <c r="AW208" s="127">
        <v>1</v>
      </c>
      <c r="AX208" s="13">
        <v>1</v>
      </c>
      <c r="AY208" s="13">
        <v>6925</v>
      </c>
      <c r="AZ208" s="13">
        <f t="shared" si="112"/>
        <v>6925</v>
      </c>
      <c r="BA208" s="127"/>
      <c r="BB208" s="13"/>
      <c r="BC208" s="13"/>
      <c r="BD208" s="13"/>
      <c r="BE208" s="127"/>
      <c r="BF208" s="13"/>
      <c r="BG208" s="13">
        <v>6925</v>
      </c>
      <c r="BH208" s="13">
        <f t="shared" si="113"/>
        <v>0</v>
      </c>
      <c r="BI208" s="127"/>
      <c r="BJ208" s="13"/>
      <c r="BK208" s="13"/>
      <c r="BL208" s="13"/>
      <c r="BM208" s="127"/>
      <c r="BN208" s="13"/>
      <c r="BO208" s="13">
        <v>6925</v>
      </c>
      <c r="BP208" s="13">
        <f t="shared" si="114"/>
        <v>0</v>
      </c>
      <c r="BQ208" s="127"/>
      <c r="BR208" s="13"/>
      <c r="BS208" s="13"/>
      <c r="BT208" s="13"/>
      <c r="BU208" s="127"/>
      <c r="BV208" s="13">
        <v>1</v>
      </c>
      <c r="BW208" s="13">
        <v>6925</v>
      </c>
      <c r="BX208" s="13">
        <f t="shared" si="115"/>
        <v>6925</v>
      </c>
      <c r="BY208" s="127"/>
      <c r="BZ208" s="13"/>
      <c r="CA208" s="13"/>
      <c r="CB208" s="13"/>
      <c r="CC208" s="127"/>
      <c r="CD208" s="13"/>
      <c r="CE208" s="13">
        <v>6925</v>
      </c>
      <c r="CF208" s="13">
        <f t="shared" si="116"/>
        <v>0</v>
      </c>
    </row>
    <row r="209" spans="1:246">
      <c r="A209" s="61" t="s">
        <v>154</v>
      </c>
      <c r="B209" s="10" t="s">
        <v>160</v>
      </c>
      <c r="C209" s="11"/>
      <c r="D209" s="12" t="s">
        <v>39</v>
      </c>
      <c r="E209" s="127"/>
      <c r="F209" s="13"/>
      <c r="G209" s="13"/>
      <c r="H209" s="13"/>
      <c r="I209" s="127"/>
      <c r="J209" s="13"/>
      <c r="K209" s="13">
        <v>178</v>
      </c>
      <c r="L209" s="13">
        <f t="shared" si="107"/>
        <v>0</v>
      </c>
      <c r="M209" s="127"/>
      <c r="N209" s="13"/>
      <c r="O209" s="13"/>
      <c r="P209" s="13"/>
      <c r="Q209" s="127">
        <v>2</v>
      </c>
      <c r="R209" s="13">
        <v>2</v>
      </c>
      <c r="S209" s="13">
        <v>178</v>
      </c>
      <c r="T209" s="13">
        <f t="shared" si="108"/>
        <v>356</v>
      </c>
      <c r="U209" s="127"/>
      <c r="V209" s="13"/>
      <c r="W209" s="13"/>
      <c r="X209" s="13"/>
      <c r="Y209" s="127"/>
      <c r="Z209" s="13"/>
      <c r="AA209" s="13">
        <v>178</v>
      </c>
      <c r="AB209" s="13">
        <f t="shared" si="109"/>
        <v>0</v>
      </c>
      <c r="AC209" s="127"/>
      <c r="AD209" s="13"/>
      <c r="AE209" s="13"/>
      <c r="AF209" s="13"/>
      <c r="AG209" s="127">
        <v>2</v>
      </c>
      <c r="AH209" s="13">
        <v>2</v>
      </c>
      <c r="AI209" s="13">
        <v>178</v>
      </c>
      <c r="AJ209" s="13">
        <f t="shared" si="110"/>
        <v>356</v>
      </c>
      <c r="AK209" s="127"/>
      <c r="AL209" s="13"/>
      <c r="AM209" s="13"/>
      <c r="AN209" s="13"/>
      <c r="AO209" s="127"/>
      <c r="AP209" s="13"/>
      <c r="AQ209" s="13">
        <v>178</v>
      </c>
      <c r="AR209" s="13">
        <f t="shared" si="111"/>
        <v>0</v>
      </c>
      <c r="AS209" s="127"/>
      <c r="AT209" s="13"/>
      <c r="AU209" s="13"/>
      <c r="AV209" s="13"/>
      <c r="AW209" s="127">
        <v>2</v>
      </c>
      <c r="AX209" s="13">
        <v>2</v>
      </c>
      <c r="AY209" s="13">
        <v>178</v>
      </c>
      <c r="AZ209" s="13">
        <f t="shared" si="112"/>
        <v>356</v>
      </c>
      <c r="BA209" s="127"/>
      <c r="BB209" s="13"/>
      <c r="BC209" s="13"/>
      <c r="BD209" s="13"/>
      <c r="BE209" s="127"/>
      <c r="BF209" s="13"/>
      <c r="BG209" s="13">
        <v>178</v>
      </c>
      <c r="BH209" s="13">
        <f t="shared" si="113"/>
        <v>0</v>
      </c>
      <c r="BI209" s="127"/>
      <c r="BJ209" s="13"/>
      <c r="BK209" s="13"/>
      <c r="BL209" s="13"/>
      <c r="BM209" s="127">
        <v>2</v>
      </c>
      <c r="BN209" s="13">
        <v>2</v>
      </c>
      <c r="BO209" s="13">
        <v>178</v>
      </c>
      <c r="BP209" s="13">
        <f t="shared" si="114"/>
        <v>356</v>
      </c>
      <c r="BQ209" s="127"/>
      <c r="BR209" s="13"/>
      <c r="BS209" s="13"/>
      <c r="BT209" s="13"/>
      <c r="BU209" s="127"/>
      <c r="BV209" s="13">
        <v>2</v>
      </c>
      <c r="BW209" s="13">
        <v>178</v>
      </c>
      <c r="BX209" s="13">
        <f t="shared" si="115"/>
        <v>356</v>
      </c>
      <c r="BY209" s="127"/>
      <c r="BZ209" s="13"/>
      <c r="CA209" s="13"/>
      <c r="CB209" s="13"/>
      <c r="CC209" s="127">
        <v>2</v>
      </c>
      <c r="CD209" s="13">
        <v>2</v>
      </c>
      <c r="CE209" s="13">
        <v>178</v>
      </c>
      <c r="CF209" s="13">
        <f t="shared" si="116"/>
        <v>356</v>
      </c>
    </row>
    <row r="210" spans="1:246">
      <c r="A210" s="61" t="s">
        <v>154</v>
      </c>
      <c r="B210" s="10" t="s">
        <v>161</v>
      </c>
      <c r="C210" s="11"/>
      <c r="D210" s="11" t="s">
        <v>162</v>
      </c>
      <c r="E210" s="127"/>
      <c r="F210" s="13"/>
      <c r="G210" s="13"/>
      <c r="H210" s="13"/>
      <c r="I210" s="127"/>
      <c r="J210" s="13"/>
      <c r="K210" s="13">
        <v>957</v>
      </c>
      <c r="L210" s="13">
        <f t="shared" si="107"/>
        <v>0</v>
      </c>
      <c r="M210" s="127"/>
      <c r="N210" s="13"/>
      <c r="O210" s="13"/>
      <c r="P210" s="13"/>
      <c r="Q210" s="127"/>
      <c r="R210" s="13"/>
      <c r="S210" s="13">
        <v>957</v>
      </c>
      <c r="T210" s="13">
        <f t="shared" si="108"/>
        <v>0</v>
      </c>
      <c r="U210" s="127"/>
      <c r="V210" s="13"/>
      <c r="W210" s="13"/>
      <c r="X210" s="13"/>
      <c r="Y210" s="127">
        <v>1</v>
      </c>
      <c r="Z210" s="13">
        <v>1</v>
      </c>
      <c r="AA210" s="13">
        <v>957</v>
      </c>
      <c r="AB210" s="13">
        <f t="shared" si="109"/>
        <v>957</v>
      </c>
      <c r="AC210" s="127"/>
      <c r="AD210" s="13"/>
      <c r="AE210" s="13"/>
      <c r="AF210" s="13"/>
      <c r="AG210" s="127"/>
      <c r="AH210" s="13"/>
      <c r="AI210" s="13">
        <v>957</v>
      </c>
      <c r="AJ210" s="13">
        <f t="shared" si="110"/>
        <v>0</v>
      </c>
      <c r="AK210" s="127"/>
      <c r="AL210" s="13"/>
      <c r="AM210" s="13"/>
      <c r="AN210" s="13"/>
      <c r="AO210" s="127"/>
      <c r="AP210" s="13"/>
      <c r="AQ210" s="13">
        <v>957</v>
      </c>
      <c r="AR210" s="13">
        <f t="shared" si="111"/>
        <v>0</v>
      </c>
      <c r="AS210" s="127"/>
      <c r="AT210" s="13"/>
      <c r="AU210" s="13"/>
      <c r="AV210" s="13"/>
      <c r="AW210" s="127">
        <v>1</v>
      </c>
      <c r="AX210" s="13">
        <v>1</v>
      </c>
      <c r="AY210" s="13">
        <v>957</v>
      </c>
      <c r="AZ210" s="13">
        <f t="shared" si="112"/>
        <v>957</v>
      </c>
      <c r="BA210" s="127"/>
      <c r="BB210" s="13"/>
      <c r="BC210" s="13"/>
      <c r="BD210" s="13"/>
      <c r="BE210" s="127"/>
      <c r="BF210" s="13"/>
      <c r="BG210" s="13">
        <v>957</v>
      </c>
      <c r="BH210" s="13">
        <f t="shared" si="113"/>
        <v>0</v>
      </c>
      <c r="BI210" s="127"/>
      <c r="BJ210" s="13"/>
      <c r="BK210" s="13"/>
      <c r="BL210" s="13"/>
      <c r="BM210" s="127"/>
      <c r="BN210" s="13"/>
      <c r="BO210" s="13">
        <v>957</v>
      </c>
      <c r="BP210" s="13">
        <f t="shared" si="114"/>
        <v>0</v>
      </c>
      <c r="BQ210" s="127"/>
      <c r="BR210" s="13"/>
      <c r="BS210" s="13"/>
      <c r="BT210" s="13"/>
      <c r="BU210" s="127">
        <v>1</v>
      </c>
      <c r="BV210" s="13">
        <v>1</v>
      </c>
      <c r="BW210" s="13">
        <v>957</v>
      </c>
      <c r="BX210" s="13">
        <f t="shared" si="115"/>
        <v>957</v>
      </c>
      <c r="BY210" s="127"/>
      <c r="BZ210" s="13"/>
      <c r="CA210" s="13"/>
      <c r="CB210" s="13"/>
      <c r="CC210" s="127"/>
      <c r="CD210" s="13"/>
      <c r="CE210" s="13">
        <v>957</v>
      </c>
      <c r="CF210" s="13">
        <f t="shared" si="116"/>
        <v>0</v>
      </c>
    </row>
    <row r="211" spans="1:246">
      <c r="A211" s="61" t="s">
        <v>154</v>
      </c>
      <c r="B211" s="10" t="s">
        <v>163</v>
      </c>
      <c r="C211" s="11"/>
      <c r="D211" s="12" t="s">
        <v>43</v>
      </c>
      <c r="E211" s="127"/>
      <c r="F211" s="13"/>
      <c r="G211" s="13"/>
      <c r="H211" s="13"/>
      <c r="I211" s="127"/>
      <c r="J211" s="13"/>
      <c r="K211" s="13">
        <v>2772</v>
      </c>
      <c r="L211" s="13">
        <f t="shared" si="107"/>
        <v>0</v>
      </c>
      <c r="M211" s="127"/>
      <c r="N211" s="13"/>
      <c r="O211" s="13"/>
      <c r="P211" s="13"/>
      <c r="Q211" s="127"/>
      <c r="R211" s="13"/>
      <c r="S211" s="13">
        <v>2772</v>
      </c>
      <c r="T211" s="13">
        <f t="shared" si="108"/>
        <v>0</v>
      </c>
      <c r="U211" s="127"/>
      <c r="V211" s="13"/>
      <c r="W211" s="13"/>
      <c r="X211" s="13"/>
      <c r="Y211" s="127">
        <v>1</v>
      </c>
      <c r="Z211" s="13">
        <v>1</v>
      </c>
      <c r="AA211" s="13">
        <v>2772</v>
      </c>
      <c r="AB211" s="13">
        <f t="shared" si="109"/>
        <v>2772</v>
      </c>
      <c r="AC211" s="127"/>
      <c r="AD211" s="13"/>
      <c r="AE211" s="13"/>
      <c r="AF211" s="13"/>
      <c r="AG211" s="127"/>
      <c r="AH211" s="13"/>
      <c r="AI211" s="13">
        <v>2772</v>
      </c>
      <c r="AJ211" s="13">
        <f t="shared" si="110"/>
        <v>0</v>
      </c>
      <c r="AK211" s="127"/>
      <c r="AL211" s="13"/>
      <c r="AM211" s="13"/>
      <c r="AN211" s="13"/>
      <c r="AO211" s="127"/>
      <c r="AP211" s="13"/>
      <c r="AQ211" s="13">
        <v>2772</v>
      </c>
      <c r="AR211" s="13">
        <f t="shared" si="111"/>
        <v>0</v>
      </c>
      <c r="AS211" s="127"/>
      <c r="AT211" s="13"/>
      <c r="AU211" s="13"/>
      <c r="AV211" s="13"/>
      <c r="AW211" s="127">
        <v>1</v>
      </c>
      <c r="AX211" s="13">
        <v>1</v>
      </c>
      <c r="AY211" s="13">
        <v>2772</v>
      </c>
      <c r="AZ211" s="13">
        <f t="shared" si="112"/>
        <v>2772</v>
      </c>
      <c r="BA211" s="127"/>
      <c r="BB211" s="13"/>
      <c r="BC211" s="13"/>
      <c r="BD211" s="13"/>
      <c r="BE211" s="127"/>
      <c r="BF211" s="13"/>
      <c r="BG211" s="13">
        <v>2772</v>
      </c>
      <c r="BH211" s="13">
        <f t="shared" si="113"/>
        <v>0</v>
      </c>
      <c r="BI211" s="127"/>
      <c r="BJ211" s="13"/>
      <c r="BK211" s="13"/>
      <c r="BL211" s="13"/>
      <c r="BM211" s="127"/>
      <c r="BN211" s="13"/>
      <c r="BO211" s="13">
        <v>2772</v>
      </c>
      <c r="BP211" s="13">
        <f t="shared" si="114"/>
        <v>0</v>
      </c>
      <c r="BQ211" s="127"/>
      <c r="BR211" s="13"/>
      <c r="BS211" s="13"/>
      <c r="BT211" s="13"/>
      <c r="BU211" s="127">
        <v>1</v>
      </c>
      <c r="BV211" s="13">
        <v>1</v>
      </c>
      <c r="BW211" s="13">
        <v>2772</v>
      </c>
      <c r="BX211" s="13">
        <f t="shared" si="115"/>
        <v>2772</v>
      </c>
      <c r="BY211" s="127"/>
      <c r="BZ211" s="13"/>
      <c r="CA211" s="13"/>
      <c r="CB211" s="13"/>
      <c r="CC211" s="127"/>
      <c r="CD211" s="13"/>
      <c r="CE211" s="13">
        <v>2772</v>
      </c>
      <c r="CF211" s="13">
        <f t="shared" si="116"/>
        <v>0</v>
      </c>
    </row>
    <row r="212" spans="1:246">
      <c r="A212" s="61" t="s">
        <v>154</v>
      </c>
      <c r="B212" s="23" t="s">
        <v>44</v>
      </c>
      <c r="C212" s="11"/>
      <c r="D212" s="10" t="s">
        <v>45</v>
      </c>
      <c r="E212" s="127"/>
      <c r="F212" s="13"/>
      <c r="G212" s="13"/>
      <c r="H212" s="13"/>
      <c r="I212" s="125"/>
      <c r="J212" s="13"/>
      <c r="K212" s="19">
        <v>674</v>
      </c>
      <c r="L212" s="13">
        <f t="shared" si="107"/>
        <v>0</v>
      </c>
      <c r="M212" s="127"/>
      <c r="N212" s="13"/>
      <c r="O212" s="13"/>
      <c r="P212" s="13"/>
      <c r="Q212" s="125"/>
      <c r="R212" s="13"/>
      <c r="S212" s="19">
        <v>674</v>
      </c>
      <c r="T212" s="13">
        <f t="shared" si="108"/>
        <v>0</v>
      </c>
      <c r="U212" s="127"/>
      <c r="V212" s="13"/>
      <c r="W212" s="13"/>
      <c r="X212" s="13"/>
      <c r="Y212" s="125">
        <v>1</v>
      </c>
      <c r="Z212" s="13">
        <v>1</v>
      </c>
      <c r="AA212" s="19">
        <v>674</v>
      </c>
      <c r="AB212" s="13">
        <f t="shared" si="109"/>
        <v>674</v>
      </c>
      <c r="AC212" s="127"/>
      <c r="AD212" s="13"/>
      <c r="AE212" s="13"/>
      <c r="AF212" s="13"/>
      <c r="AG212" s="125"/>
      <c r="AH212" s="13"/>
      <c r="AI212" s="19">
        <v>674</v>
      </c>
      <c r="AJ212" s="13">
        <f t="shared" si="110"/>
        <v>0</v>
      </c>
      <c r="AK212" s="127"/>
      <c r="AL212" s="13"/>
      <c r="AM212" s="13"/>
      <c r="AN212" s="13"/>
      <c r="AO212" s="125"/>
      <c r="AP212" s="13"/>
      <c r="AQ212" s="19">
        <v>674</v>
      </c>
      <c r="AR212" s="13">
        <f t="shared" si="111"/>
        <v>0</v>
      </c>
      <c r="AS212" s="127"/>
      <c r="AT212" s="13"/>
      <c r="AU212" s="13"/>
      <c r="AV212" s="13"/>
      <c r="AW212" s="125">
        <v>1</v>
      </c>
      <c r="AX212" s="13">
        <v>1</v>
      </c>
      <c r="AY212" s="19">
        <v>674</v>
      </c>
      <c r="AZ212" s="13">
        <f t="shared" si="112"/>
        <v>674</v>
      </c>
      <c r="BA212" s="127"/>
      <c r="BB212" s="13"/>
      <c r="BC212" s="13"/>
      <c r="BD212" s="13"/>
      <c r="BE212" s="125"/>
      <c r="BF212" s="13"/>
      <c r="BG212" s="19">
        <v>674</v>
      </c>
      <c r="BH212" s="13">
        <f t="shared" si="113"/>
        <v>0</v>
      </c>
      <c r="BI212" s="127"/>
      <c r="BJ212" s="13"/>
      <c r="BK212" s="13"/>
      <c r="BL212" s="13"/>
      <c r="BM212" s="125"/>
      <c r="BN212" s="13"/>
      <c r="BO212" s="19">
        <v>674</v>
      </c>
      <c r="BP212" s="13">
        <f t="shared" si="114"/>
        <v>0</v>
      </c>
      <c r="BQ212" s="127"/>
      <c r="BR212" s="13"/>
      <c r="BS212" s="13"/>
      <c r="BT212" s="13"/>
      <c r="BU212" s="125">
        <v>1</v>
      </c>
      <c r="BV212" s="13">
        <v>1</v>
      </c>
      <c r="BW212" s="19">
        <v>674</v>
      </c>
      <c r="BX212" s="13">
        <f t="shared" si="115"/>
        <v>674</v>
      </c>
      <c r="BY212" s="127"/>
      <c r="BZ212" s="13"/>
      <c r="CA212" s="13"/>
      <c r="CB212" s="13"/>
      <c r="CC212" s="125"/>
      <c r="CD212" s="13"/>
      <c r="CE212" s="19">
        <v>674</v>
      </c>
      <c r="CF212" s="13">
        <f t="shared" si="116"/>
        <v>0</v>
      </c>
    </row>
    <row r="213" spans="1:246" ht="15">
      <c r="A213" s="61" t="s">
        <v>154</v>
      </c>
      <c r="B213" s="10" t="s">
        <v>164</v>
      </c>
      <c r="C213" s="11"/>
      <c r="D213" s="12" t="s">
        <v>47</v>
      </c>
      <c r="E213" s="127"/>
      <c r="F213" s="13"/>
      <c r="G213" s="13"/>
      <c r="H213" s="13"/>
      <c r="I213" s="127">
        <v>1</v>
      </c>
      <c r="J213" s="13">
        <v>1</v>
      </c>
      <c r="K213" s="35">
        <v>1417</v>
      </c>
      <c r="L213" s="13">
        <f t="shared" si="107"/>
        <v>1417</v>
      </c>
      <c r="M213" s="127"/>
      <c r="N213" s="13"/>
      <c r="O213" s="13"/>
      <c r="P213" s="13"/>
      <c r="Q213" s="127">
        <v>1</v>
      </c>
      <c r="R213" s="13">
        <v>1</v>
      </c>
      <c r="S213" s="35">
        <v>1417</v>
      </c>
      <c r="T213" s="13">
        <f t="shared" si="108"/>
        <v>1417</v>
      </c>
      <c r="U213" s="127"/>
      <c r="V213" s="13"/>
      <c r="W213" s="13"/>
      <c r="X213" s="13"/>
      <c r="Y213" s="127">
        <v>1</v>
      </c>
      <c r="Z213" s="13">
        <v>1</v>
      </c>
      <c r="AA213" s="35">
        <v>1417</v>
      </c>
      <c r="AB213" s="13">
        <f t="shared" si="109"/>
        <v>1417</v>
      </c>
      <c r="AC213" s="127"/>
      <c r="AD213" s="13"/>
      <c r="AE213" s="13"/>
      <c r="AF213" s="13"/>
      <c r="AG213" s="127">
        <v>1</v>
      </c>
      <c r="AH213" s="13">
        <v>1</v>
      </c>
      <c r="AI213" s="35">
        <v>1417</v>
      </c>
      <c r="AJ213" s="13">
        <f t="shared" si="110"/>
        <v>1417</v>
      </c>
      <c r="AK213" s="127"/>
      <c r="AL213" s="13"/>
      <c r="AM213" s="13"/>
      <c r="AN213" s="13"/>
      <c r="AO213" s="127">
        <v>1</v>
      </c>
      <c r="AP213" s="13">
        <v>1</v>
      </c>
      <c r="AQ213" s="35">
        <v>1417</v>
      </c>
      <c r="AR213" s="13">
        <f t="shared" si="111"/>
        <v>1417</v>
      </c>
      <c r="AS213" s="127"/>
      <c r="AT213" s="13"/>
      <c r="AU213" s="13"/>
      <c r="AV213" s="13"/>
      <c r="AW213" s="127">
        <v>1</v>
      </c>
      <c r="AX213" s="13">
        <v>1</v>
      </c>
      <c r="AY213" s="35">
        <v>1417</v>
      </c>
      <c r="AZ213" s="13">
        <f t="shared" si="112"/>
        <v>1417</v>
      </c>
      <c r="BA213" s="127"/>
      <c r="BB213" s="13"/>
      <c r="BC213" s="13"/>
      <c r="BD213" s="13"/>
      <c r="BE213" s="127">
        <v>1</v>
      </c>
      <c r="BF213" s="13">
        <v>1</v>
      </c>
      <c r="BG213" s="35">
        <v>1417</v>
      </c>
      <c r="BH213" s="13">
        <f t="shared" si="113"/>
        <v>1417</v>
      </c>
      <c r="BI213" s="127"/>
      <c r="BJ213" s="13"/>
      <c r="BK213" s="13"/>
      <c r="BL213" s="13"/>
      <c r="BM213" s="127">
        <v>1</v>
      </c>
      <c r="BN213" s="13">
        <v>1</v>
      </c>
      <c r="BO213" s="35">
        <v>1417</v>
      </c>
      <c r="BP213" s="13">
        <f t="shared" si="114"/>
        <v>1417</v>
      </c>
      <c r="BQ213" s="127"/>
      <c r="BR213" s="13"/>
      <c r="BS213" s="13"/>
      <c r="BT213" s="13"/>
      <c r="BU213" s="127">
        <v>1</v>
      </c>
      <c r="BV213" s="13">
        <v>1</v>
      </c>
      <c r="BW213" s="35">
        <v>1417</v>
      </c>
      <c r="BX213" s="13">
        <f t="shared" si="115"/>
        <v>1417</v>
      </c>
      <c r="BY213" s="127"/>
      <c r="BZ213" s="13"/>
      <c r="CA213" s="13"/>
      <c r="CB213" s="13"/>
      <c r="CC213" s="127">
        <v>1</v>
      </c>
      <c r="CD213" s="13">
        <v>1</v>
      </c>
      <c r="CE213" s="35">
        <v>1417</v>
      </c>
      <c r="CF213" s="13">
        <f t="shared" si="116"/>
        <v>1417</v>
      </c>
    </row>
    <row r="214" spans="1:246">
      <c r="A214" s="61" t="s">
        <v>154</v>
      </c>
      <c r="B214" s="26" t="s">
        <v>88</v>
      </c>
      <c r="C214" s="11"/>
      <c r="D214" s="71" t="s">
        <v>49</v>
      </c>
      <c r="E214" s="127"/>
      <c r="F214" s="13"/>
      <c r="G214" s="13"/>
      <c r="H214" s="13"/>
      <c r="I214" s="127"/>
      <c r="J214" s="13"/>
      <c r="K214" s="42">
        <v>628</v>
      </c>
      <c r="L214" s="13">
        <f t="shared" si="107"/>
        <v>0</v>
      </c>
      <c r="M214" s="127"/>
      <c r="N214" s="13"/>
      <c r="O214" s="13"/>
      <c r="P214" s="13"/>
      <c r="Q214" s="127"/>
      <c r="R214" s="13"/>
      <c r="S214" s="42">
        <v>628</v>
      </c>
      <c r="T214" s="13">
        <f t="shared" si="108"/>
        <v>0</v>
      </c>
      <c r="U214" s="127"/>
      <c r="V214" s="13"/>
      <c r="W214" s="13"/>
      <c r="X214" s="13"/>
      <c r="Y214" s="127">
        <v>1</v>
      </c>
      <c r="Z214" s="13">
        <v>1</v>
      </c>
      <c r="AA214" s="42">
        <v>628</v>
      </c>
      <c r="AB214" s="13">
        <f t="shared" si="109"/>
        <v>628</v>
      </c>
      <c r="AC214" s="127"/>
      <c r="AD214" s="13"/>
      <c r="AE214" s="13"/>
      <c r="AF214" s="13"/>
      <c r="AG214" s="127"/>
      <c r="AH214" s="13"/>
      <c r="AI214" s="42">
        <v>628</v>
      </c>
      <c r="AJ214" s="13">
        <f t="shared" si="110"/>
        <v>0</v>
      </c>
      <c r="AK214" s="127"/>
      <c r="AL214" s="13"/>
      <c r="AM214" s="13"/>
      <c r="AN214" s="13"/>
      <c r="AO214" s="127"/>
      <c r="AP214" s="13"/>
      <c r="AQ214" s="42">
        <v>628</v>
      </c>
      <c r="AR214" s="13">
        <f t="shared" si="111"/>
        <v>0</v>
      </c>
      <c r="AS214" s="127"/>
      <c r="AT214" s="13"/>
      <c r="AU214" s="13"/>
      <c r="AV214" s="13"/>
      <c r="AW214" s="127">
        <v>1</v>
      </c>
      <c r="AX214" s="13">
        <v>1</v>
      </c>
      <c r="AY214" s="42">
        <v>628</v>
      </c>
      <c r="AZ214" s="13">
        <f t="shared" si="112"/>
        <v>628</v>
      </c>
      <c r="BA214" s="127"/>
      <c r="BB214" s="13"/>
      <c r="BC214" s="13"/>
      <c r="BD214" s="13"/>
      <c r="BE214" s="127"/>
      <c r="BF214" s="13"/>
      <c r="BG214" s="42">
        <v>628</v>
      </c>
      <c r="BH214" s="13">
        <f t="shared" si="113"/>
        <v>0</v>
      </c>
      <c r="BI214" s="127"/>
      <c r="BJ214" s="13"/>
      <c r="BK214" s="13"/>
      <c r="BL214" s="13"/>
      <c r="BM214" s="127"/>
      <c r="BN214" s="13"/>
      <c r="BO214" s="42">
        <v>628</v>
      </c>
      <c r="BP214" s="13">
        <f t="shared" si="114"/>
        <v>0</v>
      </c>
      <c r="BQ214" s="127"/>
      <c r="BR214" s="13"/>
      <c r="BS214" s="13"/>
      <c r="BT214" s="13"/>
      <c r="BU214" s="127">
        <v>1</v>
      </c>
      <c r="BV214" s="13">
        <v>1</v>
      </c>
      <c r="BW214" s="42">
        <v>628</v>
      </c>
      <c r="BX214" s="13">
        <f t="shared" si="115"/>
        <v>628</v>
      </c>
      <c r="BY214" s="127"/>
      <c r="BZ214" s="13"/>
      <c r="CA214" s="13"/>
      <c r="CB214" s="13"/>
      <c r="CC214" s="127"/>
      <c r="CD214" s="13"/>
      <c r="CE214" s="42">
        <v>628</v>
      </c>
      <c r="CF214" s="13">
        <f t="shared" si="116"/>
        <v>0</v>
      </c>
    </row>
    <row r="215" spans="1:246">
      <c r="A215" s="61" t="s">
        <v>154</v>
      </c>
      <c r="B215" s="37" t="s">
        <v>52</v>
      </c>
      <c r="C215" s="11"/>
      <c r="D215" s="39" t="s">
        <v>53</v>
      </c>
      <c r="E215" s="127"/>
      <c r="F215" s="13"/>
      <c r="G215" s="13"/>
      <c r="H215" s="13"/>
      <c r="I215" s="127"/>
      <c r="J215" s="13"/>
      <c r="K215" s="42">
        <v>628</v>
      </c>
      <c r="L215" s="13">
        <f t="shared" si="107"/>
        <v>0</v>
      </c>
      <c r="M215" s="127"/>
      <c r="N215" s="13"/>
      <c r="O215" s="13"/>
      <c r="P215" s="13"/>
      <c r="Q215" s="127"/>
      <c r="R215" s="13"/>
      <c r="S215" s="42">
        <v>628</v>
      </c>
      <c r="T215" s="13">
        <f t="shared" si="108"/>
        <v>0</v>
      </c>
      <c r="U215" s="127"/>
      <c r="V215" s="13"/>
      <c r="W215" s="13"/>
      <c r="X215" s="13"/>
      <c r="Y215" s="127">
        <v>1</v>
      </c>
      <c r="Z215" s="13">
        <v>1</v>
      </c>
      <c r="AA215" s="42">
        <v>628</v>
      </c>
      <c r="AB215" s="13">
        <f t="shared" si="109"/>
        <v>628</v>
      </c>
      <c r="AC215" s="127"/>
      <c r="AD215" s="13"/>
      <c r="AE215" s="13"/>
      <c r="AF215" s="13"/>
      <c r="AG215" s="127"/>
      <c r="AH215" s="13"/>
      <c r="AI215" s="42">
        <v>628</v>
      </c>
      <c r="AJ215" s="13">
        <f t="shared" si="110"/>
        <v>0</v>
      </c>
      <c r="AK215" s="127"/>
      <c r="AL215" s="13"/>
      <c r="AM215" s="13"/>
      <c r="AN215" s="13"/>
      <c r="AO215" s="127"/>
      <c r="AP215" s="13"/>
      <c r="AQ215" s="42">
        <v>628</v>
      </c>
      <c r="AR215" s="13">
        <f t="shared" si="111"/>
        <v>0</v>
      </c>
      <c r="AS215" s="127"/>
      <c r="AT215" s="13"/>
      <c r="AU215" s="13"/>
      <c r="AV215" s="13"/>
      <c r="AW215" s="127">
        <v>1</v>
      </c>
      <c r="AX215" s="13">
        <v>1</v>
      </c>
      <c r="AY215" s="42">
        <v>628</v>
      </c>
      <c r="AZ215" s="13">
        <f t="shared" si="112"/>
        <v>628</v>
      </c>
      <c r="BA215" s="127"/>
      <c r="BB215" s="13"/>
      <c r="BC215" s="13"/>
      <c r="BD215" s="13"/>
      <c r="BE215" s="127"/>
      <c r="BF215" s="13"/>
      <c r="BG215" s="42">
        <v>628</v>
      </c>
      <c r="BH215" s="13">
        <f t="shared" si="113"/>
        <v>0</v>
      </c>
      <c r="BI215" s="127"/>
      <c r="BJ215" s="13"/>
      <c r="BK215" s="13"/>
      <c r="BL215" s="13"/>
      <c r="BM215" s="127"/>
      <c r="BN215" s="13"/>
      <c r="BO215" s="42">
        <v>628</v>
      </c>
      <c r="BP215" s="13">
        <f t="shared" si="114"/>
        <v>0</v>
      </c>
      <c r="BQ215" s="127"/>
      <c r="BR215" s="13"/>
      <c r="BS215" s="13"/>
      <c r="BT215" s="13"/>
      <c r="BU215" s="127">
        <v>1</v>
      </c>
      <c r="BV215" s="13">
        <v>1</v>
      </c>
      <c r="BW215" s="42">
        <v>628</v>
      </c>
      <c r="BX215" s="13">
        <f t="shared" si="115"/>
        <v>628</v>
      </c>
      <c r="BY215" s="127"/>
      <c r="BZ215" s="13"/>
      <c r="CA215" s="13"/>
      <c r="CB215" s="13"/>
      <c r="CC215" s="127"/>
      <c r="CD215" s="13"/>
      <c r="CE215" s="42">
        <v>628</v>
      </c>
      <c r="CF215" s="13">
        <f t="shared" si="116"/>
        <v>0</v>
      </c>
    </row>
    <row r="216" spans="1:246">
      <c r="A216" s="62"/>
      <c r="B216" s="60"/>
      <c r="C216" s="49"/>
      <c r="D216" s="49"/>
      <c r="E216" s="51"/>
      <c r="F216" s="52"/>
      <c r="G216" s="52"/>
      <c r="H216" s="52"/>
      <c r="I216" s="51"/>
      <c r="J216" s="51"/>
      <c r="K216" s="115"/>
      <c r="L216" s="51"/>
      <c r="M216" s="51"/>
      <c r="N216" s="52"/>
      <c r="O216" s="52"/>
      <c r="P216" s="52"/>
      <c r="Q216" s="51"/>
      <c r="R216" s="51"/>
      <c r="S216" s="52"/>
      <c r="T216" s="51"/>
      <c r="U216" s="51"/>
      <c r="V216" s="52"/>
      <c r="W216" s="52"/>
      <c r="X216" s="52"/>
      <c r="Y216" s="51"/>
      <c r="Z216" s="51"/>
      <c r="AA216" s="52"/>
      <c r="AB216" s="51"/>
      <c r="AC216" s="51"/>
      <c r="AD216" s="52"/>
      <c r="AE216" s="52"/>
      <c r="AF216" s="52"/>
      <c r="AG216" s="51"/>
      <c r="AH216" s="51"/>
      <c r="AI216" s="52"/>
      <c r="AJ216" s="51"/>
      <c r="AK216" s="51"/>
      <c r="AL216" s="52"/>
      <c r="AM216" s="52"/>
      <c r="AN216" s="52"/>
      <c r="AO216" s="51"/>
      <c r="AP216" s="51"/>
      <c r="AQ216" s="52"/>
      <c r="AR216" s="51"/>
      <c r="AS216" s="51"/>
      <c r="AT216" s="52"/>
      <c r="AU216" s="52"/>
      <c r="AV216" s="52"/>
      <c r="AW216" s="51"/>
      <c r="AX216" s="51"/>
      <c r="AY216" s="52"/>
      <c r="AZ216" s="51"/>
      <c r="BA216" s="51"/>
      <c r="BB216" s="52"/>
      <c r="BC216" s="52"/>
      <c r="BD216" s="52"/>
      <c r="BE216" s="51"/>
      <c r="BF216" s="51"/>
      <c r="BG216" s="52"/>
      <c r="BH216" s="51"/>
      <c r="BI216" s="51"/>
      <c r="BJ216" s="52"/>
      <c r="BK216" s="52"/>
      <c r="BL216" s="52"/>
      <c r="BM216" s="51"/>
      <c r="BN216" s="51"/>
      <c r="BO216" s="52"/>
      <c r="BP216" s="51"/>
      <c r="BQ216" s="51"/>
      <c r="BR216" s="52"/>
      <c r="BS216" s="52"/>
      <c r="BT216" s="52"/>
      <c r="BU216" s="51"/>
      <c r="BV216" s="51"/>
      <c r="BW216" s="52"/>
      <c r="BX216" s="51"/>
      <c r="BY216" s="51"/>
      <c r="BZ216" s="52"/>
      <c r="CA216" s="52"/>
      <c r="CB216" s="52"/>
      <c r="CC216" s="51"/>
      <c r="CD216" s="51"/>
      <c r="CE216" s="52"/>
      <c r="CF216" s="51"/>
    </row>
    <row r="217" spans="1:246">
      <c r="A217" s="62"/>
      <c r="B217" s="60"/>
      <c r="C217" s="49"/>
      <c r="D217" s="49"/>
      <c r="E217" s="51"/>
      <c r="F217" s="52"/>
      <c r="G217" s="52"/>
      <c r="H217" s="52"/>
      <c r="I217" s="51"/>
      <c r="J217" s="51"/>
      <c r="K217" s="128"/>
      <c r="L217" s="51"/>
      <c r="M217" s="51"/>
      <c r="N217" s="52"/>
      <c r="O217" s="52"/>
      <c r="P217" s="52"/>
      <c r="Q217" s="51"/>
      <c r="R217" s="51"/>
      <c r="S217" s="52"/>
      <c r="T217" s="51"/>
      <c r="U217" s="51"/>
      <c r="V217" s="52"/>
      <c r="W217" s="52"/>
      <c r="X217" s="52"/>
      <c r="Y217" s="51"/>
      <c r="Z217" s="51"/>
      <c r="AA217" s="52"/>
      <c r="AB217" s="51"/>
      <c r="AC217" s="51"/>
      <c r="AD217" s="52"/>
      <c r="AE217" s="52"/>
      <c r="AF217" s="52"/>
      <c r="AG217" s="51"/>
      <c r="AH217" s="51"/>
      <c r="AI217" s="52"/>
      <c r="AJ217" s="51"/>
      <c r="AK217" s="51"/>
      <c r="AL217" s="52"/>
      <c r="AM217" s="52"/>
      <c r="AN217" s="52"/>
      <c r="AO217" s="51"/>
      <c r="AP217" s="51"/>
      <c r="AQ217" s="52"/>
      <c r="AR217" s="51"/>
      <c r="AS217" s="51"/>
      <c r="AT217" s="52"/>
      <c r="AU217" s="52"/>
      <c r="AV217" s="52"/>
      <c r="AW217" s="51"/>
      <c r="AX217" s="51"/>
      <c r="AY217" s="52"/>
      <c r="AZ217" s="51"/>
      <c r="BA217" s="51"/>
      <c r="BB217" s="52"/>
      <c r="BC217" s="52"/>
      <c r="BD217" s="52"/>
      <c r="BE217" s="51"/>
      <c r="BF217" s="51"/>
      <c r="BG217" s="52"/>
      <c r="BH217" s="51"/>
      <c r="BI217" s="51"/>
      <c r="BJ217" s="52"/>
      <c r="BK217" s="52"/>
      <c r="BL217" s="52"/>
      <c r="BM217" s="51"/>
      <c r="BN217" s="51"/>
      <c r="BO217" s="52"/>
      <c r="BP217" s="51"/>
      <c r="BQ217" s="51"/>
      <c r="BR217" s="52"/>
      <c r="BS217" s="52"/>
      <c r="BT217" s="52"/>
      <c r="BU217" s="51"/>
      <c r="BV217" s="51"/>
      <c r="BW217" s="52"/>
      <c r="BX217" s="51"/>
      <c r="BY217" s="51"/>
      <c r="BZ217" s="52"/>
      <c r="CA217" s="52"/>
      <c r="CB217" s="52"/>
      <c r="CC217" s="51"/>
      <c r="CD217" s="51"/>
      <c r="CE217" s="52"/>
      <c r="CF217" s="51"/>
    </row>
    <row r="218" spans="1:246" ht="30">
      <c r="A218" s="1" t="s">
        <v>0</v>
      </c>
      <c r="B218" s="2" t="s">
        <v>1</v>
      </c>
      <c r="C218" s="3" t="s">
        <v>2</v>
      </c>
      <c r="D218" s="3" t="s">
        <v>3</v>
      </c>
      <c r="E218" s="4">
        <v>500</v>
      </c>
      <c r="F218" s="4">
        <v>1000</v>
      </c>
      <c r="G218" s="4">
        <v>1500</v>
      </c>
      <c r="H218" s="4">
        <v>2000</v>
      </c>
      <c r="I218" s="129">
        <v>2500</v>
      </c>
      <c r="J218" s="119" t="s">
        <v>4</v>
      </c>
      <c r="K218" s="118" t="s">
        <v>5</v>
      </c>
      <c r="L218" s="130" t="s">
        <v>6</v>
      </c>
      <c r="M218" s="4">
        <v>3000</v>
      </c>
      <c r="N218" s="4">
        <v>3500</v>
      </c>
      <c r="O218" s="4">
        <v>4000</v>
      </c>
      <c r="P218" s="4">
        <v>4500</v>
      </c>
      <c r="Q218" s="4">
        <v>5000</v>
      </c>
      <c r="R218" s="5" t="s">
        <v>4</v>
      </c>
      <c r="S218" s="4" t="s">
        <v>5</v>
      </c>
      <c r="T218" s="6" t="s">
        <v>6</v>
      </c>
      <c r="U218" s="4">
        <v>5500</v>
      </c>
      <c r="V218" s="4">
        <v>6000</v>
      </c>
      <c r="W218" s="4">
        <v>6500</v>
      </c>
      <c r="X218" s="4">
        <v>7000</v>
      </c>
      <c r="Y218" s="4">
        <v>7500</v>
      </c>
      <c r="Z218" s="5" t="s">
        <v>4</v>
      </c>
      <c r="AA218" s="4" t="s">
        <v>5</v>
      </c>
      <c r="AB218" s="6" t="s">
        <v>6</v>
      </c>
      <c r="AC218" s="4">
        <v>8000</v>
      </c>
      <c r="AD218" s="4">
        <v>8500</v>
      </c>
      <c r="AE218" s="4">
        <v>9000</v>
      </c>
      <c r="AF218" s="4">
        <v>9500</v>
      </c>
      <c r="AG218" s="4">
        <v>10000</v>
      </c>
      <c r="AH218" s="6" t="s">
        <v>4</v>
      </c>
      <c r="AI218" s="4" t="s">
        <v>5</v>
      </c>
      <c r="AJ218" s="6" t="s">
        <v>6</v>
      </c>
      <c r="AK218" s="4">
        <v>10500</v>
      </c>
      <c r="AL218" s="4">
        <v>11000</v>
      </c>
      <c r="AM218" s="4">
        <v>11500</v>
      </c>
      <c r="AN218" s="4">
        <v>12000</v>
      </c>
      <c r="AO218" s="4">
        <v>12500</v>
      </c>
      <c r="AP218" s="6" t="s">
        <v>4</v>
      </c>
      <c r="AQ218" s="4" t="s">
        <v>5</v>
      </c>
      <c r="AR218" s="6" t="s">
        <v>6</v>
      </c>
      <c r="AS218" s="4">
        <v>13000</v>
      </c>
      <c r="AT218" s="4">
        <v>13500</v>
      </c>
      <c r="AU218" s="4">
        <v>14000</v>
      </c>
      <c r="AV218" s="4">
        <v>14500</v>
      </c>
      <c r="AW218" s="4">
        <v>15000</v>
      </c>
      <c r="AX218" s="6" t="s">
        <v>4</v>
      </c>
      <c r="AY218" s="4" t="s">
        <v>5</v>
      </c>
      <c r="AZ218" s="6" t="s">
        <v>6</v>
      </c>
      <c r="BA218" s="4">
        <v>15500</v>
      </c>
      <c r="BB218" s="4">
        <v>16000</v>
      </c>
      <c r="BC218" s="4">
        <v>16500</v>
      </c>
      <c r="BD218" s="4">
        <v>17000</v>
      </c>
      <c r="BE218" s="4">
        <v>17500</v>
      </c>
      <c r="BF218" s="6" t="s">
        <v>4</v>
      </c>
      <c r="BG218" s="4" t="s">
        <v>5</v>
      </c>
      <c r="BH218" s="6" t="s">
        <v>6</v>
      </c>
      <c r="BI218" s="4">
        <v>18000</v>
      </c>
      <c r="BJ218" s="4">
        <v>18500</v>
      </c>
      <c r="BK218" s="4">
        <v>19000</v>
      </c>
      <c r="BL218" s="4">
        <v>19500</v>
      </c>
      <c r="BM218" s="4">
        <v>20000</v>
      </c>
      <c r="BN218" s="6" t="s">
        <v>4</v>
      </c>
      <c r="BO218" s="4" t="s">
        <v>5</v>
      </c>
      <c r="BP218" s="6" t="s">
        <v>6</v>
      </c>
      <c r="BQ218" s="4">
        <v>20500</v>
      </c>
      <c r="BR218" s="4">
        <v>21000</v>
      </c>
      <c r="BS218" s="4">
        <v>21500</v>
      </c>
      <c r="BT218" s="4">
        <v>22000</v>
      </c>
      <c r="BU218" s="4">
        <v>22500</v>
      </c>
      <c r="BV218" s="6" t="s">
        <v>4</v>
      </c>
      <c r="BW218" s="4" t="s">
        <v>5</v>
      </c>
      <c r="BX218" s="6" t="s">
        <v>6</v>
      </c>
      <c r="BY218" s="4">
        <v>23000</v>
      </c>
      <c r="BZ218" s="4">
        <v>23500</v>
      </c>
      <c r="CA218" s="4">
        <v>24000</v>
      </c>
      <c r="CB218" s="4">
        <v>24500</v>
      </c>
      <c r="CC218" s="4">
        <v>25000</v>
      </c>
      <c r="CD218" s="6" t="s">
        <v>4</v>
      </c>
      <c r="CE218" s="4" t="s">
        <v>5</v>
      </c>
      <c r="CF218" s="6" t="s">
        <v>6</v>
      </c>
      <c r="CG218" s="7"/>
      <c r="CH218" s="7"/>
      <c r="CI218" s="7"/>
      <c r="CJ218" s="7"/>
      <c r="CK218" s="7"/>
      <c r="CL218" s="7"/>
      <c r="CM218" s="7"/>
      <c r="CN218" s="7"/>
      <c r="CO218" s="7"/>
      <c r="CP218" s="7"/>
      <c r="CQ218" s="7"/>
      <c r="CR218" s="7"/>
      <c r="CS218" s="7"/>
      <c r="CT218" s="7"/>
      <c r="CU218" s="7"/>
      <c r="CV218" s="7"/>
      <c r="CW218" s="7"/>
      <c r="CX218" s="7"/>
      <c r="CY218" s="7"/>
      <c r="CZ218" s="7"/>
      <c r="DA218" s="7"/>
      <c r="DB218" s="7"/>
      <c r="DC218" s="7"/>
      <c r="DD218" s="7"/>
      <c r="DE218" s="7"/>
      <c r="DF218" s="7"/>
      <c r="DG218" s="7"/>
      <c r="DH218" s="7"/>
      <c r="DI218" s="7"/>
      <c r="DJ218" s="7"/>
      <c r="DK218" s="7"/>
      <c r="DL218" s="7"/>
      <c r="DM218" s="7"/>
      <c r="DN218" s="7"/>
      <c r="DO218" s="7"/>
      <c r="DP218" s="7"/>
      <c r="DQ218" s="7"/>
      <c r="DR218" s="7"/>
      <c r="DS218" s="7"/>
      <c r="DT218" s="7"/>
      <c r="DU218" s="7"/>
      <c r="DV218" s="7"/>
      <c r="DW218" s="7"/>
      <c r="DX218" s="7"/>
      <c r="DY218" s="7"/>
      <c r="DZ218" s="7"/>
      <c r="EA218" s="7"/>
      <c r="EB218" s="7"/>
      <c r="EC218" s="7"/>
      <c r="ED218" s="7"/>
      <c r="EE218" s="7"/>
      <c r="EF218" s="7"/>
      <c r="EG218" s="7"/>
      <c r="EH218" s="7"/>
      <c r="EI218" s="7"/>
      <c r="EJ218" s="7"/>
      <c r="EK218" s="7"/>
      <c r="EL218" s="7"/>
      <c r="EM218" s="7"/>
      <c r="EN218" s="7"/>
      <c r="EO218" s="7"/>
      <c r="EP218" s="7"/>
      <c r="EQ218" s="7"/>
      <c r="ER218" s="7"/>
      <c r="ES218" s="7"/>
      <c r="ET218" s="7"/>
      <c r="EU218" s="7"/>
      <c r="EV218" s="7"/>
      <c r="EW218" s="7"/>
      <c r="EX218" s="7"/>
      <c r="EY218" s="7"/>
      <c r="EZ218" s="7"/>
      <c r="FA218" s="7"/>
      <c r="FB218" s="7"/>
      <c r="FC218" s="7"/>
      <c r="FD218" s="7"/>
      <c r="FE218" s="7"/>
      <c r="FF218" s="7"/>
      <c r="FG218" s="7"/>
      <c r="FH218" s="7"/>
      <c r="FI218" s="7"/>
      <c r="FJ218" s="7"/>
      <c r="FK218" s="7"/>
      <c r="FL218" s="7"/>
      <c r="FM218" s="7"/>
      <c r="FN218" s="7"/>
      <c r="FO218" s="7"/>
      <c r="FP218" s="7"/>
      <c r="FQ218" s="7"/>
      <c r="FR218" s="7"/>
      <c r="FS218" s="7"/>
      <c r="FT218" s="7"/>
      <c r="FU218" s="7"/>
      <c r="FV218" s="7"/>
      <c r="FW218" s="7"/>
      <c r="FX218" s="7"/>
      <c r="FY218" s="7"/>
      <c r="FZ218" s="7"/>
      <c r="GA218" s="7"/>
      <c r="GB218" s="7"/>
      <c r="GC218" s="7"/>
      <c r="GD218" s="7"/>
      <c r="GE218" s="7"/>
      <c r="GF218" s="7"/>
      <c r="GG218" s="7"/>
      <c r="GH218" s="7"/>
      <c r="GI218" s="7"/>
      <c r="GJ218" s="7"/>
      <c r="GK218" s="7"/>
      <c r="GL218" s="7"/>
      <c r="GM218" s="7"/>
      <c r="GN218" s="7"/>
      <c r="GO218" s="7"/>
      <c r="GP218" s="7"/>
      <c r="GQ218" s="7"/>
      <c r="GR218" s="7"/>
      <c r="GS218" s="7"/>
      <c r="GT218" s="7"/>
      <c r="GU218" s="7"/>
      <c r="GV218" s="7"/>
      <c r="GW218" s="7"/>
      <c r="GX218" s="7"/>
      <c r="GY218" s="7"/>
      <c r="GZ218" s="7"/>
      <c r="HA218" s="7"/>
      <c r="HB218" s="7"/>
      <c r="HC218" s="7"/>
      <c r="HD218" s="7"/>
      <c r="HE218" s="7"/>
      <c r="HF218" s="7"/>
      <c r="HG218" s="7"/>
      <c r="HH218" s="7"/>
      <c r="HI218" s="7"/>
      <c r="HJ218" s="7"/>
      <c r="HK218" s="7"/>
      <c r="HL218" s="7"/>
      <c r="HM218" s="7"/>
      <c r="HN218" s="7"/>
      <c r="HO218" s="7"/>
      <c r="HP218" s="7"/>
      <c r="HQ218" s="7"/>
      <c r="HR218" s="7"/>
      <c r="HS218" s="7"/>
      <c r="HT218" s="7"/>
      <c r="HU218" s="7"/>
      <c r="HV218" s="7"/>
      <c r="HW218" s="7"/>
      <c r="HX218" s="7"/>
      <c r="HY218" s="7"/>
      <c r="HZ218" s="7"/>
      <c r="IA218" s="7"/>
      <c r="IB218" s="7"/>
      <c r="IC218" s="7"/>
      <c r="ID218" s="7"/>
      <c r="IE218" s="7"/>
      <c r="IF218" s="7"/>
      <c r="IG218" s="7"/>
      <c r="IH218" s="7"/>
      <c r="II218" s="7"/>
      <c r="IJ218" s="7"/>
      <c r="IK218" s="7"/>
      <c r="IL218" s="7"/>
    </row>
    <row r="219" spans="1:246" ht="15">
      <c r="A219" s="61" t="s">
        <v>165</v>
      </c>
      <c r="B219" s="10" t="s">
        <v>8</v>
      </c>
      <c r="C219" s="11"/>
      <c r="D219" s="124" t="s">
        <v>9</v>
      </c>
      <c r="E219" s="13">
        <v>1</v>
      </c>
      <c r="F219" s="13">
        <v>1</v>
      </c>
      <c r="G219" s="13">
        <v>1</v>
      </c>
      <c r="H219" s="13">
        <v>1</v>
      </c>
      <c r="I219" s="13">
        <v>1</v>
      </c>
      <c r="J219" s="13">
        <v>5</v>
      </c>
      <c r="K219" s="35">
        <v>154</v>
      </c>
      <c r="L219" s="13">
        <f>J219*K219</f>
        <v>770</v>
      </c>
      <c r="M219" s="13">
        <v>1</v>
      </c>
      <c r="N219" s="13">
        <v>1</v>
      </c>
      <c r="O219" s="13">
        <v>1</v>
      </c>
      <c r="P219" s="13">
        <v>1</v>
      </c>
      <c r="Q219" s="13">
        <v>1</v>
      </c>
      <c r="R219" s="13">
        <v>5</v>
      </c>
      <c r="S219" s="35">
        <v>154</v>
      </c>
      <c r="T219" s="13">
        <f>R219*S219</f>
        <v>770</v>
      </c>
      <c r="U219" s="13">
        <v>1</v>
      </c>
      <c r="V219" s="13">
        <v>1</v>
      </c>
      <c r="W219" s="13">
        <v>1</v>
      </c>
      <c r="X219" s="13">
        <v>1</v>
      </c>
      <c r="Y219" s="13">
        <v>1</v>
      </c>
      <c r="Z219" s="13">
        <v>5</v>
      </c>
      <c r="AA219" s="35">
        <v>154</v>
      </c>
      <c r="AB219" s="13">
        <f>AA219*Z219</f>
        <v>770</v>
      </c>
      <c r="AC219" s="13">
        <v>1</v>
      </c>
      <c r="AD219" s="13">
        <v>1</v>
      </c>
      <c r="AE219" s="13">
        <v>1</v>
      </c>
      <c r="AF219" s="13">
        <v>1</v>
      </c>
      <c r="AG219" s="13">
        <v>1</v>
      </c>
      <c r="AH219" s="13">
        <v>5</v>
      </c>
      <c r="AI219" s="35">
        <v>154</v>
      </c>
      <c r="AJ219" s="13">
        <f>AI219*AH219</f>
        <v>770</v>
      </c>
      <c r="AK219" s="13">
        <v>1</v>
      </c>
      <c r="AL219" s="13">
        <v>1</v>
      </c>
      <c r="AM219" s="13">
        <v>1</v>
      </c>
      <c r="AN219" s="13">
        <v>1</v>
      </c>
      <c r="AO219" s="13">
        <v>1</v>
      </c>
      <c r="AP219" s="13">
        <v>5</v>
      </c>
      <c r="AQ219" s="35">
        <v>154</v>
      </c>
      <c r="AR219" s="13">
        <f>AQ219*AP219</f>
        <v>770</v>
      </c>
      <c r="AS219" s="13">
        <v>1</v>
      </c>
      <c r="AT219" s="13">
        <v>1</v>
      </c>
      <c r="AU219" s="13">
        <v>1</v>
      </c>
      <c r="AV219" s="13">
        <v>1</v>
      </c>
      <c r="AW219" s="13">
        <v>1</v>
      </c>
      <c r="AX219" s="13">
        <v>5</v>
      </c>
      <c r="AY219" s="35">
        <v>154</v>
      </c>
      <c r="AZ219" s="13">
        <f>AY219*AX219</f>
        <v>770</v>
      </c>
      <c r="BA219" s="13">
        <v>1</v>
      </c>
      <c r="BB219" s="13">
        <v>1</v>
      </c>
      <c r="BC219" s="13">
        <v>1</v>
      </c>
      <c r="BD219" s="13">
        <v>1</v>
      </c>
      <c r="BE219" s="13">
        <v>1</v>
      </c>
      <c r="BF219" s="13">
        <v>5</v>
      </c>
      <c r="BG219" s="35">
        <v>154</v>
      </c>
      <c r="BH219" s="13">
        <f>BG219*BF219</f>
        <v>770</v>
      </c>
      <c r="BI219" s="13">
        <v>1</v>
      </c>
      <c r="BJ219" s="13">
        <v>1</v>
      </c>
      <c r="BK219" s="13">
        <v>1</v>
      </c>
      <c r="BL219" s="13">
        <v>1</v>
      </c>
      <c r="BM219" s="13">
        <v>1</v>
      </c>
      <c r="BN219" s="13">
        <v>5</v>
      </c>
      <c r="BO219" s="35">
        <v>154</v>
      </c>
      <c r="BP219" s="13">
        <f>BO219*BN219</f>
        <v>770</v>
      </c>
      <c r="BQ219" s="13">
        <v>1</v>
      </c>
      <c r="BR219" s="13">
        <v>1</v>
      </c>
      <c r="BS219" s="13">
        <v>1</v>
      </c>
      <c r="BT219" s="13">
        <v>1</v>
      </c>
      <c r="BU219" s="13">
        <v>1</v>
      </c>
      <c r="BV219" s="13">
        <v>5</v>
      </c>
      <c r="BW219" s="35">
        <v>154</v>
      </c>
      <c r="BX219" s="13">
        <f>BW219*BV219</f>
        <v>770</v>
      </c>
      <c r="BY219" s="13">
        <v>1</v>
      </c>
      <c r="BZ219" s="13">
        <v>1</v>
      </c>
      <c r="CA219" s="13">
        <v>1</v>
      </c>
      <c r="CB219" s="13">
        <v>1</v>
      </c>
      <c r="CC219" s="13">
        <v>1</v>
      </c>
      <c r="CD219" s="13">
        <v>5</v>
      </c>
      <c r="CE219" s="35">
        <v>154</v>
      </c>
      <c r="CF219" s="13">
        <f>CE219*CD219</f>
        <v>770</v>
      </c>
    </row>
    <row r="220" spans="1:246">
      <c r="A220" s="61" t="s">
        <v>165</v>
      </c>
      <c r="B220" s="16" t="s">
        <v>57</v>
      </c>
      <c r="C220" s="11"/>
      <c r="D220" s="17" t="s">
        <v>11</v>
      </c>
      <c r="E220" s="18"/>
      <c r="F220" s="13">
        <v>1</v>
      </c>
      <c r="G220" s="13"/>
      <c r="H220" s="13">
        <v>1</v>
      </c>
      <c r="I220" s="18"/>
      <c r="J220" s="13">
        <v>2</v>
      </c>
      <c r="K220" s="42">
        <v>156</v>
      </c>
      <c r="L220" s="13">
        <f t="shared" ref="L220:L236" si="117">J220*K220</f>
        <v>312</v>
      </c>
      <c r="M220" s="18"/>
      <c r="N220" s="13">
        <v>1</v>
      </c>
      <c r="O220" s="13"/>
      <c r="P220" s="13">
        <v>1</v>
      </c>
      <c r="Q220" s="18"/>
      <c r="R220" s="13">
        <v>2</v>
      </c>
      <c r="S220" s="42">
        <v>156</v>
      </c>
      <c r="T220" s="13">
        <f t="shared" ref="T220:T236" si="118">R220*S220</f>
        <v>312</v>
      </c>
      <c r="U220" s="18"/>
      <c r="V220" s="13">
        <v>1</v>
      </c>
      <c r="W220" s="13"/>
      <c r="X220" s="13">
        <v>1</v>
      </c>
      <c r="Y220" s="18"/>
      <c r="Z220" s="13">
        <v>2</v>
      </c>
      <c r="AA220" s="42">
        <v>156</v>
      </c>
      <c r="AB220" s="13">
        <f t="shared" ref="AB220:AB236" si="119">AA220*Z220</f>
        <v>312</v>
      </c>
      <c r="AC220" s="18"/>
      <c r="AD220" s="13">
        <v>1</v>
      </c>
      <c r="AE220" s="13"/>
      <c r="AF220" s="13">
        <v>1</v>
      </c>
      <c r="AG220" s="18"/>
      <c r="AH220" s="13">
        <v>2</v>
      </c>
      <c r="AI220" s="42">
        <v>156</v>
      </c>
      <c r="AJ220" s="13">
        <f t="shared" ref="AJ220:AJ236" si="120">AI220*AH220</f>
        <v>312</v>
      </c>
      <c r="AK220" s="18"/>
      <c r="AL220" s="13">
        <v>1</v>
      </c>
      <c r="AM220" s="13"/>
      <c r="AN220" s="13">
        <v>1</v>
      </c>
      <c r="AO220" s="18"/>
      <c r="AP220" s="13">
        <v>2</v>
      </c>
      <c r="AQ220" s="42">
        <v>156</v>
      </c>
      <c r="AR220" s="13">
        <f t="shared" ref="AR220:AR236" si="121">AQ220*AP220</f>
        <v>312</v>
      </c>
      <c r="AS220" s="18"/>
      <c r="AT220" s="13">
        <v>1</v>
      </c>
      <c r="AU220" s="13"/>
      <c r="AV220" s="13">
        <v>1</v>
      </c>
      <c r="AW220" s="18"/>
      <c r="AX220" s="13">
        <v>2</v>
      </c>
      <c r="AY220" s="42">
        <v>156</v>
      </c>
      <c r="AZ220" s="13">
        <f t="shared" ref="AZ220:AZ236" si="122">AY220*AX220</f>
        <v>312</v>
      </c>
      <c r="BA220" s="18"/>
      <c r="BB220" s="13">
        <v>1</v>
      </c>
      <c r="BC220" s="13"/>
      <c r="BD220" s="13">
        <v>1</v>
      </c>
      <c r="BE220" s="18"/>
      <c r="BF220" s="13">
        <v>2</v>
      </c>
      <c r="BG220" s="42">
        <v>156</v>
      </c>
      <c r="BH220" s="13">
        <f t="shared" ref="BH220:BH236" si="123">BG220*BF220</f>
        <v>312</v>
      </c>
      <c r="BI220" s="18"/>
      <c r="BJ220" s="13">
        <v>1</v>
      </c>
      <c r="BK220" s="13"/>
      <c r="BL220" s="13">
        <v>1</v>
      </c>
      <c r="BM220" s="18"/>
      <c r="BN220" s="13">
        <v>2</v>
      </c>
      <c r="BO220" s="42">
        <v>156</v>
      </c>
      <c r="BP220" s="13">
        <f t="shared" ref="BP220:BP236" si="124">BO220*BN220</f>
        <v>312</v>
      </c>
      <c r="BQ220" s="18"/>
      <c r="BR220" s="13">
        <v>1</v>
      </c>
      <c r="BS220" s="13"/>
      <c r="BT220" s="13">
        <v>1</v>
      </c>
      <c r="BU220" s="18"/>
      <c r="BV220" s="13">
        <v>2</v>
      </c>
      <c r="BW220" s="42">
        <v>156</v>
      </c>
      <c r="BX220" s="13">
        <f t="shared" ref="BX220:BX236" si="125">BW220*BV220</f>
        <v>312</v>
      </c>
      <c r="BY220" s="18"/>
      <c r="BZ220" s="13">
        <v>1</v>
      </c>
      <c r="CA220" s="13"/>
      <c r="CB220" s="13">
        <v>1</v>
      </c>
      <c r="CC220" s="18"/>
      <c r="CD220" s="13">
        <v>2</v>
      </c>
      <c r="CE220" s="42">
        <v>156</v>
      </c>
      <c r="CF220" s="13">
        <f t="shared" ref="CF220:CF236" si="126">CE220*CD220</f>
        <v>312</v>
      </c>
    </row>
    <row r="221" spans="1:246">
      <c r="A221" s="61" t="s">
        <v>165</v>
      </c>
      <c r="B221" s="20" t="s">
        <v>12</v>
      </c>
      <c r="C221" s="11"/>
      <c r="D221" s="11" t="s">
        <v>13</v>
      </c>
      <c r="E221" s="18"/>
      <c r="F221" s="13">
        <v>2</v>
      </c>
      <c r="G221" s="13"/>
      <c r="H221" s="13">
        <v>2</v>
      </c>
      <c r="I221" s="18"/>
      <c r="J221" s="13">
        <v>4</v>
      </c>
      <c r="K221" s="19">
        <v>306</v>
      </c>
      <c r="L221" s="13">
        <f t="shared" si="117"/>
        <v>1224</v>
      </c>
      <c r="M221" s="18"/>
      <c r="N221" s="13">
        <v>1</v>
      </c>
      <c r="O221" s="13"/>
      <c r="P221" s="13">
        <v>1</v>
      </c>
      <c r="Q221" s="18"/>
      <c r="R221" s="13">
        <v>2</v>
      </c>
      <c r="S221" s="19">
        <v>306</v>
      </c>
      <c r="T221" s="13">
        <f t="shared" si="118"/>
        <v>612</v>
      </c>
      <c r="U221" s="18"/>
      <c r="V221" s="13">
        <v>1</v>
      </c>
      <c r="W221" s="13"/>
      <c r="X221" s="13">
        <v>1</v>
      </c>
      <c r="Y221" s="18"/>
      <c r="Z221" s="13">
        <v>2</v>
      </c>
      <c r="AA221" s="19">
        <v>306</v>
      </c>
      <c r="AB221" s="13">
        <f t="shared" si="119"/>
        <v>612</v>
      </c>
      <c r="AC221" s="18"/>
      <c r="AD221" s="13">
        <v>1</v>
      </c>
      <c r="AE221" s="13"/>
      <c r="AF221" s="13">
        <v>1</v>
      </c>
      <c r="AG221" s="18"/>
      <c r="AH221" s="13">
        <v>2</v>
      </c>
      <c r="AI221" s="19">
        <v>306</v>
      </c>
      <c r="AJ221" s="13">
        <f t="shared" si="120"/>
        <v>612</v>
      </c>
      <c r="AK221" s="18"/>
      <c r="AL221" s="13">
        <v>1</v>
      </c>
      <c r="AM221" s="13"/>
      <c r="AN221" s="13">
        <v>1</v>
      </c>
      <c r="AO221" s="18"/>
      <c r="AP221" s="13">
        <v>2</v>
      </c>
      <c r="AQ221" s="19">
        <v>306</v>
      </c>
      <c r="AR221" s="13">
        <f t="shared" si="121"/>
        <v>612</v>
      </c>
      <c r="AS221" s="18"/>
      <c r="AT221" s="13">
        <v>1</v>
      </c>
      <c r="AU221" s="13"/>
      <c r="AV221" s="13">
        <v>1</v>
      </c>
      <c r="AW221" s="18"/>
      <c r="AX221" s="13">
        <v>2</v>
      </c>
      <c r="AY221" s="19">
        <v>306</v>
      </c>
      <c r="AZ221" s="13">
        <f t="shared" si="122"/>
        <v>612</v>
      </c>
      <c r="BA221" s="18"/>
      <c r="BB221" s="13">
        <v>1</v>
      </c>
      <c r="BC221" s="13"/>
      <c r="BD221" s="13">
        <v>1</v>
      </c>
      <c r="BE221" s="18"/>
      <c r="BF221" s="13">
        <v>2</v>
      </c>
      <c r="BG221" s="19">
        <v>306</v>
      </c>
      <c r="BH221" s="13">
        <f t="shared" si="123"/>
        <v>612</v>
      </c>
      <c r="BI221" s="18"/>
      <c r="BJ221" s="13">
        <v>1</v>
      </c>
      <c r="BK221" s="13"/>
      <c r="BL221" s="13">
        <v>1</v>
      </c>
      <c r="BM221" s="18"/>
      <c r="BN221" s="13">
        <v>2</v>
      </c>
      <c r="BO221" s="19">
        <v>306</v>
      </c>
      <c r="BP221" s="13">
        <f t="shared" si="124"/>
        <v>612</v>
      </c>
      <c r="BQ221" s="18"/>
      <c r="BR221" s="13">
        <v>1</v>
      </c>
      <c r="BS221" s="13"/>
      <c r="BT221" s="13">
        <v>1</v>
      </c>
      <c r="BU221" s="18"/>
      <c r="BV221" s="13">
        <v>2</v>
      </c>
      <c r="BW221" s="19">
        <v>306</v>
      </c>
      <c r="BX221" s="13">
        <f t="shared" si="125"/>
        <v>612</v>
      </c>
      <c r="BY221" s="18"/>
      <c r="BZ221" s="13">
        <v>1</v>
      </c>
      <c r="CA221" s="13"/>
      <c r="CB221" s="13">
        <v>1</v>
      </c>
      <c r="CC221" s="18"/>
      <c r="CD221" s="13">
        <v>2</v>
      </c>
      <c r="CE221" s="19">
        <v>306</v>
      </c>
      <c r="CF221" s="13">
        <f t="shared" si="126"/>
        <v>612</v>
      </c>
    </row>
    <row r="222" spans="1:246">
      <c r="A222" s="61" t="s">
        <v>165</v>
      </c>
      <c r="B222" s="10" t="s">
        <v>90</v>
      </c>
      <c r="C222" s="11"/>
      <c r="D222" s="11" t="s">
        <v>91</v>
      </c>
      <c r="E222" s="18"/>
      <c r="F222" s="13"/>
      <c r="G222" s="13"/>
      <c r="H222" s="13"/>
      <c r="I222" s="18"/>
      <c r="J222" s="13"/>
      <c r="K222" s="21">
        <v>143</v>
      </c>
      <c r="L222" s="13">
        <f t="shared" si="117"/>
        <v>0</v>
      </c>
      <c r="M222" s="18"/>
      <c r="N222" s="13"/>
      <c r="O222" s="13"/>
      <c r="P222" s="13"/>
      <c r="Q222" s="18"/>
      <c r="R222" s="13">
        <v>0</v>
      </c>
      <c r="S222" s="21">
        <v>143</v>
      </c>
      <c r="T222" s="13">
        <f t="shared" si="118"/>
        <v>0</v>
      </c>
      <c r="U222" s="18"/>
      <c r="V222" s="13"/>
      <c r="W222" s="13"/>
      <c r="X222" s="13"/>
      <c r="Y222" s="18">
        <v>2</v>
      </c>
      <c r="Z222" s="13">
        <v>2</v>
      </c>
      <c r="AA222" s="21">
        <v>143</v>
      </c>
      <c r="AB222" s="13">
        <f t="shared" si="119"/>
        <v>286</v>
      </c>
      <c r="AC222" s="18"/>
      <c r="AD222" s="13"/>
      <c r="AE222" s="13"/>
      <c r="AF222" s="13"/>
      <c r="AG222" s="18"/>
      <c r="AH222" s="13"/>
      <c r="AI222" s="21">
        <v>143</v>
      </c>
      <c r="AJ222" s="13">
        <f t="shared" si="120"/>
        <v>0</v>
      </c>
      <c r="AK222" s="18"/>
      <c r="AL222" s="13"/>
      <c r="AM222" s="13"/>
      <c r="AN222" s="13"/>
      <c r="AO222" s="18"/>
      <c r="AP222" s="13">
        <v>0</v>
      </c>
      <c r="AQ222" s="21">
        <v>143</v>
      </c>
      <c r="AR222" s="13">
        <f t="shared" si="121"/>
        <v>0</v>
      </c>
      <c r="AS222" s="18"/>
      <c r="AT222" s="13"/>
      <c r="AU222" s="13"/>
      <c r="AV222" s="13"/>
      <c r="AW222" s="18"/>
      <c r="AX222" s="13">
        <v>2</v>
      </c>
      <c r="AY222" s="21">
        <v>143</v>
      </c>
      <c r="AZ222" s="13">
        <f t="shared" si="122"/>
        <v>286</v>
      </c>
      <c r="BA222" s="18"/>
      <c r="BB222" s="13"/>
      <c r="BC222" s="13"/>
      <c r="BD222" s="13"/>
      <c r="BE222" s="18"/>
      <c r="BF222" s="13"/>
      <c r="BG222" s="21">
        <v>143</v>
      </c>
      <c r="BH222" s="13">
        <f t="shared" si="123"/>
        <v>0</v>
      </c>
      <c r="BI222" s="18"/>
      <c r="BJ222" s="13"/>
      <c r="BK222" s="13"/>
      <c r="BL222" s="13"/>
      <c r="BM222" s="18"/>
      <c r="BN222" s="13">
        <v>0</v>
      </c>
      <c r="BO222" s="21">
        <v>143</v>
      </c>
      <c r="BP222" s="13">
        <f t="shared" si="124"/>
        <v>0</v>
      </c>
      <c r="BQ222" s="18"/>
      <c r="BR222" s="13"/>
      <c r="BS222" s="13"/>
      <c r="BT222" s="13"/>
      <c r="BU222" s="18">
        <v>2</v>
      </c>
      <c r="BV222" s="13">
        <v>2</v>
      </c>
      <c r="BW222" s="21">
        <v>143</v>
      </c>
      <c r="BX222" s="13">
        <f t="shared" si="125"/>
        <v>286</v>
      </c>
      <c r="BY222" s="18"/>
      <c r="BZ222" s="13"/>
      <c r="CA222" s="13"/>
      <c r="CB222" s="13"/>
      <c r="CC222" s="18"/>
      <c r="CD222" s="13">
        <v>0</v>
      </c>
      <c r="CE222" s="21">
        <v>143</v>
      </c>
      <c r="CF222" s="13">
        <f t="shared" si="126"/>
        <v>0</v>
      </c>
    </row>
    <row r="223" spans="1:246">
      <c r="A223" s="61" t="s">
        <v>165</v>
      </c>
      <c r="B223" s="10" t="s">
        <v>18</v>
      </c>
      <c r="C223" s="11"/>
      <c r="D223" s="12" t="s">
        <v>19</v>
      </c>
      <c r="E223" s="18"/>
      <c r="F223" s="13">
        <v>1</v>
      </c>
      <c r="G223" s="13"/>
      <c r="H223" s="13">
        <v>1</v>
      </c>
      <c r="I223" s="18"/>
      <c r="J223" s="13">
        <v>1</v>
      </c>
      <c r="K223" s="13">
        <v>25</v>
      </c>
      <c r="L223" s="13">
        <f t="shared" si="117"/>
        <v>25</v>
      </c>
      <c r="M223" s="18"/>
      <c r="N223" s="13">
        <v>1</v>
      </c>
      <c r="O223" s="13"/>
      <c r="P223" s="13">
        <v>1</v>
      </c>
      <c r="Q223" s="18"/>
      <c r="R223" s="13">
        <v>1</v>
      </c>
      <c r="S223" s="13">
        <v>25</v>
      </c>
      <c r="T223" s="13">
        <f t="shared" si="118"/>
        <v>25</v>
      </c>
      <c r="U223" s="18"/>
      <c r="V223" s="13">
        <v>1</v>
      </c>
      <c r="W223" s="13"/>
      <c r="X223" s="13">
        <v>1</v>
      </c>
      <c r="Y223" s="18"/>
      <c r="Z223" s="13">
        <v>1</v>
      </c>
      <c r="AA223" s="13">
        <v>25</v>
      </c>
      <c r="AB223" s="13">
        <f t="shared" si="119"/>
        <v>25</v>
      </c>
      <c r="AC223" s="18"/>
      <c r="AD223" s="13">
        <v>1</v>
      </c>
      <c r="AE223" s="13"/>
      <c r="AF223" s="13">
        <v>1</v>
      </c>
      <c r="AG223" s="18"/>
      <c r="AH223" s="13">
        <v>1</v>
      </c>
      <c r="AI223" s="13">
        <v>25</v>
      </c>
      <c r="AJ223" s="13">
        <f t="shared" si="120"/>
        <v>25</v>
      </c>
      <c r="AK223" s="18"/>
      <c r="AL223" s="13">
        <v>1</v>
      </c>
      <c r="AM223" s="13"/>
      <c r="AN223" s="13">
        <v>1</v>
      </c>
      <c r="AO223" s="18"/>
      <c r="AP223" s="13">
        <v>1</v>
      </c>
      <c r="AQ223" s="13">
        <v>25</v>
      </c>
      <c r="AR223" s="13">
        <f t="shared" si="121"/>
        <v>25</v>
      </c>
      <c r="AS223" s="18"/>
      <c r="AT223" s="13">
        <v>1</v>
      </c>
      <c r="AU223" s="13"/>
      <c r="AV223" s="13">
        <v>1</v>
      </c>
      <c r="AW223" s="18"/>
      <c r="AX223" s="13">
        <v>1</v>
      </c>
      <c r="AY223" s="13">
        <v>25</v>
      </c>
      <c r="AZ223" s="13">
        <f t="shared" si="122"/>
        <v>25</v>
      </c>
      <c r="BA223" s="18"/>
      <c r="BB223" s="13">
        <v>1</v>
      </c>
      <c r="BC223" s="13"/>
      <c r="BD223" s="13">
        <v>1</v>
      </c>
      <c r="BE223" s="18"/>
      <c r="BF223" s="13">
        <v>1</v>
      </c>
      <c r="BG223" s="13">
        <v>25</v>
      </c>
      <c r="BH223" s="13">
        <f t="shared" si="123"/>
        <v>25</v>
      </c>
      <c r="BI223" s="18"/>
      <c r="BJ223" s="13">
        <v>1</v>
      </c>
      <c r="BK223" s="13"/>
      <c r="BL223" s="13">
        <v>1</v>
      </c>
      <c r="BM223" s="18"/>
      <c r="BN223" s="13">
        <v>1</v>
      </c>
      <c r="BO223" s="13">
        <v>25</v>
      </c>
      <c r="BP223" s="13">
        <f t="shared" si="124"/>
        <v>25</v>
      </c>
      <c r="BQ223" s="18"/>
      <c r="BR223" s="13">
        <v>1</v>
      </c>
      <c r="BS223" s="13"/>
      <c r="BT223" s="13">
        <v>1</v>
      </c>
      <c r="BU223" s="18"/>
      <c r="BV223" s="13">
        <v>1</v>
      </c>
      <c r="BW223" s="13">
        <v>25</v>
      </c>
      <c r="BX223" s="13">
        <f t="shared" si="125"/>
        <v>25</v>
      </c>
      <c r="BY223" s="18"/>
      <c r="BZ223" s="13">
        <v>1</v>
      </c>
      <c r="CA223" s="13"/>
      <c r="CB223" s="13">
        <v>1</v>
      </c>
      <c r="CC223" s="18"/>
      <c r="CD223" s="13">
        <v>1</v>
      </c>
      <c r="CE223" s="13">
        <v>25</v>
      </c>
      <c r="CF223" s="13">
        <f t="shared" si="126"/>
        <v>25</v>
      </c>
    </row>
    <row r="224" spans="1:246">
      <c r="A224" s="61" t="s">
        <v>165</v>
      </c>
      <c r="B224" s="10" t="s">
        <v>20</v>
      </c>
      <c r="C224" s="11"/>
      <c r="D224" s="12" t="s">
        <v>21</v>
      </c>
      <c r="E224" s="18"/>
      <c r="F224" s="13">
        <v>1</v>
      </c>
      <c r="G224" s="13"/>
      <c r="H224" s="13">
        <v>1</v>
      </c>
      <c r="I224" s="18"/>
      <c r="J224" s="13">
        <v>2</v>
      </c>
      <c r="K224" s="13">
        <v>112</v>
      </c>
      <c r="L224" s="13">
        <f t="shared" si="117"/>
        <v>224</v>
      </c>
      <c r="M224" s="18"/>
      <c r="N224" s="13">
        <v>1</v>
      </c>
      <c r="O224" s="13"/>
      <c r="P224" s="13">
        <v>1</v>
      </c>
      <c r="Q224" s="18"/>
      <c r="R224" s="13">
        <v>2</v>
      </c>
      <c r="S224" s="13">
        <v>112</v>
      </c>
      <c r="T224" s="13">
        <f t="shared" si="118"/>
        <v>224</v>
      </c>
      <c r="U224" s="18"/>
      <c r="V224" s="13">
        <v>1</v>
      </c>
      <c r="W224" s="13"/>
      <c r="X224" s="13">
        <v>1</v>
      </c>
      <c r="Y224" s="18"/>
      <c r="Z224" s="13">
        <v>2</v>
      </c>
      <c r="AA224" s="13">
        <v>112</v>
      </c>
      <c r="AB224" s="13">
        <f t="shared" si="119"/>
        <v>224</v>
      </c>
      <c r="AC224" s="18"/>
      <c r="AD224" s="13">
        <v>1</v>
      </c>
      <c r="AE224" s="13"/>
      <c r="AF224" s="13">
        <v>1</v>
      </c>
      <c r="AG224" s="18"/>
      <c r="AH224" s="13">
        <v>2</v>
      </c>
      <c r="AI224" s="13">
        <v>112</v>
      </c>
      <c r="AJ224" s="13">
        <f t="shared" si="120"/>
        <v>224</v>
      </c>
      <c r="AK224" s="18"/>
      <c r="AL224" s="13">
        <v>1</v>
      </c>
      <c r="AM224" s="13"/>
      <c r="AN224" s="13">
        <v>1</v>
      </c>
      <c r="AO224" s="18"/>
      <c r="AP224" s="13">
        <v>2</v>
      </c>
      <c r="AQ224" s="13">
        <v>112</v>
      </c>
      <c r="AR224" s="13">
        <f t="shared" si="121"/>
        <v>224</v>
      </c>
      <c r="AS224" s="18"/>
      <c r="AT224" s="13">
        <v>1</v>
      </c>
      <c r="AU224" s="13"/>
      <c r="AV224" s="13">
        <v>1</v>
      </c>
      <c r="AW224" s="18"/>
      <c r="AX224" s="13">
        <v>2</v>
      </c>
      <c r="AY224" s="13">
        <v>112</v>
      </c>
      <c r="AZ224" s="13">
        <f t="shared" si="122"/>
        <v>224</v>
      </c>
      <c r="BA224" s="18"/>
      <c r="BB224" s="13">
        <v>1</v>
      </c>
      <c r="BC224" s="13"/>
      <c r="BD224" s="13">
        <v>1</v>
      </c>
      <c r="BE224" s="18"/>
      <c r="BF224" s="13">
        <v>2</v>
      </c>
      <c r="BG224" s="13">
        <v>112</v>
      </c>
      <c r="BH224" s="13">
        <f t="shared" si="123"/>
        <v>224</v>
      </c>
      <c r="BI224" s="18"/>
      <c r="BJ224" s="13">
        <v>1</v>
      </c>
      <c r="BK224" s="13"/>
      <c r="BL224" s="13">
        <v>1</v>
      </c>
      <c r="BM224" s="18"/>
      <c r="BN224" s="13">
        <v>2</v>
      </c>
      <c r="BO224" s="13">
        <v>112</v>
      </c>
      <c r="BP224" s="13">
        <f t="shared" si="124"/>
        <v>224</v>
      </c>
      <c r="BQ224" s="18"/>
      <c r="BR224" s="13">
        <v>1</v>
      </c>
      <c r="BS224" s="13"/>
      <c r="BT224" s="13">
        <v>1</v>
      </c>
      <c r="BU224" s="18"/>
      <c r="BV224" s="13">
        <v>2</v>
      </c>
      <c r="BW224" s="13">
        <v>112</v>
      </c>
      <c r="BX224" s="13">
        <f t="shared" si="125"/>
        <v>224</v>
      </c>
      <c r="BY224" s="18"/>
      <c r="BZ224" s="13">
        <v>1</v>
      </c>
      <c r="CA224" s="13"/>
      <c r="CB224" s="13">
        <v>1</v>
      </c>
      <c r="CC224" s="18"/>
      <c r="CD224" s="13">
        <v>2</v>
      </c>
      <c r="CE224" s="13">
        <v>112</v>
      </c>
      <c r="CF224" s="13">
        <f t="shared" si="126"/>
        <v>224</v>
      </c>
    </row>
    <row r="225" spans="1:246">
      <c r="A225" s="61" t="s">
        <v>165</v>
      </c>
      <c r="B225" s="10" t="s">
        <v>22</v>
      </c>
      <c r="C225" s="11"/>
      <c r="D225" s="11" t="s">
        <v>23</v>
      </c>
      <c r="E225" s="18"/>
      <c r="F225" s="13">
        <v>1</v>
      </c>
      <c r="G225" s="13"/>
      <c r="H225" s="13">
        <v>1</v>
      </c>
      <c r="I225" s="18"/>
      <c r="J225" s="13">
        <v>2</v>
      </c>
      <c r="K225" s="22">
        <v>275</v>
      </c>
      <c r="L225" s="13">
        <f t="shared" si="117"/>
        <v>550</v>
      </c>
      <c r="M225" s="18"/>
      <c r="N225" s="13">
        <v>1</v>
      </c>
      <c r="O225" s="13"/>
      <c r="P225" s="13">
        <v>1</v>
      </c>
      <c r="Q225" s="18"/>
      <c r="R225" s="13">
        <v>2</v>
      </c>
      <c r="S225" s="22">
        <v>275</v>
      </c>
      <c r="T225" s="13">
        <f t="shared" si="118"/>
        <v>550</v>
      </c>
      <c r="U225" s="18"/>
      <c r="V225" s="13">
        <v>1</v>
      </c>
      <c r="W225" s="13"/>
      <c r="X225" s="13">
        <v>1</v>
      </c>
      <c r="Y225" s="18"/>
      <c r="Z225" s="13">
        <v>2</v>
      </c>
      <c r="AA225" s="22">
        <v>275</v>
      </c>
      <c r="AB225" s="13">
        <f t="shared" si="119"/>
        <v>550</v>
      </c>
      <c r="AC225" s="18"/>
      <c r="AD225" s="13">
        <v>1</v>
      </c>
      <c r="AE225" s="13"/>
      <c r="AF225" s="13">
        <v>1</v>
      </c>
      <c r="AG225" s="18"/>
      <c r="AH225" s="13">
        <v>2</v>
      </c>
      <c r="AI225" s="22">
        <v>275</v>
      </c>
      <c r="AJ225" s="13">
        <f t="shared" si="120"/>
        <v>550</v>
      </c>
      <c r="AK225" s="18"/>
      <c r="AL225" s="13">
        <v>1</v>
      </c>
      <c r="AM225" s="13"/>
      <c r="AN225" s="13">
        <v>1</v>
      </c>
      <c r="AO225" s="18"/>
      <c r="AP225" s="13">
        <v>2</v>
      </c>
      <c r="AQ225" s="22">
        <v>275</v>
      </c>
      <c r="AR225" s="13">
        <f t="shared" si="121"/>
        <v>550</v>
      </c>
      <c r="AS225" s="18"/>
      <c r="AT225" s="13">
        <v>1</v>
      </c>
      <c r="AU225" s="13"/>
      <c r="AV225" s="13">
        <v>1</v>
      </c>
      <c r="AW225" s="18"/>
      <c r="AX225" s="13">
        <v>2</v>
      </c>
      <c r="AY225" s="22">
        <v>275</v>
      </c>
      <c r="AZ225" s="13">
        <f t="shared" si="122"/>
        <v>550</v>
      </c>
      <c r="BA225" s="18"/>
      <c r="BB225" s="13">
        <v>1</v>
      </c>
      <c r="BC225" s="13"/>
      <c r="BD225" s="13">
        <v>1</v>
      </c>
      <c r="BE225" s="18"/>
      <c r="BF225" s="13">
        <v>2</v>
      </c>
      <c r="BG225" s="22">
        <v>275</v>
      </c>
      <c r="BH225" s="13">
        <f t="shared" si="123"/>
        <v>550</v>
      </c>
      <c r="BI225" s="18"/>
      <c r="BJ225" s="13">
        <v>1</v>
      </c>
      <c r="BK225" s="13"/>
      <c r="BL225" s="13">
        <v>1</v>
      </c>
      <c r="BM225" s="18"/>
      <c r="BN225" s="13">
        <v>2</v>
      </c>
      <c r="BO225" s="22">
        <v>275</v>
      </c>
      <c r="BP225" s="13">
        <f t="shared" si="124"/>
        <v>550</v>
      </c>
      <c r="BQ225" s="18"/>
      <c r="BR225" s="13">
        <v>1</v>
      </c>
      <c r="BS225" s="13"/>
      <c r="BT225" s="13">
        <v>1</v>
      </c>
      <c r="BU225" s="18"/>
      <c r="BV225" s="13">
        <v>2</v>
      </c>
      <c r="BW225" s="22">
        <v>275</v>
      </c>
      <c r="BX225" s="13">
        <f t="shared" si="125"/>
        <v>550</v>
      </c>
      <c r="BY225" s="18"/>
      <c r="BZ225" s="13">
        <v>1</v>
      </c>
      <c r="CA225" s="13"/>
      <c r="CB225" s="13">
        <v>1</v>
      </c>
      <c r="CC225" s="18"/>
      <c r="CD225" s="13">
        <v>2</v>
      </c>
      <c r="CE225" s="22">
        <v>275</v>
      </c>
      <c r="CF225" s="13">
        <f t="shared" si="126"/>
        <v>550</v>
      </c>
    </row>
    <row r="226" spans="1:246">
      <c r="A226" s="61" t="s">
        <v>165</v>
      </c>
      <c r="B226" s="10" t="s">
        <v>93</v>
      </c>
      <c r="C226" s="11"/>
      <c r="D226" s="12" t="s">
        <v>94</v>
      </c>
      <c r="E226" s="18"/>
      <c r="F226" s="13"/>
      <c r="G226" s="13"/>
      <c r="H226" s="13"/>
      <c r="I226" s="18"/>
      <c r="J226" s="13"/>
      <c r="K226" s="22">
        <v>1529</v>
      </c>
      <c r="L226" s="13">
        <f t="shared" si="117"/>
        <v>0</v>
      </c>
      <c r="M226" s="18"/>
      <c r="N226" s="13"/>
      <c r="O226" s="13"/>
      <c r="P226" s="13"/>
      <c r="Q226" s="18"/>
      <c r="R226" s="13"/>
      <c r="S226" s="22">
        <v>1529</v>
      </c>
      <c r="T226" s="13">
        <f t="shared" si="118"/>
        <v>0</v>
      </c>
      <c r="U226" s="18"/>
      <c r="V226" s="13"/>
      <c r="W226" s="13"/>
      <c r="X226" s="13"/>
      <c r="Y226" s="18">
        <v>1</v>
      </c>
      <c r="Z226" s="13">
        <v>1</v>
      </c>
      <c r="AA226" s="22">
        <v>1529</v>
      </c>
      <c r="AB226" s="13">
        <f t="shared" si="119"/>
        <v>1529</v>
      </c>
      <c r="AC226" s="18"/>
      <c r="AD226" s="13"/>
      <c r="AE226" s="13"/>
      <c r="AF226" s="13"/>
      <c r="AG226" s="18"/>
      <c r="AH226" s="13"/>
      <c r="AI226" s="22">
        <v>1529</v>
      </c>
      <c r="AJ226" s="13">
        <f t="shared" si="120"/>
        <v>0</v>
      </c>
      <c r="AK226" s="18"/>
      <c r="AL226" s="13"/>
      <c r="AM226" s="13"/>
      <c r="AN226" s="13"/>
      <c r="AO226" s="18"/>
      <c r="AP226" s="13">
        <v>0</v>
      </c>
      <c r="AQ226" s="22">
        <v>1529</v>
      </c>
      <c r="AR226" s="13">
        <f t="shared" si="121"/>
        <v>0</v>
      </c>
      <c r="AS226" s="18"/>
      <c r="AT226" s="13"/>
      <c r="AU226" s="13"/>
      <c r="AV226" s="13"/>
      <c r="AW226" s="18">
        <v>1</v>
      </c>
      <c r="AX226" s="13">
        <v>1</v>
      </c>
      <c r="AY226" s="22">
        <v>1529</v>
      </c>
      <c r="AZ226" s="13">
        <f t="shared" si="122"/>
        <v>1529</v>
      </c>
      <c r="BA226" s="18"/>
      <c r="BB226" s="13"/>
      <c r="BC226" s="13"/>
      <c r="BD226" s="13"/>
      <c r="BE226" s="18"/>
      <c r="BF226" s="13"/>
      <c r="BG226" s="22">
        <v>1529</v>
      </c>
      <c r="BH226" s="13">
        <f t="shared" si="123"/>
        <v>0</v>
      </c>
      <c r="BI226" s="18"/>
      <c r="BJ226" s="13"/>
      <c r="BK226" s="13"/>
      <c r="BL226" s="13"/>
      <c r="BM226" s="18"/>
      <c r="BN226" s="13">
        <f>BM226*BL226</f>
        <v>0</v>
      </c>
      <c r="BO226" s="22">
        <v>1529</v>
      </c>
      <c r="BP226" s="13">
        <f t="shared" si="124"/>
        <v>0</v>
      </c>
      <c r="BQ226" s="18"/>
      <c r="BR226" s="13"/>
      <c r="BS226" s="13"/>
      <c r="BT226" s="13"/>
      <c r="BU226" s="18">
        <v>1</v>
      </c>
      <c r="BV226" s="13">
        <v>1</v>
      </c>
      <c r="BW226" s="22">
        <v>1529</v>
      </c>
      <c r="BX226" s="13">
        <f t="shared" si="125"/>
        <v>1529</v>
      </c>
      <c r="BY226" s="18"/>
      <c r="BZ226" s="13"/>
      <c r="CA226" s="13"/>
      <c r="CB226" s="13"/>
      <c r="CC226" s="18"/>
      <c r="CD226" s="13">
        <v>0</v>
      </c>
      <c r="CE226" s="22">
        <v>1529</v>
      </c>
      <c r="CF226" s="13">
        <f t="shared" si="126"/>
        <v>0</v>
      </c>
    </row>
    <row r="227" spans="1:246">
      <c r="A227" s="61" t="s">
        <v>165</v>
      </c>
      <c r="B227" s="10" t="s">
        <v>97</v>
      </c>
      <c r="C227" s="11"/>
      <c r="D227" s="11" t="s">
        <v>98</v>
      </c>
      <c r="E227" s="125"/>
      <c r="F227" s="13"/>
      <c r="G227" s="13"/>
      <c r="H227" s="13"/>
      <c r="I227" s="125"/>
      <c r="J227" s="25"/>
      <c r="K227" s="13">
        <v>3707</v>
      </c>
      <c r="L227" s="13">
        <f t="shared" si="117"/>
        <v>0</v>
      </c>
      <c r="M227" s="125"/>
      <c r="N227" s="13"/>
      <c r="O227" s="13"/>
      <c r="P227" s="13"/>
      <c r="Q227" s="125"/>
      <c r="R227" s="25">
        <v>1</v>
      </c>
      <c r="S227" s="13">
        <v>3707</v>
      </c>
      <c r="T227" s="13">
        <f t="shared" si="118"/>
        <v>3707</v>
      </c>
      <c r="U227" s="125"/>
      <c r="V227" s="13"/>
      <c r="W227" s="13"/>
      <c r="X227" s="13"/>
      <c r="Y227" s="125">
        <v>1</v>
      </c>
      <c r="Z227" s="25">
        <v>1</v>
      </c>
      <c r="AA227" s="13">
        <v>3707</v>
      </c>
      <c r="AB227" s="13">
        <f t="shared" si="119"/>
        <v>3707</v>
      </c>
      <c r="AC227" s="125"/>
      <c r="AD227" s="13"/>
      <c r="AE227" s="13"/>
      <c r="AF227" s="13"/>
      <c r="AG227" s="125"/>
      <c r="AH227" s="25"/>
      <c r="AI227" s="13">
        <v>3707</v>
      </c>
      <c r="AJ227" s="13">
        <f t="shared" si="120"/>
        <v>0</v>
      </c>
      <c r="AK227" s="125"/>
      <c r="AL227" s="13"/>
      <c r="AM227" s="13"/>
      <c r="AN227" s="13"/>
      <c r="AO227" s="125"/>
      <c r="AP227" s="25">
        <v>0</v>
      </c>
      <c r="AQ227" s="13">
        <v>3707</v>
      </c>
      <c r="AR227" s="13">
        <f t="shared" si="121"/>
        <v>0</v>
      </c>
      <c r="AS227" s="125"/>
      <c r="AT227" s="13"/>
      <c r="AU227" s="13"/>
      <c r="AV227" s="13"/>
      <c r="AW227" s="125">
        <v>1</v>
      </c>
      <c r="AX227" s="25">
        <v>1</v>
      </c>
      <c r="AY227" s="13">
        <v>3707</v>
      </c>
      <c r="AZ227" s="13">
        <f t="shared" si="122"/>
        <v>3707</v>
      </c>
      <c r="BA227" s="125"/>
      <c r="BB227" s="13"/>
      <c r="BC227" s="13"/>
      <c r="BD227" s="13"/>
      <c r="BE227" s="125"/>
      <c r="BF227" s="25"/>
      <c r="BG227" s="13">
        <v>3707</v>
      </c>
      <c r="BH227" s="13">
        <f t="shared" si="123"/>
        <v>0</v>
      </c>
      <c r="BI227" s="125"/>
      <c r="BJ227" s="13"/>
      <c r="BK227" s="13"/>
      <c r="BL227" s="13"/>
      <c r="BM227" s="125"/>
      <c r="BN227" s="13">
        <f>BM227*BL227</f>
        <v>0</v>
      </c>
      <c r="BO227" s="13">
        <v>3707</v>
      </c>
      <c r="BP227" s="13">
        <f t="shared" si="124"/>
        <v>0</v>
      </c>
      <c r="BQ227" s="125"/>
      <c r="BR227" s="13"/>
      <c r="BS227" s="13"/>
      <c r="BT227" s="13"/>
      <c r="BU227" s="125">
        <v>1</v>
      </c>
      <c r="BV227" s="25">
        <v>1</v>
      </c>
      <c r="BW227" s="13">
        <v>3707</v>
      </c>
      <c r="BX227" s="13">
        <f t="shared" si="125"/>
        <v>3707</v>
      </c>
      <c r="BY227" s="125"/>
      <c r="BZ227" s="13"/>
      <c r="CA227" s="13"/>
      <c r="CB227" s="13"/>
      <c r="CC227" s="125"/>
      <c r="CD227" s="25">
        <v>0</v>
      </c>
      <c r="CE227" s="13">
        <v>3707</v>
      </c>
      <c r="CF227" s="13">
        <f t="shared" si="126"/>
        <v>0</v>
      </c>
    </row>
    <row r="228" spans="1:246">
      <c r="A228" s="61" t="s">
        <v>165</v>
      </c>
      <c r="B228" s="20" t="s">
        <v>101</v>
      </c>
      <c r="C228" s="11"/>
      <c r="D228" s="12" t="s">
        <v>102</v>
      </c>
      <c r="E228" s="125"/>
      <c r="F228" s="13"/>
      <c r="G228" s="13"/>
      <c r="H228" s="13"/>
      <c r="I228" s="125"/>
      <c r="J228" s="25"/>
      <c r="K228" s="13">
        <v>2150</v>
      </c>
      <c r="L228" s="13">
        <f t="shared" si="117"/>
        <v>0</v>
      </c>
      <c r="M228" s="125"/>
      <c r="N228" s="13"/>
      <c r="O228" s="13"/>
      <c r="P228" s="13"/>
      <c r="Q228" s="125"/>
      <c r="R228" s="25"/>
      <c r="S228" s="13">
        <v>2150</v>
      </c>
      <c r="T228" s="13">
        <f t="shared" si="118"/>
        <v>0</v>
      </c>
      <c r="U228" s="125"/>
      <c r="V228" s="13"/>
      <c r="W228" s="13"/>
      <c r="X228" s="13"/>
      <c r="Y228" s="125">
        <v>1</v>
      </c>
      <c r="Z228" s="25">
        <v>1</v>
      </c>
      <c r="AA228" s="13">
        <v>2150</v>
      </c>
      <c r="AB228" s="13">
        <f t="shared" si="119"/>
        <v>2150</v>
      </c>
      <c r="AC228" s="125"/>
      <c r="AD228" s="13"/>
      <c r="AE228" s="13"/>
      <c r="AF228" s="13"/>
      <c r="AG228" s="125"/>
      <c r="AH228" s="25"/>
      <c r="AI228" s="13">
        <v>2150</v>
      </c>
      <c r="AJ228" s="13">
        <f t="shared" si="120"/>
        <v>0</v>
      </c>
      <c r="AK228" s="125"/>
      <c r="AL228" s="13"/>
      <c r="AM228" s="13"/>
      <c r="AN228" s="13"/>
      <c r="AO228" s="125"/>
      <c r="AP228" s="25">
        <v>0</v>
      </c>
      <c r="AQ228" s="13">
        <v>2150</v>
      </c>
      <c r="AR228" s="13">
        <f t="shared" si="121"/>
        <v>0</v>
      </c>
      <c r="AS228" s="125"/>
      <c r="AT228" s="13"/>
      <c r="AU228" s="13"/>
      <c r="AV228" s="13"/>
      <c r="AW228" s="125">
        <v>1</v>
      </c>
      <c r="AX228" s="25">
        <v>1</v>
      </c>
      <c r="AY228" s="13">
        <v>2150</v>
      </c>
      <c r="AZ228" s="13">
        <f t="shared" si="122"/>
        <v>2150</v>
      </c>
      <c r="BA228" s="125"/>
      <c r="BB228" s="13"/>
      <c r="BC228" s="13"/>
      <c r="BD228" s="13"/>
      <c r="BE228" s="125"/>
      <c r="BF228" s="25"/>
      <c r="BG228" s="13">
        <v>2150</v>
      </c>
      <c r="BH228" s="13">
        <f t="shared" si="123"/>
        <v>0</v>
      </c>
      <c r="BI228" s="125"/>
      <c r="BJ228" s="13"/>
      <c r="BK228" s="13"/>
      <c r="BL228" s="13"/>
      <c r="BM228" s="125"/>
      <c r="BN228" s="13">
        <f>BM228*BL228</f>
        <v>0</v>
      </c>
      <c r="BO228" s="13">
        <v>2150</v>
      </c>
      <c r="BP228" s="13">
        <f t="shared" si="124"/>
        <v>0</v>
      </c>
      <c r="BQ228" s="125"/>
      <c r="BR228" s="13"/>
      <c r="BS228" s="13"/>
      <c r="BT228" s="13"/>
      <c r="BU228" s="125">
        <v>1</v>
      </c>
      <c r="BV228" s="25">
        <v>1</v>
      </c>
      <c r="BW228" s="13">
        <v>2150</v>
      </c>
      <c r="BX228" s="13">
        <f t="shared" si="125"/>
        <v>2150</v>
      </c>
      <c r="BY228" s="125"/>
      <c r="BZ228" s="13"/>
      <c r="CA228" s="13"/>
      <c r="CB228" s="13"/>
      <c r="CC228" s="125"/>
      <c r="CD228" s="25">
        <v>0</v>
      </c>
      <c r="CE228" s="13">
        <v>2150</v>
      </c>
      <c r="CF228" s="13">
        <f t="shared" si="126"/>
        <v>0</v>
      </c>
    </row>
    <row r="229" spans="1:246">
      <c r="A229" s="61" t="s">
        <v>165</v>
      </c>
      <c r="B229" s="10" t="s">
        <v>166</v>
      </c>
      <c r="C229" s="11"/>
      <c r="D229" s="11" t="s">
        <v>37</v>
      </c>
      <c r="E229" s="127"/>
      <c r="F229" s="13"/>
      <c r="G229" s="13"/>
      <c r="H229" s="13"/>
      <c r="I229" s="127"/>
      <c r="J229" s="13"/>
      <c r="K229" s="13">
        <v>10244</v>
      </c>
      <c r="L229" s="13">
        <f t="shared" si="117"/>
        <v>0</v>
      </c>
      <c r="M229" s="127"/>
      <c r="N229" s="13"/>
      <c r="O229" s="13"/>
      <c r="P229" s="13"/>
      <c r="Q229" s="127"/>
      <c r="R229" s="13"/>
      <c r="S229" s="13">
        <v>10244</v>
      </c>
      <c r="T229" s="13">
        <f t="shared" si="118"/>
        <v>0</v>
      </c>
      <c r="U229" s="127"/>
      <c r="V229" s="13"/>
      <c r="W229" s="13"/>
      <c r="X229" s="13"/>
      <c r="Y229" s="127"/>
      <c r="Z229" s="13">
        <v>0</v>
      </c>
      <c r="AA229" s="13">
        <v>10244</v>
      </c>
      <c r="AB229" s="13">
        <f t="shared" si="119"/>
        <v>0</v>
      </c>
      <c r="AC229" s="127"/>
      <c r="AD229" s="13"/>
      <c r="AE229" s="13"/>
      <c r="AF229" s="13"/>
      <c r="AG229" s="127"/>
      <c r="AH229" s="13"/>
      <c r="AI229" s="13">
        <v>10244</v>
      </c>
      <c r="AJ229" s="13">
        <f t="shared" si="120"/>
        <v>0</v>
      </c>
      <c r="AK229" s="127"/>
      <c r="AL229" s="13"/>
      <c r="AM229" s="13"/>
      <c r="AN229" s="13"/>
      <c r="AO229" s="127"/>
      <c r="AP229" s="13">
        <v>0</v>
      </c>
      <c r="AQ229" s="13">
        <v>10244</v>
      </c>
      <c r="AR229" s="13">
        <f t="shared" si="121"/>
        <v>0</v>
      </c>
      <c r="AS229" s="127"/>
      <c r="AT229" s="13"/>
      <c r="AU229" s="13"/>
      <c r="AV229" s="13"/>
      <c r="AW229" s="127">
        <v>1</v>
      </c>
      <c r="AX229" s="13">
        <v>1</v>
      </c>
      <c r="AY229" s="13">
        <v>10244</v>
      </c>
      <c r="AZ229" s="13">
        <f t="shared" si="122"/>
        <v>10244</v>
      </c>
      <c r="BA229" s="127"/>
      <c r="BB229" s="13"/>
      <c r="BC229" s="13"/>
      <c r="BD229" s="13"/>
      <c r="BE229" s="127"/>
      <c r="BF229" s="13"/>
      <c r="BG229" s="13">
        <v>10244</v>
      </c>
      <c r="BH229" s="13">
        <f t="shared" si="123"/>
        <v>0</v>
      </c>
      <c r="BI229" s="127"/>
      <c r="BJ229" s="13"/>
      <c r="BK229" s="13"/>
      <c r="BL229" s="13"/>
      <c r="BM229" s="127"/>
      <c r="BN229" s="13">
        <f>BM229*BL229</f>
        <v>0</v>
      </c>
      <c r="BO229" s="13">
        <v>10244</v>
      </c>
      <c r="BP229" s="13">
        <f t="shared" si="124"/>
        <v>0</v>
      </c>
      <c r="BQ229" s="127"/>
      <c r="BR229" s="13"/>
      <c r="BS229" s="13"/>
      <c r="BT229" s="13"/>
      <c r="BU229" s="127"/>
      <c r="BV229" s="13">
        <v>0</v>
      </c>
      <c r="BW229" s="13">
        <v>10244</v>
      </c>
      <c r="BX229" s="13">
        <f t="shared" si="125"/>
        <v>0</v>
      </c>
      <c r="BY229" s="127"/>
      <c r="BZ229" s="13"/>
      <c r="CA229" s="13"/>
      <c r="CB229" s="13"/>
      <c r="CC229" s="127"/>
      <c r="CD229" s="13">
        <v>0</v>
      </c>
      <c r="CE229" s="13">
        <v>10244</v>
      </c>
      <c r="CF229" s="13">
        <f t="shared" si="126"/>
        <v>0</v>
      </c>
    </row>
    <row r="230" spans="1:246" ht="15">
      <c r="A230" s="61" t="s">
        <v>165</v>
      </c>
      <c r="B230" s="10" t="s">
        <v>167</v>
      </c>
      <c r="C230" s="11"/>
      <c r="D230" s="12" t="s">
        <v>168</v>
      </c>
      <c r="E230" s="127"/>
      <c r="F230" s="13"/>
      <c r="G230" s="13"/>
      <c r="H230" s="13"/>
      <c r="I230" s="127"/>
      <c r="J230" s="13"/>
      <c r="K230" s="14">
        <v>429</v>
      </c>
      <c r="L230" s="13">
        <f t="shared" si="117"/>
        <v>0</v>
      </c>
      <c r="M230" s="127"/>
      <c r="N230" s="13"/>
      <c r="O230" s="13"/>
      <c r="P230" s="13"/>
      <c r="Q230" s="127">
        <v>2</v>
      </c>
      <c r="R230" s="13">
        <v>2</v>
      </c>
      <c r="S230" s="14">
        <v>429</v>
      </c>
      <c r="T230" s="13">
        <f t="shared" si="118"/>
        <v>858</v>
      </c>
      <c r="U230" s="127"/>
      <c r="V230" s="13"/>
      <c r="W230" s="13"/>
      <c r="X230" s="13"/>
      <c r="Y230" s="127"/>
      <c r="Z230" s="13">
        <v>0</v>
      </c>
      <c r="AA230" s="14">
        <v>429</v>
      </c>
      <c r="AB230" s="13">
        <f t="shared" si="119"/>
        <v>0</v>
      </c>
      <c r="AC230" s="127"/>
      <c r="AD230" s="13"/>
      <c r="AE230" s="13"/>
      <c r="AF230" s="13"/>
      <c r="AG230" s="127"/>
      <c r="AH230" s="13"/>
      <c r="AI230" s="14">
        <v>429</v>
      </c>
      <c r="AJ230" s="13">
        <f t="shared" si="120"/>
        <v>0</v>
      </c>
      <c r="AK230" s="127"/>
      <c r="AL230" s="13"/>
      <c r="AM230" s="13"/>
      <c r="AN230" s="13"/>
      <c r="AO230" s="127">
        <v>2</v>
      </c>
      <c r="AP230" s="13">
        <v>2</v>
      </c>
      <c r="AQ230" s="14">
        <v>429</v>
      </c>
      <c r="AR230" s="13">
        <f t="shared" si="121"/>
        <v>858</v>
      </c>
      <c r="AS230" s="127"/>
      <c r="AT230" s="13"/>
      <c r="AU230" s="13"/>
      <c r="AV230" s="13"/>
      <c r="AW230" s="127"/>
      <c r="AX230" s="13">
        <v>0</v>
      </c>
      <c r="AY230" s="14">
        <v>429</v>
      </c>
      <c r="AZ230" s="13">
        <f t="shared" si="122"/>
        <v>0</v>
      </c>
      <c r="BA230" s="127"/>
      <c r="BB230" s="13"/>
      <c r="BC230" s="13"/>
      <c r="BD230" s="13"/>
      <c r="BE230" s="127"/>
      <c r="BF230" s="13"/>
      <c r="BG230" s="14">
        <v>429</v>
      </c>
      <c r="BH230" s="13">
        <f t="shared" si="123"/>
        <v>0</v>
      </c>
      <c r="BI230" s="127"/>
      <c r="BJ230" s="13"/>
      <c r="BK230" s="13"/>
      <c r="BL230" s="13"/>
      <c r="BM230" s="127">
        <v>2</v>
      </c>
      <c r="BN230" s="13">
        <v>2</v>
      </c>
      <c r="BO230" s="14">
        <v>429</v>
      </c>
      <c r="BP230" s="13">
        <f t="shared" si="124"/>
        <v>858</v>
      </c>
      <c r="BQ230" s="127"/>
      <c r="BR230" s="13"/>
      <c r="BS230" s="13"/>
      <c r="BT230" s="13"/>
      <c r="BU230" s="127"/>
      <c r="BV230" s="13">
        <v>0</v>
      </c>
      <c r="BW230" s="14">
        <v>429</v>
      </c>
      <c r="BX230" s="13">
        <f t="shared" si="125"/>
        <v>0</v>
      </c>
      <c r="BY230" s="127"/>
      <c r="BZ230" s="13"/>
      <c r="CA230" s="13"/>
      <c r="CB230" s="13"/>
      <c r="CC230" s="127">
        <v>2</v>
      </c>
      <c r="CD230" s="13">
        <v>2</v>
      </c>
      <c r="CE230" s="14">
        <v>429</v>
      </c>
      <c r="CF230" s="13">
        <f t="shared" si="126"/>
        <v>858</v>
      </c>
    </row>
    <row r="231" spans="1:246">
      <c r="A231" s="61" t="s">
        <v>165</v>
      </c>
      <c r="B231" s="10" t="s">
        <v>169</v>
      </c>
      <c r="C231" s="11"/>
      <c r="D231" s="11" t="s">
        <v>170</v>
      </c>
      <c r="E231" s="127"/>
      <c r="F231" s="13"/>
      <c r="G231" s="13"/>
      <c r="H231" s="13"/>
      <c r="I231" s="127"/>
      <c r="J231" s="13"/>
      <c r="K231" s="13">
        <v>1245</v>
      </c>
      <c r="L231" s="13">
        <f t="shared" si="117"/>
        <v>0</v>
      </c>
      <c r="M231" s="127"/>
      <c r="N231" s="13"/>
      <c r="O231" s="13"/>
      <c r="P231" s="13"/>
      <c r="Q231" s="127"/>
      <c r="R231" s="13"/>
      <c r="S231" s="13">
        <v>1245</v>
      </c>
      <c r="T231" s="13">
        <f t="shared" si="118"/>
        <v>0</v>
      </c>
      <c r="U231" s="127"/>
      <c r="V231" s="13"/>
      <c r="W231" s="13"/>
      <c r="X231" s="13"/>
      <c r="Y231" s="127">
        <v>1</v>
      </c>
      <c r="Z231" s="13">
        <v>1</v>
      </c>
      <c r="AA231" s="13">
        <v>1245</v>
      </c>
      <c r="AB231" s="13">
        <f t="shared" si="119"/>
        <v>1245</v>
      </c>
      <c r="AC231" s="127"/>
      <c r="AD231" s="13"/>
      <c r="AE231" s="13"/>
      <c r="AF231" s="13"/>
      <c r="AG231" s="127"/>
      <c r="AH231" s="13"/>
      <c r="AI231" s="13">
        <v>1245</v>
      </c>
      <c r="AJ231" s="13">
        <f t="shared" si="120"/>
        <v>0</v>
      </c>
      <c r="AK231" s="127"/>
      <c r="AL231" s="13"/>
      <c r="AM231" s="13"/>
      <c r="AN231" s="13"/>
      <c r="AO231" s="127"/>
      <c r="AP231" s="13">
        <v>0</v>
      </c>
      <c r="AQ231" s="13">
        <v>1245</v>
      </c>
      <c r="AR231" s="13">
        <f t="shared" si="121"/>
        <v>0</v>
      </c>
      <c r="AS231" s="127"/>
      <c r="AT231" s="13"/>
      <c r="AU231" s="13"/>
      <c r="AV231" s="13"/>
      <c r="AW231" s="127">
        <v>1</v>
      </c>
      <c r="AX231" s="13">
        <v>1</v>
      </c>
      <c r="AY231" s="13">
        <v>1245</v>
      </c>
      <c r="AZ231" s="13">
        <f t="shared" si="122"/>
        <v>1245</v>
      </c>
      <c r="BA231" s="127"/>
      <c r="BB231" s="13"/>
      <c r="BC231" s="13"/>
      <c r="BD231" s="13"/>
      <c r="BE231" s="127"/>
      <c r="BF231" s="13"/>
      <c r="BG231" s="13">
        <v>1245</v>
      </c>
      <c r="BH231" s="13">
        <f t="shared" si="123"/>
        <v>0</v>
      </c>
      <c r="BI231" s="127"/>
      <c r="BJ231" s="13"/>
      <c r="BK231" s="13"/>
      <c r="BL231" s="13"/>
      <c r="BM231" s="127"/>
      <c r="BN231" s="13">
        <v>0</v>
      </c>
      <c r="BO231" s="13">
        <v>1245</v>
      </c>
      <c r="BP231" s="13">
        <f t="shared" si="124"/>
        <v>0</v>
      </c>
      <c r="BQ231" s="127"/>
      <c r="BR231" s="13"/>
      <c r="BS231" s="13"/>
      <c r="BT231" s="13"/>
      <c r="BU231" s="127">
        <v>1</v>
      </c>
      <c r="BV231" s="13">
        <v>1</v>
      </c>
      <c r="BW231" s="13">
        <v>1245</v>
      </c>
      <c r="BX231" s="13">
        <f t="shared" si="125"/>
        <v>1245</v>
      </c>
      <c r="BY231" s="127"/>
      <c r="BZ231" s="13"/>
      <c r="CA231" s="13"/>
      <c r="CB231" s="13"/>
      <c r="CC231" s="127"/>
      <c r="CD231" s="13">
        <v>0</v>
      </c>
      <c r="CE231" s="13">
        <v>1245</v>
      </c>
      <c r="CF231" s="13">
        <f t="shared" si="126"/>
        <v>0</v>
      </c>
    </row>
    <row r="232" spans="1:246">
      <c r="A232" s="61" t="s">
        <v>165</v>
      </c>
      <c r="B232" s="10" t="s">
        <v>171</v>
      </c>
      <c r="C232" s="11"/>
      <c r="D232" s="12" t="s">
        <v>43</v>
      </c>
      <c r="E232" s="127"/>
      <c r="F232" s="13"/>
      <c r="G232" s="13"/>
      <c r="H232" s="13"/>
      <c r="I232" s="127"/>
      <c r="J232" s="13"/>
      <c r="K232" s="13">
        <v>2822</v>
      </c>
      <c r="L232" s="13">
        <f t="shared" si="117"/>
        <v>0</v>
      </c>
      <c r="M232" s="127"/>
      <c r="N232" s="13"/>
      <c r="O232" s="13"/>
      <c r="P232" s="13"/>
      <c r="Q232" s="127"/>
      <c r="R232" s="13"/>
      <c r="S232" s="13">
        <v>2822</v>
      </c>
      <c r="T232" s="13">
        <f t="shared" si="118"/>
        <v>0</v>
      </c>
      <c r="U232" s="127"/>
      <c r="V232" s="13"/>
      <c r="W232" s="13"/>
      <c r="X232" s="13"/>
      <c r="Y232" s="127">
        <v>1</v>
      </c>
      <c r="Z232" s="13">
        <v>1</v>
      </c>
      <c r="AA232" s="13">
        <v>2822</v>
      </c>
      <c r="AB232" s="13">
        <f t="shared" si="119"/>
        <v>2822</v>
      </c>
      <c r="AC232" s="127"/>
      <c r="AD232" s="13"/>
      <c r="AE232" s="13"/>
      <c r="AF232" s="13"/>
      <c r="AG232" s="127"/>
      <c r="AH232" s="13"/>
      <c r="AI232" s="13">
        <v>2822</v>
      </c>
      <c r="AJ232" s="13">
        <f t="shared" si="120"/>
        <v>0</v>
      </c>
      <c r="AK232" s="127"/>
      <c r="AL232" s="13"/>
      <c r="AM232" s="13"/>
      <c r="AN232" s="13"/>
      <c r="AO232" s="127"/>
      <c r="AP232" s="13">
        <v>0</v>
      </c>
      <c r="AQ232" s="13">
        <v>2822</v>
      </c>
      <c r="AR232" s="13">
        <f t="shared" si="121"/>
        <v>0</v>
      </c>
      <c r="AS232" s="127"/>
      <c r="AT232" s="13"/>
      <c r="AU232" s="13"/>
      <c r="AV232" s="13"/>
      <c r="AW232" s="127">
        <v>1</v>
      </c>
      <c r="AX232" s="13">
        <v>1</v>
      </c>
      <c r="AY232" s="13">
        <v>2822</v>
      </c>
      <c r="AZ232" s="13">
        <f t="shared" si="122"/>
        <v>2822</v>
      </c>
      <c r="BA232" s="127"/>
      <c r="BB232" s="13"/>
      <c r="BC232" s="13"/>
      <c r="BD232" s="13"/>
      <c r="BE232" s="127"/>
      <c r="BF232" s="13"/>
      <c r="BG232" s="13">
        <v>2822</v>
      </c>
      <c r="BH232" s="13">
        <f t="shared" si="123"/>
        <v>0</v>
      </c>
      <c r="BI232" s="127"/>
      <c r="BJ232" s="13"/>
      <c r="BK232" s="13"/>
      <c r="BL232" s="13"/>
      <c r="BM232" s="127"/>
      <c r="BN232" s="13">
        <v>0</v>
      </c>
      <c r="BO232" s="13">
        <v>2822</v>
      </c>
      <c r="BP232" s="13">
        <f t="shared" si="124"/>
        <v>0</v>
      </c>
      <c r="BQ232" s="127"/>
      <c r="BR232" s="13"/>
      <c r="BS232" s="13"/>
      <c r="BT232" s="13"/>
      <c r="BU232" s="127">
        <v>1</v>
      </c>
      <c r="BV232" s="13">
        <v>1</v>
      </c>
      <c r="BW232" s="13">
        <v>2822</v>
      </c>
      <c r="BX232" s="13">
        <f t="shared" si="125"/>
        <v>2822</v>
      </c>
      <c r="BY232" s="127"/>
      <c r="BZ232" s="13"/>
      <c r="CA232" s="13"/>
      <c r="CB232" s="13"/>
      <c r="CC232" s="127"/>
      <c r="CD232" s="13">
        <v>0</v>
      </c>
      <c r="CE232" s="13">
        <v>2822</v>
      </c>
      <c r="CF232" s="13">
        <f t="shared" si="126"/>
        <v>0</v>
      </c>
    </row>
    <row r="233" spans="1:246">
      <c r="A233" s="61" t="s">
        <v>165</v>
      </c>
      <c r="B233" s="23" t="s">
        <v>44</v>
      </c>
      <c r="C233" s="11"/>
      <c r="D233" s="10" t="s">
        <v>45</v>
      </c>
      <c r="E233" s="127"/>
      <c r="F233" s="13"/>
      <c r="G233" s="13"/>
      <c r="H233" s="13"/>
      <c r="I233" s="127"/>
      <c r="J233" s="13"/>
      <c r="K233" s="13">
        <v>674</v>
      </c>
      <c r="L233" s="13">
        <f t="shared" si="117"/>
        <v>0</v>
      </c>
      <c r="M233" s="127"/>
      <c r="N233" s="13"/>
      <c r="O233" s="13"/>
      <c r="P233" s="13"/>
      <c r="Q233" s="127"/>
      <c r="R233" s="13"/>
      <c r="S233" s="13">
        <v>674</v>
      </c>
      <c r="T233" s="13">
        <f t="shared" si="118"/>
        <v>0</v>
      </c>
      <c r="U233" s="127"/>
      <c r="V233" s="13"/>
      <c r="W233" s="13"/>
      <c r="X233" s="13"/>
      <c r="Y233" s="127">
        <v>1</v>
      </c>
      <c r="Z233" s="13">
        <v>1</v>
      </c>
      <c r="AA233" s="13">
        <v>674</v>
      </c>
      <c r="AB233" s="13">
        <f t="shared" si="119"/>
        <v>674</v>
      </c>
      <c r="AC233" s="127"/>
      <c r="AD233" s="13"/>
      <c r="AE233" s="13"/>
      <c r="AF233" s="13"/>
      <c r="AG233" s="127"/>
      <c r="AH233" s="13"/>
      <c r="AI233" s="13">
        <v>674</v>
      </c>
      <c r="AJ233" s="13">
        <f t="shared" si="120"/>
        <v>0</v>
      </c>
      <c r="AK233" s="127"/>
      <c r="AL233" s="13"/>
      <c r="AM233" s="13"/>
      <c r="AN233" s="13"/>
      <c r="AO233" s="127"/>
      <c r="AP233" s="13">
        <v>0</v>
      </c>
      <c r="AQ233" s="13">
        <v>674</v>
      </c>
      <c r="AR233" s="13">
        <f t="shared" si="121"/>
        <v>0</v>
      </c>
      <c r="AS233" s="127"/>
      <c r="AT233" s="13"/>
      <c r="AU233" s="13"/>
      <c r="AV233" s="13"/>
      <c r="AW233" s="127">
        <v>1</v>
      </c>
      <c r="AX233" s="13">
        <v>1</v>
      </c>
      <c r="AY233" s="13">
        <v>674</v>
      </c>
      <c r="AZ233" s="13">
        <f t="shared" si="122"/>
        <v>674</v>
      </c>
      <c r="BA233" s="127"/>
      <c r="BB233" s="13"/>
      <c r="BC233" s="13"/>
      <c r="BD233" s="13"/>
      <c r="BE233" s="127"/>
      <c r="BF233" s="13"/>
      <c r="BG233" s="13">
        <v>674</v>
      </c>
      <c r="BH233" s="13">
        <f t="shared" si="123"/>
        <v>0</v>
      </c>
      <c r="BI233" s="127"/>
      <c r="BJ233" s="13"/>
      <c r="BK233" s="13"/>
      <c r="BL233" s="13"/>
      <c r="BM233" s="127"/>
      <c r="BN233" s="13">
        <v>0</v>
      </c>
      <c r="BO233" s="13">
        <v>674</v>
      </c>
      <c r="BP233" s="13">
        <f t="shared" si="124"/>
        <v>0</v>
      </c>
      <c r="BQ233" s="127"/>
      <c r="BR233" s="13"/>
      <c r="BS233" s="13"/>
      <c r="BT233" s="13"/>
      <c r="BU233" s="127">
        <v>1</v>
      </c>
      <c r="BV233" s="13">
        <v>1</v>
      </c>
      <c r="BW233" s="13">
        <v>674</v>
      </c>
      <c r="BX233" s="13">
        <f t="shared" si="125"/>
        <v>674</v>
      </c>
      <c r="BY233" s="127"/>
      <c r="BZ233" s="13"/>
      <c r="CA233" s="13"/>
      <c r="CB233" s="13"/>
      <c r="CC233" s="127"/>
      <c r="CD233" s="13">
        <v>0</v>
      </c>
      <c r="CE233" s="13">
        <v>674</v>
      </c>
      <c r="CF233" s="13">
        <f t="shared" si="126"/>
        <v>0</v>
      </c>
    </row>
    <row r="234" spans="1:246">
      <c r="A234" s="61" t="s">
        <v>165</v>
      </c>
      <c r="B234" s="10" t="s">
        <v>172</v>
      </c>
      <c r="C234" s="11"/>
      <c r="D234" s="12" t="s">
        <v>47</v>
      </c>
      <c r="E234" s="127"/>
      <c r="F234" s="13"/>
      <c r="G234" s="13"/>
      <c r="H234" s="13"/>
      <c r="I234" s="125">
        <v>1</v>
      </c>
      <c r="J234" s="13">
        <v>1</v>
      </c>
      <c r="K234" s="13">
        <v>2404</v>
      </c>
      <c r="L234" s="13">
        <f t="shared" si="117"/>
        <v>2404</v>
      </c>
      <c r="M234" s="127"/>
      <c r="N234" s="13"/>
      <c r="O234" s="13"/>
      <c r="P234" s="13"/>
      <c r="Q234" s="125">
        <v>1</v>
      </c>
      <c r="R234" s="13">
        <v>1</v>
      </c>
      <c r="S234" s="13">
        <v>2404</v>
      </c>
      <c r="T234" s="13">
        <f t="shared" si="118"/>
        <v>2404</v>
      </c>
      <c r="U234" s="127"/>
      <c r="V234" s="13"/>
      <c r="W234" s="13"/>
      <c r="X234" s="13"/>
      <c r="Y234" s="125">
        <v>1</v>
      </c>
      <c r="Z234" s="13">
        <v>1</v>
      </c>
      <c r="AA234" s="13">
        <v>2404</v>
      </c>
      <c r="AB234" s="13">
        <f t="shared" si="119"/>
        <v>2404</v>
      </c>
      <c r="AC234" s="127"/>
      <c r="AD234" s="13"/>
      <c r="AE234" s="13"/>
      <c r="AF234" s="13"/>
      <c r="AG234" s="125">
        <v>1</v>
      </c>
      <c r="AH234" s="13">
        <v>1</v>
      </c>
      <c r="AI234" s="13">
        <v>2404</v>
      </c>
      <c r="AJ234" s="13">
        <f t="shared" si="120"/>
        <v>2404</v>
      </c>
      <c r="AK234" s="127"/>
      <c r="AL234" s="13"/>
      <c r="AM234" s="13"/>
      <c r="AN234" s="13"/>
      <c r="AO234" s="125">
        <v>1</v>
      </c>
      <c r="AP234" s="13">
        <v>1</v>
      </c>
      <c r="AQ234" s="13">
        <v>2404</v>
      </c>
      <c r="AR234" s="13">
        <f t="shared" si="121"/>
        <v>2404</v>
      </c>
      <c r="AS234" s="127"/>
      <c r="AT234" s="13"/>
      <c r="AU234" s="13"/>
      <c r="AV234" s="13"/>
      <c r="AW234" s="125">
        <v>1</v>
      </c>
      <c r="AX234" s="13">
        <v>1</v>
      </c>
      <c r="AY234" s="13">
        <v>2404</v>
      </c>
      <c r="AZ234" s="13">
        <f t="shared" si="122"/>
        <v>2404</v>
      </c>
      <c r="BA234" s="127"/>
      <c r="BB234" s="13"/>
      <c r="BC234" s="13"/>
      <c r="BD234" s="13"/>
      <c r="BE234" s="125">
        <v>1</v>
      </c>
      <c r="BF234" s="13">
        <v>1</v>
      </c>
      <c r="BG234" s="13">
        <v>2404</v>
      </c>
      <c r="BH234" s="13">
        <f t="shared" si="123"/>
        <v>2404</v>
      </c>
      <c r="BI234" s="127"/>
      <c r="BJ234" s="13"/>
      <c r="BK234" s="13"/>
      <c r="BL234" s="13"/>
      <c r="BM234" s="125">
        <v>1</v>
      </c>
      <c r="BN234" s="13">
        <v>1</v>
      </c>
      <c r="BO234" s="13">
        <v>2404</v>
      </c>
      <c r="BP234" s="13">
        <f t="shared" si="124"/>
        <v>2404</v>
      </c>
      <c r="BQ234" s="127"/>
      <c r="BR234" s="13"/>
      <c r="BS234" s="13"/>
      <c r="BT234" s="13"/>
      <c r="BU234" s="125">
        <v>1</v>
      </c>
      <c r="BV234" s="13">
        <v>1</v>
      </c>
      <c r="BW234" s="13">
        <v>2404</v>
      </c>
      <c r="BX234" s="13">
        <f t="shared" si="125"/>
        <v>2404</v>
      </c>
      <c r="BY234" s="127"/>
      <c r="BZ234" s="13"/>
      <c r="CA234" s="13"/>
      <c r="CB234" s="13"/>
      <c r="CC234" s="125">
        <v>1</v>
      </c>
      <c r="CD234" s="13">
        <v>1</v>
      </c>
      <c r="CE234" s="13">
        <v>2404</v>
      </c>
      <c r="CF234" s="13">
        <f t="shared" si="126"/>
        <v>2404</v>
      </c>
    </row>
    <row r="235" spans="1:246">
      <c r="A235" s="61" t="s">
        <v>165</v>
      </c>
      <c r="B235" s="26" t="s">
        <v>88</v>
      </c>
      <c r="C235" s="11"/>
      <c r="D235" s="71" t="s">
        <v>49</v>
      </c>
      <c r="E235" s="127"/>
      <c r="F235" s="13"/>
      <c r="G235" s="13"/>
      <c r="H235" s="13"/>
      <c r="I235" s="127"/>
      <c r="J235" s="13"/>
      <c r="K235" s="13">
        <v>628</v>
      </c>
      <c r="L235" s="13">
        <f t="shared" si="117"/>
        <v>0</v>
      </c>
      <c r="M235" s="127"/>
      <c r="N235" s="13"/>
      <c r="O235" s="13"/>
      <c r="P235" s="13"/>
      <c r="Q235" s="127"/>
      <c r="R235" s="13"/>
      <c r="S235" s="13">
        <v>628</v>
      </c>
      <c r="T235" s="13">
        <f t="shared" si="118"/>
        <v>0</v>
      </c>
      <c r="U235" s="127"/>
      <c r="V235" s="13"/>
      <c r="W235" s="13"/>
      <c r="X235" s="13"/>
      <c r="Y235" s="127">
        <v>1</v>
      </c>
      <c r="Z235" s="13">
        <v>1</v>
      </c>
      <c r="AA235" s="13">
        <v>628</v>
      </c>
      <c r="AB235" s="13">
        <f t="shared" si="119"/>
        <v>628</v>
      </c>
      <c r="AC235" s="127"/>
      <c r="AD235" s="13"/>
      <c r="AE235" s="13"/>
      <c r="AF235" s="13"/>
      <c r="AG235" s="127"/>
      <c r="AH235" s="13"/>
      <c r="AI235" s="13">
        <v>628</v>
      </c>
      <c r="AJ235" s="13">
        <f t="shared" si="120"/>
        <v>0</v>
      </c>
      <c r="AK235" s="127"/>
      <c r="AL235" s="13"/>
      <c r="AM235" s="13"/>
      <c r="AN235" s="13"/>
      <c r="AO235" s="127"/>
      <c r="AP235" s="13">
        <v>0</v>
      </c>
      <c r="AQ235" s="13">
        <v>628</v>
      </c>
      <c r="AR235" s="13">
        <f t="shared" si="121"/>
        <v>0</v>
      </c>
      <c r="AS235" s="127"/>
      <c r="AT235" s="13"/>
      <c r="AU235" s="13"/>
      <c r="AV235" s="13"/>
      <c r="AW235" s="127">
        <v>1</v>
      </c>
      <c r="AX235" s="13">
        <v>1</v>
      </c>
      <c r="AY235" s="13">
        <v>628</v>
      </c>
      <c r="AZ235" s="13">
        <f t="shared" si="122"/>
        <v>628</v>
      </c>
      <c r="BA235" s="127"/>
      <c r="BB235" s="13"/>
      <c r="BC235" s="13"/>
      <c r="BD235" s="13"/>
      <c r="BE235" s="127"/>
      <c r="BF235" s="13"/>
      <c r="BG235" s="13">
        <v>628</v>
      </c>
      <c r="BH235" s="13">
        <f t="shared" si="123"/>
        <v>0</v>
      </c>
      <c r="BI235" s="127"/>
      <c r="BJ235" s="13"/>
      <c r="BK235" s="13"/>
      <c r="BL235" s="13"/>
      <c r="BM235" s="127"/>
      <c r="BN235" s="13">
        <v>0</v>
      </c>
      <c r="BO235" s="13">
        <v>628</v>
      </c>
      <c r="BP235" s="13">
        <f t="shared" si="124"/>
        <v>0</v>
      </c>
      <c r="BQ235" s="127"/>
      <c r="BR235" s="13"/>
      <c r="BS235" s="13"/>
      <c r="BT235" s="13"/>
      <c r="BU235" s="127">
        <v>1</v>
      </c>
      <c r="BV235" s="13">
        <v>1</v>
      </c>
      <c r="BW235" s="13">
        <v>628</v>
      </c>
      <c r="BX235" s="13">
        <f t="shared" si="125"/>
        <v>628</v>
      </c>
      <c r="BY235" s="127"/>
      <c r="BZ235" s="13"/>
      <c r="CA235" s="13"/>
      <c r="CB235" s="13"/>
      <c r="CC235" s="127"/>
      <c r="CD235" s="13">
        <v>0</v>
      </c>
      <c r="CE235" s="13">
        <v>628</v>
      </c>
      <c r="CF235" s="13">
        <f t="shared" si="126"/>
        <v>0</v>
      </c>
    </row>
    <row r="236" spans="1:246">
      <c r="A236" s="61" t="s">
        <v>165</v>
      </c>
      <c r="B236" s="37" t="s">
        <v>52</v>
      </c>
      <c r="C236" s="11"/>
      <c r="D236" s="39" t="s">
        <v>53</v>
      </c>
      <c r="E236" s="127"/>
      <c r="F236" s="13"/>
      <c r="G236" s="13"/>
      <c r="H236" s="13"/>
      <c r="I236" s="125"/>
      <c r="J236" s="13"/>
      <c r="K236" s="13">
        <v>628</v>
      </c>
      <c r="L236" s="13">
        <f t="shared" si="117"/>
        <v>0</v>
      </c>
      <c r="M236" s="127"/>
      <c r="N236" s="13"/>
      <c r="O236" s="13"/>
      <c r="P236" s="13"/>
      <c r="Q236" s="125"/>
      <c r="R236" s="13"/>
      <c r="S236" s="13">
        <v>628</v>
      </c>
      <c r="T236" s="13">
        <f t="shared" si="118"/>
        <v>0</v>
      </c>
      <c r="U236" s="127"/>
      <c r="V236" s="13"/>
      <c r="W236" s="13"/>
      <c r="X236" s="13"/>
      <c r="Y236" s="125">
        <v>1</v>
      </c>
      <c r="Z236" s="13">
        <v>1</v>
      </c>
      <c r="AA236" s="13">
        <v>628</v>
      </c>
      <c r="AB236" s="13">
        <f t="shared" si="119"/>
        <v>628</v>
      </c>
      <c r="AC236" s="127"/>
      <c r="AD236" s="13"/>
      <c r="AE236" s="13"/>
      <c r="AF236" s="13"/>
      <c r="AG236" s="125"/>
      <c r="AH236" s="13"/>
      <c r="AI236" s="13">
        <v>628</v>
      </c>
      <c r="AJ236" s="13">
        <f t="shared" si="120"/>
        <v>0</v>
      </c>
      <c r="AK236" s="127"/>
      <c r="AL236" s="13"/>
      <c r="AM236" s="13"/>
      <c r="AN236" s="13"/>
      <c r="AO236" s="125"/>
      <c r="AP236" s="13">
        <v>0</v>
      </c>
      <c r="AQ236" s="13">
        <v>628</v>
      </c>
      <c r="AR236" s="13">
        <f t="shared" si="121"/>
        <v>0</v>
      </c>
      <c r="AS236" s="127"/>
      <c r="AT236" s="13"/>
      <c r="AU236" s="13"/>
      <c r="AV236" s="13"/>
      <c r="AW236" s="125">
        <v>1</v>
      </c>
      <c r="AX236" s="13">
        <v>1</v>
      </c>
      <c r="AY236" s="13">
        <v>628</v>
      </c>
      <c r="AZ236" s="13">
        <f t="shared" si="122"/>
        <v>628</v>
      </c>
      <c r="BA236" s="127"/>
      <c r="BB236" s="13"/>
      <c r="BC236" s="13"/>
      <c r="BD236" s="13"/>
      <c r="BE236" s="125"/>
      <c r="BF236" s="13"/>
      <c r="BG236" s="13">
        <v>628</v>
      </c>
      <c r="BH236" s="13">
        <f t="shared" si="123"/>
        <v>0</v>
      </c>
      <c r="BI236" s="127"/>
      <c r="BJ236" s="13"/>
      <c r="BK236" s="13"/>
      <c r="BL236" s="13"/>
      <c r="BM236" s="125"/>
      <c r="BN236" s="13">
        <v>0</v>
      </c>
      <c r="BO236" s="13">
        <v>628</v>
      </c>
      <c r="BP236" s="13">
        <f t="shared" si="124"/>
        <v>0</v>
      </c>
      <c r="BQ236" s="127"/>
      <c r="BR236" s="13"/>
      <c r="BS236" s="13"/>
      <c r="BT236" s="13"/>
      <c r="BU236" s="125">
        <v>1</v>
      </c>
      <c r="BV236" s="13">
        <v>1</v>
      </c>
      <c r="BW236" s="13">
        <v>628</v>
      </c>
      <c r="BX236" s="13">
        <f t="shared" si="125"/>
        <v>628</v>
      </c>
      <c r="BY236" s="127"/>
      <c r="BZ236" s="13"/>
      <c r="CA236" s="13"/>
      <c r="CB236" s="13"/>
      <c r="CC236" s="125"/>
      <c r="CD236" s="13">
        <v>0</v>
      </c>
      <c r="CE236" s="13">
        <v>628</v>
      </c>
      <c r="CF236" s="13">
        <f t="shared" si="126"/>
        <v>0</v>
      </c>
    </row>
    <row r="237" spans="1:246">
      <c r="A237" s="62"/>
      <c r="B237" s="60"/>
      <c r="C237" s="49"/>
      <c r="D237" s="49"/>
      <c r="E237" s="51"/>
      <c r="F237" s="52"/>
      <c r="G237" s="52"/>
      <c r="H237" s="52"/>
      <c r="I237" s="51"/>
      <c r="J237" s="51"/>
      <c r="K237" s="52"/>
      <c r="L237" s="51"/>
      <c r="M237" s="51"/>
      <c r="N237" s="52"/>
      <c r="O237" s="52"/>
      <c r="P237" s="52"/>
      <c r="Q237" s="51"/>
      <c r="R237" s="51"/>
      <c r="S237" s="52"/>
      <c r="T237" s="51"/>
      <c r="U237" s="51"/>
      <c r="V237" s="52"/>
      <c r="W237" s="52"/>
      <c r="X237" s="52"/>
      <c r="Y237" s="51"/>
      <c r="Z237" s="51"/>
      <c r="AA237" s="52"/>
      <c r="AB237" s="51"/>
      <c r="AC237" s="51"/>
      <c r="AD237" s="52"/>
      <c r="AE237" s="52"/>
      <c r="AF237" s="52"/>
      <c r="AG237" s="51"/>
      <c r="AH237" s="51"/>
      <c r="AI237" s="52"/>
      <c r="AJ237" s="51"/>
      <c r="AK237" s="51"/>
      <c r="AL237" s="52"/>
      <c r="AM237" s="52"/>
      <c r="AN237" s="52"/>
      <c r="AO237" s="51"/>
      <c r="AP237" s="51"/>
      <c r="AQ237" s="52"/>
      <c r="AR237" s="51"/>
      <c r="AS237" s="51"/>
      <c r="AT237" s="52"/>
      <c r="AU237" s="52"/>
      <c r="AV237" s="52"/>
      <c r="AW237" s="51"/>
      <c r="AX237" s="51"/>
      <c r="AY237" s="52"/>
      <c r="AZ237" s="51"/>
      <c r="BA237" s="51"/>
      <c r="BB237" s="52"/>
      <c r="BC237" s="52"/>
      <c r="BD237" s="52"/>
      <c r="BE237" s="51"/>
      <c r="BF237" s="51"/>
      <c r="BG237" s="52"/>
      <c r="BH237" s="51"/>
      <c r="BI237" s="51"/>
      <c r="BJ237" s="52"/>
      <c r="BK237" s="52"/>
      <c r="BL237" s="52"/>
      <c r="BM237" s="51"/>
      <c r="BN237" s="51"/>
      <c r="BO237" s="52"/>
      <c r="BP237" s="51"/>
      <c r="BQ237" s="51"/>
      <c r="BR237" s="52"/>
      <c r="BS237" s="52"/>
      <c r="BT237" s="52"/>
      <c r="BU237" s="51"/>
      <c r="BV237" s="51"/>
      <c r="BW237" s="52"/>
      <c r="BX237" s="51"/>
      <c r="BY237" s="51"/>
      <c r="BZ237" s="52"/>
      <c r="CA237" s="52"/>
      <c r="CB237" s="52"/>
      <c r="CC237" s="51"/>
      <c r="CD237" s="51"/>
      <c r="CE237" s="52"/>
      <c r="CF237" s="51"/>
    </row>
    <row r="238" spans="1:246">
      <c r="A238" s="62"/>
      <c r="B238" s="60"/>
      <c r="C238" s="49"/>
      <c r="D238" s="49"/>
      <c r="E238" s="51"/>
      <c r="F238" s="52"/>
      <c r="G238" s="52"/>
      <c r="H238" s="52"/>
      <c r="I238" s="51"/>
      <c r="J238" s="51"/>
      <c r="K238" s="52"/>
      <c r="L238" s="51"/>
      <c r="M238" s="51"/>
      <c r="N238" s="52"/>
      <c r="O238" s="52"/>
      <c r="P238" s="52"/>
      <c r="Q238" s="51"/>
      <c r="R238" s="51"/>
      <c r="S238" s="52"/>
      <c r="T238" s="51"/>
      <c r="U238" s="51"/>
      <c r="V238" s="52"/>
      <c r="W238" s="52"/>
      <c r="X238" s="52"/>
      <c r="Y238" s="51"/>
      <c r="Z238" s="51"/>
      <c r="AA238" s="52"/>
      <c r="AB238" s="51"/>
      <c r="AC238" s="51"/>
      <c r="AD238" s="52"/>
      <c r="AE238" s="52"/>
      <c r="AF238" s="52"/>
      <c r="AG238" s="51"/>
      <c r="AH238" s="51"/>
      <c r="AI238" s="52"/>
      <c r="AJ238" s="51"/>
      <c r="AK238" s="51"/>
      <c r="AL238" s="52"/>
      <c r="AM238" s="52"/>
      <c r="AN238" s="52"/>
      <c r="AO238" s="51"/>
      <c r="AP238" s="51"/>
      <c r="AQ238" s="52"/>
      <c r="AR238" s="51"/>
      <c r="AS238" s="51"/>
      <c r="AT238" s="52"/>
      <c r="AU238" s="52"/>
      <c r="AV238" s="52"/>
      <c r="AW238" s="51"/>
      <c r="AX238" s="51"/>
      <c r="AY238" s="52"/>
      <c r="AZ238" s="51"/>
      <c r="BA238" s="51"/>
      <c r="BB238" s="52"/>
      <c r="BC238" s="52"/>
      <c r="BD238" s="52"/>
      <c r="BE238" s="51"/>
      <c r="BF238" s="51"/>
      <c r="BG238" s="52"/>
      <c r="BH238" s="51"/>
      <c r="BI238" s="51"/>
      <c r="BJ238" s="52"/>
      <c r="BK238" s="52"/>
      <c r="BL238" s="52"/>
      <c r="BM238" s="51"/>
      <c r="BN238" s="51"/>
      <c r="BO238" s="52"/>
      <c r="BP238" s="51"/>
      <c r="BQ238" s="51"/>
      <c r="BR238" s="52"/>
      <c r="BS238" s="52"/>
      <c r="BT238" s="52"/>
      <c r="BU238" s="51"/>
      <c r="BV238" s="51"/>
      <c r="BW238" s="52"/>
      <c r="BX238" s="51"/>
      <c r="BY238" s="51"/>
      <c r="BZ238" s="52"/>
      <c r="CA238" s="52"/>
      <c r="CB238" s="52"/>
      <c r="CC238" s="51"/>
      <c r="CD238" s="51"/>
      <c r="CE238" s="52"/>
      <c r="CF238" s="51"/>
    </row>
    <row r="239" spans="1:246" ht="30">
      <c r="A239" s="1" t="s">
        <v>0</v>
      </c>
      <c r="B239" s="2" t="s">
        <v>1</v>
      </c>
      <c r="C239" s="3" t="s">
        <v>2</v>
      </c>
      <c r="D239" s="3" t="s">
        <v>3</v>
      </c>
      <c r="E239" s="4">
        <v>500</v>
      </c>
      <c r="F239" s="4">
        <v>1000</v>
      </c>
      <c r="G239" s="4">
        <v>1500</v>
      </c>
      <c r="H239" s="4">
        <v>2000</v>
      </c>
      <c r="I239" s="4">
        <v>2500</v>
      </c>
      <c r="J239" s="5" t="s">
        <v>4</v>
      </c>
      <c r="K239" s="4" t="s">
        <v>5</v>
      </c>
      <c r="L239" s="6" t="s">
        <v>6</v>
      </c>
      <c r="M239" s="4">
        <v>3000</v>
      </c>
      <c r="N239" s="4">
        <v>3500</v>
      </c>
      <c r="O239" s="4">
        <v>4000</v>
      </c>
      <c r="P239" s="4">
        <v>4500</v>
      </c>
      <c r="Q239" s="4">
        <v>5000</v>
      </c>
      <c r="R239" s="5" t="s">
        <v>4</v>
      </c>
      <c r="S239" s="4" t="s">
        <v>5</v>
      </c>
      <c r="T239" s="6" t="s">
        <v>6</v>
      </c>
      <c r="U239" s="4">
        <v>5500</v>
      </c>
      <c r="V239" s="4">
        <v>6000</v>
      </c>
      <c r="W239" s="4">
        <v>6500</v>
      </c>
      <c r="X239" s="4">
        <v>7000</v>
      </c>
      <c r="Y239" s="4">
        <v>7500</v>
      </c>
      <c r="Z239" s="5" t="s">
        <v>4</v>
      </c>
      <c r="AA239" s="4" t="s">
        <v>5</v>
      </c>
      <c r="AB239" s="6" t="s">
        <v>6</v>
      </c>
      <c r="AC239" s="4">
        <v>8000</v>
      </c>
      <c r="AD239" s="4">
        <v>8500</v>
      </c>
      <c r="AE239" s="4">
        <v>9000</v>
      </c>
      <c r="AF239" s="4">
        <v>9500</v>
      </c>
      <c r="AG239" s="4">
        <v>10000</v>
      </c>
      <c r="AH239" s="6" t="s">
        <v>4</v>
      </c>
      <c r="AI239" s="4" t="s">
        <v>5</v>
      </c>
      <c r="AJ239" s="6" t="s">
        <v>6</v>
      </c>
      <c r="AK239" s="4">
        <v>10500</v>
      </c>
      <c r="AL239" s="4">
        <v>11000</v>
      </c>
      <c r="AM239" s="4">
        <v>11500</v>
      </c>
      <c r="AN239" s="4">
        <v>12000</v>
      </c>
      <c r="AO239" s="4">
        <v>12500</v>
      </c>
      <c r="AP239" s="6" t="s">
        <v>4</v>
      </c>
      <c r="AQ239" s="4" t="s">
        <v>5</v>
      </c>
      <c r="AR239" s="6" t="s">
        <v>6</v>
      </c>
      <c r="AS239" s="4">
        <v>13000</v>
      </c>
      <c r="AT239" s="4">
        <v>13500</v>
      </c>
      <c r="AU239" s="4">
        <v>14000</v>
      </c>
      <c r="AV239" s="4">
        <v>14500</v>
      </c>
      <c r="AW239" s="4">
        <v>15000</v>
      </c>
      <c r="AX239" s="6" t="s">
        <v>4</v>
      </c>
      <c r="AY239" s="4" t="s">
        <v>5</v>
      </c>
      <c r="AZ239" s="6" t="s">
        <v>6</v>
      </c>
      <c r="BA239" s="4">
        <v>15500</v>
      </c>
      <c r="BB239" s="4">
        <v>16000</v>
      </c>
      <c r="BC239" s="4">
        <v>16500</v>
      </c>
      <c r="BD239" s="4">
        <v>17000</v>
      </c>
      <c r="BE239" s="4">
        <v>17500</v>
      </c>
      <c r="BF239" s="6" t="s">
        <v>4</v>
      </c>
      <c r="BG239" s="4" t="s">
        <v>5</v>
      </c>
      <c r="BH239" s="6" t="s">
        <v>6</v>
      </c>
      <c r="BI239" s="4">
        <v>18000</v>
      </c>
      <c r="BJ239" s="4">
        <v>18500</v>
      </c>
      <c r="BK239" s="4">
        <v>19000</v>
      </c>
      <c r="BL239" s="4">
        <v>19500</v>
      </c>
      <c r="BM239" s="4">
        <v>20000</v>
      </c>
      <c r="BN239" s="6" t="s">
        <v>4</v>
      </c>
      <c r="BO239" s="4" t="s">
        <v>5</v>
      </c>
      <c r="BP239" s="6" t="s">
        <v>6</v>
      </c>
      <c r="BQ239" s="4">
        <v>20500</v>
      </c>
      <c r="BR239" s="4">
        <v>21000</v>
      </c>
      <c r="BS239" s="4">
        <v>21500</v>
      </c>
      <c r="BT239" s="4">
        <v>22000</v>
      </c>
      <c r="BU239" s="4">
        <v>22500</v>
      </c>
      <c r="BV239" s="6" t="s">
        <v>4</v>
      </c>
      <c r="BW239" s="4" t="s">
        <v>5</v>
      </c>
      <c r="BX239" s="6" t="s">
        <v>6</v>
      </c>
      <c r="BY239" s="4">
        <v>23000</v>
      </c>
      <c r="BZ239" s="4">
        <v>23500</v>
      </c>
      <c r="CA239" s="4">
        <v>24000</v>
      </c>
      <c r="CB239" s="4">
        <v>24500</v>
      </c>
      <c r="CC239" s="4">
        <v>25000</v>
      </c>
      <c r="CD239" s="6" t="s">
        <v>4</v>
      </c>
      <c r="CE239" s="4" t="s">
        <v>5</v>
      </c>
      <c r="CF239" s="6" t="s">
        <v>6</v>
      </c>
      <c r="CG239" s="7"/>
      <c r="CH239" s="7"/>
      <c r="CI239" s="7"/>
      <c r="CJ239" s="7"/>
      <c r="CK239" s="7"/>
      <c r="CL239" s="7"/>
      <c r="CM239" s="7"/>
      <c r="CN239" s="7"/>
      <c r="CO239" s="7"/>
      <c r="CP239" s="7"/>
      <c r="CQ239" s="7"/>
      <c r="CR239" s="7"/>
      <c r="CS239" s="7"/>
      <c r="CT239" s="7"/>
      <c r="CU239" s="7"/>
      <c r="CV239" s="7"/>
      <c r="CW239" s="7"/>
      <c r="CX239" s="7"/>
      <c r="CY239" s="7"/>
      <c r="CZ239" s="7"/>
      <c r="DA239" s="7"/>
      <c r="DB239" s="7"/>
      <c r="DC239" s="7"/>
      <c r="DD239" s="7"/>
      <c r="DE239" s="7"/>
      <c r="DF239" s="7"/>
      <c r="DG239" s="7"/>
      <c r="DH239" s="7"/>
      <c r="DI239" s="7"/>
      <c r="DJ239" s="7"/>
      <c r="DK239" s="7"/>
      <c r="DL239" s="7"/>
      <c r="DM239" s="7"/>
      <c r="DN239" s="7"/>
      <c r="DO239" s="7"/>
      <c r="DP239" s="7"/>
      <c r="DQ239" s="7"/>
      <c r="DR239" s="7"/>
      <c r="DS239" s="7"/>
      <c r="DT239" s="7"/>
      <c r="DU239" s="7"/>
      <c r="DV239" s="7"/>
      <c r="DW239" s="7"/>
      <c r="DX239" s="7"/>
      <c r="DY239" s="7"/>
      <c r="DZ239" s="7"/>
      <c r="EA239" s="7"/>
      <c r="EB239" s="7"/>
      <c r="EC239" s="7"/>
      <c r="ED239" s="7"/>
      <c r="EE239" s="7"/>
      <c r="EF239" s="7"/>
      <c r="EG239" s="7"/>
      <c r="EH239" s="7"/>
      <c r="EI239" s="7"/>
      <c r="EJ239" s="7"/>
      <c r="EK239" s="7"/>
      <c r="EL239" s="7"/>
      <c r="EM239" s="7"/>
      <c r="EN239" s="7"/>
      <c r="EO239" s="7"/>
      <c r="EP239" s="7"/>
      <c r="EQ239" s="7"/>
      <c r="ER239" s="7"/>
      <c r="ES239" s="7"/>
      <c r="ET239" s="7"/>
      <c r="EU239" s="7"/>
      <c r="EV239" s="7"/>
      <c r="EW239" s="7"/>
      <c r="EX239" s="7"/>
      <c r="EY239" s="7"/>
      <c r="EZ239" s="7"/>
      <c r="FA239" s="7"/>
      <c r="FB239" s="7"/>
      <c r="FC239" s="7"/>
      <c r="FD239" s="7"/>
      <c r="FE239" s="7"/>
      <c r="FF239" s="7"/>
      <c r="FG239" s="7"/>
      <c r="FH239" s="7"/>
      <c r="FI239" s="7"/>
      <c r="FJ239" s="7"/>
      <c r="FK239" s="7"/>
      <c r="FL239" s="7"/>
      <c r="FM239" s="7"/>
      <c r="FN239" s="7"/>
      <c r="FO239" s="7"/>
      <c r="FP239" s="7"/>
      <c r="FQ239" s="7"/>
      <c r="FR239" s="7"/>
      <c r="FS239" s="7"/>
      <c r="FT239" s="7"/>
      <c r="FU239" s="7"/>
      <c r="FV239" s="7"/>
      <c r="FW239" s="7"/>
      <c r="FX239" s="7"/>
      <c r="FY239" s="7"/>
      <c r="FZ239" s="7"/>
      <c r="GA239" s="7"/>
      <c r="GB239" s="7"/>
      <c r="GC239" s="7"/>
      <c r="GD239" s="7"/>
      <c r="GE239" s="7"/>
      <c r="GF239" s="7"/>
      <c r="GG239" s="7"/>
      <c r="GH239" s="7"/>
      <c r="GI239" s="7"/>
      <c r="GJ239" s="7"/>
      <c r="GK239" s="7"/>
      <c r="GL239" s="7"/>
      <c r="GM239" s="7"/>
      <c r="GN239" s="7"/>
      <c r="GO239" s="7"/>
      <c r="GP239" s="7"/>
      <c r="GQ239" s="7"/>
      <c r="GR239" s="7"/>
      <c r="GS239" s="7"/>
      <c r="GT239" s="7"/>
      <c r="GU239" s="7"/>
      <c r="GV239" s="7"/>
      <c r="GW239" s="7"/>
      <c r="GX239" s="7"/>
      <c r="GY239" s="7"/>
      <c r="GZ239" s="7"/>
      <c r="HA239" s="7"/>
      <c r="HB239" s="7"/>
      <c r="HC239" s="7"/>
      <c r="HD239" s="7"/>
      <c r="HE239" s="7"/>
      <c r="HF239" s="7"/>
      <c r="HG239" s="7"/>
      <c r="HH239" s="7"/>
      <c r="HI239" s="7"/>
      <c r="HJ239" s="7"/>
      <c r="HK239" s="7"/>
      <c r="HL239" s="7"/>
      <c r="HM239" s="7"/>
      <c r="HN239" s="7"/>
      <c r="HO239" s="7"/>
      <c r="HP239" s="7"/>
      <c r="HQ239" s="7"/>
      <c r="HR239" s="7"/>
      <c r="HS239" s="7"/>
      <c r="HT239" s="7"/>
      <c r="HU239" s="7"/>
      <c r="HV239" s="7"/>
      <c r="HW239" s="7"/>
      <c r="HX239" s="7"/>
      <c r="HY239" s="7"/>
      <c r="HZ239" s="7"/>
      <c r="IA239" s="7"/>
      <c r="IB239" s="7"/>
      <c r="IC239" s="7"/>
      <c r="ID239" s="7"/>
      <c r="IE239" s="7"/>
      <c r="IF239" s="7"/>
      <c r="IG239" s="7"/>
      <c r="IH239" s="7"/>
      <c r="II239" s="7"/>
      <c r="IJ239" s="7"/>
      <c r="IK239" s="7"/>
      <c r="IL239" s="7"/>
    </row>
    <row r="240" spans="1:246" ht="15">
      <c r="A240" s="61" t="s">
        <v>173</v>
      </c>
      <c r="B240" s="10" t="s">
        <v>8</v>
      </c>
      <c r="C240" s="11"/>
      <c r="D240" s="124" t="s">
        <v>9</v>
      </c>
      <c r="E240" s="13">
        <v>1</v>
      </c>
      <c r="F240" s="13">
        <v>1</v>
      </c>
      <c r="G240" s="13">
        <v>1</v>
      </c>
      <c r="H240" s="13">
        <v>1</v>
      </c>
      <c r="I240" s="13">
        <v>1</v>
      </c>
      <c r="J240" s="13">
        <v>5</v>
      </c>
      <c r="K240" s="35">
        <v>154</v>
      </c>
      <c r="L240" s="13">
        <f>J240*K240</f>
        <v>770</v>
      </c>
      <c r="M240" s="13">
        <v>1</v>
      </c>
      <c r="N240" s="13">
        <v>1</v>
      </c>
      <c r="O240" s="13">
        <v>1</v>
      </c>
      <c r="P240" s="13">
        <v>1</v>
      </c>
      <c r="Q240" s="13">
        <v>1</v>
      </c>
      <c r="R240" s="13">
        <v>5</v>
      </c>
      <c r="S240" s="35">
        <v>154</v>
      </c>
      <c r="T240" s="13">
        <f>R240*S240</f>
        <v>770</v>
      </c>
      <c r="U240" s="13">
        <v>1</v>
      </c>
      <c r="V240" s="13">
        <v>1</v>
      </c>
      <c r="W240" s="13">
        <v>1</v>
      </c>
      <c r="X240" s="13">
        <v>1</v>
      </c>
      <c r="Y240" s="13">
        <v>1</v>
      </c>
      <c r="Z240" s="13">
        <v>5</v>
      </c>
      <c r="AA240" s="35">
        <v>154</v>
      </c>
      <c r="AB240" s="13">
        <f>Z240*AA240</f>
        <v>770</v>
      </c>
      <c r="AC240" s="13">
        <v>1</v>
      </c>
      <c r="AD240" s="13">
        <v>1</v>
      </c>
      <c r="AE240" s="13">
        <v>1</v>
      </c>
      <c r="AF240" s="13">
        <v>1</v>
      </c>
      <c r="AG240" s="13">
        <v>1</v>
      </c>
      <c r="AH240" s="13">
        <v>5</v>
      </c>
      <c r="AI240" s="35">
        <v>154</v>
      </c>
      <c r="AJ240" s="13">
        <f>AH240*AI240</f>
        <v>770</v>
      </c>
      <c r="AK240" s="13">
        <v>1</v>
      </c>
      <c r="AL240" s="13">
        <v>1</v>
      </c>
      <c r="AM240" s="13">
        <v>1</v>
      </c>
      <c r="AN240" s="13">
        <v>1</v>
      </c>
      <c r="AO240" s="13">
        <v>1</v>
      </c>
      <c r="AP240" s="13">
        <v>5</v>
      </c>
      <c r="AQ240" s="35">
        <v>154</v>
      </c>
      <c r="AR240" s="13">
        <f>AP240*AQ240</f>
        <v>770</v>
      </c>
      <c r="AS240" s="13">
        <v>1</v>
      </c>
      <c r="AT240" s="13">
        <v>1</v>
      </c>
      <c r="AU240" s="13">
        <v>1</v>
      </c>
      <c r="AV240" s="13">
        <v>1</v>
      </c>
      <c r="AW240" s="13">
        <v>1</v>
      </c>
      <c r="AX240" s="13">
        <v>5</v>
      </c>
      <c r="AY240" s="35">
        <v>154</v>
      </c>
      <c r="AZ240" s="13">
        <f>AX240*AY240</f>
        <v>770</v>
      </c>
      <c r="BA240" s="13">
        <v>1</v>
      </c>
      <c r="BB240" s="13">
        <v>1</v>
      </c>
      <c r="BC240" s="13">
        <v>1</v>
      </c>
      <c r="BD240" s="13">
        <v>1</v>
      </c>
      <c r="BE240" s="13">
        <v>1</v>
      </c>
      <c r="BF240" s="13">
        <v>5</v>
      </c>
      <c r="BG240" s="35">
        <v>154</v>
      </c>
      <c r="BH240" s="13">
        <f>BF240*BG240</f>
        <v>770</v>
      </c>
      <c r="BI240" s="13">
        <v>1</v>
      </c>
      <c r="BJ240" s="13">
        <v>1</v>
      </c>
      <c r="BK240" s="13">
        <v>1</v>
      </c>
      <c r="BL240" s="13">
        <v>1</v>
      </c>
      <c r="BM240" s="13">
        <v>1</v>
      </c>
      <c r="BN240" s="13">
        <v>5</v>
      </c>
      <c r="BO240" s="35">
        <v>154</v>
      </c>
      <c r="BP240" s="13">
        <f>BN240*BO240</f>
        <v>770</v>
      </c>
      <c r="BQ240" s="13">
        <v>1</v>
      </c>
      <c r="BR240" s="13">
        <v>1</v>
      </c>
      <c r="BS240" s="13">
        <v>1</v>
      </c>
      <c r="BT240" s="13">
        <v>1</v>
      </c>
      <c r="BU240" s="13">
        <v>1</v>
      </c>
      <c r="BV240" s="13">
        <v>5</v>
      </c>
      <c r="BW240" s="35">
        <v>154</v>
      </c>
      <c r="BX240" s="13">
        <f>BV240*BW240</f>
        <v>770</v>
      </c>
      <c r="BY240" s="13">
        <v>1</v>
      </c>
      <c r="BZ240" s="13">
        <v>1</v>
      </c>
      <c r="CA240" s="13">
        <v>1</v>
      </c>
      <c r="CB240" s="13">
        <v>1</v>
      </c>
      <c r="CC240" s="13">
        <v>1</v>
      </c>
      <c r="CD240" s="13">
        <v>5</v>
      </c>
      <c r="CE240" s="35">
        <v>154</v>
      </c>
      <c r="CF240" s="13">
        <f>CD240*CE240</f>
        <v>770</v>
      </c>
    </row>
    <row r="241" spans="1:84">
      <c r="A241" s="61" t="s">
        <v>173</v>
      </c>
      <c r="B241" s="16" t="s">
        <v>57</v>
      </c>
      <c r="C241" s="11"/>
      <c r="D241" s="17" t="s">
        <v>11</v>
      </c>
      <c r="E241" s="18"/>
      <c r="F241" s="13">
        <v>3</v>
      </c>
      <c r="G241" s="13"/>
      <c r="H241" s="13">
        <v>3</v>
      </c>
      <c r="I241" s="18"/>
      <c r="J241" s="13">
        <v>6</v>
      </c>
      <c r="K241" s="42">
        <v>156</v>
      </c>
      <c r="L241" s="13">
        <f t="shared" ref="L241:L250" si="127">J241*K241</f>
        <v>936</v>
      </c>
      <c r="M241" s="18"/>
      <c r="N241" s="13">
        <v>3</v>
      </c>
      <c r="O241" s="13"/>
      <c r="P241" s="13">
        <v>3</v>
      </c>
      <c r="Q241" s="18"/>
      <c r="R241" s="13">
        <v>6</v>
      </c>
      <c r="S241" s="42">
        <v>156</v>
      </c>
      <c r="T241" s="13">
        <f t="shared" ref="T241:T259" si="128">R241*S241</f>
        <v>936</v>
      </c>
      <c r="U241" s="18"/>
      <c r="V241" s="13">
        <v>3</v>
      </c>
      <c r="W241" s="13"/>
      <c r="X241" s="13">
        <v>3</v>
      </c>
      <c r="Y241" s="18"/>
      <c r="Z241" s="13">
        <v>6</v>
      </c>
      <c r="AA241" s="42">
        <v>156</v>
      </c>
      <c r="AB241" s="13">
        <f t="shared" ref="AB241:AB259" si="129">Z241*AA241</f>
        <v>936</v>
      </c>
      <c r="AC241" s="18"/>
      <c r="AD241" s="13">
        <v>3</v>
      </c>
      <c r="AE241" s="13"/>
      <c r="AF241" s="13">
        <v>3</v>
      </c>
      <c r="AG241" s="18"/>
      <c r="AH241" s="13">
        <v>6</v>
      </c>
      <c r="AI241" s="42">
        <v>156</v>
      </c>
      <c r="AJ241" s="13">
        <f t="shared" ref="AJ241:AJ259" si="130">AH241*AI241</f>
        <v>936</v>
      </c>
      <c r="AK241" s="18"/>
      <c r="AL241" s="13">
        <v>3</v>
      </c>
      <c r="AM241" s="13"/>
      <c r="AN241" s="13">
        <v>3</v>
      </c>
      <c r="AO241" s="18"/>
      <c r="AP241" s="13">
        <v>6</v>
      </c>
      <c r="AQ241" s="42">
        <v>156</v>
      </c>
      <c r="AR241" s="13">
        <f t="shared" ref="AR241:AR259" si="131">AP241*AQ241</f>
        <v>936</v>
      </c>
      <c r="AS241" s="18"/>
      <c r="AT241" s="13">
        <v>3</v>
      </c>
      <c r="AU241" s="13"/>
      <c r="AV241" s="13">
        <v>3</v>
      </c>
      <c r="AW241" s="18"/>
      <c r="AX241" s="13">
        <v>6</v>
      </c>
      <c r="AY241" s="42">
        <v>156</v>
      </c>
      <c r="AZ241" s="13">
        <f t="shared" ref="AZ241:AZ259" si="132">AX241*AY241</f>
        <v>936</v>
      </c>
      <c r="BA241" s="18"/>
      <c r="BB241" s="13">
        <v>3</v>
      </c>
      <c r="BC241" s="13"/>
      <c r="BD241" s="13">
        <v>3</v>
      </c>
      <c r="BE241" s="18"/>
      <c r="BF241" s="13">
        <v>6</v>
      </c>
      <c r="BG241" s="42">
        <v>156</v>
      </c>
      <c r="BH241" s="13">
        <f t="shared" ref="BH241:BH259" si="133">BF241*BG241</f>
        <v>936</v>
      </c>
      <c r="BI241" s="18"/>
      <c r="BJ241" s="13">
        <v>3</v>
      </c>
      <c r="BK241" s="13"/>
      <c r="BL241" s="13">
        <v>3</v>
      </c>
      <c r="BM241" s="18"/>
      <c r="BN241" s="13">
        <v>6</v>
      </c>
      <c r="BO241" s="42">
        <v>156</v>
      </c>
      <c r="BP241" s="13">
        <f t="shared" ref="BP241:BP259" si="134">BN241*BO241</f>
        <v>936</v>
      </c>
      <c r="BQ241" s="18"/>
      <c r="BR241" s="13">
        <v>3</v>
      </c>
      <c r="BS241" s="13"/>
      <c r="BT241" s="13">
        <v>3</v>
      </c>
      <c r="BU241" s="18"/>
      <c r="BV241" s="13">
        <v>6</v>
      </c>
      <c r="BW241" s="42">
        <v>156</v>
      </c>
      <c r="BX241" s="13">
        <f t="shared" ref="BX241:BX259" si="135">BV241*BW241</f>
        <v>936</v>
      </c>
      <c r="BY241" s="18"/>
      <c r="BZ241" s="13">
        <v>3</v>
      </c>
      <c r="CA241" s="13"/>
      <c r="CB241" s="13">
        <v>3</v>
      </c>
      <c r="CC241" s="18"/>
      <c r="CD241" s="13">
        <v>6</v>
      </c>
      <c r="CE241" s="42">
        <v>156</v>
      </c>
      <c r="CF241" s="13">
        <f t="shared" ref="CF241:CF259" si="136">CD241*CE241</f>
        <v>936</v>
      </c>
    </row>
    <row r="242" spans="1:84">
      <c r="A242" s="61" t="s">
        <v>173</v>
      </c>
      <c r="B242" s="20" t="s">
        <v>12</v>
      </c>
      <c r="C242" s="11"/>
      <c r="D242" s="11" t="s">
        <v>13</v>
      </c>
      <c r="E242" s="18"/>
      <c r="F242" s="13">
        <v>1</v>
      </c>
      <c r="G242" s="13"/>
      <c r="H242" s="13">
        <v>1</v>
      </c>
      <c r="I242" s="18"/>
      <c r="J242" s="13">
        <v>2</v>
      </c>
      <c r="K242" s="19">
        <v>306</v>
      </c>
      <c r="L242" s="13">
        <f t="shared" si="127"/>
        <v>612</v>
      </c>
      <c r="M242" s="18"/>
      <c r="N242" s="13">
        <v>1</v>
      </c>
      <c r="O242" s="13"/>
      <c r="P242" s="13">
        <v>1</v>
      </c>
      <c r="Q242" s="18"/>
      <c r="R242" s="13">
        <v>2</v>
      </c>
      <c r="S242" s="19">
        <v>306</v>
      </c>
      <c r="T242" s="13">
        <f t="shared" si="128"/>
        <v>612</v>
      </c>
      <c r="U242" s="18"/>
      <c r="V242" s="13">
        <v>1</v>
      </c>
      <c r="W242" s="13"/>
      <c r="X242" s="13">
        <v>1</v>
      </c>
      <c r="Y242" s="18"/>
      <c r="Z242" s="13">
        <v>2</v>
      </c>
      <c r="AA242" s="19">
        <v>306</v>
      </c>
      <c r="AB242" s="13">
        <f t="shared" si="129"/>
        <v>612</v>
      </c>
      <c r="AC242" s="18"/>
      <c r="AD242" s="13">
        <v>1</v>
      </c>
      <c r="AE242" s="13"/>
      <c r="AF242" s="13">
        <v>1</v>
      </c>
      <c r="AG242" s="18"/>
      <c r="AH242" s="13">
        <v>2</v>
      </c>
      <c r="AI242" s="19">
        <v>306</v>
      </c>
      <c r="AJ242" s="13">
        <f t="shared" si="130"/>
        <v>612</v>
      </c>
      <c r="AK242" s="18"/>
      <c r="AL242" s="13">
        <v>1</v>
      </c>
      <c r="AM242" s="13"/>
      <c r="AN242" s="13">
        <v>1</v>
      </c>
      <c r="AO242" s="18"/>
      <c r="AP242" s="13">
        <v>2</v>
      </c>
      <c r="AQ242" s="19">
        <v>306</v>
      </c>
      <c r="AR242" s="13">
        <f t="shared" si="131"/>
        <v>612</v>
      </c>
      <c r="AS242" s="18"/>
      <c r="AT242" s="13">
        <v>1</v>
      </c>
      <c r="AU242" s="13"/>
      <c r="AV242" s="13">
        <v>1</v>
      </c>
      <c r="AW242" s="18"/>
      <c r="AX242" s="13">
        <v>2</v>
      </c>
      <c r="AY242" s="19">
        <v>306</v>
      </c>
      <c r="AZ242" s="13">
        <f t="shared" si="132"/>
        <v>612</v>
      </c>
      <c r="BA242" s="18"/>
      <c r="BB242" s="13">
        <v>1</v>
      </c>
      <c r="BC242" s="13"/>
      <c r="BD242" s="13">
        <v>1</v>
      </c>
      <c r="BE242" s="18"/>
      <c r="BF242" s="13">
        <v>2</v>
      </c>
      <c r="BG242" s="19">
        <v>306</v>
      </c>
      <c r="BH242" s="13">
        <f t="shared" si="133"/>
        <v>612</v>
      </c>
      <c r="BI242" s="18"/>
      <c r="BJ242" s="13">
        <v>1</v>
      </c>
      <c r="BK242" s="13"/>
      <c r="BL242" s="13">
        <v>1</v>
      </c>
      <c r="BM242" s="18"/>
      <c r="BN242" s="13">
        <v>2</v>
      </c>
      <c r="BO242" s="19">
        <v>306</v>
      </c>
      <c r="BP242" s="13">
        <f t="shared" si="134"/>
        <v>612</v>
      </c>
      <c r="BQ242" s="18"/>
      <c r="BR242" s="13">
        <v>1</v>
      </c>
      <c r="BS242" s="13"/>
      <c r="BT242" s="13">
        <v>1</v>
      </c>
      <c r="BU242" s="18"/>
      <c r="BV242" s="13">
        <v>2</v>
      </c>
      <c r="BW242" s="19">
        <v>306</v>
      </c>
      <c r="BX242" s="13">
        <f t="shared" si="135"/>
        <v>612</v>
      </c>
      <c r="BY242" s="18"/>
      <c r="BZ242" s="13">
        <v>1</v>
      </c>
      <c r="CA242" s="13"/>
      <c r="CB242" s="13">
        <v>1</v>
      </c>
      <c r="CC242" s="18"/>
      <c r="CD242" s="13">
        <v>2</v>
      </c>
      <c r="CE242" s="19">
        <v>306</v>
      </c>
      <c r="CF242" s="13">
        <f t="shared" si="136"/>
        <v>612</v>
      </c>
    </row>
    <row r="243" spans="1:84">
      <c r="A243" s="61" t="s">
        <v>173</v>
      </c>
      <c r="B243" s="10" t="s">
        <v>90</v>
      </c>
      <c r="C243" s="11"/>
      <c r="D243" s="11" t="s">
        <v>91</v>
      </c>
      <c r="E243" s="18"/>
      <c r="F243" s="13"/>
      <c r="G243" s="13"/>
      <c r="H243" s="13"/>
      <c r="I243" s="18"/>
      <c r="J243" s="13">
        <v>0</v>
      </c>
      <c r="K243" s="21">
        <v>143</v>
      </c>
      <c r="L243" s="13">
        <f t="shared" si="127"/>
        <v>0</v>
      </c>
      <c r="M243" s="18"/>
      <c r="N243" s="13"/>
      <c r="O243" s="13"/>
      <c r="P243" s="13"/>
      <c r="Q243" s="18"/>
      <c r="R243" s="13">
        <v>0</v>
      </c>
      <c r="S243" s="21">
        <v>143</v>
      </c>
      <c r="T243" s="13">
        <f t="shared" si="128"/>
        <v>0</v>
      </c>
      <c r="U243" s="18"/>
      <c r="V243" s="13"/>
      <c r="W243" s="13"/>
      <c r="X243" s="13"/>
      <c r="Y243" s="18">
        <v>3</v>
      </c>
      <c r="Z243" s="13">
        <v>3</v>
      </c>
      <c r="AA243" s="21">
        <v>143</v>
      </c>
      <c r="AB243" s="13">
        <f t="shared" si="129"/>
        <v>429</v>
      </c>
      <c r="AC243" s="18"/>
      <c r="AD243" s="13"/>
      <c r="AE243" s="13"/>
      <c r="AF243" s="13"/>
      <c r="AG243" s="18"/>
      <c r="AH243" s="13">
        <v>0</v>
      </c>
      <c r="AI243" s="21">
        <v>143</v>
      </c>
      <c r="AJ243" s="13">
        <f t="shared" si="130"/>
        <v>0</v>
      </c>
      <c r="AK243" s="18"/>
      <c r="AL243" s="13"/>
      <c r="AM243" s="13"/>
      <c r="AN243" s="13"/>
      <c r="AO243" s="18"/>
      <c r="AP243" s="13">
        <v>0</v>
      </c>
      <c r="AQ243" s="21">
        <v>143</v>
      </c>
      <c r="AR243" s="13">
        <f t="shared" si="131"/>
        <v>0</v>
      </c>
      <c r="AS243" s="18"/>
      <c r="AT243" s="13"/>
      <c r="AU243" s="13"/>
      <c r="AV243" s="13"/>
      <c r="AW243" s="18"/>
      <c r="AX243" s="13">
        <v>0</v>
      </c>
      <c r="AY243" s="21">
        <v>143</v>
      </c>
      <c r="AZ243" s="13">
        <f t="shared" si="132"/>
        <v>0</v>
      </c>
      <c r="BA243" s="18"/>
      <c r="BB243" s="13"/>
      <c r="BC243" s="13"/>
      <c r="BD243" s="13"/>
      <c r="BE243" s="18"/>
      <c r="BF243" s="13"/>
      <c r="BG243" s="21">
        <v>143</v>
      </c>
      <c r="BH243" s="13">
        <f t="shared" si="133"/>
        <v>0</v>
      </c>
      <c r="BI243" s="18"/>
      <c r="BJ243" s="13"/>
      <c r="BK243" s="13"/>
      <c r="BL243" s="13"/>
      <c r="BM243" s="18"/>
      <c r="BN243" s="13">
        <v>0</v>
      </c>
      <c r="BO243" s="21">
        <v>143</v>
      </c>
      <c r="BP243" s="13">
        <f t="shared" si="134"/>
        <v>0</v>
      </c>
      <c r="BQ243" s="18"/>
      <c r="BR243" s="13"/>
      <c r="BS243" s="13"/>
      <c r="BT243" s="13"/>
      <c r="BU243" s="18"/>
      <c r="BV243" s="13">
        <v>0</v>
      </c>
      <c r="BW243" s="21">
        <v>143</v>
      </c>
      <c r="BX243" s="13">
        <f t="shared" si="135"/>
        <v>0</v>
      </c>
      <c r="BY243" s="18"/>
      <c r="BZ243" s="13"/>
      <c r="CA243" s="13"/>
      <c r="CB243" s="13"/>
      <c r="CC243" s="18"/>
      <c r="CD243" s="13">
        <v>0</v>
      </c>
      <c r="CE243" s="21">
        <v>143</v>
      </c>
      <c r="CF243" s="13">
        <f t="shared" si="136"/>
        <v>0</v>
      </c>
    </row>
    <row r="244" spans="1:84">
      <c r="A244" s="61" t="s">
        <v>173</v>
      </c>
      <c r="B244" s="10" t="s">
        <v>18</v>
      </c>
      <c r="C244" s="11"/>
      <c r="D244" s="12" t="s">
        <v>19</v>
      </c>
      <c r="E244" s="18"/>
      <c r="F244" s="13">
        <v>1</v>
      </c>
      <c r="G244" s="13"/>
      <c r="H244" s="13">
        <v>1</v>
      </c>
      <c r="I244" s="18"/>
      <c r="J244" s="13">
        <v>2</v>
      </c>
      <c r="K244" s="13">
        <v>25</v>
      </c>
      <c r="L244" s="13">
        <f t="shared" si="127"/>
        <v>50</v>
      </c>
      <c r="M244" s="18"/>
      <c r="N244" s="13">
        <v>1</v>
      </c>
      <c r="O244" s="13"/>
      <c r="P244" s="13">
        <v>1</v>
      </c>
      <c r="Q244" s="18"/>
      <c r="R244" s="13">
        <v>2</v>
      </c>
      <c r="S244" s="13">
        <v>25</v>
      </c>
      <c r="T244" s="13">
        <f t="shared" si="128"/>
        <v>50</v>
      </c>
      <c r="U244" s="18"/>
      <c r="V244" s="13">
        <v>1</v>
      </c>
      <c r="W244" s="13"/>
      <c r="X244" s="13">
        <v>1</v>
      </c>
      <c r="Y244" s="18"/>
      <c r="Z244" s="13">
        <v>2</v>
      </c>
      <c r="AA244" s="13">
        <v>25</v>
      </c>
      <c r="AB244" s="13">
        <f t="shared" si="129"/>
        <v>50</v>
      </c>
      <c r="AC244" s="18"/>
      <c r="AD244" s="13">
        <v>1</v>
      </c>
      <c r="AE244" s="13"/>
      <c r="AF244" s="13">
        <v>1</v>
      </c>
      <c r="AG244" s="18"/>
      <c r="AH244" s="13">
        <v>2</v>
      </c>
      <c r="AI244" s="13">
        <v>25</v>
      </c>
      <c r="AJ244" s="13">
        <f t="shared" si="130"/>
        <v>50</v>
      </c>
      <c r="AK244" s="18"/>
      <c r="AL244" s="13">
        <v>1</v>
      </c>
      <c r="AM244" s="13"/>
      <c r="AN244" s="13">
        <v>1</v>
      </c>
      <c r="AO244" s="18"/>
      <c r="AP244" s="13">
        <v>2</v>
      </c>
      <c r="AQ244" s="13">
        <v>25</v>
      </c>
      <c r="AR244" s="13">
        <f t="shared" si="131"/>
        <v>50</v>
      </c>
      <c r="AS244" s="18"/>
      <c r="AT244" s="13">
        <v>1</v>
      </c>
      <c r="AU244" s="13"/>
      <c r="AV244" s="13">
        <v>1</v>
      </c>
      <c r="AW244" s="18"/>
      <c r="AX244" s="13">
        <v>2</v>
      </c>
      <c r="AY244" s="13">
        <v>25</v>
      </c>
      <c r="AZ244" s="13">
        <f t="shared" si="132"/>
        <v>50</v>
      </c>
      <c r="BA244" s="18"/>
      <c r="BB244" s="13">
        <v>1</v>
      </c>
      <c r="BC244" s="13"/>
      <c r="BD244" s="13">
        <v>1</v>
      </c>
      <c r="BE244" s="18"/>
      <c r="BF244" s="13">
        <v>2</v>
      </c>
      <c r="BG244" s="13">
        <v>25</v>
      </c>
      <c r="BH244" s="13">
        <f t="shared" si="133"/>
        <v>50</v>
      </c>
      <c r="BI244" s="18"/>
      <c r="BJ244" s="13">
        <v>1</v>
      </c>
      <c r="BK244" s="13"/>
      <c r="BL244" s="13">
        <v>1</v>
      </c>
      <c r="BM244" s="18"/>
      <c r="BN244" s="13">
        <v>2</v>
      </c>
      <c r="BO244" s="13">
        <v>25</v>
      </c>
      <c r="BP244" s="13">
        <f t="shared" si="134"/>
        <v>50</v>
      </c>
      <c r="BQ244" s="18"/>
      <c r="BR244" s="13">
        <v>1</v>
      </c>
      <c r="BS244" s="13"/>
      <c r="BT244" s="13">
        <v>1</v>
      </c>
      <c r="BU244" s="18"/>
      <c r="BV244" s="13">
        <v>2</v>
      </c>
      <c r="BW244" s="13">
        <v>25</v>
      </c>
      <c r="BX244" s="13">
        <f t="shared" si="135"/>
        <v>50</v>
      </c>
      <c r="BY244" s="18"/>
      <c r="BZ244" s="13">
        <v>1</v>
      </c>
      <c r="CA244" s="13"/>
      <c r="CB244" s="13">
        <v>1</v>
      </c>
      <c r="CC244" s="18"/>
      <c r="CD244" s="13">
        <v>2</v>
      </c>
      <c r="CE244" s="13">
        <v>25</v>
      </c>
      <c r="CF244" s="13">
        <f t="shared" si="136"/>
        <v>50</v>
      </c>
    </row>
    <row r="245" spans="1:84">
      <c r="A245" s="61" t="s">
        <v>173</v>
      </c>
      <c r="B245" s="10" t="s">
        <v>20</v>
      </c>
      <c r="C245" s="11"/>
      <c r="D245" s="12" t="s">
        <v>21</v>
      </c>
      <c r="E245" s="18"/>
      <c r="F245" s="13">
        <v>1</v>
      </c>
      <c r="G245" s="13"/>
      <c r="H245" s="13">
        <v>1</v>
      </c>
      <c r="I245" s="18"/>
      <c r="J245" s="13">
        <v>2</v>
      </c>
      <c r="K245" s="13">
        <v>112</v>
      </c>
      <c r="L245" s="13">
        <f t="shared" si="127"/>
        <v>224</v>
      </c>
      <c r="M245" s="18"/>
      <c r="N245" s="13">
        <v>1</v>
      </c>
      <c r="O245" s="13"/>
      <c r="P245" s="13">
        <v>1</v>
      </c>
      <c r="Q245" s="18"/>
      <c r="R245" s="13">
        <v>2</v>
      </c>
      <c r="S245" s="13">
        <v>112</v>
      </c>
      <c r="T245" s="13">
        <f t="shared" si="128"/>
        <v>224</v>
      </c>
      <c r="U245" s="18"/>
      <c r="V245" s="13">
        <v>1</v>
      </c>
      <c r="W245" s="13"/>
      <c r="X245" s="13">
        <v>1</v>
      </c>
      <c r="Y245" s="18"/>
      <c r="Z245" s="13">
        <v>2</v>
      </c>
      <c r="AA245" s="13">
        <v>112</v>
      </c>
      <c r="AB245" s="13">
        <f t="shared" si="129"/>
        <v>224</v>
      </c>
      <c r="AC245" s="18"/>
      <c r="AD245" s="13">
        <v>1</v>
      </c>
      <c r="AE245" s="13"/>
      <c r="AF245" s="13">
        <v>1</v>
      </c>
      <c r="AG245" s="18"/>
      <c r="AH245" s="13">
        <v>2</v>
      </c>
      <c r="AI245" s="13">
        <v>112</v>
      </c>
      <c r="AJ245" s="13">
        <f t="shared" si="130"/>
        <v>224</v>
      </c>
      <c r="AK245" s="18"/>
      <c r="AL245" s="13">
        <v>1</v>
      </c>
      <c r="AM245" s="13"/>
      <c r="AN245" s="13">
        <v>1</v>
      </c>
      <c r="AO245" s="18"/>
      <c r="AP245" s="13">
        <v>2</v>
      </c>
      <c r="AQ245" s="13">
        <v>112</v>
      </c>
      <c r="AR245" s="13">
        <f t="shared" si="131"/>
        <v>224</v>
      </c>
      <c r="AS245" s="18"/>
      <c r="AT245" s="13">
        <v>1</v>
      </c>
      <c r="AU245" s="13"/>
      <c r="AV245" s="13">
        <v>1</v>
      </c>
      <c r="AW245" s="18"/>
      <c r="AX245" s="13">
        <v>2</v>
      </c>
      <c r="AY245" s="13">
        <v>112</v>
      </c>
      <c r="AZ245" s="13">
        <f t="shared" si="132"/>
        <v>224</v>
      </c>
      <c r="BA245" s="18"/>
      <c r="BB245" s="13">
        <v>1</v>
      </c>
      <c r="BC245" s="13"/>
      <c r="BD245" s="13">
        <v>1</v>
      </c>
      <c r="BE245" s="18"/>
      <c r="BF245" s="13">
        <v>2</v>
      </c>
      <c r="BG245" s="13">
        <v>112</v>
      </c>
      <c r="BH245" s="13">
        <f t="shared" si="133"/>
        <v>224</v>
      </c>
      <c r="BI245" s="18"/>
      <c r="BJ245" s="13">
        <v>1</v>
      </c>
      <c r="BK245" s="13"/>
      <c r="BL245" s="13">
        <v>1</v>
      </c>
      <c r="BM245" s="18"/>
      <c r="BN245" s="13">
        <v>2</v>
      </c>
      <c r="BO245" s="13">
        <v>112</v>
      </c>
      <c r="BP245" s="13">
        <f t="shared" si="134"/>
        <v>224</v>
      </c>
      <c r="BQ245" s="18"/>
      <c r="BR245" s="13">
        <v>1</v>
      </c>
      <c r="BS245" s="13"/>
      <c r="BT245" s="13">
        <v>1</v>
      </c>
      <c r="BU245" s="18"/>
      <c r="BV245" s="13">
        <v>2</v>
      </c>
      <c r="BW245" s="13">
        <v>112</v>
      </c>
      <c r="BX245" s="13">
        <f t="shared" si="135"/>
        <v>224</v>
      </c>
      <c r="BY245" s="18"/>
      <c r="BZ245" s="13">
        <v>1</v>
      </c>
      <c r="CA245" s="13"/>
      <c r="CB245" s="13">
        <v>1</v>
      </c>
      <c r="CC245" s="18"/>
      <c r="CD245" s="13">
        <v>2</v>
      </c>
      <c r="CE245" s="13">
        <v>112</v>
      </c>
      <c r="CF245" s="13">
        <f t="shared" si="136"/>
        <v>224</v>
      </c>
    </row>
    <row r="246" spans="1:84">
      <c r="A246" s="61" t="s">
        <v>173</v>
      </c>
      <c r="B246" s="10" t="s">
        <v>22</v>
      </c>
      <c r="C246" s="11"/>
      <c r="D246" s="11" t="s">
        <v>23</v>
      </c>
      <c r="E246" s="18"/>
      <c r="F246" s="13">
        <v>1</v>
      </c>
      <c r="G246" s="13"/>
      <c r="H246" s="13">
        <v>1</v>
      </c>
      <c r="I246" s="18"/>
      <c r="J246" s="13">
        <v>2</v>
      </c>
      <c r="K246" s="22">
        <v>275</v>
      </c>
      <c r="L246" s="13">
        <f t="shared" si="127"/>
        <v>550</v>
      </c>
      <c r="M246" s="18"/>
      <c r="N246" s="13">
        <v>1</v>
      </c>
      <c r="O246" s="13"/>
      <c r="P246" s="13">
        <v>1</v>
      </c>
      <c r="Q246" s="18"/>
      <c r="R246" s="13">
        <v>2</v>
      </c>
      <c r="S246" s="22">
        <v>275</v>
      </c>
      <c r="T246" s="13">
        <f t="shared" si="128"/>
        <v>550</v>
      </c>
      <c r="U246" s="18"/>
      <c r="V246" s="13">
        <v>1</v>
      </c>
      <c r="W246" s="13"/>
      <c r="X246" s="13">
        <v>1</v>
      </c>
      <c r="Y246" s="18"/>
      <c r="Z246" s="13">
        <v>2</v>
      </c>
      <c r="AA246" s="22">
        <v>275</v>
      </c>
      <c r="AB246" s="13">
        <f t="shared" si="129"/>
        <v>550</v>
      </c>
      <c r="AC246" s="18"/>
      <c r="AD246" s="13">
        <v>1</v>
      </c>
      <c r="AE246" s="13"/>
      <c r="AF246" s="13">
        <v>1</v>
      </c>
      <c r="AG246" s="18"/>
      <c r="AH246" s="13">
        <v>2</v>
      </c>
      <c r="AI246" s="22">
        <v>275</v>
      </c>
      <c r="AJ246" s="13">
        <f t="shared" si="130"/>
        <v>550</v>
      </c>
      <c r="AK246" s="18"/>
      <c r="AL246" s="13">
        <v>1</v>
      </c>
      <c r="AM246" s="13"/>
      <c r="AN246" s="13">
        <v>1</v>
      </c>
      <c r="AO246" s="18"/>
      <c r="AP246" s="13">
        <v>2</v>
      </c>
      <c r="AQ246" s="22">
        <v>275</v>
      </c>
      <c r="AR246" s="13">
        <f t="shared" si="131"/>
        <v>550</v>
      </c>
      <c r="AS246" s="18"/>
      <c r="AT246" s="13">
        <v>1</v>
      </c>
      <c r="AU246" s="13"/>
      <c r="AV246" s="13">
        <v>1</v>
      </c>
      <c r="AW246" s="18"/>
      <c r="AX246" s="13">
        <v>2</v>
      </c>
      <c r="AY246" s="22">
        <v>275</v>
      </c>
      <c r="AZ246" s="13">
        <f t="shared" si="132"/>
        <v>550</v>
      </c>
      <c r="BA246" s="18"/>
      <c r="BB246" s="13">
        <v>1</v>
      </c>
      <c r="BC246" s="13"/>
      <c r="BD246" s="13">
        <v>1</v>
      </c>
      <c r="BE246" s="18"/>
      <c r="BF246" s="13">
        <v>2</v>
      </c>
      <c r="BG246" s="22">
        <v>275</v>
      </c>
      <c r="BH246" s="13">
        <f t="shared" si="133"/>
        <v>550</v>
      </c>
      <c r="BI246" s="18"/>
      <c r="BJ246" s="13">
        <v>1</v>
      </c>
      <c r="BK246" s="13"/>
      <c r="BL246" s="13">
        <v>1</v>
      </c>
      <c r="BM246" s="18"/>
      <c r="BN246" s="13">
        <v>2</v>
      </c>
      <c r="BO246" s="22">
        <v>275</v>
      </c>
      <c r="BP246" s="13">
        <f t="shared" si="134"/>
        <v>550</v>
      </c>
      <c r="BQ246" s="18"/>
      <c r="BR246" s="13">
        <v>1</v>
      </c>
      <c r="BS246" s="13"/>
      <c r="BT246" s="13">
        <v>1</v>
      </c>
      <c r="BU246" s="18"/>
      <c r="BV246" s="13">
        <v>2</v>
      </c>
      <c r="BW246" s="22">
        <v>275</v>
      </c>
      <c r="BX246" s="13">
        <f t="shared" si="135"/>
        <v>550</v>
      </c>
      <c r="BY246" s="18"/>
      <c r="BZ246" s="13">
        <v>1</v>
      </c>
      <c r="CA246" s="13"/>
      <c r="CB246" s="13">
        <v>1</v>
      </c>
      <c r="CC246" s="18"/>
      <c r="CD246" s="13">
        <v>2</v>
      </c>
      <c r="CE246" s="22">
        <v>275</v>
      </c>
      <c r="CF246" s="13">
        <f t="shared" si="136"/>
        <v>550</v>
      </c>
    </row>
    <row r="247" spans="1:84">
      <c r="A247" s="61" t="s">
        <v>173</v>
      </c>
      <c r="B247" s="10" t="s">
        <v>93</v>
      </c>
      <c r="C247" s="11"/>
      <c r="D247" s="12" t="s">
        <v>94</v>
      </c>
      <c r="E247" s="18"/>
      <c r="F247" s="13"/>
      <c r="G247" s="13"/>
      <c r="H247" s="13"/>
      <c r="I247" s="18"/>
      <c r="J247" s="13">
        <v>0</v>
      </c>
      <c r="K247" s="22">
        <v>1529</v>
      </c>
      <c r="L247" s="13">
        <f t="shared" si="127"/>
        <v>0</v>
      </c>
      <c r="M247" s="18"/>
      <c r="N247" s="13"/>
      <c r="O247" s="13"/>
      <c r="P247" s="13"/>
      <c r="Q247" s="18"/>
      <c r="R247" s="13">
        <v>0</v>
      </c>
      <c r="S247" s="22">
        <v>1529</v>
      </c>
      <c r="T247" s="13">
        <f t="shared" si="128"/>
        <v>0</v>
      </c>
      <c r="U247" s="18"/>
      <c r="V247" s="13"/>
      <c r="W247" s="13"/>
      <c r="X247" s="13"/>
      <c r="Y247" s="18">
        <v>3</v>
      </c>
      <c r="Z247" s="18">
        <v>3</v>
      </c>
      <c r="AA247" s="22">
        <v>1529</v>
      </c>
      <c r="AB247" s="13">
        <f t="shared" si="129"/>
        <v>4587</v>
      </c>
      <c r="AC247" s="18"/>
      <c r="AD247" s="13"/>
      <c r="AE247" s="13"/>
      <c r="AF247" s="13"/>
      <c r="AG247" s="18"/>
      <c r="AH247" s="13">
        <v>0</v>
      </c>
      <c r="AI247" s="22">
        <v>1529</v>
      </c>
      <c r="AJ247" s="13">
        <f t="shared" si="130"/>
        <v>0</v>
      </c>
      <c r="AK247" s="18"/>
      <c r="AL247" s="13"/>
      <c r="AM247" s="13"/>
      <c r="AN247" s="13"/>
      <c r="AO247" s="18"/>
      <c r="AP247" s="13">
        <v>0</v>
      </c>
      <c r="AQ247" s="22">
        <v>1529</v>
      </c>
      <c r="AR247" s="13">
        <f t="shared" si="131"/>
        <v>0</v>
      </c>
      <c r="AS247" s="18"/>
      <c r="AT247" s="13"/>
      <c r="AU247" s="13"/>
      <c r="AV247" s="13"/>
      <c r="AW247" s="18">
        <v>3</v>
      </c>
      <c r="AX247" s="18">
        <v>3</v>
      </c>
      <c r="AY247" s="22">
        <v>1529</v>
      </c>
      <c r="AZ247" s="13">
        <f t="shared" si="132"/>
        <v>4587</v>
      </c>
      <c r="BA247" s="18"/>
      <c r="BB247" s="13"/>
      <c r="BC247" s="13"/>
      <c r="BD247" s="13"/>
      <c r="BE247" s="18"/>
      <c r="BF247" s="13">
        <v>0</v>
      </c>
      <c r="BG247" s="22">
        <v>1529</v>
      </c>
      <c r="BH247" s="13">
        <f t="shared" si="133"/>
        <v>0</v>
      </c>
      <c r="BI247" s="18"/>
      <c r="BJ247" s="13"/>
      <c r="BK247" s="13"/>
      <c r="BL247" s="13"/>
      <c r="BM247" s="18"/>
      <c r="BN247" s="13">
        <v>0</v>
      </c>
      <c r="BO247" s="22">
        <v>1529</v>
      </c>
      <c r="BP247" s="13">
        <f t="shared" si="134"/>
        <v>0</v>
      </c>
      <c r="BQ247" s="18"/>
      <c r="BR247" s="13"/>
      <c r="BS247" s="13"/>
      <c r="BT247" s="13"/>
      <c r="BU247" s="18">
        <v>3</v>
      </c>
      <c r="BV247" s="18">
        <v>3</v>
      </c>
      <c r="BW247" s="22">
        <v>1529</v>
      </c>
      <c r="BX247" s="13">
        <f t="shared" si="135"/>
        <v>4587</v>
      </c>
      <c r="BY247" s="18"/>
      <c r="BZ247" s="13"/>
      <c r="CA247" s="13"/>
      <c r="CB247" s="13"/>
      <c r="CC247" s="18"/>
      <c r="CD247" s="13">
        <v>0</v>
      </c>
      <c r="CE247" s="22">
        <v>1529</v>
      </c>
      <c r="CF247" s="13">
        <f t="shared" si="136"/>
        <v>0</v>
      </c>
    </row>
    <row r="248" spans="1:84">
      <c r="A248" s="61" t="s">
        <v>173</v>
      </c>
      <c r="B248" s="10" t="s">
        <v>149</v>
      </c>
      <c r="C248" s="11"/>
      <c r="D248" s="11" t="s">
        <v>150</v>
      </c>
      <c r="E248" s="13"/>
      <c r="F248" s="13"/>
      <c r="G248" s="13"/>
      <c r="H248" s="13"/>
      <c r="I248" s="13"/>
      <c r="J248" s="13">
        <v>0</v>
      </c>
      <c r="K248" s="13">
        <v>3655</v>
      </c>
      <c r="L248" s="13">
        <f t="shared" si="127"/>
        <v>0</v>
      </c>
      <c r="M248" s="13"/>
      <c r="N248" s="13"/>
      <c r="O248" s="13"/>
      <c r="P248" s="13"/>
      <c r="Q248" s="13"/>
      <c r="R248" s="13">
        <v>0</v>
      </c>
      <c r="S248" s="13">
        <v>3655</v>
      </c>
      <c r="T248" s="13">
        <f t="shared" si="128"/>
        <v>0</v>
      </c>
      <c r="U248" s="13"/>
      <c r="V248" s="13"/>
      <c r="W248" s="13"/>
      <c r="X248" s="13"/>
      <c r="Y248" s="13">
        <v>3</v>
      </c>
      <c r="Z248" s="13">
        <v>3</v>
      </c>
      <c r="AA248" s="13">
        <v>3655</v>
      </c>
      <c r="AB248" s="13">
        <f t="shared" si="129"/>
        <v>10965</v>
      </c>
      <c r="AC248" s="13"/>
      <c r="AD248" s="13"/>
      <c r="AE248" s="13"/>
      <c r="AF248" s="13"/>
      <c r="AG248" s="13"/>
      <c r="AH248" s="13">
        <v>0</v>
      </c>
      <c r="AI248" s="13">
        <v>3655</v>
      </c>
      <c r="AJ248" s="13">
        <f t="shared" si="130"/>
        <v>0</v>
      </c>
      <c r="AK248" s="13"/>
      <c r="AL248" s="13"/>
      <c r="AM248" s="13"/>
      <c r="AN248" s="13"/>
      <c r="AO248" s="13"/>
      <c r="AP248" s="13">
        <v>0</v>
      </c>
      <c r="AQ248" s="13">
        <v>3655</v>
      </c>
      <c r="AR248" s="13">
        <f t="shared" si="131"/>
        <v>0</v>
      </c>
      <c r="AS248" s="13"/>
      <c r="AT248" s="13"/>
      <c r="AU248" s="13"/>
      <c r="AV248" s="13"/>
      <c r="AW248" s="13">
        <v>3</v>
      </c>
      <c r="AX248" s="13">
        <v>3</v>
      </c>
      <c r="AY248" s="13">
        <v>3655</v>
      </c>
      <c r="AZ248" s="13">
        <f t="shared" si="132"/>
        <v>10965</v>
      </c>
      <c r="BA248" s="13"/>
      <c r="BB248" s="13"/>
      <c r="BC248" s="13"/>
      <c r="BD248" s="13"/>
      <c r="BE248" s="13"/>
      <c r="BF248" s="13">
        <v>0</v>
      </c>
      <c r="BG248" s="13">
        <v>3655</v>
      </c>
      <c r="BH248" s="13">
        <f t="shared" si="133"/>
        <v>0</v>
      </c>
      <c r="BI248" s="13"/>
      <c r="BJ248" s="13"/>
      <c r="BK248" s="13"/>
      <c r="BL248" s="13"/>
      <c r="BM248" s="13"/>
      <c r="BN248" s="13">
        <v>0</v>
      </c>
      <c r="BO248" s="13">
        <v>3655</v>
      </c>
      <c r="BP248" s="13">
        <f t="shared" si="134"/>
        <v>0</v>
      </c>
      <c r="BQ248" s="13"/>
      <c r="BR248" s="13"/>
      <c r="BS248" s="13"/>
      <c r="BT248" s="13"/>
      <c r="BU248" s="13">
        <v>3</v>
      </c>
      <c r="BV248" s="13">
        <v>3</v>
      </c>
      <c r="BW248" s="13">
        <v>3655</v>
      </c>
      <c r="BX248" s="13">
        <f t="shared" si="135"/>
        <v>10965</v>
      </c>
      <c r="BY248" s="13"/>
      <c r="BZ248" s="13"/>
      <c r="CA248" s="13"/>
      <c r="CB248" s="13"/>
      <c r="CC248" s="13"/>
      <c r="CD248" s="13">
        <v>0</v>
      </c>
      <c r="CE248" s="13">
        <v>3655</v>
      </c>
      <c r="CF248" s="13">
        <f t="shared" si="136"/>
        <v>0</v>
      </c>
    </row>
    <row r="249" spans="1:84">
      <c r="A249" s="61" t="s">
        <v>173</v>
      </c>
      <c r="B249" s="20" t="s">
        <v>151</v>
      </c>
      <c r="C249" s="11"/>
      <c r="D249" s="12" t="s">
        <v>152</v>
      </c>
      <c r="E249" s="13"/>
      <c r="F249" s="13"/>
      <c r="G249" s="13"/>
      <c r="H249" s="13"/>
      <c r="I249" s="13"/>
      <c r="J249" s="13">
        <v>0</v>
      </c>
      <c r="K249" s="13">
        <v>5325</v>
      </c>
      <c r="L249" s="13">
        <f t="shared" si="127"/>
        <v>0</v>
      </c>
      <c r="M249" s="13"/>
      <c r="N249" s="13"/>
      <c r="O249" s="13"/>
      <c r="P249" s="13"/>
      <c r="Q249" s="13"/>
      <c r="R249" s="13">
        <v>0</v>
      </c>
      <c r="S249" s="13">
        <v>5325</v>
      </c>
      <c r="T249" s="13">
        <f t="shared" si="128"/>
        <v>0</v>
      </c>
      <c r="U249" s="13"/>
      <c r="V249" s="13"/>
      <c r="W249" s="13"/>
      <c r="X249" s="13"/>
      <c r="Y249" s="13">
        <v>3</v>
      </c>
      <c r="Z249" s="13">
        <v>3</v>
      </c>
      <c r="AA249" s="13">
        <v>5325</v>
      </c>
      <c r="AB249" s="13">
        <f t="shared" si="129"/>
        <v>15975</v>
      </c>
      <c r="AC249" s="13"/>
      <c r="AD249" s="13"/>
      <c r="AE249" s="13"/>
      <c r="AF249" s="13"/>
      <c r="AG249" s="13"/>
      <c r="AH249" s="13">
        <v>0</v>
      </c>
      <c r="AI249" s="13">
        <v>5325</v>
      </c>
      <c r="AJ249" s="13">
        <f t="shared" si="130"/>
        <v>0</v>
      </c>
      <c r="AK249" s="13"/>
      <c r="AL249" s="13"/>
      <c r="AM249" s="13"/>
      <c r="AN249" s="13"/>
      <c r="AO249" s="13"/>
      <c r="AP249" s="13">
        <v>0</v>
      </c>
      <c r="AQ249" s="13">
        <v>5325</v>
      </c>
      <c r="AR249" s="13">
        <f t="shared" si="131"/>
        <v>0</v>
      </c>
      <c r="AS249" s="13"/>
      <c r="AT249" s="13"/>
      <c r="AU249" s="13"/>
      <c r="AV249" s="13"/>
      <c r="AW249" s="13">
        <v>3</v>
      </c>
      <c r="AX249" s="13">
        <v>3</v>
      </c>
      <c r="AY249" s="13">
        <v>5325</v>
      </c>
      <c r="AZ249" s="13">
        <f t="shared" si="132"/>
        <v>15975</v>
      </c>
      <c r="BA249" s="13"/>
      <c r="BB249" s="13"/>
      <c r="BC249" s="13"/>
      <c r="BD249" s="13"/>
      <c r="BE249" s="13"/>
      <c r="BF249" s="13">
        <v>0</v>
      </c>
      <c r="BG249" s="13">
        <v>5325</v>
      </c>
      <c r="BH249" s="13">
        <f t="shared" si="133"/>
        <v>0</v>
      </c>
      <c r="BI249" s="13"/>
      <c r="BJ249" s="13"/>
      <c r="BK249" s="13"/>
      <c r="BL249" s="13"/>
      <c r="BM249" s="13"/>
      <c r="BN249" s="13">
        <v>0</v>
      </c>
      <c r="BO249" s="13">
        <v>5325</v>
      </c>
      <c r="BP249" s="13">
        <f t="shared" si="134"/>
        <v>0</v>
      </c>
      <c r="BQ249" s="13"/>
      <c r="BR249" s="13"/>
      <c r="BS249" s="13"/>
      <c r="BT249" s="13"/>
      <c r="BU249" s="13">
        <v>3</v>
      </c>
      <c r="BV249" s="13">
        <v>3</v>
      </c>
      <c r="BW249" s="13">
        <v>5325</v>
      </c>
      <c r="BX249" s="13">
        <f t="shared" si="135"/>
        <v>15975</v>
      </c>
      <c r="BY249" s="13"/>
      <c r="BZ249" s="13"/>
      <c r="CA249" s="13"/>
      <c r="CB249" s="13"/>
      <c r="CC249" s="13"/>
      <c r="CD249" s="13">
        <v>0</v>
      </c>
      <c r="CE249" s="13">
        <v>5325</v>
      </c>
      <c r="CF249" s="13">
        <f t="shared" si="136"/>
        <v>0</v>
      </c>
    </row>
    <row r="250" spans="1:84">
      <c r="A250" s="61" t="s">
        <v>173</v>
      </c>
      <c r="B250" s="10" t="s">
        <v>174</v>
      </c>
      <c r="C250" s="11"/>
      <c r="D250" s="11" t="s">
        <v>37</v>
      </c>
      <c r="E250" s="127"/>
      <c r="F250" s="13"/>
      <c r="G250" s="13"/>
      <c r="H250" s="13"/>
      <c r="I250" s="127"/>
      <c r="J250" s="13">
        <v>0</v>
      </c>
      <c r="K250" s="13">
        <v>14874</v>
      </c>
      <c r="L250" s="13">
        <f t="shared" si="127"/>
        <v>0</v>
      </c>
      <c r="M250" s="127"/>
      <c r="N250" s="13"/>
      <c r="O250" s="13"/>
      <c r="P250" s="13"/>
      <c r="Q250" s="127"/>
      <c r="R250" s="13">
        <v>0</v>
      </c>
      <c r="S250" s="13">
        <v>14874</v>
      </c>
      <c r="T250" s="13">
        <f t="shared" si="128"/>
        <v>0</v>
      </c>
      <c r="U250" s="127"/>
      <c r="V250" s="13"/>
      <c r="W250" s="13"/>
      <c r="X250" s="13"/>
      <c r="Y250" s="127"/>
      <c r="Z250" s="127">
        <v>0</v>
      </c>
      <c r="AA250" s="13">
        <v>14874</v>
      </c>
      <c r="AB250" s="13">
        <f t="shared" si="129"/>
        <v>0</v>
      </c>
      <c r="AC250" s="127"/>
      <c r="AD250" s="13"/>
      <c r="AE250" s="13"/>
      <c r="AF250" s="13"/>
      <c r="AG250" s="127"/>
      <c r="AH250" s="13">
        <v>0</v>
      </c>
      <c r="AI250" s="13">
        <v>14874</v>
      </c>
      <c r="AJ250" s="13">
        <f t="shared" si="130"/>
        <v>0</v>
      </c>
      <c r="AK250" s="127"/>
      <c r="AL250" s="13"/>
      <c r="AM250" s="13"/>
      <c r="AN250" s="13"/>
      <c r="AO250" s="127"/>
      <c r="AP250" s="13">
        <v>0</v>
      </c>
      <c r="AQ250" s="13">
        <v>14874</v>
      </c>
      <c r="AR250" s="13">
        <f t="shared" si="131"/>
        <v>0</v>
      </c>
      <c r="AS250" s="127"/>
      <c r="AT250" s="13"/>
      <c r="AU250" s="13"/>
      <c r="AV250" s="13"/>
      <c r="AW250" s="127">
        <v>1</v>
      </c>
      <c r="AX250" s="127">
        <v>1</v>
      </c>
      <c r="AY250" s="13">
        <v>14874</v>
      </c>
      <c r="AZ250" s="13">
        <f t="shared" si="132"/>
        <v>14874</v>
      </c>
      <c r="BA250" s="127"/>
      <c r="BB250" s="13"/>
      <c r="BC250" s="13"/>
      <c r="BD250" s="13"/>
      <c r="BE250" s="127"/>
      <c r="BF250" s="13">
        <v>0</v>
      </c>
      <c r="BG250" s="13">
        <v>14874</v>
      </c>
      <c r="BH250" s="13">
        <f t="shared" si="133"/>
        <v>0</v>
      </c>
      <c r="BI250" s="127"/>
      <c r="BJ250" s="13"/>
      <c r="BK250" s="13"/>
      <c r="BL250" s="13"/>
      <c r="BM250" s="127"/>
      <c r="BN250" s="13">
        <v>0</v>
      </c>
      <c r="BO250" s="13">
        <v>14874</v>
      </c>
      <c r="BP250" s="13">
        <f t="shared" si="134"/>
        <v>0</v>
      </c>
      <c r="BQ250" s="127"/>
      <c r="BR250" s="13"/>
      <c r="BS250" s="13"/>
      <c r="BT250" s="13"/>
      <c r="BU250" s="127"/>
      <c r="BV250" s="127">
        <v>0</v>
      </c>
      <c r="BW250" s="13">
        <v>14874</v>
      </c>
      <c r="BX250" s="13">
        <f t="shared" si="135"/>
        <v>0</v>
      </c>
      <c r="BY250" s="127"/>
      <c r="BZ250" s="13"/>
      <c r="CA250" s="13"/>
      <c r="CB250" s="13"/>
      <c r="CC250" s="127"/>
      <c r="CD250" s="13">
        <v>0</v>
      </c>
      <c r="CE250" s="13">
        <v>14874</v>
      </c>
      <c r="CF250" s="13">
        <f t="shared" si="136"/>
        <v>0</v>
      </c>
    </row>
    <row r="251" spans="1:84">
      <c r="A251" s="61" t="s">
        <v>173</v>
      </c>
      <c r="B251" s="10" t="s">
        <v>175</v>
      </c>
      <c r="C251" s="11"/>
      <c r="D251" s="12" t="s">
        <v>39</v>
      </c>
      <c r="E251" s="127"/>
      <c r="F251" s="13"/>
      <c r="G251" s="13"/>
      <c r="H251" s="13"/>
      <c r="I251" s="127"/>
      <c r="J251" s="13">
        <v>0</v>
      </c>
      <c r="K251" s="87">
        <v>981</v>
      </c>
      <c r="L251" s="13">
        <v>0</v>
      </c>
      <c r="M251" s="127"/>
      <c r="N251" s="13"/>
      <c r="O251" s="13"/>
      <c r="P251" s="13"/>
      <c r="Q251" s="127">
        <v>2</v>
      </c>
      <c r="R251" s="13">
        <v>2</v>
      </c>
      <c r="S251" s="87">
        <v>981</v>
      </c>
      <c r="T251" s="13">
        <f t="shared" si="128"/>
        <v>1962</v>
      </c>
      <c r="U251" s="127"/>
      <c r="V251" s="13"/>
      <c r="W251" s="13"/>
      <c r="X251" s="13"/>
      <c r="Y251" s="127"/>
      <c r="Z251" s="127">
        <v>0</v>
      </c>
      <c r="AA251" s="87">
        <v>981</v>
      </c>
      <c r="AB251" s="13">
        <f t="shared" si="129"/>
        <v>0</v>
      </c>
      <c r="AC251" s="127"/>
      <c r="AD251" s="13"/>
      <c r="AE251" s="13"/>
      <c r="AF251" s="13"/>
      <c r="AG251" s="127"/>
      <c r="AH251" s="13">
        <v>0</v>
      </c>
      <c r="AI251" s="87">
        <v>981</v>
      </c>
      <c r="AJ251" s="13">
        <f t="shared" si="130"/>
        <v>0</v>
      </c>
      <c r="AK251" s="127"/>
      <c r="AL251" s="13"/>
      <c r="AM251" s="13"/>
      <c r="AN251" s="13"/>
      <c r="AO251" s="127">
        <v>2</v>
      </c>
      <c r="AP251" s="13">
        <v>2</v>
      </c>
      <c r="AQ251" s="87">
        <v>981</v>
      </c>
      <c r="AR251" s="13">
        <f t="shared" si="131"/>
        <v>1962</v>
      </c>
      <c r="AS251" s="127"/>
      <c r="AT251" s="13"/>
      <c r="AU251" s="13"/>
      <c r="AV251" s="13"/>
      <c r="AW251" s="127"/>
      <c r="AX251" s="127">
        <v>0</v>
      </c>
      <c r="AY251" s="87">
        <v>981</v>
      </c>
      <c r="AZ251" s="13">
        <f t="shared" si="132"/>
        <v>0</v>
      </c>
      <c r="BA251" s="127"/>
      <c r="BB251" s="13"/>
      <c r="BC251" s="13"/>
      <c r="BD251" s="13"/>
      <c r="BE251" s="127"/>
      <c r="BF251" s="13">
        <v>0</v>
      </c>
      <c r="BG251" s="87">
        <v>981</v>
      </c>
      <c r="BH251" s="13">
        <f t="shared" si="133"/>
        <v>0</v>
      </c>
      <c r="BI251" s="127"/>
      <c r="BJ251" s="13"/>
      <c r="BK251" s="13"/>
      <c r="BL251" s="13"/>
      <c r="BM251" s="127">
        <v>2</v>
      </c>
      <c r="BN251" s="13">
        <v>2</v>
      </c>
      <c r="BO251" s="87">
        <v>981</v>
      </c>
      <c r="BP251" s="13">
        <f t="shared" si="134"/>
        <v>1962</v>
      </c>
      <c r="BQ251" s="127"/>
      <c r="BR251" s="13"/>
      <c r="BS251" s="13"/>
      <c r="BT251" s="13"/>
      <c r="BU251" s="127"/>
      <c r="BV251" s="127">
        <v>0</v>
      </c>
      <c r="BW251" s="87">
        <v>981</v>
      </c>
      <c r="BX251" s="13">
        <f t="shared" si="135"/>
        <v>0</v>
      </c>
      <c r="BY251" s="127"/>
      <c r="BZ251" s="13"/>
      <c r="CA251" s="13"/>
      <c r="CB251" s="13"/>
      <c r="CC251" s="127">
        <v>2</v>
      </c>
      <c r="CD251" s="13">
        <v>2</v>
      </c>
      <c r="CE251" s="87">
        <v>981</v>
      </c>
      <c r="CF251" s="13">
        <f t="shared" si="136"/>
        <v>1962</v>
      </c>
    </row>
    <row r="252" spans="1:84">
      <c r="A252" s="61" t="s">
        <v>173</v>
      </c>
      <c r="B252" s="10" t="s">
        <v>176</v>
      </c>
      <c r="C252" s="11"/>
      <c r="D252" s="11" t="s">
        <v>41</v>
      </c>
      <c r="E252" s="127"/>
      <c r="F252" s="13"/>
      <c r="G252" s="13"/>
      <c r="H252" s="13"/>
      <c r="I252" s="127"/>
      <c r="J252" s="13">
        <v>0</v>
      </c>
      <c r="K252" s="87">
        <v>705</v>
      </c>
      <c r="L252" s="13">
        <v>0</v>
      </c>
      <c r="M252" s="127"/>
      <c r="N252" s="13"/>
      <c r="O252" s="13"/>
      <c r="P252" s="13"/>
      <c r="Q252" s="127"/>
      <c r="R252" s="13">
        <v>0</v>
      </c>
      <c r="S252" s="87">
        <v>705</v>
      </c>
      <c r="T252" s="13">
        <f t="shared" si="128"/>
        <v>0</v>
      </c>
      <c r="U252" s="127"/>
      <c r="V252" s="13"/>
      <c r="W252" s="13"/>
      <c r="X252" s="13"/>
      <c r="Y252" s="127">
        <v>1</v>
      </c>
      <c r="Z252" s="127">
        <v>1</v>
      </c>
      <c r="AA252" s="87">
        <v>705</v>
      </c>
      <c r="AB252" s="13">
        <f t="shared" si="129"/>
        <v>705</v>
      </c>
      <c r="AC252" s="127"/>
      <c r="AD252" s="13"/>
      <c r="AE252" s="13"/>
      <c r="AF252" s="13"/>
      <c r="AG252" s="127"/>
      <c r="AH252" s="13">
        <v>0</v>
      </c>
      <c r="AI252" s="87">
        <v>705</v>
      </c>
      <c r="AJ252" s="13">
        <f t="shared" si="130"/>
        <v>0</v>
      </c>
      <c r="AK252" s="127"/>
      <c r="AL252" s="13"/>
      <c r="AM252" s="13"/>
      <c r="AN252" s="13"/>
      <c r="AO252" s="127"/>
      <c r="AP252" s="13">
        <v>0</v>
      </c>
      <c r="AQ252" s="87">
        <v>705</v>
      </c>
      <c r="AR252" s="13">
        <f t="shared" si="131"/>
        <v>0</v>
      </c>
      <c r="AS252" s="127"/>
      <c r="AT252" s="13"/>
      <c r="AU252" s="13"/>
      <c r="AV252" s="13"/>
      <c r="AW252" s="127">
        <v>1</v>
      </c>
      <c r="AX252" s="127">
        <v>1</v>
      </c>
      <c r="AY252" s="87">
        <v>705</v>
      </c>
      <c r="AZ252" s="13">
        <f t="shared" si="132"/>
        <v>705</v>
      </c>
      <c r="BA252" s="127"/>
      <c r="BB252" s="13"/>
      <c r="BC252" s="13"/>
      <c r="BD252" s="13"/>
      <c r="BE252" s="127"/>
      <c r="BF252" s="13">
        <v>0</v>
      </c>
      <c r="BG252" s="87">
        <v>705</v>
      </c>
      <c r="BH252" s="13">
        <f t="shared" si="133"/>
        <v>0</v>
      </c>
      <c r="BI252" s="127"/>
      <c r="BJ252" s="13"/>
      <c r="BK252" s="13"/>
      <c r="BL252" s="13"/>
      <c r="BM252" s="127"/>
      <c r="BN252" s="13">
        <v>0</v>
      </c>
      <c r="BO252" s="87">
        <v>705</v>
      </c>
      <c r="BP252" s="13">
        <f t="shared" si="134"/>
        <v>0</v>
      </c>
      <c r="BQ252" s="127"/>
      <c r="BR252" s="13"/>
      <c r="BS252" s="13"/>
      <c r="BT252" s="13"/>
      <c r="BU252" s="127">
        <v>1</v>
      </c>
      <c r="BV252" s="127">
        <v>1</v>
      </c>
      <c r="BW252" s="87">
        <v>705</v>
      </c>
      <c r="BX252" s="13">
        <f t="shared" si="135"/>
        <v>705</v>
      </c>
      <c r="BY252" s="127"/>
      <c r="BZ252" s="13"/>
      <c r="CA252" s="13"/>
      <c r="CB252" s="13"/>
      <c r="CC252" s="127"/>
      <c r="CD252" s="13">
        <v>0</v>
      </c>
      <c r="CE252" s="87">
        <v>705</v>
      </c>
      <c r="CF252" s="13">
        <f t="shared" si="136"/>
        <v>0</v>
      </c>
    </row>
    <row r="253" spans="1:84">
      <c r="A253" s="61" t="s">
        <v>173</v>
      </c>
      <c r="B253" s="10" t="s">
        <v>177</v>
      </c>
      <c r="C253" s="11"/>
      <c r="D253" s="11" t="s">
        <v>41</v>
      </c>
      <c r="E253" s="127"/>
      <c r="F253" s="13"/>
      <c r="G253" s="13"/>
      <c r="H253" s="13"/>
      <c r="I253" s="127"/>
      <c r="J253" s="13">
        <v>0</v>
      </c>
      <c r="K253" s="87">
        <v>617</v>
      </c>
      <c r="L253" s="13">
        <v>0</v>
      </c>
      <c r="M253" s="127"/>
      <c r="N253" s="13"/>
      <c r="O253" s="13"/>
      <c r="P253" s="13"/>
      <c r="Q253" s="127"/>
      <c r="R253" s="13">
        <v>0</v>
      </c>
      <c r="S253" s="87">
        <v>617</v>
      </c>
      <c r="T253" s="13">
        <f t="shared" si="128"/>
        <v>0</v>
      </c>
      <c r="U253" s="127"/>
      <c r="V253" s="13"/>
      <c r="W253" s="13"/>
      <c r="X253" s="13"/>
      <c r="Y253" s="127">
        <v>1</v>
      </c>
      <c r="Z253" s="127">
        <v>1</v>
      </c>
      <c r="AA253" s="87">
        <v>617</v>
      </c>
      <c r="AB253" s="13">
        <f t="shared" si="129"/>
        <v>617</v>
      </c>
      <c r="AC253" s="127"/>
      <c r="AD253" s="13"/>
      <c r="AE253" s="13"/>
      <c r="AF253" s="13"/>
      <c r="AG253" s="127"/>
      <c r="AH253" s="13">
        <v>0</v>
      </c>
      <c r="AI253" s="87">
        <v>617</v>
      </c>
      <c r="AJ253" s="13">
        <f t="shared" si="130"/>
        <v>0</v>
      </c>
      <c r="AK253" s="127"/>
      <c r="AL253" s="13"/>
      <c r="AM253" s="13"/>
      <c r="AN253" s="13"/>
      <c r="AO253" s="127"/>
      <c r="AP253" s="13">
        <v>0</v>
      </c>
      <c r="AQ253" s="87">
        <v>617</v>
      </c>
      <c r="AR253" s="13">
        <f t="shared" si="131"/>
        <v>0</v>
      </c>
      <c r="AS253" s="127"/>
      <c r="AT253" s="13"/>
      <c r="AU253" s="13"/>
      <c r="AV253" s="13"/>
      <c r="AW253" s="127">
        <v>1</v>
      </c>
      <c r="AX253" s="127">
        <v>1</v>
      </c>
      <c r="AY253" s="87">
        <v>617</v>
      </c>
      <c r="AZ253" s="13">
        <f t="shared" si="132"/>
        <v>617</v>
      </c>
      <c r="BA253" s="127"/>
      <c r="BB253" s="13"/>
      <c r="BC253" s="13"/>
      <c r="BD253" s="13"/>
      <c r="BE253" s="127"/>
      <c r="BF253" s="13">
        <v>0</v>
      </c>
      <c r="BG253" s="87">
        <v>617</v>
      </c>
      <c r="BH253" s="13">
        <f t="shared" si="133"/>
        <v>0</v>
      </c>
      <c r="BI253" s="127"/>
      <c r="BJ253" s="13"/>
      <c r="BK253" s="13"/>
      <c r="BL253" s="13"/>
      <c r="BM253" s="127"/>
      <c r="BN253" s="13">
        <v>0</v>
      </c>
      <c r="BO253" s="87">
        <v>617</v>
      </c>
      <c r="BP253" s="13">
        <f t="shared" si="134"/>
        <v>0</v>
      </c>
      <c r="BQ253" s="127"/>
      <c r="BR253" s="13"/>
      <c r="BS253" s="13"/>
      <c r="BT253" s="13"/>
      <c r="BU253" s="127">
        <v>1</v>
      </c>
      <c r="BV253" s="127">
        <v>1</v>
      </c>
      <c r="BW253" s="87">
        <v>617</v>
      </c>
      <c r="BX253" s="13">
        <f t="shared" si="135"/>
        <v>617</v>
      </c>
      <c r="BY253" s="127"/>
      <c r="BZ253" s="13"/>
      <c r="CA253" s="13"/>
      <c r="CB253" s="13"/>
      <c r="CC253" s="127"/>
      <c r="CD253" s="13">
        <v>0</v>
      </c>
      <c r="CE253" s="87">
        <v>617</v>
      </c>
      <c r="CF253" s="13">
        <f t="shared" si="136"/>
        <v>0</v>
      </c>
    </row>
    <row r="254" spans="1:84">
      <c r="A254" s="61" t="s">
        <v>173</v>
      </c>
      <c r="B254" s="10" t="s">
        <v>178</v>
      </c>
      <c r="C254" s="11"/>
      <c r="D254" s="12" t="s">
        <v>43</v>
      </c>
      <c r="E254" s="127"/>
      <c r="F254" s="13"/>
      <c r="G254" s="13"/>
      <c r="H254" s="13"/>
      <c r="I254" s="125"/>
      <c r="J254" s="13">
        <v>0</v>
      </c>
      <c r="K254" s="13">
        <v>2430</v>
      </c>
      <c r="L254" s="13">
        <f t="shared" ref="L254:L259" si="137">J254*K254</f>
        <v>0</v>
      </c>
      <c r="M254" s="127"/>
      <c r="N254" s="13"/>
      <c r="O254" s="13"/>
      <c r="P254" s="13"/>
      <c r="Q254" s="125"/>
      <c r="R254" s="13">
        <v>0</v>
      </c>
      <c r="S254" s="13">
        <v>2430</v>
      </c>
      <c r="T254" s="13">
        <f t="shared" si="128"/>
        <v>0</v>
      </c>
      <c r="U254" s="127"/>
      <c r="V254" s="13"/>
      <c r="W254" s="13"/>
      <c r="X254" s="13"/>
      <c r="Y254" s="125">
        <v>1</v>
      </c>
      <c r="Z254" s="125">
        <v>1</v>
      </c>
      <c r="AA254" s="13">
        <v>2430</v>
      </c>
      <c r="AB254" s="13">
        <f t="shared" si="129"/>
        <v>2430</v>
      </c>
      <c r="AC254" s="127"/>
      <c r="AD254" s="13"/>
      <c r="AE254" s="13"/>
      <c r="AF254" s="13"/>
      <c r="AG254" s="125"/>
      <c r="AH254" s="13">
        <v>0</v>
      </c>
      <c r="AI254" s="13">
        <v>2430</v>
      </c>
      <c r="AJ254" s="13">
        <f t="shared" si="130"/>
        <v>0</v>
      </c>
      <c r="AK254" s="127"/>
      <c r="AL254" s="13"/>
      <c r="AM254" s="13"/>
      <c r="AN254" s="13"/>
      <c r="AO254" s="125"/>
      <c r="AP254" s="13">
        <v>0</v>
      </c>
      <c r="AQ254" s="13">
        <v>2430</v>
      </c>
      <c r="AR254" s="13">
        <f t="shared" si="131"/>
        <v>0</v>
      </c>
      <c r="AS254" s="127"/>
      <c r="AT254" s="13"/>
      <c r="AU254" s="13"/>
      <c r="AV254" s="13"/>
      <c r="AW254" s="125">
        <v>1</v>
      </c>
      <c r="AX254" s="125">
        <v>1</v>
      </c>
      <c r="AY254" s="13">
        <v>2430</v>
      </c>
      <c r="AZ254" s="13">
        <f t="shared" si="132"/>
        <v>2430</v>
      </c>
      <c r="BA254" s="127"/>
      <c r="BB254" s="13"/>
      <c r="BC254" s="13"/>
      <c r="BD254" s="13"/>
      <c r="BE254" s="125"/>
      <c r="BF254" s="13">
        <v>0</v>
      </c>
      <c r="BG254" s="13">
        <v>2430</v>
      </c>
      <c r="BH254" s="13">
        <f t="shared" si="133"/>
        <v>0</v>
      </c>
      <c r="BI254" s="127"/>
      <c r="BJ254" s="13"/>
      <c r="BK254" s="13"/>
      <c r="BL254" s="13"/>
      <c r="BM254" s="125"/>
      <c r="BN254" s="13">
        <v>0</v>
      </c>
      <c r="BO254" s="13">
        <v>2430</v>
      </c>
      <c r="BP254" s="13">
        <f t="shared" si="134"/>
        <v>0</v>
      </c>
      <c r="BQ254" s="127"/>
      <c r="BR254" s="13"/>
      <c r="BS254" s="13"/>
      <c r="BT254" s="13"/>
      <c r="BU254" s="125">
        <v>1</v>
      </c>
      <c r="BV254" s="125">
        <v>1</v>
      </c>
      <c r="BW254" s="13">
        <v>2430</v>
      </c>
      <c r="BX254" s="13">
        <f t="shared" si="135"/>
        <v>2430</v>
      </c>
      <c r="BY254" s="127"/>
      <c r="BZ254" s="13"/>
      <c r="CA254" s="13"/>
      <c r="CB254" s="13"/>
      <c r="CC254" s="125"/>
      <c r="CD254" s="13">
        <v>0</v>
      </c>
      <c r="CE254" s="13">
        <v>2430</v>
      </c>
      <c r="CF254" s="13">
        <f t="shared" si="136"/>
        <v>0</v>
      </c>
    </row>
    <row r="255" spans="1:84">
      <c r="A255" s="61" t="s">
        <v>173</v>
      </c>
      <c r="B255" s="10" t="s">
        <v>179</v>
      </c>
      <c r="C255" s="11"/>
      <c r="D255" s="12" t="s">
        <v>43</v>
      </c>
      <c r="E255" s="127"/>
      <c r="F255" s="13"/>
      <c r="G255" s="13"/>
      <c r="H255" s="13"/>
      <c r="I255" s="127"/>
      <c r="J255" s="13">
        <v>0</v>
      </c>
      <c r="K255" s="13">
        <v>1577</v>
      </c>
      <c r="L255" s="13">
        <f t="shared" si="137"/>
        <v>0</v>
      </c>
      <c r="M255" s="127"/>
      <c r="N255" s="13"/>
      <c r="O255" s="13"/>
      <c r="P255" s="13"/>
      <c r="Q255" s="127"/>
      <c r="R255" s="13">
        <v>0</v>
      </c>
      <c r="S255" s="13">
        <v>1577</v>
      </c>
      <c r="T255" s="13">
        <f t="shared" si="128"/>
        <v>0</v>
      </c>
      <c r="U255" s="127"/>
      <c r="V255" s="13"/>
      <c r="W255" s="13"/>
      <c r="X255" s="13"/>
      <c r="Y255" s="127">
        <v>1</v>
      </c>
      <c r="Z255" s="127">
        <v>1</v>
      </c>
      <c r="AA255" s="13">
        <v>1577</v>
      </c>
      <c r="AB255" s="13">
        <f t="shared" si="129"/>
        <v>1577</v>
      </c>
      <c r="AC255" s="127"/>
      <c r="AD255" s="13"/>
      <c r="AE255" s="13"/>
      <c r="AF255" s="13"/>
      <c r="AG255" s="127"/>
      <c r="AH255" s="13">
        <v>0</v>
      </c>
      <c r="AI255" s="13">
        <v>1577</v>
      </c>
      <c r="AJ255" s="13">
        <f t="shared" si="130"/>
        <v>0</v>
      </c>
      <c r="AK255" s="127"/>
      <c r="AL255" s="13"/>
      <c r="AM255" s="13"/>
      <c r="AN255" s="13"/>
      <c r="AO255" s="127"/>
      <c r="AP255" s="13">
        <v>0</v>
      </c>
      <c r="AQ255" s="13">
        <v>1577</v>
      </c>
      <c r="AR255" s="13">
        <f t="shared" si="131"/>
        <v>0</v>
      </c>
      <c r="AS255" s="127"/>
      <c r="AT255" s="13"/>
      <c r="AU255" s="13"/>
      <c r="AV255" s="13"/>
      <c r="AW255" s="127">
        <v>1</v>
      </c>
      <c r="AX255" s="127">
        <v>1</v>
      </c>
      <c r="AY255" s="13">
        <v>1577</v>
      </c>
      <c r="AZ255" s="13">
        <f t="shared" si="132"/>
        <v>1577</v>
      </c>
      <c r="BA255" s="127"/>
      <c r="BB255" s="13"/>
      <c r="BC255" s="13"/>
      <c r="BD255" s="13"/>
      <c r="BE255" s="127"/>
      <c r="BF255" s="13">
        <v>0</v>
      </c>
      <c r="BG255" s="13">
        <v>1577</v>
      </c>
      <c r="BH255" s="13">
        <f t="shared" si="133"/>
        <v>0</v>
      </c>
      <c r="BI255" s="127"/>
      <c r="BJ255" s="13"/>
      <c r="BK255" s="13"/>
      <c r="BL255" s="13"/>
      <c r="BM255" s="127"/>
      <c r="BN255" s="13">
        <v>0</v>
      </c>
      <c r="BO255" s="13">
        <v>1577</v>
      </c>
      <c r="BP255" s="13">
        <f t="shared" si="134"/>
        <v>0</v>
      </c>
      <c r="BQ255" s="127"/>
      <c r="BR255" s="13"/>
      <c r="BS255" s="13"/>
      <c r="BT255" s="13"/>
      <c r="BU255" s="127">
        <v>1</v>
      </c>
      <c r="BV255" s="127">
        <v>1</v>
      </c>
      <c r="BW255" s="13">
        <v>1577</v>
      </c>
      <c r="BX255" s="13">
        <f t="shared" si="135"/>
        <v>1577</v>
      </c>
      <c r="BY255" s="127"/>
      <c r="BZ255" s="13"/>
      <c r="CA255" s="13"/>
      <c r="CB255" s="13"/>
      <c r="CC255" s="127"/>
      <c r="CD255" s="13">
        <v>0</v>
      </c>
      <c r="CE255" s="13">
        <v>1577</v>
      </c>
      <c r="CF255" s="13">
        <f t="shared" si="136"/>
        <v>0</v>
      </c>
    </row>
    <row r="256" spans="1:84">
      <c r="A256" s="61" t="s">
        <v>173</v>
      </c>
      <c r="B256" s="23" t="s">
        <v>44</v>
      </c>
      <c r="C256" s="11"/>
      <c r="D256" s="10" t="s">
        <v>45</v>
      </c>
      <c r="E256" s="127"/>
      <c r="F256" s="13"/>
      <c r="G256" s="13"/>
      <c r="H256" s="13"/>
      <c r="I256" s="125"/>
      <c r="J256" s="13">
        <v>0</v>
      </c>
      <c r="K256" s="13">
        <v>674</v>
      </c>
      <c r="L256" s="13">
        <f t="shared" si="137"/>
        <v>0</v>
      </c>
      <c r="M256" s="127"/>
      <c r="N256" s="13"/>
      <c r="O256" s="13"/>
      <c r="P256" s="13"/>
      <c r="Q256" s="125"/>
      <c r="R256" s="13">
        <v>0</v>
      </c>
      <c r="S256" s="13">
        <v>674</v>
      </c>
      <c r="T256" s="13">
        <f t="shared" si="128"/>
        <v>0</v>
      </c>
      <c r="U256" s="127"/>
      <c r="V256" s="13"/>
      <c r="W256" s="13"/>
      <c r="X256" s="13"/>
      <c r="Y256" s="125">
        <v>1</v>
      </c>
      <c r="Z256" s="125">
        <v>1</v>
      </c>
      <c r="AA256" s="13">
        <v>674</v>
      </c>
      <c r="AB256" s="13">
        <f t="shared" si="129"/>
        <v>674</v>
      </c>
      <c r="AC256" s="127"/>
      <c r="AD256" s="13"/>
      <c r="AE256" s="13"/>
      <c r="AF256" s="13"/>
      <c r="AG256" s="125"/>
      <c r="AH256" s="13">
        <v>0</v>
      </c>
      <c r="AI256" s="13">
        <v>674</v>
      </c>
      <c r="AJ256" s="13">
        <f t="shared" si="130"/>
        <v>0</v>
      </c>
      <c r="AK256" s="127"/>
      <c r="AL256" s="13"/>
      <c r="AM256" s="13"/>
      <c r="AN256" s="13"/>
      <c r="AO256" s="125"/>
      <c r="AP256" s="13">
        <v>0</v>
      </c>
      <c r="AQ256" s="13">
        <v>674</v>
      </c>
      <c r="AR256" s="13">
        <f t="shared" si="131"/>
        <v>0</v>
      </c>
      <c r="AS256" s="127"/>
      <c r="AT256" s="13"/>
      <c r="AU256" s="13"/>
      <c r="AV256" s="13"/>
      <c r="AW256" s="125">
        <v>1</v>
      </c>
      <c r="AX256" s="125">
        <v>1</v>
      </c>
      <c r="AY256" s="13">
        <v>674</v>
      </c>
      <c r="AZ256" s="13">
        <f t="shared" si="132"/>
        <v>674</v>
      </c>
      <c r="BA256" s="127"/>
      <c r="BB256" s="13"/>
      <c r="BC256" s="13"/>
      <c r="BD256" s="13"/>
      <c r="BE256" s="125"/>
      <c r="BF256" s="13">
        <v>0</v>
      </c>
      <c r="BG256" s="13">
        <v>674</v>
      </c>
      <c r="BH256" s="13">
        <f t="shared" si="133"/>
        <v>0</v>
      </c>
      <c r="BI256" s="127"/>
      <c r="BJ256" s="13"/>
      <c r="BK256" s="13"/>
      <c r="BL256" s="13"/>
      <c r="BM256" s="125"/>
      <c r="BN256" s="13">
        <v>0</v>
      </c>
      <c r="BO256" s="13">
        <v>674</v>
      </c>
      <c r="BP256" s="13">
        <f t="shared" si="134"/>
        <v>0</v>
      </c>
      <c r="BQ256" s="127"/>
      <c r="BR256" s="13"/>
      <c r="BS256" s="13"/>
      <c r="BT256" s="13"/>
      <c r="BU256" s="125">
        <v>1</v>
      </c>
      <c r="BV256" s="125">
        <v>1</v>
      </c>
      <c r="BW256" s="13">
        <v>674</v>
      </c>
      <c r="BX256" s="13">
        <f t="shared" si="135"/>
        <v>674</v>
      </c>
      <c r="BY256" s="127"/>
      <c r="BZ256" s="13"/>
      <c r="CA256" s="13"/>
      <c r="CB256" s="13"/>
      <c r="CC256" s="125"/>
      <c r="CD256" s="13">
        <v>0</v>
      </c>
      <c r="CE256" s="13">
        <v>674</v>
      </c>
      <c r="CF256" s="13">
        <f t="shared" si="136"/>
        <v>0</v>
      </c>
    </row>
    <row r="257" spans="1:84">
      <c r="A257" s="61" t="s">
        <v>173</v>
      </c>
      <c r="B257" s="10" t="s">
        <v>180</v>
      </c>
      <c r="C257" s="11"/>
      <c r="D257" s="12" t="s">
        <v>47</v>
      </c>
      <c r="E257" s="25"/>
      <c r="F257" s="13"/>
      <c r="G257" s="13"/>
      <c r="H257" s="13"/>
      <c r="I257" s="25">
        <v>1</v>
      </c>
      <c r="J257" s="13">
        <v>1</v>
      </c>
      <c r="K257" s="13">
        <v>4521</v>
      </c>
      <c r="L257" s="13">
        <f t="shared" si="137"/>
        <v>4521</v>
      </c>
      <c r="M257" s="25"/>
      <c r="N257" s="13"/>
      <c r="O257" s="13"/>
      <c r="P257" s="13"/>
      <c r="Q257" s="25">
        <v>1</v>
      </c>
      <c r="R257" s="13">
        <v>1</v>
      </c>
      <c r="S257" s="13">
        <v>4521</v>
      </c>
      <c r="T257" s="13">
        <f t="shared" si="128"/>
        <v>4521</v>
      </c>
      <c r="U257" s="25"/>
      <c r="V257" s="13"/>
      <c r="W257" s="13"/>
      <c r="X257" s="13"/>
      <c r="Y257" s="25">
        <v>1</v>
      </c>
      <c r="Z257" s="25">
        <v>1</v>
      </c>
      <c r="AA257" s="13">
        <v>4521</v>
      </c>
      <c r="AB257" s="13">
        <f t="shared" si="129"/>
        <v>4521</v>
      </c>
      <c r="AC257" s="25"/>
      <c r="AD257" s="13"/>
      <c r="AE257" s="13"/>
      <c r="AF257" s="13"/>
      <c r="AG257" s="25">
        <v>1</v>
      </c>
      <c r="AH257" s="13">
        <v>1</v>
      </c>
      <c r="AI257" s="13">
        <v>4521</v>
      </c>
      <c r="AJ257" s="13">
        <f t="shared" si="130"/>
        <v>4521</v>
      </c>
      <c r="AK257" s="25"/>
      <c r="AL257" s="13"/>
      <c r="AM257" s="13"/>
      <c r="AN257" s="13"/>
      <c r="AO257" s="25">
        <v>1</v>
      </c>
      <c r="AP257" s="13">
        <v>1</v>
      </c>
      <c r="AQ257" s="13">
        <v>4521</v>
      </c>
      <c r="AR257" s="13">
        <f t="shared" si="131"/>
        <v>4521</v>
      </c>
      <c r="AS257" s="25"/>
      <c r="AT257" s="13"/>
      <c r="AU257" s="13"/>
      <c r="AV257" s="13"/>
      <c r="AW257" s="25">
        <v>1</v>
      </c>
      <c r="AX257" s="25">
        <v>1</v>
      </c>
      <c r="AY257" s="13">
        <v>4521</v>
      </c>
      <c r="AZ257" s="13">
        <f t="shared" si="132"/>
        <v>4521</v>
      </c>
      <c r="BA257" s="25"/>
      <c r="BB257" s="13"/>
      <c r="BC257" s="13"/>
      <c r="BD257" s="13"/>
      <c r="BE257" s="25">
        <v>1</v>
      </c>
      <c r="BF257" s="13">
        <v>1</v>
      </c>
      <c r="BG257" s="13">
        <v>4521</v>
      </c>
      <c r="BH257" s="13">
        <f t="shared" si="133"/>
        <v>4521</v>
      </c>
      <c r="BI257" s="25"/>
      <c r="BJ257" s="13"/>
      <c r="BK257" s="13"/>
      <c r="BL257" s="13"/>
      <c r="BM257" s="25">
        <v>1</v>
      </c>
      <c r="BN257" s="13">
        <v>1</v>
      </c>
      <c r="BO257" s="13">
        <v>4521</v>
      </c>
      <c r="BP257" s="13">
        <f t="shared" si="134"/>
        <v>4521</v>
      </c>
      <c r="BQ257" s="25"/>
      <c r="BR257" s="13"/>
      <c r="BS257" s="13"/>
      <c r="BT257" s="13"/>
      <c r="BU257" s="25">
        <v>1</v>
      </c>
      <c r="BV257" s="25">
        <v>1</v>
      </c>
      <c r="BW257" s="13">
        <v>4521</v>
      </c>
      <c r="BX257" s="13">
        <f t="shared" si="135"/>
        <v>4521</v>
      </c>
      <c r="BY257" s="25"/>
      <c r="BZ257" s="13"/>
      <c r="CA257" s="13"/>
      <c r="CB257" s="13"/>
      <c r="CC257" s="25">
        <v>1</v>
      </c>
      <c r="CD257" s="13">
        <v>1</v>
      </c>
      <c r="CE257" s="13">
        <v>4521</v>
      </c>
      <c r="CF257" s="13">
        <f t="shared" si="136"/>
        <v>4521</v>
      </c>
    </row>
    <row r="258" spans="1:84">
      <c r="A258" s="61" t="s">
        <v>173</v>
      </c>
      <c r="B258" s="26" t="s">
        <v>88</v>
      </c>
      <c r="C258" s="11"/>
      <c r="D258" s="71" t="s">
        <v>49</v>
      </c>
      <c r="E258" s="25"/>
      <c r="F258" s="13"/>
      <c r="G258" s="13"/>
      <c r="H258" s="13"/>
      <c r="I258" s="25"/>
      <c r="J258" s="13">
        <v>0</v>
      </c>
      <c r="K258" s="13">
        <v>628</v>
      </c>
      <c r="L258" s="13">
        <f t="shared" si="137"/>
        <v>0</v>
      </c>
      <c r="M258" s="25"/>
      <c r="N258" s="13"/>
      <c r="O258" s="13"/>
      <c r="P258" s="13"/>
      <c r="Q258" s="25"/>
      <c r="R258" s="13">
        <v>0</v>
      </c>
      <c r="S258" s="13">
        <v>628</v>
      </c>
      <c r="T258" s="13">
        <f t="shared" si="128"/>
        <v>0</v>
      </c>
      <c r="U258" s="25"/>
      <c r="V258" s="13"/>
      <c r="W258" s="13"/>
      <c r="X258" s="13"/>
      <c r="Y258" s="25">
        <v>1</v>
      </c>
      <c r="Z258" s="25">
        <v>1</v>
      </c>
      <c r="AA258" s="13">
        <v>628</v>
      </c>
      <c r="AB258" s="13">
        <f t="shared" si="129"/>
        <v>628</v>
      </c>
      <c r="AC258" s="25"/>
      <c r="AD258" s="13"/>
      <c r="AE258" s="13"/>
      <c r="AF258" s="13"/>
      <c r="AG258" s="25"/>
      <c r="AH258" s="13">
        <v>0</v>
      </c>
      <c r="AI258" s="13">
        <v>628</v>
      </c>
      <c r="AJ258" s="13">
        <f t="shared" si="130"/>
        <v>0</v>
      </c>
      <c r="AK258" s="25"/>
      <c r="AL258" s="13"/>
      <c r="AM258" s="13"/>
      <c r="AN258" s="13"/>
      <c r="AO258" s="25"/>
      <c r="AP258" s="13">
        <v>0</v>
      </c>
      <c r="AQ258" s="13">
        <v>628</v>
      </c>
      <c r="AR258" s="13">
        <f t="shared" si="131"/>
        <v>0</v>
      </c>
      <c r="AS258" s="25"/>
      <c r="AT258" s="13"/>
      <c r="AU258" s="13"/>
      <c r="AV258" s="13"/>
      <c r="AW258" s="25">
        <v>1</v>
      </c>
      <c r="AX258" s="25">
        <v>1</v>
      </c>
      <c r="AY258" s="13">
        <v>628</v>
      </c>
      <c r="AZ258" s="13">
        <f t="shared" si="132"/>
        <v>628</v>
      </c>
      <c r="BA258" s="25"/>
      <c r="BB258" s="13"/>
      <c r="BC258" s="13"/>
      <c r="BD258" s="13"/>
      <c r="BE258" s="25"/>
      <c r="BF258" s="13">
        <v>0</v>
      </c>
      <c r="BG258" s="13">
        <v>628</v>
      </c>
      <c r="BH258" s="13">
        <f t="shared" si="133"/>
        <v>0</v>
      </c>
      <c r="BI258" s="25"/>
      <c r="BJ258" s="13"/>
      <c r="BK258" s="13"/>
      <c r="BL258" s="13"/>
      <c r="BM258" s="25"/>
      <c r="BN258" s="13">
        <v>0</v>
      </c>
      <c r="BO258" s="13">
        <v>628</v>
      </c>
      <c r="BP258" s="13">
        <f t="shared" si="134"/>
        <v>0</v>
      </c>
      <c r="BQ258" s="25"/>
      <c r="BR258" s="13"/>
      <c r="BS258" s="13"/>
      <c r="BT258" s="13"/>
      <c r="BU258" s="25">
        <v>1</v>
      </c>
      <c r="BV258" s="25">
        <v>1</v>
      </c>
      <c r="BW258" s="13">
        <v>628</v>
      </c>
      <c r="BX258" s="13">
        <f t="shared" si="135"/>
        <v>628</v>
      </c>
      <c r="BY258" s="25"/>
      <c r="BZ258" s="13"/>
      <c r="CA258" s="13"/>
      <c r="CB258" s="13"/>
      <c r="CC258" s="25"/>
      <c r="CD258" s="13">
        <v>0</v>
      </c>
      <c r="CE258" s="13">
        <v>628</v>
      </c>
      <c r="CF258" s="13">
        <f t="shared" si="136"/>
        <v>0</v>
      </c>
    </row>
    <row r="259" spans="1:84">
      <c r="A259" s="61" t="s">
        <v>173</v>
      </c>
      <c r="B259" s="37" t="s">
        <v>181</v>
      </c>
      <c r="C259" s="11"/>
      <c r="D259" s="39" t="s">
        <v>53</v>
      </c>
      <c r="E259" s="25"/>
      <c r="F259" s="13"/>
      <c r="G259" s="13"/>
      <c r="H259" s="13"/>
      <c r="I259" s="25"/>
      <c r="J259" s="13">
        <v>0</v>
      </c>
      <c r="K259" s="13">
        <v>720</v>
      </c>
      <c r="L259" s="13">
        <f t="shared" si="137"/>
        <v>0</v>
      </c>
      <c r="M259" s="25"/>
      <c r="N259" s="13"/>
      <c r="O259" s="13"/>
      <c r="P259" s="13"/>
      <c r="Q259" s="25"/>
      <c r="R259" s="13">
        <v>0</v>
      </c>
      <c r="S259" s="13">
        <v>720</v>
      </c>
      <c r="T259" s="13">
        <f t="shared" si="128"/>
        <v>0</v>
      </c>
      <c r="U259" s="25"/>
      <c r="V259" s="13"/>
      <c r="W259" s="13"/>
      <c r="X259" s="13"/>
      <c r="Y259" s="25">
        <v>1</v>
      </c>
      <c r="Z259" s="25">
        <v>1</v>
      </c>
      <c r="AA259" s="13">
        <v>720</v>
      </c>
      <c r="AB259" s="13">
        <f t="shared" si="129"/>
        <v>720</v>
      </c>
      <c r="AC259" s="25"/>
      <c r="AD259" s="13"/>
      <c r="AE259" s="13"/>
      <c r="AF259" s="13"/>
      <c r="AG259" s="25"/>
      <c r="AH259" s="13">
        <v>0</v>
      </c>
      <c r="AI259" s="13">
        <v>720</v>
      </c>
      <c r="AJ259" s="13">
        <f t="shared" si="130"/>
        <v>0</v>
      </c>
      <c r="AK259" s="25"/>
      <c r="AL259" s="13"/>
      <c r="AM259" s="13"/>
      <c r="AN259" s="13"/>
      <c r="AO259" s="25"/>
      <c r="AP259" s="13">
        <v>0</v>
      </c>
      <c r="AQ259" s="13">
        <v>720</v>
      </c>
      <c r="AR259" s="13">
        <f t="shared" si="131"/>
        <v>0</v>
      </c>
      <c r="AS259" s="25"/>
      <c r="AT259" s="13"/>
      <c r="AU259" s="13"/>
      <c r="AV259" s="13"/>
      <c r="AW259" s="25">
        <v>1</v>
      </c>
      <c r="AX259" s="25">
        <v>1</v>
      </c>
      <c r="AY259" s="13">
        <v>720</v>
      </c>
      <c r="AZ259" s="13">
        <f t="shared" si="132"/>
        <v>720</v>
      </c>
      <c r="BA259" s="25"/>
      <c r="BB259" s="13"/>
      <c r="BC259" s="13"/>
      <c r="BD259" s="13"/>
      <c r="BE259" s="25"/>
      <c r="BF259" s="13">
        <v>0</v>
      </c>
      <c r="BG259" s="13">
        <v>720</v>
      </c>
      <c r="BH259" s="13">
        <f t="shared" si="133"/>
        <v>0</v>
      </c>
      <c r="BI259" s="25"/>
      <c r="BJ259" s="13"/>
      <c r="BK259" s="13"/>
      <c r="BL259" s="13"/>
      <c r="BM259" s="25"/>
      <c r="BN259" s="13">
        <v>0</v>
      </c>
      <c r="BO259" s="13">
        <v>720</v>
      </c>
      <c r="BP259" s="13">
        <f t="shared" si="134"/>
        <v>0</v>
      </c>
      <c r="BQ259" s="25"/>
      <c r="BR259" s="13"/>
      <c r="BS259" s="13"/>
      <c r="BT259" s="13"/>
      <c r="BU259" s="25">
        <v>1</v>
      </c>
      <c r="BV259" s="25">
        <v>1</v>
      </c>
      <c r="BW259" s="13">
        <v>720</v>
      </c>
      <c r="BX259" s="13">
        <f t="shared" si="135"/>
        <v>720</v>
      </c>
      <c r="BY259" s="25"/>
      <c r="BZ259" s="13"/>
      <c r="CA259" s="13"/>
      <c r="CB259" s="13"/>
      <c r="CC259" s="25"/>
      <c r="CD259" s="13">
        <v>0</v>
      </c>
      <c r="CE259" s="13">
        <v>720</v>
      </c>
      <c r="CF259" s="13">
        <f t="shared" si="136"/>
        <v>0</v>
      </c>
    </row>
    <row r="260" spans="1:84">
      <c r="A260" s="62"/>
      <c r="B260" s="60"/>
      <c r="C260" s="49"/>
      <c r="D260" s="49"/>
      <c r="E260" s="51"/>
      <c r="F260" s="52"/>
      <c r="G260" s="52"/>
      <c r="H260" s="52"/>
      <c r="I260" s="51"/>
      <c r="J260" s="51"/>
      <c r="K260" s="52"/>
      <c r="L260" s="51"/>
      <c r="M260" s="51"/>
      <c r="N260" s="52"/>
      <c r="O260" s="52"/>
      <c r="P260" s="52"/>
      <c r="Q260" s="51"/>
      <c r="R260" s="51"/>
      <c r="S260" s="52"/>
      <c r="T260" s="51"/>
      <c r="U260" s="51"/>
      <c r="V260" s="52"/>
      <c r="W260" s="52"/>
      <c r="X260" s="52"/>
      <c r="Y260" s="51"/>
      <c r="Z260" s="51"/>
      <c r="AA260" s="52"/>
      <c r="AB260" s="51"/>
      <c r="AC260" s="51"/>
      <c r="AD260" s="52"/>
      <c r="AE260" s="52"/>
      <c r="AF260" s="52"/>
      <c r="AG260" s="51"/>
      <c r="AH260" s="51"/>
      <c r="AI260" s="52"/>
      <c r="AJ260" s="51"/>
      <c r="AK260" s="51"/>
      <c r="AL260" s="52"/>
      <c r="AM260" s="52"/>
      <c r="AN260" s="52"/>
      <c r="AO260" s="51"/>
      <c r="AP260" s="51"/>
      <c r="AQ260" s="52"/>
      <c r="AR260" s="51"/>
      <c r="AS260" s="51"/>
      <c r="AT260" s="52"/>
      <c r="AU260" s="52"/>
      <c r="AV260" s="52"/>
      <c r="AW260" s="51"/>
      <c r="AX260" s="51"/>
      <c r="AY260" s="52"/>
      <c r="AZ260" s="51"/>
      <c r="BA260" s="51"/>
      <c r="BB260" s="52"/>
      <c r="BC260" s="52"/>
      <c r="BD260" s="52"/>
      <c r="BE260" s="51"/>
      <c r="BF260" s="51"/>
      <c r="BG260" s="52"/>
      <c r="BH260" s="51"/>
      <c r="BI260" s="51"/>
      <c r="BJ260" s="52"/>
      <c r="BK260" s="52"/>
      <c r="BL260" s="52"/>
      <c r="BM260" s="51"/>
      <c r="BN260" s="51"/>
      <c r="BO260" s="52"/>
      <c r="BP260" s="51"/>
      <c r="BQ260" s="51"/>
      <c r="BR260" s="52"/>
      <c r="BS260" s="52"/>
      <c r="BT260" s="52"/>
      <c r="BU260" s="51"/>
      <c r="BV260" s="51"/>
      <c r="BW260" s="52"/>
      <c r="BX260" s="51"/>
      <c r="BY260" s="51"/>
      <c r="BZ260" s="52"/>
      <c r="CA260" s="52"/>
      <c r="CB260" s="52"/>
      <c r="CC260" s="51"/>
      <c r="CD260" s="51"/>
      <c r="CE260" s="52"/>
      <c r="CF260" s="51"/>
    </row>
    <row r="261" spans="1:84">
      <c r="A261" s="62"/>
      <c r="B261" s="60"/>
      <c r="C261" s="49"/>
      <c r="D261" s="49"/>
      <c r="E261" s="51"/>
      <c r="F261" s="52"/>
      <c r="G261" s="52"/>
      <c r="H261" s="52"/>
      <c r="I261" s="51"/>
      <c r="J261" s="51"/>
      <c r="K261" s="52"/>
      <c r="L261" s="51"/>
      <c r="M261" s="51"/>
      <c r="N261" s="52"/>
      <c r="O261" s="52"/>
      <c r="P261" s="52"/>
      <c r="Q261" s="51"/>
      <c r="R261" s="51"/>
      <c r="S261" s="52"/>
      <c r="T261" s="51"/>
      <c r="U261" s="51"/>
      <c r="V261" s="52"/>
      <c r="W261" s="52"/>
      <c r="X261" s="52"/>
      <c r="Y261" s="51"/>
      <c r="Z261" s="51"/>
      <c r="AA261" s="52"/>
      <c r="AB261" s="51"/>
      <c r="AC261" s="51"/>
      <c r="AD261" s="52"/>
      <c r="AE261" s="52"/>
      <c r="AF261" s="52"/>
      <c r="AG261" s="51"/>
      <c r="AH261" s="51"/>
      <c r="AI261" s="52"/>
      <c r="AJ261" s="51"/>
      <c r="AK261" s="51"/>
      <c r="AL261" s="52"/>
      <c r="AM261" s="52"/>
      <c r="AN261" s="52"/>
      <c r="AO261" s="51"/>
      <c r="AP261" s="51"/>
      <c r="AQ261" s="52"/>
      <c r="AR261" s="51"/>
      <c r="AS261" s="51"/>
      <c r="AT261" s="52"/>
      <c r="AU261" s="52"/>
      <c r="AV261" s="52"/>
      <c r="AW261" s="51"/>
      <c r="AX261" s="51"/>
      <c r="AY261" s="52"/>
      <c r="AZ261" s="51"/>
      <c r="BA261" s="51"/>
      <c r="BB261" s="52"/>
      <c r="BC261" s="52"/>
      <c r="BD261" s="52"/>
      <c r="BE261" s="51"/>
      <c r="BF261" s="51"/>
      <c r="BG261" s="52"/>
      <c r="BH261" s="51"/>
      <c r="BI261" s="51"/>
      <c r="BJ261" s="52"/>
      <c r="BK261" s="52"/>
      <c r="BL261" s="52"/>
      <c r="BM261" s="51"/>
      <c r="BN261" s="51"/>
      <c r="BO261" s="52"/>
      <c r="BP261" s="51"/>
      <c r="BQ261" s="51"/>
      <c r="BR261" s="52"/>
      <c r="BS261" s="52"/>
      <c r="BT261" s="52"/>
      <c r="BU261" s="51"/>
      <c r="BV261" s="51"/>
      <c r="BW261" s="52"/>
      <c r="BX261" s="51"/>
      <c r="BY261" s="51"/>
      <c r="BZ261" s="52"/>
      <c r="CA261" s="52"/>
      <c r="CB261" s="52"/>
      <c r="CC261" s="51"/>
      <c r="CD261" s="51"/>
      <c r="CE261" s="52"/>
      <c r="CF261" s="51"/>
    </row>
  </sheetData>
  <pageMargins left="0.7" right="0.7" top="0.75" bottom="0.75" header="0.3" footer="0.3"/>
  <pageSetup orientation="portrait" r:id="rId1"/>
  <ignoredErrors>
    <ignoredError sqref="B2:B259" numberStoredAsText="1"/>
  </ignoredErrors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2"/>
  <dimension ref="A1:L260"/>
  <sheetViews>
    <sheetView zoomScale="95" zoomScaleNormal="95" workbookViewId="0">
      <selection activeCell="B3" sqref="B3"/>
    </sheetView>
  </sheetViews>
  <sheetFormatPr defaultColWidth="21.140625" defaultRowHeight="34.5" customHeight="1"/>
  <cols>
    <col min="1" max="1" width="21.140625" style="131"/>
    <col min="2" max="2" width="18.42578125" style="136" customWidth="1"/>
    <col min="3" max="16384" width="21.140625" style="136"/>
  </cols>
  <sheetData>
    <row r="1" spans="1:12" ht="49.5" customHeight="1">
      <c r="A1" s="133" t="s">
        <v>0</v>
      </c>
      <c r="B1" s="134" t="s">
        <v>182</v>
      </c>
      <c r="C1" s="134" t="s">
        <v>183</v>
      </c>
      <c r="D1" s="134" t="s">
        <v>184</v>
      </c>
      <c r="E1" s="134" t="s">
        <v>185</v>
      </c>
      <c r="F1" s="134" t="s">
        <v>186</v>
      </c>
      <c r="G1" s="134" t="s">
        <v>187</v>
      </c>
      <c r="H1" s="134" t="s">
        <v>188</v>
      </c>
      <c r="I1" s="134" t="s">
        <v>189</v>
      </c>
      <c r="J1" s="134" t="s">
        <v>190</v>
      </c>
      <c r="K1" s="134" t="s">
        <v>191</v>
      </c>
      <c r="L1" s="135" t="s">
        <v>6</v>
      </c>
    </row>
    <row r="2" spans="1:12" ht="34.5" customHeight="1">
      <c r="A2" s="137" t="s">
        <v>7</v>
      </c>
      <c r="B2" s="138">
        <v>3779</v>
      </c>
      <c r="C2" s="139">
        <v>5517</v>
      </c>
      <c r="D2" s="139">
        <v>18140</v>
      </c>
      <c r="E2" s="139">
        <v>5517</v>
      </c>
      <c r="F2" s="139">
        <v>3779</v>
      </c>
      <c r="G2" s="139">
        <v>27968</v>
      </c>
      <c r="H2" s="139">
        <v>4187</v>
      </c>
      <c r="I2" s="139">
        <v>5925</v>
      </c>
      <c r="J2" s="139">
        <v>17472</v>
      </c>
      <c r="K2" s="139">
        <v>4839</v>
      </c>
      <c r="L2" s="140">
        <f>SUM(B2,C2,D2,E2,F2,G2,H2,I2,J2,K2)</f>
        <v>97123</v>
      </c>
    </row>
    <row r="3" spans="1:12" ht="34.5" customHeight="1">
      <c r="A3" s="137" t="s">
        <v>56</v>
      </c>
      <c r="B3" s="139">
        <v>4267</v>
      </c>
      <c r="C3" s="139">
        <v>5191</v>
      </c>
      <c r="D3" s="139">
        <v>20820</v>
      </c>
      <c r="E3" s="139">
        <v>5191</v>
      </c>
      <c r="F3" s="139">
        <v>4267</v>
      </c>
      <c r="G3" s="139">
        <v>29426</v>
      </c>
      <c r="H3" s="139">
        <v>4267</v>
      </c>
      <c r="I3" s="139">
        <v>5191</v>
      </c>
      <c r="J3" s="139">
        <v>20324</v>
      </c>
      <c r="K3" s="139">
        <v>5191</v>
      </c>
      <c r="L3" s="140">
        <f t="shared" ref="L3:L13" si="0">SUM(B3,C3,D3,E3,F3,G3,H3,I3,J3,K3)</f>
        <v>104135</v>
      </c>
    </row>
    <row r="4" spans="1:12" ht="34.5" customHeight="1">
      <c r="A4" s="137" t="s">
        <v>69</v>
      </c>
      <c r="B4" s="139">
        <v>3620</v>
      </c>
      <c r="C4" s="139">
        <v>4099</v>
      </c>
      <c r="D4" s="139">
        <v>19087</v>
      </c>
      <c r="E4" s="139">
        <v>6920</v>
      </c>
      <c r="F4" s="139">
        <v>4028</v>
      </c>
      <c r="G4" s="139">
        <v>27388</v>
      </c>
      <c r="H4" s="139">
        <v>4028</v>
      </c>
      <c r="I4" s="139">
        <v>10027</v>
      </c>
      <c r="J4" s="139">
        <v>18429</v>
      </c>
      <c r="K4" s="139">
        <v>3628</v>
      </c>
      <c r="L4" s="140">
        <f t="shared" si="0"/>
        <v>101254</v>
      </c>
    </row>
    <row r="5" spans="1:12" ht="34.5" customHeight="1">
      <c r="A5" s="137" t="s">
        <v>89</v>
      </c>
      <c r="B5" s="139">
        <v>4342</v>
      </c>
      <c r="C5" s="139">
        <v>5651</v>
      </c>
      <c r="D5" s="139">
        <v>18263</v>
      </c>
      <c r="E5" s="139">
        <v>5651</v>
      </c>
      <c r="F5" s="139">
        <v>4727</v>
      </c>
      <c r="G5" s="139">
        <v>32501</v>
      </c>
      <c r="H5" s="139">
        <v>4342</v>
      </c>
      <c r="I5" s="139">
        <v>5651</v>
      </c>
      <c r="J5" s="139">
        <v>24127</v>
      </c>
      <c r="K5" s="139">
        <v>3442</v>
      </c>
      <c r="L5" s="140">
        <f t="shared" si="0"/>
        <v>108697</v>
      </c>
    </row>
    <row r="6" spans="1:12" ht="34.5" customHeight="1">
      <c r="A6" s="137" t="s">
        <v>109</v>
      </c>
      <c r="B6" s="139">
        <v>4654</v>
      </c>
      <c r="C6" s="139">
        <v>5512</v>
      </c>
      <c r="D6" s="139">
        <v>32779</v>
      </c>
      <c r="E6" s="139">
        <v>5512</v>
      </c>
      <c r="F6" s="139">
        <v>4654</v>
      </c>
      <c r="G6" s="139">
        <v>47471</v>
      </c>
      <c r="H6" s="139">
        <v>4654</v>
      </c>
      <c r="I6" s="139">
        <v>5512</v>
      </c>
      <c r="J6" s="139">
        <v>32779</v>
      </c>
      <c r="K6" s="139">
        <v>5512</v>
      </c>
      <c r="L6" s="140">
        <f t="shared" si="0"/>
        <v>149039</v>
      </c>
    </row>
    <row r="7" spans="1:12" ht="34.5" customHeight="1">
      <c r="A7" s="137" t="s">
        <v>126</v>
      </c>
      <c r="B7" s="139">
        <v>9291</v>
      </c>
      <c r="C7" s="139">
        <v>9380</v>
      </c>
      <c r="D7" s="139">
        <v>28644</v>
      </c>
      <c r="E7" s="139">
        <v>9380</v>
      </c>
      <c r="F7" s="139">
        <v>8010</v>
      </c>
      <c r="G7" s="139">
        <v>42203</v>
      </c>
      <c r="H7" s="139">
        <v>8010</v>
      </c>
      <c r="I7" s="139">
        <v>9380</v>
      </c>
      <c r="J7" s="139">
        <v>27363</v>
      </c>
      <c r="K7" s="139">
        <v>9380</v>
      </c>
      <c r="L7" s="140">
        <f t="shared" si="0"/>
        <v>161041</v>
      </c>
    </row>
    <row r="8" spans="1:12" ht="34.5" customHeight="1">
      <c r="A8" s="137" t="s">
        <v>148</v>
      </c>
      <c r="B8" s="139">
        <v>7201</v>
      </c>
      <c r="C8" s="139">
        <v>8059</v>
      </c>
      <c r="D8" s="139">
        <v>41572</v>
      </c>
      <c r="E8" s="139">
        <v>8059</v>
      </c>
      <c r="F8" s="139">
        <v>7586</v>
      </c>
      <c r="G8" s="139">
        <v>56264</v>
      </c>
      <c r="H8" s="139">
        <v>7201</v>
      </c>
      <c r="I8" s="139">
        <v>8059</v>
      </c>
      <c r="J8" s="139">
        <v>41572</v>
      </c>
      <c r="K8" s="139">
        <v>8059</v>
      </c>
      <c r="L8" s="140">
        <f t="shared" si="0"/>
        <v>193632</v>
      </c>
    </row>
    <row r="9" spans="1:12" ht="34.5" customHeight="1">
      <c r="A9" s="137" t="s">
        <v>192</v>
      </c>
      <c r="B9" s="139">
        <v>4258</v>
      </c>
      <c r="C9" s="139">
        <v>4284</v>
      </c>
      <c r="D9" s="139">
        <v>19379</v>
      </c>
      <c r="E9" s="139">
        <v>4284</v>
      </c>
      <c r="F9" s="139">
        <v>3928</v>
      </c>
      <c r="G9" s="139">
        <v>26660</v>
      </c>
      <c r="H9" s="139">
        <v>3928</v>
      </c>
      <c r="I9" s="139">
        <v>4284</v>
      </c>
      <c r="J9" s="139">
        <v>26660</v>
      </c>
      <c r="K9" s="139">
        <v>4284</v>
      </c>
      <c r="L9" s="140">
        <f t="shared" si="0"/>
        <v>101949</v>
      </c>
    </row>
    <row r="10" spans="1:12" ht="34.5" customHeight="1">
      <c r="A10" s="137" t="s">
        <v>193</v>
      </c>
      <c r="B10" s="139">
        <v>4258</v>
      </c>
      <c r="C10" s="139">
        <v>4284</v>
      </c>
      <c r="D10" s="139">
        <v>19379</v>
      </c>
      <c r="E10" s="139">
        <v>4284</v>
      </c>
      <c r="F10" s="139">
        <v>3928</v>
      </c>
      <c r="G10" s="139">
        <v>26660</v>
      </c>
      <c r="H10" s="139">
        <v>3928</v>
      </c>
      <c r="I10" s="139">
        <v>4284</v>
      </c>
      <c r="J10" s="139">
        <v>26660</v>
      </c>
      <c r="K10" s="139">
        <v>4284</v>
      </c>
      <c r="L10" s="140">
        <f t="shared" si="0"/>
        <v>101949</v>
      </c>
    </row>
    <row r="11" spans="1:12" ht="34.5" customHeight="1">
      <c r="A11" s="137" t="s">
        <v>194</v>
      </c>
      <c r="B11" s="139">
        <v>5509</v>
      </c>
      <c r="C11" s="139">
        <v>9462</v>
      </c>
      <c r="D11" s="139">
        <v>18566</v>
      </c>
      <c r="E11" s="139">
        <v>4897</v>
      </c>
      <c r="F11" s="139">
        <v>5755</v>
      </c>
      <c r="G11" s="139">
        <v>28810</v>
      </c>
      <c r="H11" s="139">
        <v>4897</v>
      </c>
      <c r="I11" s="139">
        <v>5755</v>
      </c>
      <c r="J11" s="139">
        <v>18566</v>
      </c>
      <c r="K11" s="139">
        <v>5755</v>
      </c>
      <c r="L11" s="140">
        <f t="shared" si="0"/>
        <v>107972</v>
      </c>
    </row>
    <row r="12" spans="1:12" ht="34.5" customHeight="1">
      <c r="A12" s="137" t="s">
        <v>195</v>
      </c>
      <c r="B12" s="139">
        <v>5509</v>
      </c>
      <c r="C12" s="139">
        <v>9462</v>
      </c>
      <c r="D12" s="139">
        <v>18566</v>
      </c>
      <c r="E12" s="139">
        <v>4897</v>
      </c>
      <c r="F12" s="139">
        <v>5755</v>
      </c>
      <c r="G12" s="139">
        <v>28810</v>
      </c>
      <c r="H12" s="139">
        <v>4897</v>
      </c>
      <c r="I12" s="139">
        <v>5755</v>
      </c>
      <c r="J12" s="139">
        <v>18566</v>
      </c>
      <c r="K12" s="139">
        <v>5755</v>
      </c>
      <c r="L12" s="140">
        <f t="shared" si="0"/>
        <v>107972</v>
      </c>
    </row>
    <row r="13" spans="1:12" ht="34.5" customHeight="1">
      <c r="A13" s="137" t="s">
        <v>173</v>
      </c>
      <c r="B13" s="139">
        <v>7663</v>
      </c>
      <c r="C13" s="139">
        <v>9625</v>
      </c>
      <c r="D13" s="139">
        <v>46970</v>
      </c>
      <c r="E13" s="139">
        <v>7663</v>
      </c>
      <c r="F13" s="139">
        <v>9625</v>
      </c>
      <c r="G13" s="139">
        <v>61415</v>
      </c>
      <c r="H13" s="139">
        <v>7663</v>
      </c>
      <c r="I13" s="139">
        <v>9625</v>
      </c>
      <c r="J13" s="139">
        <v>46541</v>
      </c>
      <c r="K13" s="139">
        <v>9625</v>
      </c>
      <c r="L13" s="140">
        <f t="shared" si="0"/>
        <v>216415</v>
      </c>
    </row>
    <row r="14" spans="1:12" ht="34.5" customHeight="1" thickBot="1">
      <c r="A14" s="141" t="s">
        <v>6</v>
      </c>
      <c r="B14" s="142">
        <f>SUM(B2:B13)</f>
        <v>64351</v>
      </c>
      <c r="C14" s="142">
        <f t="shared" ref="C14:J14" si="1">SUM(C2:C13)</f>
        <v>80526</v>
      </c>
      <c r="D14" s="142">
        <f t="shared" si="1"/>
        <v>302165</v>
      </c>
      <c r="E14" s="142">
        <f t="shared" si="1"/>
        <v>72255</v>
      </c>
      <c r="F14" s="142">
        <f t="shared" si="1"/>
        <v>66042</v>
      </c>
      <c r="G14" s="142">
        <f t="shared" si="1"/>
        <v>435576</v>
      </c>
      <c r="H14" s="142">
        <f t="shared" si="1"/>
        <v>62002</v>
      </c>
      <c r="I14" s="142">
        <f t="shared" si="1"/>
        <v>79448</v>
      </c>
      <c r="J14" s="142">
        <f t="shared" si="1"/>
        <v>319059</v>
      </c>
      <c r="K14" s="142">
        <f>SUM(K2:K13)</f>
        <v>69754</v>
      </c>
      <c r="L14" s="143">
        <f>SUM(L2:L13)</f>
        <v>1551178</v>
      </c>
    </row>
    <row r="15" spans="1:12" ht="34.5" customHeight="1">
      <c r="A15" s="136"/>
    </row>
    <row r="16" spans="1:12" ht="34.5" customHeight="1">
      <c r="A16" s="136"/>
    </row>
    <row r="17" spans="1:1" ht="34.5" customHeight="1">
      <c r="A17" s="136"/>
    </row>
    <row r="18" spans="1:1" ht="34.5" customHeight="1">
      <c r="A18" s="136"/>
    </row>
    <row r="19" spans="1:1" ht="34.5" customHeight="1">
      <c r="A19" s="136"/>
    </row>
    <row r="20" spans="1:1" ht="34.5" customHeight="1">
      <c r="A20" s="136"/>
    </row>
    <row r="21" spans="1:1" ht="34.5" customHeight="1">
      <c r="A21" s="136"/>
    </row>
    <row r="22" spans="1:1" ht="34.5" customHeight="1">
      <c r="A22" s="136"/>
    </row>
    <row r="23" spans="1:1" ht="34.5" customHeight="1">
      <c r="A23" s="136"/>
    </row>
    <row r="24" spans="1:1" ht="34.5" customHeight="1">
      <c r="A24" s="136"/>
    </row>
    <row r="25" spans="1:1" ht="34.5" customHeight="1">
      <c r="A25" s="136"/>
    </row>
    <row r="26" spans="1:1" ht="34.5" customHeight="1">
      <c r="A26" s="136"/>
    </row>
    <row r="27" spans="1:1" ht="34.5" customHeight="1">
      <c r="A27" s="136"/>
    </row>
    <row r="28" spans="1:1" ht="34.5" customHeight="1">
      <c r="A28" s="136"/>
    </row>
    <row r="29" spans="1:1" ht="34.5" customHeight="1">
      <c r="A29" s="136"/>
    </row>
    <row r="30" spans="1:1" ht="34.5" customHeight="1">
      <c r="A30" s="136"/>
    </row>
    <row r="31" spans="1:1" ht="34.5" customHeight="1">
      <c r="A31" s="136"/>
    </row>
    <row r="32" spans="1:1" ht="34.5" customHeight="1">
      <c r="A32" s="136"/>
    </row>
    <row r="33" spans="1:1" ht="34.5" customHeight="1">
      <c r="A33" s="136"/>
    </row>
    <row r="34" spans="1:1" ht="34.5" customHeight="1">
      <c r="A34" s="136"/>
    </row>
    <row r="35" spans="1:1" ht="34.5" customHeight="1">
      <c r="A35" s="136"/>
    </row>
    <row r="36" spans="1:1" ht="34.5" customHeight="1">
      <c r="A36" s="136"/>
    </row>
    <row r="37" spans="1:1" ht="34.5" customHeight="1">
      <c r="A37" s="136"/>
    </row>
    <row r="38" spans="1:1" ht="34.5" customHeight="1">
      <c r="A38" s="136"/>
    </row>
    <row r="39" spans="1:1" ht="34.5" customHeight="1">
      <c r="A39" s="136"/>
    </row>
    <row r="40" spans="1:1" ht="34.5" customHeight="1">
      <c r="A40" s="136"/>
    </row>
    <row r="41" spans="1:1" ht="34.5" customHeight="1">
      <c r="A41" s="136"/>
    </row>
    <row r="42" spans="1:1" ht="34.5" customHeight="1">
      <c r="A42" s="136"/>
    </row>
    <row r="43" spans="1:1" ht="34.5" customHeight="1">
      <c r="A43" s="136"/>
    </row>
    <row r="44" spans="1:1" ht="34.5" customHeight="1">
      <c r="A44" s="136"/>
    </row>
    <row r="45" spans="1:1" ht="34.5" customHeight="1">
      <c r="A45" s="136"/>
    </row>
    <row r="46" spans="1:1" ht="34.5" customHeight="1">
      <c r="A46" s="136"/>
    </row>
    <row r="47" spans="1:1" ht="34.5" customHeight="1">
      <c r="A47" s="136"/>
    </row>
    <row r="48" spans="1:1" ht="34.5" customHeight="1">
      <c r="A48" s="136"/>
    </row>
    <row r="49" spans="1:1" ht="34.5" customHeight="1">
      <c r="A49" s="136"/>
    </row>
    <row r="50" spans="1:1" ht="34.5" customHeight="1">
      <c r="A50" s="136"/>
    </row>
    <row r="51" spans="1:1" ht="34.5" customHeight="1">
      <c r="A51" s="136"/>
    </row>
    <row r="52" spans="1:1" ht="34.5" customHeight="1">
      <c r="A52" s="136"/>
    </row>
    <row r="53" spans="1:1" ht="34.5" customHeight="1">
      <c r="A53" s="136"/>
    </row>
    <row r="54" spans="1:1" ht="34.5" customHeight="1">
      <c r="A54" s="136"/>
    </row>
    <row r="55" spans="1:1" ht="34.5" customHeight="1">
      <c r="A55" s="136"/>
    </row>
    <row r="56" spans="1:1" ht="34.5" customHeight="1">
      <c r="A56" s="136"/>
    </row>
    <row r="57" spans="1:1" ht="34.5" customHeight="1">
      <c r="A57" s="136"/>
    </row>
    <row r="58" spans="1:1" ht="34.5" customHeight="1">
      <c r="A58" s="136"/>
    </row>
    <row r="59" spans="1:1" ht="34.5" customHeight="1">
      <c r="A59" s="136"/>
    </row>
    <row r="60" spans="1:1" ht="34.5" customHeight="1">
      <c r="A60" s="136"/>
    </row>
    <row r="61" spans="1:1" ht="34.5" customHeight="1">
      <c r="A61" s="136"/>
    </row>
    <row r="62" spans="1:1" ht="34.5" customHeight="1">
      <c r="A62" s="136"/>
    </row>
    <row r="63" spans="1:1" ht="34.5" customHeight="1">
      <c r="A63" s="136"/>
    </row>
    <row r="64" spans="1:1" ht="34.5" customHeight="1">
      <c r="A64" s="136"/>
    </row>
    <row r="65" spans="1:1" ht="34.5" customHeight="1">
      <c r="A65" s="136"/>
    </row>
    <row r="66" spans="1:1" ht="34.5" customHeight="1">
      <c r="A66" s="136"/>
    </row>
    <row r="67" spans="1:1" ht="34.5" customHeight="1">
      <c r="A67" s="136"/>
    </row>
    <row r="68" spans="1:1" ht="34.5" customHeight="1">
      <c r="A68" s="136"/>
    </row>
    <row r="69" spans="1:1" ht="34.5" customHeight="1">
      <c r="A69" s="136"/>
    </row>
    <row r="70" spans="1:1" ht="34.5" customHeight="1">
      <c r="A70" s="136"/>
    </row>
    <row r="71" spans="1:1" ht="34.5" customHeight="1">
      <c r="A71" s="136"/>
    </row>
    <row r="72" spans="1:1" ht="34.5" customHeight="1">
      <c r="A72" s="136"/>
    </row>
    <row r="73" spans="1:1" ht="34.5" customHeight="1">
      <c r="A73" s="136"/>
    </row>
    <row r="74" spans="1:1" ht="34.5" customHeight="1">
      <c r="A74" s="136"/>
    </row>
    <row r="75" spans="1:1" ht="34.5" customHeight="1">
      <c r="A75" s="136"/>
    </row>
    <row r="76" spans="1:1" ht="34.5" customHeight="1">
      <c r="A76" s="136"/>
    </row>
    <row r="77" spans="1:1" ht="34.5" customHeight="1">
      <c r="A77" s="136"/>
    </row>
    <row r="78" spans="1:1" ht="34.5" customHeight="1">
      <c r="A78" s="136"/>
    </row>
    <row r="79" spans="1:1" ht="34.5" customHeight="1">
      <c r="A79" s="136"/>
    </row>
    <row r="80" spans="1:1" ht="34.5" customHeight="1">
      <c r="A80" s="136"/>
    </row>
    <row r="81" spans="1:1" ht="34.5" customHeight="1">
      <c r="A81" s="136"/>
    </row>
    <row r="82" spans="1:1" ht="34.5" customHeight="1">
      <c r="A82" s="136"/>
    </row>
    <row r="83" spans="1:1" ht="34.5" customHeight="1">
      <c r="A83" s="136"/>
    </row>
    <row r="84" spans="1:1" ht="34.5" customHeight="1">
      <c r="A84" s="136"/>
    </row>
    <row r="85" spans="1:1" ht="34.5" customHeight="1">
      <c r="A85" s="136"/>
    </row>
    <row r="86" spans="1:1" ht="34.5" customHeight="1">
      <c r="A86" s="136"/>
    </row>
    <row r="87" spans="1:1" ht="34.5" customHeight="1">
      <c r="A87" s="136"/>
    </row>
    <row r="88" spans="1:1" ht="34.5" customHeight="1">
      <c r="A88" s="136"/>
    </row>
    <row r="89" spans="1:1" ht="34.5" customHeight="1">
      <c r="A89" s="136"/>
    </row>
    <row r="90" spans="1:1" ht="34.5" customHeight="1">
      <c r="A90" s="136"/>
    </row>
    <row r="91" spans="1:1" ht="34.5" customHeight="1">
      <c r="A91" s="136"/>
    </row>
    <row r="92" spans="1:1" ht="34.5" customHeight="1">
      <c r="A92" s="136"/>
    </row>
    <row r="93" spans="1:1" ht="34.5" customHeight="1">
      <c r="A93" s="136"/>
    </row>
    <row r="94" spans="1:1" ht="34.5" customHeight="1">
      <c r="A94" s="136"/>
    </row>
    <row r="95" spans="1:1" ht="34.5" customHeight="1">
      <c r="A95" s="136"/>
    </row>
    <row r="96" spans="1:1" ht="34.5" customHeight="1">
      <c r="A96" s="136"/>
    </row>
    <row r="97" spans="1:1" ht="34.5" customHeight="1">
      <c r="A97" s="136"/>
    </row>
    <row r="98" spans="1:1" ht="34.5" customHeight="1">
      <c r="A98" s="136"/>
    </row>
    <row r="99" spans="1:1" ht="34.5" customHeight="1">
      <c r="A99" s="136"/>
    </row>
    <row r="100" spans="1:1" ht="34.5" customHeight="1">
      <c r="A100" s="136"/>
    </row>
    <row r="101" spans="1:1" ht="34.5" customHeight="1">
      <c r="A101" s="136"/>
    </row>
    <row r="102" spans="1:1" ht="34.5" customHeight="1">
      <c r="A102" s="136"/>
    </row>
    <row r="103" spans="1:1" ht="34.5" customHeight="1">
      <c r="A103" s="136"/>
    </row>
    <row r="104" spans="1:1" ht="34.5" customHeight="1">
      <c r="A104" s="136"/>
    </row>
    <row r="105" spans="1:1" ht="34.5" customHeight="1">
      <c r="A105" s="136"/>
    </row>
    <row r="106" spans="1:1" ht="34.5" customHeight="1">
      <c r="A106" s="136"/>
    </row>
    <row r="107" spans="1:1" ht="34.5" customHeight="1">
      <c r="A107" s="136"/>
    </row>
    <row r="108" spans="1:1" ht="34.5" customHeight="1">
      <c r="A108" s="136"/>
    </row>
    <row r="109" spans="1:1" ht="34.5" customHeight="1">
      <c r="A109" s="136"/>
    </row>
    <row r="110" spans="1:1" ht="34.5" customHeight="1">
      <c r="A110" s="136"/>
    </row>
    <row r="111" spans="1:1" ht="34.5" customHeight="1">
      <c r="A111" s="136"/>
    </row>
    <row r="112" spans="1:1" ht="34.5" customHeight="1">
      <c r="A112" s="136"/>
    </row>
    <row r="113" spans="1:1" ht="34.5" customHeight="1">
      <c r="A113" s="136"/>
    </row>
    <row r="114" spans="1:1" ht="34.5" customHeight="1">
      <c r="A114" s="136"/>
    </row>
    <row r="115" spans="1:1" ht="34.5" customHeight="1">
      <c r="A115" s="136"/>
    </row>
    <row r="116" spans="1:1" ht="34.5" customHeight="1">
      <c r="A116" s="136"/>
    </row>
    <row r="117" spans="1:1" ht="34.5" customHeight="1">
      <c r="A117" s="136"/>
    </row>
    <row r="118" spans="1:1" ht="34.5" customHeight="1">
      <c r="A118" s="136"/>
    </row>
    <row r="119" spans="1:1" ht="34.5" customHeight="1">
      <c r="A119" s="136"/>
    </row>
    <row r="120" spans="1:1" ht="34.5" customHeight="1">
      <c r="A120" s="136"/>
    </row>
    <row r="121" spans="1:1" ht="34.5" customHeight="1">
      <c r="A121" s="136"/>
    </row>
    <row r="122" spans="1:1" ht="34.5" customHeight="1">
      <c r="A122" s="136"/>
    </row>
    <row r="123" spans="1:1" ht="34.5" customHeight="1">
      <c r="A123" s="136"/>
    </row>
    <row r="124" spans="1:1" ht="34.5" customHeight="1">
      <c r="A124" s="136"/>
    </row>
    <row r="125" spans="1:1" ht="34.5" customHeight="1">
      <c r="A125" s="136"/>
    </row>
    <row r="126" spans="1:1" ht="34.5" customHeight="1">
      <c r="A126" s="136"/>
    </row>
    <row r="127" spans="1:1" ht="34.5" customHeight="1">
      <c r="A127" s="136"/>
    </row>
    <row r="128" spans="1:1" ht="34.5" customHeight="1">
      <c r="A128" s="136"/>
    </row>
    <row r="129" spans="1:1" ht="34.5" customHeight="1">
      <c r="A129" s="136"/>
    </row>
    <row r="130" spans="1:1" ht="34.5" customHeight="1">
      <c r="A130" s="136"/>
    </row>
    <row r="131" spans="1:1" ht="34.5" customHeight="1">
      <c r="A131" s="136"/>
    </row>
    <row r="132" spans="1:1" ht="34.5" customHeight="1">
      <c r="A132" s="136"/>
    </row>
    <row r="133" spans="1:1" ht="34.5" customHeight="1">
      <c r="A133" s="136"/>
    </row>
    <row r="134" spans="1:1" ht="34.5" customHeight="1">
      <c r="A134" s="136"/>
    </row>
    <row r="135" spans="1:1" ht="34.5" customHeight="1">
      <c r="A135" s="136"/>
    </row>
    <row r="136" spans="1:1" ht="34.5" customHeight="1">
      <c r="A136" s="136"/>
    </row>
    <row r="137" spans="1:1" ht="34.5" customHeight="1">
      <c r="A137" s="136"/>
    </row>
    <row r="138" spans="1:1" ht="34.5" customHeight="1">
      <c r="A138" s="136"/>
    </row>
    <row r="139" spans="1:1" ht="34.5" customHeight="1">
      <c r="A139" s="136"/>
    </row>
    <row r="140" spans="1:1" ht="34.5" customHeight="1">
      <c r="A140" s="136"/>
    </row>
    <row r="141" spans="1:1" ht="34.5" customHeight="1">
      <c r="A141" s="136"/>
    </row>
    <row r="142" spans="1:1" ht="34.5" customHeight="1">
      <c r="A142" s="136"/>
    </row>
    <row r="143" spans="1:1" ht="34.5" customHeight="1">
      <c r="A143" s="136"/>
    </row>
    <row r="144" spans="1:1" ht="34.5" customHeight="1">
      <c r="A144" s="136"/>
    </row>
    <row r="145" spans="1:1" ht="34.5" customHeight="1">
      <c r="A145" s="136"/>
    </row>
    <row r="146" spans="1:1" ht="34.5" customHeight="1">
      <c r="A146" s="136"/>
    </row>
    <row r="147" spans="1:1" ht="34.5" customHeight="1">
      <c r="A147" s="136"/>
    </row>
    <row r="148" spans="1:1" ht="34.5" customHeight="1">
      <c r="A148" s="136"/>
    </row>
    <row r="149" spans="1:1" ht="34.5" customHeight="1">
      <c r="A149" s="136"/>
    </row>
    <row r="150" spans="1:1" ht="34.5" customHeight="1">
      <c r="A150" s="136"/>
    </row>
    <row r="151" spans="1:1" ht="34.5" customHeight="1">
      <c r="A151" s="136"/>
    </row>
    <row r="152" spans="1:1" ht="34.5" customHeight="1">
      <c r="A152" s="136"/>
    </row>
    <row r="153" spans="1:1" ht="34.5" customHeight="1">
      <c r="A153" s="136"/>
    </row>
    <row r="154" spans="1:1" ht="34.5" customHeight="1">
      <c r="A154" s="136"/>
    </row>
    <row r="155" spans="1:1" ht="34.5" customHeight="1">
      <c r="A155" s="136"/>
    </row>
    <row r="156" spans="1:1" ht="34.5" customHeight="1">
      <c r="A156" s="136"/>
    </row>
    <row r="157" spans="1:1" ht="34.5" customHeight="1">
      <c r="A157" s="136"/>
    </row>
    <row r="158" spans="1:1" ht="34.5" customHeight="1">
      <c r="A158" s="136"/>
    </row>
    <row r="159" spans="1:1" ht="34.5" customHeight="1">
      <c r="A159" s="136"/>
    </row>
    <row r="160" spans="1:1" ht="34.5" customHeight="1">
      <c r="A160" s="136"/>
    </row>
    <row r="161" spans="1:1" ht="34.5" customHeight="1">
      <c r="A161" s="136"/>
    </row>
    <row r="162" spans="1:1" ht="34.5" customHeight="1">
      <c r="A162" s="136"/>
    </row>
    <row r="163" spans="1:1" ht="34.5" customHeight="1">
      <c r="A163" s="136"/>
    </row>
    <row r="164" spans="1:1" ht="34.5" customHeight="1">
      <c r="A164" s="136"/>
    </row>
    <row r="165" spans="1:1" ht="34.5" customHeight="1">
      <c r="A165" s="136"/>
    </row>
    <row r="166" spans="1:1" ht="34.5" customHeight="1">
      <c r="A166" s="136"/>
    </row>
    <row r="167" spans="1:1" ht="34.5" customHeight="1">
      <c r="A167" s="136"/>
    </row>
    <row r="168" spans="1:1" ht="34.5" customHeight="1">
      <c r="A168" s="136"/>
    </row>
    <row r="169" spans="1:1" ht="34.5" customHeight="1">
      <c r="A169" s="136"/>
    </row>
    <row r="170" spans="1:1" ht="34.5" customHeight="1">
      <c r="A170" s="136"/>
    </row>
    <row r="171" spans="1:1" ht="34.5" customHeight="1">
      <c r="A171" s="136"/>
    </row>
    <row r="172" spans="1:1" ht="34.5" customHeight="1">
      <c r="A172" s="136"/>
    </row>
    <row r="173" spans="1:1" ht="34.5" customHeight="1">
      <c r="A173" s="136"/>
    </row>
    <row r="174" spans="1:1" ht="34.5" customHeight="1">
      <c r="A174" s="136"/>
    </row>
    <row r="175" spans="1:1" ht="34.5" customHeight="1">
      <c r="A175" s="136"/>
    </row>
    <row r="176" spans="1:1" ht="34.5" customHeight="1">
      <c r="A176" s="136"/>
    </row>
    <row r="177" spans="1:1" ht="34.5" customHeight="1">
      <c r="A177" s="136"/>
    </row>
    <row r="178" spans="1:1" ht="34.5" customHeight="1">
      <c r="A178" s="136"/>
    </row>
    <row r="179" spans="1:1" ht="34.5" customHeight="1">
      <c r="A179" s="136"/>
    </row>
    <row r="180" spans="1:1" ht="34.5" customHeight="1">
      <c r="A180" s="136"/>
    </row>
    <row r="181" spans="1:1" ht="34.5" customHeight="1">
      <c r="A181" s="136"/>
    </row>
    <row r="182" spans="1:1" ht="34.5" customHeight="1">
      <c r="A182" s="136"/>
    </row>
    <row r="183" spans="1:1" ht="34.5" customHeight="1">
      <c r="A183" s="136"/>
    </row>
    <row r="184" spans="1:1" ht="34.5" customHeight="1">
      <c r="A184" s="136"/>
    </row>
    <row r="185" spans="1:1" ht="34.5" customHeight="1">
      <c r="A185" s="136"/>
    </row>
    <row r="186" spans="1:1" ht="34.5" customHeight="1">
      <c r="A186" s="136"/>
    </row>
    <row r="187" spans="1:1" ht="34.5" customHeight="1">
      <c r="A187" s="136"/>
    </row>
    <row r="188" spans="1:1" ht="34.5" customHeight="1">
      <c r="A188" s="136"/>
    </row>
    <row r="189" spans="1:1" ht="34.5" customHeight="1">
      <c r="A189" s="136"/>
    </row>
    <row r="190" spans="1:1" ht="34.5" customHeight="1">
      <c r="A190" s="136"/>
    </row>
    <row r="191" spans="1:1" ht="34.5" customHeight="1">
      <c r="A191" s="136"/>
    </row>
    <row r="192" spans="1:1" ht="34.5" customHeight="1">
      <c r="A192" s="136"/>
    </row>
    <row r="193" spans="1:1" ht="34.5" customHeight="1">
      <c r="A193" s="136"/>
    </row>
    <row r="194" spans="1:1" ht="34.5" customHeight="1">
      <c r="A194" s="136"/>
    </row>
    <row r="195" spans="1:1" ht="34.5" customHeight="1">
      <c r="A195" s="136"/>
    </row>
    <row r="196" spans="1:1" ht="34.5" customHeight="1">
      <c r="A196" s="136"/>
    </row>
    <row r="197" spans="1:1" ht="34.5" customHeight="1">
      <c r="A197" s="136"/>
    </row>
    <row r="198" spans="1:1" ht="34.5" customHeight="1">
      <c r="A198" s="136"/>
    </row>
    <row r="199" spans="1:1" ht="34.5" customHeight="1">
      <c r="A199" s="136"/>
    </row>
    <row r="200" spans="1:1" ht="34.5" customHeight="1">
      <c r="A200" s="136"/>
    </row>
    <row r="201" spans="1:1" ht="34.5" customHeight="1">
      <c r="A201" s="136"/>
    </row>
    <row r="202" spans="1:1" ht="34.5" customHeight="1">
      <c r="A202" s="136"/>
    </row>
    <row r="203" spans="1:1" ht="34.5" customHeight="1">
      <c r="A203" s="136"/>
    </row>
    <row r="204" spans="1:1" ht="34.5" customHeight="1">
      <c r="A204" s="136"/>
    </row>
    <row r="205" spans="1:1" ht="34.5" customHeight="1">
      <c r="A205" s="136"/>
    </row>
    <row r="206" spans="1:1" ht="34.5" customHeight="1">
      <c r="A206" s="136"/>
    </row>
    <row r="207" spans="1:1" ht="34.5" customHeight="1">
      <c r="A207" s="136"/>
    </row>
    <row r="208" spans="1:1" ht="34.5" customHeight="1">
      <c r="A208" s="136"/>
    </row>
    <row r="209" spans="1:1" ht="34.5" customHeight="1">
      <c r="A209" s="136"/>
    </row>
    <row r="210" spans="1:1" ht="34.5" customHeight="1">
      <c r="A210" s="136"/>
    </row>
    <row r="211" spans="1:1" ht="34.5" customHeight="1">
      <c r="A211" s="136"/>
    </row>
    <row r="212" spans="1:1" ht="34.5" customHeight="1">
      <c r="A212" s="136"/>
    </row>
    <row r="213" spans="1:1" ht="34.5" customHeight="1">
      <c r="A213" s="136"/>
    </row>
    <row r="214" spans="1:1" ht="34.5" customHeight="1">
      <c r="A214" s="136"/>
    </row>
    <row r="215" spans="1:1" ht="34.5" customHeight="1">
      <c r="A215" s="136"/>
    </row>
    <row r="216" spans="1:1" ht="34.5" customHeight="1">
      <c r="A216" s="136"/>
    </row>
    <row r="217" spans="1:1" ht="34.5" customHeight="1">
      <c r="A217" s="136"/>
    </row>
    <row r="218" spans="1:1" ht="34.5" customHeight="1">
      <c r="A218" s="136"/>
    </row>
    <row r="219" spans="1:1" ht="34.5" customHeight="1">
      <c r="A219" s="136"/>
    </row>
    <row r="220" spans="1:1" ht="34.5" customHeight="1">
      <c r="A220" s="136"/>
    </row>
    <row r="221" spans="1:1" ht="34.5" customHeight="1">
      <c r="A221" s="136"/>
    </row>
    <row r="222" spans="1:1" ht="34.5" customHeight="1">
      <c r="A222" s="136"/>
    </row>
    <row r="223" spans="1:1" ht="34.5" customHeight="1">
      <c r="A223" s="136"/>
    </row>
    <row r="224" spans="1:1" ht="34.5" customHeight="1">
      <c r="A224" s="136"/>
    </row>
    <row r="225" spans="1:1" ht="34.5" customHeight="1">
      <c r="A225" s="136"/>
    </row>
    <row r="226" spans="1:1" ht="34.5" customHeight="1">
      <c r="A226" s="136"/>
    </row>
    <row r="227" spans="1:1" ht="34.5" customHeight="1">
      <c r="A227" s="136"/>
    </row>
    <row r="228" spans="1:1" ht="34.5" customHeight="1">
      <c r="A228" s="136"/>
    </row>
    <row r="229" spans="1:1" ht="34.5" customHeight="1">
      <c r="A229" s="136"/>
    </row>
    <row r="230" spans="1:1" ht="34.5" customHeight="1">
      <c r="A230" s="136"/>
    </row>
    <row r="231" spans="1:1" ht="34.5" customHeight="1">
      <c r="A231" s="136"/>
    </row>
    <row r="232" spans="1:1" ht="34.5" customHeight="1">
      <c r="A232" s="136"/>
    </row>
    <row r="233" spans="1:1" ht="34.5" customHeight="1">
      <c r="A233" s="136"/>
    </row>
    <row r="234" spans="1:1" ht="34.5" customHeight="1">
      <c r="A234" s="136"/>
    </row>
    <row r="235" spans="1:1" ht="34.5" customHeight="1">
      <c r="A235" s="136"/>
    </row>
    <row r="236" spans="1:1" ht="34.5" customHeight="1">
      <c r="A236" s="136"/>
    </row>
    <row r="237" spans="1:1" ht="34.5" customHeight="1">
      <c r="A237" s="136"/>
    </row>
    <row r="238" spans="1:1" ht="34.5" customHeight="1">
      <c r="A238" s="136"/>
    </row>
    <row r="239" spans="1:1" ht="34.5" customHeight="1">
      <c r="A239" s="136"/>
    </row>
    <row r="240" spans="1:1" ht="34.5" customHeight="1">
      <c r="A240" s="136"/>
    </row>
    <row r="241" spans="1:1" ht="34.5" customHeight="1">
      <c r="A241" s="136"/>
    </row>
    <row r="242" spans="1:1" ht="34.5" customHeight="1">
      <c r="A242" s="136"/>
    </row>
    <row r="243" spans="1:1" ht="34.5" customHeight="1">
      <c r="A243" s="136"/>
    </row>
    <row r="244" spans="1:1" ht="34.5" customHeight="1">
      <c r="A244" s="136"/>
    </row>
    <row r="245" spans="1:1" ht="34.5" customHeight="1">
      <c r="A245" s="136"/>
    </row>
    <row r="246" spans="1:1" ht="34.5" customHeight="1">
      <c r="A246" s="136"/>
    </row>
    <row r="247" spans="1:1" ht="34.5" customHeight="1">
      <c r="A247" s="136"/>
    </row>
    <row r="248" spans="1:1" ht="34.5" customHeight="1">
      <c r="A248" s="136"/>
    </row>
    <row r="249" spans="1:1" ht="34.5" customHeight="1">
      <c r="A249" s="136"/>
    </row>
    <row r="250" spans="1:1" ht="34.5" customHeight="1">
      <c r="A250" s="136"/>
    </row>
    <row r="251" spans="1:1" ht="34.5" customHeight="1">
      <c r="A251" s="136"/>
    </row>
    <row r="252" spans="1:1" ht="34.5" customHeight="1">
      <c r="A252" s="136"/>
    </row>
    <row r="253" spans="1:1" ht="34.5" customHeight="1">
      <c r="A253" s="136"/>
    </row>
    <row r="254" spans="1:1" ht="34.5" customHeight="1">
      <c r="A254" s="136"/>
    </row>
    <row r="255" spans="1:1" ht="34.5" customHeight="1">
      <c r="A255" s="136"/>
    </row>
    <row r="256" spans="1:1" ht="34.5" customHeight="1">
      <c r="A256" s="136"/>
    </row>
    <row r="257" spans="1:1" ht="34.5" customHeight="1">
      <c r="A257" s="136"/>
    </row>
    <row r="258" spans="1:1" ht="34.5" customHeight="1">
      <c r="A258" s="136"/>
    </row>
    <row r="259" spans="1:1" ht="34.5" customHeight="1">
      <c r="A259" s="136"/>
    </row>
    <row r="260" spans="1:1" ht="34.5" customHeight="1">
      <c r="A260" s="136"/>
    </row>
  </sheetData>
  <pageMargins left="0.7" right="0.7" top="0.75" bottom="0.75" header="0.3" footer="0.3"/>
  <pageSetup paperSize="9" orientation="portrait" horizontalDpi="300" verticalDpi="0" r:id="rId1"/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3"/>
  <dimension ref="B3:Q36"/>
  <sheetViews>
    <sheetView zoomScale="70" zoomScaleNormal="70" workbookViewId="0">
      <selection activeCell="F27" sqref="F27"/>
    </sheetView>
  </sheetViews>
  <sheetFormatPr defaultColWidth="11.5703125" defaultRowHeight="15"/>
  <cols>
    <col min="2" max="2" width="16.5703125" customWidth="1"/>
    <col min="3" max="3" width="18" bestFit="1" customWidth="1"/>
    <col min="4" max="5" width="19.5703125" bestFit="1" customWidth="1"/>
    <col min="6" max="6" width="20.7109375" bestFit="1" customWidth="1"/>
    <col min="7" max="7" width="12.5703125" bestFit="1" customWidth="1"/>
    <col min="8" max="8" width="15" bestFit="1" customWidth="1"/>
    <col min="9" max="10" width="12.5703125" bestFit="1" customWidth="1"/>
    <col min="11" max="11" width="14.5703125" bestFit="1" customWidth="1"/>
    <col min="12" max="12" width="12.85546875" bestFit="1" customWidth="1"/>
    <col min="13" max="13" width="24.7109375" customWidth="1"/>
    <col min="16" max="16" width="17.7109375" customWidth="1"/>
  </cols>
  <sheetData>
    <row r="3" spans="2:17" ht="20.25" customHeight="1">
      <c r="B3" s="144" t="s">
        <v>196</v>
      </c>
      <c r="C3" s="144" t="s">
        <v>197</v>
      </c>
      <c r="D3" s="144"/>
      <c r="E3" s="144"/>
      <c r="F3" s="144"/>
      <c r="G3" s="144"/>
      <c r="H3" s="144"/>
      <c r="I3" s="144"/>
      <c r="J3" s="144"/>
      <c r="K3" s="144"/>
      <c r="L3" s="144"/>
      <c r="M3" s="144"/>
      <c r="N3" s="144"/>
      <c r="O3" s="144"/>
      <c r="P3" s="144"/>
    </row>
    <row r="4" spans="2:17">
      <c r="B4" s="144" t="s">
        <v>198</v>
      </c>
      <c r="C4" s="144">
        <v>1</v>
      </c>
      <c r="D4" s="144">
        <v>2</v>
      </c>
      <c r="E4" s="144">
        <v>3</v>
      </c>
      <c r="F4" s="144">
        <v>4</v>
      </c>
      <c r="G4" s="144">
        <v>5</v>
      </c>
      <c r="H4" s="144">
        <v>6</v>
      </c>
      <c r="I4" s="144">
        <v>7</v>
      </c>
      <c r="J4" s="144">
        <v>8</v>
      </c>
      <c r="K4" s="144">
        <v>9</v>
      </c>
      <c r="L4" s="144">
        <v>10</v>
      </c>
      <c r="M4" s="144">
        <v>11</v>
      </c>
      <c r="N4" s="144">
        <v>12</v>
      </c>
      <c r="O4" s="144">
        <v>13</v>
      </c>
      <c r="P4" s="144" t="s">
        <v>6</v>
      </c>
    </row>
    <row r="5" spans="2:17">
      <c r="B5" s="145" t="s">
        <v>192</v>
      </c>
      <c r="C5" s="146"/>
      <c r="D5" s="146"/>
      <c r="E5" s="146"/>
      <c r="F5" s="146">
        <v>1</v>
      </c>
      <c r="G5" s="146"/>
      <c r="H5" s="146">
        <v>1</v>
      </c>
      <c r="I5" s="146"/>
      <c r="J5" s="146"/>
      <c r="K5" s="146"/>
      <c r="L5" s="146">
        <v>1</v>
      </c>
      <c r="M5" s="147"/>
      <c r="N5" s="147">
        <v>1</v>
      </c>
      <c r="O5" s="147"/>
      <c r="P5" s="147">
        <v>4</v>
      </c>
    </row>
    <row r="6" spans="2:17">
      <c r="B6" s="145" t="s">
        <v>193</v>
      </c>
      <c r="C6" s="146"/>
      <c r="D6" s="146"/>
      <c r="E6" s="146"/>
      <c r="F6" s="146">
        <v>3</v>
      </c>
      <c r="G6" s="146">
        <v>1</v>
      </c>
      <c r="H6" s="146"/>
      <c r="I6" s="146"/>
      <c r="J6" s="146">
        <v>10</v>
      </c>
      <c r="K6" s="146">
        <v>5</v>
      </c>
      <c r="L6" s="146">
        <v>2</v>
      </c>
      <c r="M6" s="147"/>
      <c r="N6" s="147">
        <v>1</v>
      </c>
      <c r="O6" s="147">
        <v>1</v>
      </c>
      <c r="P6" s="147">
        <v>23</v>
      </c>
    </row>
    <row r="7" spans="2:17">
      <c r="B7" s="145" t="s">
        <v>194</v>
      </c>
      <c r="C7" s="146">
        <v>2</v>
      </c>
      <c r="D7" s="146">
        <v>5</v>
      </c>
      <c r="E7" s="146">
        <v>2</v>
      </c>
      <c r="F7" s="146"/>
      <c r="G7" s="146">
        <v>1</v>
      </c>
      <c r="H7" s="146">
        <v>1</v>
      </c>
      <c r="I7" s="146">
        <v>2</v>
      </c>
      <c r="J7" s="146">
        <v>1</v>
      </c>
      <c r="K7" s="146">
        <v>4</v>
      </c>
      <c r="L7" s="146"/>
      <c r="M7" s="147"/>
      <c r="N7" s="147">
        <v>1</v>
      </c>
      <c r="O7" s="147"/>
      <c r="P7" s="147">
        <v>19</v>
      </c>
    </row>
    <row r="8" spans="2:17">
      <c r="B8" s="145" t="s">
        <v>195</v>
      </c>
      <c r="C8" s="146"/>
      <c r="D8" s="146"/>
      <c r="E8" s="146"/>
      <c r="F8" s="146"/>
      <c r="G8" s="146"/>
      <c r="H8" s="146">
        <v>1</v>
      </c>
      <c r="I8" s="146"/>
      <c r="J8" s="146">
        <v>1</v>
      </c>
      <c r="K8" s="146">
        <v>2</v>
      </c>
      <c r="L8" s="146">
        <v>2</v>
      </c>
      <c r="M8" s="147"/>
      <c r="N8" s="147">
        <v>3</v>
      </c>
      <c r="O8" s="147">
        <v>4</v>
      </c>
      <c r="P8" s="147">
        <v>13</v>
      </c>
    </row>
    <row r="9" spans="2:17">
      <c r="B9" s="145" t="s">
        <v>173</v>
      </c>
      <c r="C9" s="146"/>
      <c r="D9" s="146"/>
      <c r="E9" s="146"/>
      <c r="F9" s="146"/>
      <c r="G9" s="146">
        <v>1</v>
      </c>
      <c r="H9" s="146"/>
      <c r="I9" s="146">
        <v>2</v>
      </c>
      <c r="J9" s="146"/>
      <c r="K9" s="146">
        <v>1</v>
      </c>
      <c r="L9" s="146">
        <v>2</v>
      </c>
      <c r="M9" s="147">
        <v>1</v>
      </c>
      <c r="N9" s="147">
        <v>1</v>
      </c>
      <c r="O9" s="147">
        <v>1</v>
      </c>
      <c r="P9" s="147">
        <v>9</v>
      </c>
    </row>
    <row r="10" spans="2:17">
      <c r="B10" s="148" t="s">
        <v>7</v>
      </c>
      <c r="C10" s="149">
        <v>1</v>
      </c>
      <c r="D10" s="149">
        <v>9</v>
      </c>
      <c r="E10" s="149">
        <v>6</v>
      </c>
      <c r="F10" s="149">
        <v>2</v>
      </c>
      <c r="G10" s="149">
        <v>11</v>
      </c>
      <c r="H10" s="149">
        <v>16</v>
      </c>
      <c r="I10" s="149">
        <v>14</v>
      </c>
      <c r="J10" s="149">
        <v>7</v>
      </c>
      <c r="K10" s="149">
        <v>17</v>
      </c>
      <c r="L10" s="149">
        <v>9</v>
      </c>
      <c r="M10" s="147">
        <v>3</v>
      </c>
      <c r="N10" s="147">
        <v>12</v>
      </c>
      <c r="O10" s="147">
        <v>15</v>
      </c>
      <c r="P10" s="147">
        <v>122</v>
      </c>
    </row>
    <row r="11" spans="2:17">
      <c r="B11" s="148" t="s">
        <v>56</v>
      </c>
      <c r="C11" s="149">
        <v>5</v>
      </c>
      <c r="D11" s="149">
        <v>19</v>
      </c>
      <c r="E11" s="149">
        <v>18</v>
      </c>
      <c r="F11" s="149">
        <v>19</v>
      </c>
      <c r="G11" s="149">
        <v>33</v>
      </c>
      <c r="H11" s="149">
        <v>37</v>
      </c>
      <c r="I11" s="149">
        <v>29</v>
      </c>
      <c r="J11" s="149">
        <v>34</v>
      </c>
      <c r="K11" s="149">
        <v>26</v>
      </c>
      <c r="L11" s="149">
        <v>19</v>
      </c>
      <c r="M11" s="147">
        <v>21</v>
      </c>
      <c r="N11" s="147">
        <v>30</v>
      </c>
      <c r="O11" s="147">
        <v>25</v>
      </c>
      <c r="P11" s="147">
        <v>315</v>
      </c>
    </row>
    <row r="12" spans="2:17">
      <c r="B12" s="148" t="s">
        <v>69</v>
      </c>
      <c r="C12" s="149">
        <v>3</v>
      </c>
      <c r="D12" s="149">
        <v>8</v>
      </c>
      <c r="E12" s="149">
        <v>11</v>
      </c>
      <c r="F12" s="149">
        <v>3</v>
      </c>
      <c r="G12" s="149">
        <v>9</v>
      </c>
      <c r="H12" s="149">
        <v>11</v>
      </c>
      <c r="I12" s="149">
        <v>20</v>
      </c>
      <c r="J12" s="149">
        <v>10</v>
      </c>
      <c r="K12" s="149">
        <v>10</v>
      </c>
      <c r="L12" s="149">
        <v>7</v>
      </c>
      <c r="M12" s="147">
        <v>5</v>
      </c>
      <c r="N12" s="147"/>
      <c r="O12" s="147"/>
      <c r="P12" s="147">
        <v>97</v>
      </c>
    </row>
    <row r="13" spans="2:17">
      <c r="B13" s="148" t="s">
        <v>89</v>
      </c>
      <c r="C13" s="149">
        <v>4</v>
      </c>
      <c r="D13" s="149">
        <v>23</v>
      </c>
      <c r="E13" s="149">
        <v>10</v>
      </c>
      <c r="F13" s="149">
        <v>8</v>
      </c>
      <c r="G13" s="149">
        <v>26</v>
      </c>
      <c r="H13" s="149">
        <v>28</v>
      </c>
      <c r="I13" s="149">
        <v>30</v>
      </c>
      <c r="J13" s="149">
        <v>27</v>
      </c>
      <c r="K13" s="149">
        <v>25</v>
      </c>
      <c r="L13" s="149">
        <v>17</v>
      </c>
      <c r="M13" s="147">
        <v>16</v>
      </c>
      <c r="N13" s="147">
        <v>15</v>
      </c>
      <c r="O13" s="147">
        <v>14</v>
      </c>
      <c r="P13" s="147">
        <v>243</v>
      </c>
    </row>
    <row r="14" spans="2:17">
      <c r="B14" s="148" t="s">
        <v>109</v>
      </c>
      <c r="C14" s="149">
        <v>6</v>
      </c>
      <c r="D14" s="149">
        <v>24</v>
      </c>
      <c r="E14" s="149">
        <v>18</v>
      </c>
      <c r="F14" s="149">
        <v>10</v>
      </c>
      <c r="G14" s="149">
        <v>20</v>
      </c>
      <c r="H14" s="149">
        <v>29</v>
      </c>
      <c r="I14" s="149">
        <v>30</v>
      </c>
      <c r="J14" s="149">
        <v>31</v>
      </c>
      <c r="K14" s="149">
        <v>20</v>
      </c>
      <c r="L14" s="149">
        <v>18</v>
      </c>
      <c r="M14" s="147">
        <v>18</v>
      </c>
      <c r="N14" s="147">
        <v>34</v>
      </c>
      <c r="O14" s="147">
        <v>26</v>
      </c>
      <c r="P14" s="147">
        <v>284</v>
      </c>
    </row>
    <row r="15" spans="2:17">
      <c r="B15" s="148" t="s">
        <v>126</v>
      </c>
      <c r="C15" s="149"/>
      <c r="D15" s="149">
        <v>1</v>
      </c>
      <c r="E15" s="149">
        <v>1</v>
      </c>
      <c r="F15" s="149">
        <v>1</v>
      </c>
      <c r="G15" s="149">
        <v>2</v>
      </c>
      <c r="H15" s="149">
        <v>1</v>
      </c>
      <c r="I15" s="149"/>
      <c r="J15" s="149">
        <v>3</v>
      </c>
      <c r="K15" s="149">
        <v>11</v>
      </c>
      <c r="L15" s="149">
        <v>10</v>
      </c>
      <c r="M15" s="147"/>
      <c r="N15" s="147"/>
      <c r="O15" s="147"/>
      <c r="P15" s="147">
        <v>30</v>
      </c>
      <c r="Q15" s="150"/>
    </row>
    <row r="16" spans="2:17">
      <c r="B16" s="148" t="s">
        <v>148</v>
      </c>
      <c r="C16" s="149">
        <v>4</v>
      </c>
      <c r="D16" s="149">
        <v>12</v>
      </c>
      <c r="E16" s="149">
        <v>15</v>
      </c>
      <c r="F16" s="149">
        <v>6</v>
      </c>
      <c r="G16" s="149">
        <v>18</v>
      </c>
      <c r="H16" s="149">
        <v>22</v>
      </c>
      <c r="I16" s="149">
        <v>17</v>
      </c>
      <c r="J16" s="149">
        <v>25</v>
      </c>
      <c r="K16" s="149">
        <v>27</v>
      </c>
      <c r="L16" s="149">
        <v>29</v>
      </c>
      <c r="M16" s="147">
        <v>11</v>
      </c>
      <c r="N16" s="147">
        <v>35</v>
      </c>
      <c r="O16" s="147">
        <v>25</v>
      </c>
      <c r="P16" s="147">
        <v>246</v>
      </c>
    </row>
    <row r="17" spans="2:16">
      <c r="B17" s="144" t="s">
        <v>6</v>
      </c>
      <c r="C17" s="147">
        <v>25</v>
      </c>
      <c r="D17" s="147">
        <v>101</v>
      </c>
      <c r="E17" s="147">
        <v>81</v>
      </c>
      <c r="F17" s="147">
        <v>53</v>
      </c>
      <c r="G17" s="147">
        <v>122</v>
      </c>
      <c r="H17" s="147">
        <v>147</v>
      </c>
      <c r="I17" s="147">
        <v>144</v>
      </c>
      <c r="J17" s="147">
        <v>149</v>
      </c>
      <c r="K17" s="147">
        <v>148</v>
      </c>
      <c r="L17" s="147">
        <v>116</v>
      </c>
      <c r="M17" s="147">
        <v>75</v>
      </c>
      <c r="N17" s="147">
        <v>133</v>
      </c>
      <c r="O17" s="147">
        <v>111</v>
      </c>
      <c r="P17" s="147">
        <v>1405</v>
      </c>
    </row>
    <row r="18" spans="2:16">
      <c r="B18" s="144"/>
      <c r="C18" s="147"/>
      <c r="D18" s="147"/>
      <c r="E18" s="147"/>
      <c r="F18" s="147"/>
      <c r="G18" s="147"/>
      <c r="H18" s="147"/>
      <c r="I18" s="147"/>
      <c r="J18" s="147"/>
      <c r="K18" s="147"/>
      <c r="L18" s="147"/>
      <c r="M18" s="147"/>
      <c r="N18" s="147"/>
      <c r="O18" s="147"/>
      <c r="P18" s="147"/>
    </row>
    <row r="19" spans="2:16">
      <c r="B19" s="151"/>
      <c r="C19" s="152">
        <v>2016</v>
      </c>
      <c r="D19" s="152">
        <v>2015</v>
      </c>
      <c r="E19" s="152">
        <v>2014</v>
      </c>
      <c r="F19" s="152">
        <v>2013</v>
      </c>
      <c r="G19" s="152">
        <v>2012</v>
      </c>
      <c r="H19" s="152">
        <v>2011</v>
      </c>
      <c r="I19" s="152">
        <v>2010</v>
      </c>
      <c r="J19" s="152">
        <v>2009</v>
      </c>
      <c r="K19" s="152">
        <v>2008</v>
      </c>
      <c r="L19" s="152">
        <v>2007</v>
      </c>
      <c r="M19" s="151">
        <v>2006</v>
      </c>
      <c r="N19" s="151">
        <v>2005</v>
      </c>
      <c r="O19" s="151">
        <v>2004</v>
      </c>
      <c r="P19" s="151"/>
    </row>
    <row r="22" spans="2:16" ht="15.75" thickBot="1"/>
    <row r="23" spans="2:16" ht="45">
      <c r="B23" s="133" t="s">
        <v>0</v>
      </c>
      <c r="C23" s="134" t="s">
        <v>182</v>
      </c>
      <c r="D23" s="134" t="s">
        <v>183</v>
      </c>
      <c r="E23" s="134" t="s">
        <v>184</v>
      </c>
      <c r="F23" s="134" t="s">
        <v>185</v>
      </c>
      <c r="G23" s="134" t="s">
        <v>186</v>
      </c>
      <c r="H23" s="134" t="s">
        <v>187</v>
      </c>
      <c r="I23" s="134" t="s">
        <v>188</v>
      </c>
      <c r="J23" s="134" t="s">
        <v>189</v>
      </c>
      <c r="K23" s="134" t="s">
        <v>190</v>
      </c>
      <c r="L23" s="134" t="s">
        <v>191</v>
      </c>
      <c r="M23" s="135" t="s">
        <v>6</v>
      </c>
    </row>
    <row r="24" spans="2:16">
      <c r="B24" s="137" t="s">
        <v>192</v>
      </c>
      <c r="C24" s="153">
        <v>4258</v>
      </c>
      <c r="D24" s="139">
        <v>4284</v>
      </c>
      <c r="E24" s="139">
        <v>19379</v>
      </c>
      <c r="F24" s="139">
        <v>4284</v>
      </c>
      <c r="G24" s="139">
        <v>3928</v>
      </c>
      <c r="H24" s="139">
        <v>26660</v>
      </c>
      <c r="I24" s="139">
        <v>3928</v>
      </c>
      <c r="J24" s="139">
        <v>4284</v>
      </c>
      <c r="K24" s="139">
        <v>26660</v>
      </c>
      <c r="L24" s="139">
        <v>4284</v>
      </c>
      <c r="M24" s="140">
        <f t="shared" ref="M24:M35" si="0">SUM(C24,D24,E24,F24,G24,H24,I24,J24,K24,L24)</f>
        <v>101949</v>
      </c>
    </row>
    <row r="25" spans="2:16">
      <c r="B25" s="137" t="s">
        <v>193</v>
      </c>
      <c r="C25" s="139">
        <v>4258</v>
      </c>
      <c r="D25" s="139">
        <v>4284</v>
      </c>
      <c r="E25" s="139">
        <v>19379</v>
      </c>
      <c r="F25" s="139">
        <v>4284</v>
      </c>
      <c r="G25" s="139">
        <v>3928</v>
      </c>
      <c r="H25" s="139">
        <v>26660</v>
      </c>
      <c r="I25" s="139">
        <v>3928</v>
      </c>
      <c r="J25" s="139">
        <v>4284</v>
      </c>
      <c r="K25" s="139">
        <v>26660</v>
      </c>
      <c r="L25" s="139">
        <v>4284</v>
      </c>
      <c r="M25" s="140">
        <f t="shared" si="0"/>
        <v>101949</v>
      </c>
    </row>
    <row r="26" spans="2:16">
      <c r="B26" s="137" t="s">
        <v>194</v>
      </c>
      <c r="C26" s="139">
        <v>5509</v>
      </c>
      <c r="D26" s="139">
        <v>9462</v>
      </c>
      <c r="E26" s="139">
        <v>18566</v>
      </c>
      <c r="F26" s="139">
        <v>4897</v>
      </c>
      <c r="G26" s="139">
        <v>5755</v>
      </c>
      <c r="H26" s="139">
        <v>28810</v>
      </c>
      <c r="I26" s="139">
        <v>4897</v>
      </c>
      <c r="J26" s="139">
        <v>5755</v>
      </c>
      <c r="K26" s="139">
        <v>18566</v>
      </c>
      <c r="L26" s="139">
        <v>5755</v>
      </c>
      <c r="M26" s="140">
        <f t="shared" si="0"/>
        <v>107972</v>
      </c>
    </row>
    <row r="27" spans="2:16">
      <c r="B27" s="137" t="s">
        <v>195</v>
      </c>
      <c r="C27" s="139">
        <v>5509</v>
      </c>
      <c r="D27" s="139">
        <v>9462</v>
      </c>
      <c r="E27" s="139">
        <v>18566</v>
      </c>
      <c r="F27" s="139">
        <v>4897</v>
      </c>
      <c r="G27" s="139">
        <v>5755</v>
      </c>
      <c r="H27" s="139">
        <v>28810</v>
      </c>
      <c r="I27" s="139">
        <v>4897</v>
      </c>
      <c r="J27" s="139">
        <v>5755</v>
      </c>
      <c r="K27" s="139">
        <v>18566</v>
      </c>
      <c r="L27" s="139">
        <v>5755</v>
      </c>
      <c r="M27" s="140">
        <f t="shared" si="0"/>
        <v>107972</v>
      </c>
    </row>
    <row r="28" spans="2:16">
      <c r="B28" s="137" t="s">
        <v>173</v>
      </c>
      <c r="C28" s="139">
        <v>7663</v>
      </c>
      <c r="D28" s="139">
        <v>9625</v>
      </c>
      <c r="E28" s="139">
        <v>46970</v>
      </c>
      <c r="F28" s="139">
        <v>7663</v>
      </c>
      <c r="G28" s="139">
        <v>9625</v>
      </c>
      <c r="H28" s="139">
        <v>61415</v>
      </c>
      <c r="I28" s="139">
        <v>7663</v>
      </c>
      <c r="J28" s="139">
        <v>9625</v>
      </c>
      <c r="K28" s="139">
        <v>46541</v>
      </c>
      <c r="L28" s="139">
        <v>9625</v>
      </c>
      <c r="M28" s="140">
        <f t="shared" si="0"/>
        <v>216415</v>
      </c>
    </row>
    <row r="29" spans="2:16">
      <c r="B29" s="137" t="s">
        <v>7</v>
      </c>
      <c r="C29" s="154">
        <v>3779</v>
      </c>
      <c r="D29" s="139">
        <v>5517</v>
      </c>
      <c r="E29" s="139">
        <v>18140</v>
      </c>
      <c r="F29" s="139">
        <v>5517</v>
      </c>
      <c r="G29" s="139">
        <v>3779</v>
      </c>
      <c r="H29" s="139">
        <v>27968</v>
      </c>
      <c r="I29" s="139">
        <v>4187</v>
      </c>
      <c r="J29" s="139">
        <v>5925</v>
      </c>
      <c r="K29" s="139">
        <v>17472</v>
      </c>
      <c r="L29" s="139">
        <v>4839</v>
      </c>
      <c r="M29" s="140">
        <f t="shared" si="0"/>
        <v>97123</v>
      </c>
      <c r="P29" s="155">
        <f>(C11*C30)</f>
        <v>21335</v>
      </c>
    </row>
    <row r="30" spans="2:16">
      <c r="B30" s="137" t="s">
        <v>56</v>
      </c>
      <c r="C30" s="139">
        <v>4267</v>
      </c>
      <c r="D30" s="139">
        <v>5191</v>
      </c>
      <c r="E30" s="139">
        <v>20820</v>
      </c>
      <c r="F30" s="139">
        <v>5191</v>
      </c>
      <c r="G30" s="139">
        <v>4267</v>
      </c>
      <c r="H30" s="139">
        <v>29426</v>
      </c>
      <c r="I30" s="139">
        <v>4267</v>
      </c>
      <c r="J30" s="139">
        <v>5191</v>
      </c>
      <c r="K30" s="139">
        <v>20324</v>
      </c>
      <c r="L30" s="139">
        <v>5191</v>
      </c>
      <c r="M30" s="140">
        <f t="shared" si="0"/>
        <v>104135</v>
      </c>
    </row>
    <row r="31" spans="2:16">
      <c r="B31" s="137" t="s">
        <v>69</v>
      </c>
      <c r="C31" s="139">
        <v>3620</v>
      </c>
      <c r="D31" s="139">
        <v>4099</v>
      </c>
      <c r="E31" s="139">
        <v>19087</v>
      </c>
      <c r="F31" s="139">
        <v>6920</v>
      </c>
      <c r="G31" s="139">
        <v>4028</v>
      </c>
      <c r="H31" s="139">
        <v>27388</v>
      </c>
      <c r="I31" s="139">
        <v>4028</v>
      </c>
      <c r="J31" s="139">
        <v>10027</v>
      </c>
      <c r="K31" s="139">
        <v>18429</v>
      </c>
      <c r="L31" s="139">
        <v>3628</v>
      </c>
      <c r="M31" s="140">
        <f t="shared" si="0"/>
        <v>101254</v>
      </c>
    </row>
    <row r="32" spans="2:16">
      <c r="B32" s="137" t="s">
        <v>89</v>
      </c>
      <c r="C32" s="139">
        <v>4342</v>
      </c>
      <c r="D32" s="139">
        <v>5651</v>
      </c>
      <c r="E32" s="139">
        <v>18263</v>
      </c>
      <c r="F32" s="139">
        <v>5651</v>
      </c>
      <c r="G32" s="139">
        <v>4727</v>
      </c>
      <c r="H32" s="139">
        <v>32501</v>
      </c>
      <c r="I32" s="139">
        <v>4342</v>
      </c>
      <c r="J32" s="139">
        <v>5651</v>
      </c>
      <c r="K32" s="139">
        <v>24127</v>
      </c>
      <c r="L32" s="139">
        <v>3442</v>
      </c>
      <c r="M32" s="140">
        <f t="shared" si="0"/>
        <v>108697</v>
      </c>
    </row>
    <row r="33" spans="2:13">
      <c r="B33" s="137" t="s">
        <v>109</v>
      </c>
      <c r="C33" s="139">
        <v>4654</v>
      </c>
      <c r="D33" s="139">
        <v>5512</v>
      </c>
      <c r="E33" s="139">
        <v>32779</v>
      </c>
      <c r="F33" s="139">
        <v>5512</v>
      </c>
      <c r="G33" s="139">
        <v>4654</v>
      </c>
      <c r="H33" s="139">
        <v>47471</v>
      </c>
      <c r="I33" s="139">
        <v>4654</v>
      </c>
      <c r="J33" s="139">
        <v>5512</v>
      </c>
      <c r="K33" s="139">
        <v>32779</v>
      </c>
      <c r="L33" s="139">
        <v>5512</v>
      </c>
      <c r="M33" s="140">
        <f t="shared" si="0"/>
        <v>149039</v>
      </c>
    </row>
    <row r="34" spans="2:13">
      <c r="B34" s="137" t="s">
        <v>126</v>
      </c>
      <c r="C34" s="139">
        <v>9291</v>
      </c>
      <c r="D34" s="139">
        <v>9380</v>
      </c>
      <c r="E34" s="139">
        <v>28644</v>
      </c>
      <c r="F34" s="139">
        <v>9380</v>
      </c>
      <c r="G34" s="139">
        <v>8010</v>
      </c>
      <c r="H34" s="139">
        <v>42203</v>
      </c>
      <c r="I34" s="139">
        <v>8010</v>
      </c>
      <c r="J34" s="139">
        <v>9380</v>
      </c>
      <c r="K34" s="139">
        <v>27363</v>
      </c>
      <c r="L34" s="139">
        <v>9380</v>
      </c>
      <c r="M34" s="140">
        <f t="shared" si="0"/>
        <v>161041</v>
      </c>
    </row>
    <row r="35" spans="2:13">
      <c r="B35" s="137" t="s">
        <v>148</v>
      </c>
      <c r="C35" s="139">
        <v>7201</v>
      </c>
      <c r="D35" s="139">
        <v>8059</v>
      </c>
      <c r="E35" s="139">
        <v>41572</v>
      </c>
      <c r="F35" s="139">
        <v>8059</v>
      </c>
      <c r="G35" s="139">
        <v>7586</v>
      </c>
      <c r="H35" s="139">
        <v>56264</v>
      </c>
      <c r="I35" s="139">
        <v>7201</v>
      </c>
      <c r="J35" s="139">
        <v>8059</v>
      </c>
      <c r="K35" s="139">
        <v>41572</v>
      </c>
      <c r="L35" s="139">
        <v>8059</v>
      </c>
      <c r="M35" s="140">
        <f t="shared" si="0"/>
        <v>193632</v>
      </c>
    </row>
    <row r="36" spans="2:13" ht="15.75" thickBot="1">
      <c r="B36" s="141" t="s">
        <v>6</v>
      </c>
      <c r="C36" s="142">
        <f t="shared" ref="C36:M36" si="1">SUM(C24:C35)</f>
        <v>64351</v>
      </c>
      <c r="D36" s="142">
        <f t="shared" si="1"/>
        <v>80526</v>
      </c>
      <c r="E36" s="142">
        <f t="shared" si="1"/>
        <v>302165</v>
      </c>
      <c r="F36" s="142">
        <f t="shared" si="1"/>
        <v>72255</v>
      </c>
      <c r="G36" s="142">
        <f t="shared" si="1"/>
        <v>66042</v>
      </c>
      <c r="H36" s="142">
        <f t="shared" si="1"/>
        <v>435576</v>
      </c>
      <c r="I36" s="142">
        <f t="shared" si="1"/>
        <v>62002</v>
      </c>
      <c r="J36" s="142">
        <f t="shared" si="1"/>
        <v>79448</v>
      </c>
      <c r="K36" s="142">
        <f t="shared" si="1"/>
        <v>319059</v>
      </c>
      <c r="L36" s="142">
        <f t="shared" si="1"/>
        <v>69754</v>
      </c>
      <c r="M36" s="143">
        <f t="shared" si="1"/>
        <v>1551178</v>
      </c>
    </row>
  </sheetData>
  <autoFilter ref="B23:M36">
    <sortState ref="B24:M36">
      <sortCondition ref="B23:B36"/>
    </sortState>
  </autoFilter>
  <pageMargins left="0.7" right="0.7" top="0.75" bottom="0.75" header="0.3" footer="0.3"/>
  <pageSetup paperSize="9" orientation="portrait" horizontalDpi="300" verticalDpi="0" r:id="rId2"/>
</worksheet>
</file>

<file path=xl/worksheets/sheet4.xml><?xml version="1.0" encoding="utf-8"?>
<worksheet xmlns="http://schemas.openxmlformats.org/spreadsheetml/2006/main" xmlns:r="http://schemas.openxmlformats.org/officeDocument/2006/relationships">
  <sheetPr codeName="Sheet4"/>
  <dimension ref="A1:I11"/>
  <sheetViews>
    <sheetView workbookViewId="0">
      <selection activeCell="C10" sqref="C10"/>
    </sheetView>
  </sheetViews>
  <sheetFormatPr defaultRowHeight="15"/>
  <cols>
    <col min="1" max="1" width="12.28515625" bestFit="1" customWidth="1"/>
    <col min="2" max="3" width="9.140625" style="163"/>
  </cols>
  <sheetData>
    <row r="1" spans="1:9">
      <c r="A1" t="s">
        <v>211</v>
      </c>
      <c r="B1" s="163" t="s">
        <v>212</v>
      </c>
      <c r="C1" s="163" t="s">
        <v>213</v>
      </c>
    </row>
    <row r="2" spans="1:9">
      <c r="A2" t="s">
        <v>154</v>
      </c>
      <c r="B2" s="163">
        <v>5</v>
      </c>
      <c r="C2" s="163">
        <v>1</v>
      </c>
    </row>
    <row r="11" spans="1:9">
      <c r="I11" s="163"/>
    </row>
  </sheetData>
  <pageMargins left="0.7" right="0.7" top="0.75" bottom="0.75" header="0.3" footer="0.3"/>
  <pageSetup orientation="portrait" horizontalDpi="0" verticalDpi="0" r:id="rId1"/>
</worksheet>
</file>

<file path=xl/worksheets/sheet5.xml><?xml version="1.0" encoding="utf-8"?>
<worksheet xmlns="http://schemas.openxmlformats.org/spreadsheetml/2006/main" xmlns:r="http://schemas.openxmlformats.org/officeDocument/2006/relationships">
  <sheetPr codeName="Sheet5"/>
  <dimension ref="A1:L111"/>
  <sheetViews>
    <sheetView tabSelected="1" workbookViewId="0">
      <selection activeCell="E3" sqref="E3"/>
    </sheetView>
  </sheetViews>
  <sheetFormatPr defaultRowHeight="15"/>
  <cols>
    <col min="1" max="1" width="18.140625" bestFit="1" customWidth="1"/>
    <col min="2" max="2" width="28.28515625" bestFit="1" customWidth="1"/>
    <col min="3" max="3" width="8.42578125" bestFit="1" customWidth="1"/>
    <col min="15" max="15" width="7.140625" bestFit="1" customWidth="1"/>
  </cols>
  <sheetData>
    <row r="1" spans="1:12">
      <c r="C1" s="164" t="s">
        <v>210</v>
      </c>
      <c r="D1" s="164"/>
      <c r="E1" s="164"/>
      <c r="F1" s="164"/>
      <c r="G1" s="164"/>
      <c r="H1" s="164"/>
      <c r="I1" s="164"/>
      <c r="J1" s="164"/>
      <c r="K1" s="164"/>
      <c r="L1" s="164"/>
    </row>
    <row r="2" spans="1:12" s="162" customFormat="1">
      <c r="A2" s="161" t="s">
        <v>199</v>
      </c>
      <c r="B2" s="161" t="s">
        <v>200</v>
      </c>
      <c r="C2" s="161" t="s">
        <v>201</v>
      </c>
      <c r="D2" s="161" t="s">
        <v>214</v>
      </c>
      <c r="E2" s="161" t="s">
        <v>202</v>
      </c>
      <c r="F2" s="161" t="s">
        <v>203</v>
      </c>
      <c r="G2" s="161" t="s">
        <v>204</v>
      </c>
      <c r="H2" s="161" t="s">
        <v>205</v>
      </c>
      <c r="I2" s="161" t="s">
        <v>206</v>
      </c>
      <c r="J2" s="161" t="s">
        <v>207</v>
      </c>
      <c r="K2" s="161" t="s">
        <v>208</v>
      </c>
      <c r="L2" s="161" t="s">
        <v>209</v>
      </c>
    </row>
    <row r="3" spans="1:12">
      <c r="A3" s="157" t="s">
        <v>8</v>
      </c>
      <c r="B3" s="159" t="str">
        <f>+VLOOKUP(A3,'RCD life cyl Parts'!B:D,3,0)</f>
        <v xml:space="preserve">ELGI AIRLUBE </v>
      </c>
      <c r="C3" s="159">
        <f>revenue($A3,C$2,' Model Wise'!$A$2:$C$6,'RCD life cyl Parts'!$A$2:$CF$259)</f>
        <v>770</v>
      </c>
      <c r="D3" s="159">
        <f>revenue($A3,D$2,' Model Wise'!$A$2:$C$6,'RCD life cyl Parts'!$A$2:$CF$259)</f>
        <v>770</v>
      </c>
      <c r="E3" s="159">
        <f>revenue($A3,E$2,' Model Wise'!$A$2:$C$6,'RCD life cyl Parts'!$A$2:$CF$259)</f>
        <v>770</v>
      </c>
      <c r="F3" s="159">
        <f>revenue($A3,F$2,' Model Wise'!$A$2:$C$6,'RCD life cyl Parts'!$A$2:$CF$259)</f>
        <v>770</v>
      </c>
      <c r="G3" s="159">
        <f>revenue($A3,G$2,' Model Wise'!$A$2:$C$6,'RCD life cyl Parts'!$A$2:$CF$259)</f>
        <v>770</v>
      </c>
      <c r="H3" s="159">
        <f>revenue($A3,H$2,' Model Wise'!$A$2:$C$6,'RCD life cyl Parts'!$A$2:$CF$259)</f>
        <v>0</v>
      </c>
      <c r="I3" s="159">
        <f>revenue($A3,I$2,' Model Wise'!$A$2:$C$6,'RCD life cyl Parts'!$A$2:$CF$259)</f>
        <v>0</v>
      </c>
      <c r="J3" s="159">
        <f>revenue($A3,J$2,' Model Wise'!$A$2:$C$6,'RCD life cyl Parts'!$A$2:$CF$259)</f>
        <v>0</v>
      </c>
      <c r="K3" s="159">
        <f>revenue($A3,K$2,' Model Wise'!$A$2:$C$6,'RCD life cyl Parts'!$A$2:$CF$259)</f>
        <v>0</v>
      </c>
      <c r="L3" s="159">
        <f>revenue($A3,L$2,' Model Wise'!$A$2:$C$6,'RCD life cyl Parts'!$A$2:$CF$259)</f>
        <v>0</v>
      </c>
    </row>
    <row r="4" spans="1:12">
      <c r="A4" s="156" t="s">
        <v>10</v>
      </c>
      <c r="B4" s="159" t="str">
        <f>+VLOOKUP(A4,'RCD life cyl Parts'!B:D,3,0)</f>
        <v>AIRFILTER ELEMENT</v>
      </c>
      <c r="C4" s="159">
        <f>revenue($A4,C$2,' Model Wise'!$A$2:$C$6,'RCD life cyl Parts'!$A$2:$CF$259)</f>
        <v>330</v>
      </c>
      <c r="D4" s="159">
        <f>revenue($A4,D$2,' Model Wise'!$A$2:$C$6,'RCD life cyl Parts'!$A$2:$CF$259)</f>
        <v>330</v>
      </c>
      <c r="E4" s="159">
        <f>revenue($A4,E$2,' Model Wise'!$A$2:$C$6,'RCD life cyl Parts'!$A$2:$CF$259)</f>
        <v>330</v>
      </c>
      <c r="F4" s="159">
        <f>revenue($A4,F$2,' Model Wise'!$A$2:$C$6,'RCD life cyl Parts'!$A$2:$CF$259)</f>
        <v>330</v>
      </c>
      <c r="G4" s="159">
        <f>revenue($A4,G$2,' Model Wise'!$A$2:$C$6,'RCD life cyl Parts'!$A$2:$CF$259)</f>
        <v>330</v>
      </c>
      <c r="H4" s="159">
        <f>revenue($A4,H$2,' Model Wise'!$A$2:$C$6,'RCD life cyl Parts'!$A$2:$CF$259)</f>
        <v>0</v>
      </c>
      <c r="I4" s="159">
        <f>revenue($A4,I$2,' Model Wise'!$A$2:$C$6,'RCD life cyl Parts'!$A$2:$CF$259)</f>
        <v>0</v>
      </c>
      <c r="J4" s="159">
        <f>revenue($A4,J$2,' Model Wise'!$A$2:$C$6,'RCD life cyl Parts'!$A$2:$CF$259)</f>
        <v>0</v>
      </c>
      <c r="K4" s="159">
        <f>revenue($A4,K$2,' Model Wise'!$A$2:$C$6,'RCD life cyl Parts'!$A$2:$CF$259)</f>
        <v>0</v>
      </c>
      <c r="L4" s="159">
        <f>revenue($A4,L$2,' Model Wise'!$A$2:$C$6,'RCD life cyl Parts'!$A$2:$CF$259)</f>
        <v>0</v>
      </c>
    </row>
    <row r="5" spans="1:12">
      <c r="A5" s="158" t="s">
        <v>12</v>
      </c>
      <c r="B5" s="159" t="str">
        <f>+VLOOKUP(A5,'RCD life cyl Parts'!B:D,3,0)</f>
        <v>BREATHER VALVE</v>
      </c>
      <c r="C5" s="159">
        <f>revenue($A5,C$2,' Model Wise'!$A$2:$C$6,'RCD life cyl Parts'!$A$2:$CF$259)</f>
        <v>612</v>
      </c>
      <c r="D5" s="159">
        <f>revenue($A5,D$2,' Model Wise'!$A$2:$C$6,'RCD life cyl Parts'!$A$2:$CF$259)</f>
        <v>612</v>
      </c>
      <c r="E5" s="159">
        <f>revenue($A5,E$2,' Model Wise'!$A$2:$C$6,'RCD life cyl Parts'!$A$2:$CF$259)</f>
        <v>612</v>
      </c>
      <c r="F5" s="159">
        <f>revenue($A5,F$2,' Model Wise'!$A$2:$C$6,'RCD life cyl Parts'!$A$2:$CF$259)</f>
        <v>612</v>
      </c>
      <c r="G5" s="159">
        <f>revenue($A5,G$2,' Model Wise'!$A$2:$C$6,'RCD life cyl Parts'!$A$2:$CF$259)</f>
        <v>612</v>
      </c>
      <c r="H5" s="159">
        <f>revenue($A5,H$2,' Model Wise'!$A$2:$C$6,'RCD life cyl Parts'!$A$2:$CF$259)</f>
        <v>0</v>
      </c>
      <c r="I5" s="159">
        <f>revenue($A5,I$2,' Model Wise'!$A$2:$C$6,'RCD life cyl Parts'!$A$2:$CF$259)</f>
        <v>0</v>
      </c>
      <c r="J5" s="159">
        <f>revenue($A5,J$2,' Model Wise'!$A$2:$C$6,'RCD life cyl Parts'!$A$2:$CF$259)</f>
        <v>0</v>
      </c>
      <c r="K5" s="159">
        <f>revenue($A5,K$2,' Model Wise'!$A$2:$C$6,'RCD life cyl Parts'!$A$2:$CF$259)</f>
        <v>0</v>
      </c>
      <c r="L5" s="159">
        <f>revenue($A5,L$2,' Model Wise'!$A$2:$C$6,'RCD life cyl Parts'!$A$2:$CF$259)</f>
        <v>0</v>
      </c>
    </row>
    <row r="6" spans="1:12">
      <c r="A6" s="157" t="s">
        <v>14</v>
      </c>
      <c r="B6" s="159" t="str">
        <f>+VLOOKUP(A6,'RCD life cyl Parts'!B:D,3,0)</f>
        <v>CON ROD  BUSH 70</v>
      </c>
      <c r="C6" s="159">
        <f>revenue($A6,C$2,' Model Wise'!$A$2:$C$6,'RCD life cyl Parts'!$A$2:$CF$259)</f>
        <v>332</v>
      </c>
      <c r="D6" s="159">
        <f>revenue($A6,D$2,' Model Wise'!$A$2:$C$6,'RCD life cyl Parts'!$A$2:$CF$259)</f>
        <v>0</v>
      </c>
      <c r="E6" s="159">
        <f>revenue($A6,E$2,' Model Wise'!$A$2:$C$6,'RCD life cyl Parts'!$A$2:$CF$259)</f>
        <v>0</v>
      </c>
      <c r="F6" s="159">
        <f>revenue($A6,F$2,' Model Wise'!$A$2:$C$6,'RCD life cyl Parts'!$A$2:$CF$259)</f>
        <v>332</v>
      </c>
      <c r="G6" s="159">
        <f>revenue($A6,G$2,' Model Wise'!$A$2:$C$6,'RCD life cyl Parts'!$A$2:$CF$259)</f>
        <v>0</v>
      </c>
      <c r="H6" s="159">
        <f>revenue($A6,H$2,' Model Wise'!$A$2:$C$6,'RCD life cyl Parts'!$A$2:$CF$259)</f>
        <v>0</v>
      </c>
      <c r="I6" s="159">
        <f>revenue($A6,I$2,' Model Wise'!$A$2:$C$6,'RCD life cyl Parts'!$A$2:$CF$259)</f>
        <v>0</v>
      </c>
      <c r="J6" s="159">
        <f>revenue($A6,J$2,' Model Wise'!$A$2:$C$6,'RCD life cyl Parts'!$A$2:$CF$259)</f>
        <v>0</v>
      </c>
      <c r="K6" s="159">
        <f>revenue($A6,K$2,' Model Wise'!$A$2:$C$6,'RCD life cyl Parts'!$A$2:$CF$259)</f>
        <v>0</v>
      </c>
      <c r="L6" s="159">
        <f>revenue($A6,L$2,' Model Wise'!$A$2:$C$6,'RCD life cyl Parts'!$A$2:$CF$259)</f>
        <v>0</v>
      </c>
    </row>
    <row r="7" spans="1:12">
      <c r="A7" s="157" t="s">
        <v>16</v>
      </c>
      <c r="B7" s="159" t="str">
        <f>+VLOOKUP(A7,'RCD life cyl Parts'!B:D,3,0)</f>
        <v>CON ROD BUSH 50</v>
      </c>
      <c r="C7" s="159">
        <f>revenue($A7,C$2,' Model Wise'!$A$2:$C$6,'RCD life cyl Parts'!$A$2:$CF$259)</f>
        <v>0</v>
      </c>
      <c r="D7" s="159">
        <f>revenue($A7,D$2,' Model Wise'!$A$2:$C$6,'RCD life cyl Parts'!$A$2:$CF$259)</f>
        <v>0</v>
      </c>
      <c r="E7" s="159">
        <f>revenue($A7,E$2,' Model Wise'!$A$2:$C$6,'RCD life cyl Parts'!$A$2:$CF$259)</f>
        <v>0</v>
      </c>
      <c r="F7" s="159">
        <f>revenue($A7,F$2,' Model Wise'!$A$2:$C$6,'RCD life cyl Parts'!$A$2:$CF$259)</f>
        <v>0</v>
      </c>
      <c r="G7" s="159">
        <f>revenue($A7,G$2,' Model Wise'!$A$2:$C$6,'RCD life cyl Parts'!$A$2:$CF$259)</f>
        <v>0</v>
      </c>
      <c r="H7" s="159">
        <f>revenue($A7,H$2,' Model Wise'!$A$2:$C$6,'RCD life cyl Parts'!$A$2:$CF$259)</f>
        <v>0</v>
      </c>
      <c r="I7" s="159">
        <f>revenue($A7,I$2,' Model Wise'!$A$2:$C$6,'RCD life cyl Parts'!$A$2:$CF$259)</f>
        <v>0</v>
      </c>
      <c r="J7" s="159">
        <f>revenue($A7,J$2,' Model Wise'!$A$2:$C$6,'RCD life cyl Parts'!$A$2:$CF$259)</f>
        <v>0</v>
      </c>
      <c r="K7" s="159">
        <f>revenue($A7,K$2,' Model Wise'!$A$2:$C$6,'RCD life cyl Parts'!$A$2:$CF$259)</f>
        <v>0</v>
      </c>
      <c r="L7" s="159">
        <f>revenue($A7,L$2,' Model Wise'!$A$2:$C$6,'RCD life cyl Parts'!$A$2:$CF$259)</f>
        <v>0</v>
      </c>
    </row>
    <row r="8" spans="1:12">
      <c r="A8" s="157" t="s">
        <v>18</v>
      </c>
      <c r="B8" s="159" t="str">
        <f>+VLOOKUP(A8,'RCD life cyl Parts'!B:D,3,0)</f>
        <v>O RING OIL LEVEL INDICATOR</v>
      </c>
      <c r="C8" s="159">
        <f>revenue($A8,C$2,' Model Wise'!$A$2:$C$6,'RCD life cyl Parts'!$A$2:$CF$259)</f>
        <v>25</v>
      </c>
      <c r="D8" s="159">
        <f>revenue($A8,D$2,' Model Wise'!$A$2:$C$6,'RCD life cyl Parts'!$A$2:$CF$259)</f>
        <v>25</v>
      </c>
      <c r="E8" s="159">
        <f>revenue($A8,E$2,' Model Wise'!$A$2:$C$6,'RCD life cyl Parts'!$A$2:$CF$259)</f>
        <v>25</v>
      </c>
      <c r="F8" s="159">
        <f>revenue($A8,F$2,' Model Wise'!$A$2:$C$6,'RCD life cyl Parts'!$A$2:$CF$259)</f>
        <v>25</v>
      </c>
      <c r="G8" s="159">
        <f>revenue($A8,G$2,' Model Wise'!$A$2:$C$6,'RCD life cyl Parts'!$A$2:$CF$259)</f>
        <v>25</v>
      </c>
      <c r="H8" s="159">
        <f>revenue($A8,H$2,' Model Wise'!$A$2:$C$6,'RCD life cyl Parts'!$A$2:$CF$259)</f>
        <v>0</v>
      </c>
      <c r="I8" s="159">
        <f>revenue($A8,I$2,' Model Wise'!$A$2:$C$6,'RCD life cyl Parts'!$A$2:$CF$259)</f>
        <v>0</v>
      </c>
      <c r="J8" s="159">
        <f>revenue($A8,J$2,' Model Wise'!$A$2:$C$6,'RCD life cyl Parts'!$A$2:$CF$259)</f>
        <v>0</v>
      </c>
      <c r="K8" s="159">
        <f>revenue($A8,K$2,' Model Wise'!$A$2:$C$6,'RCD life cyl Parts'!$A$2:$CF$259)</f>
        <v>0</v>
      </c>
      <c r="L8" s="159">
        <f>revenue($A8,L$2,' Model Wise'!$A$2:$C$6,'RCD life cyl Parts'!$A$2:$CF$259)</f>
        <v>0</v>
      </c>
    </row>
    <row r="9" spans="1:12">
      <c r="A9" s="157" t="s">
        <v>20</v>
      </c>
      <c r="B9" s="159" t="str">
        <f>+VLOOKUP(A9,'RCD life cyl Parts'!B:D,3,0)</f>
        <v>OIL LEVEL INDICATOR</v>
      </c>
      <c r="C9" s="159">
        <f>revenue($A9,C$2,' Model Wise'!$A$2:$C$6,'RCD life cyl Parts'!$A$2:$CF$259)</f>
        <v>224</v>
      </c>
      <c r="D9" s="159">
        <f>revenue($A9,D$2,' Model Wise'!$A$2:$C$6,'RCD life cyl Parts'!$A$2:$CF$259)</f>
        <v>224</v>
      </c>
      <c r="E9" s="159">
        <f>revenue($A9,E$2,' Model Wise'!$A$2:$C$6,'RCD life cyl Parts'!$A$2:$CF$259)</f>
        <v>224</v>
      </c>
      <c r="F9" s="159">
        <f>revenue($A9,F$2,' Model Wise'!$A$2:$C$6,'RCD life cyl Parts'!$A$2:$CF$259)</f>
        <v>224</v>
      </c>
      <c r="G9" s="159">
        <f>revenue($A9,G$2,' Model Wise'!$A$2:$C$6,'RCD life cyl Parts'!$A$2:$CF$259)</f>
        <v>224</v>
      </c>
      <c r="H9" s="159">
        <f>revenue($A9,H$2,' Model Wise'!$A$2:$C$6,'RCD life cyl Parts'!$A$2:$CF$259)</f>
        <v>0</v>
      </c>
      <c r="I9" s="159">
        <f>revenue($A9,I$2,' Model Wise'!$A$2:$C$6,'RCD life cyl Parts'!$A$2:$CF$259)</f>
        <v>0</v>
      </c>
      <c r="J9" s="159">
        <f>revenue($A9,J$2,' Model Wise'!$A$2:$C$6,'RCD life cyl Parts'!$A$2:$CF$259)</f>
        <v>0</v>
      </c>
      <c r="K9" s="159">
        <f>revenue($A9,K$2,' Model Wise'!$A$2:$C$6,'RCD life cyl Parts'!$A$2:$CF$259)</f>
        <v>0</v>
      </c>
      <c r="L9" s="159">
        <f>revenue($A9,L$2,' Model Wise'!$A$2:$C$6,'RCD life cyl Parts'!$A$2:$CF$259)</f>
        <v>0</v>
      </c>
    </row>
    <row r="10" spans="1:12">
      <c r="A10" s="157" t="s">
        <v>22</v>
      </c>
      <c r="B10" s="159" t="str">
        <f>+VLOOKUP(A10,'RCD life cyl Parts'!B:D,3,0)</f>
        <v>NRV VALVE KIT</v>
      </c>
      <c r="C10" s="159">
        <f>revenue($A10,C$2,' Model Wise'!$A$2:$C$6,'RCD life cyl Parts'!$A$2:$CF$259)</f>
        <v>550</v>
      </c>
      <c r="D10" s="159">
        <f>revenue($A10,D$2,' Model Wise'!$A$2:$C$6,'RCD life cyl Parts'!$A$2:$CF$259)</f>
        <v>550</v>
      </c>
      <c r="E10" s="159">
        <f>revenue($A10,E$2,' Model Wise'!$A$2:$C$6,'RCD life cyl Parts'!$A$2:$CF$259)</f>
        <v>550</v>
      </c>
      <c r="F10" s="159">
        <f>revenue($A10,F$2,' Model Wise'!$A$2:$C$6,'RCD life cyl Parts'!$A$2:$CF$259)</f>
        <v>550</v>
      </c>
      <c r="G10" s="159">
        <f>revenue($A10,G$2,' Model Wise'!$A$2:$C$6,'RCD life cyl Parts'!$A$2:$CF$259)</f>
        <v>550</v>
      </c>
      <c r="H10" s="159">
        <f>revenue($A10,H$2,' Model Wise'!$A$2:$C$6,'RCD life cyl Parts'!$A$2:$CF$259)</f>
        <v>0</v>
      </c>
      <c r="I10" s="159">
        <f>revenue($A10,I$2,' Model Wise'!$A$2:$C$6,'RCD life cyl Parts'!$A$2:$CF$259)</f>
        <v>0</v>
      </c>
      <c r="J10" s="159">
        <f>revenue($A10,J$2,' Model Wise'!$A$2:$C$6,'RCD life cyl Parts'!$A$2:$CF$259)</f>
        <v>0</v>
      </c>
      <c r="K10" s="159">
        <f>revenue($A10,K$2,' Model Wise'!$A$2:$C$6,'RCD life cyl Parts'!$A$2:$CF$259)</f>
        <v>0</v>
      </c>
      <c r="L10" s="159">
        <f>revenue($A10,L$2,' Model Wise'!$A$2:$C$6,'RCD life cyl Parts'!$A$2:$CF$259)</f>
        <v>0</v>
      </c>
    </row>
    <row r="11" spans="1:12">
      <c r="A11" s="157" t="s">
        <v>24</v>
      </c>
      <c r="B11" s="159" t="str">
        <f>+VLOOKUP(A11,'RCD life cyl Parts'!B:D,3,0)</f>
        <v>PISTON ASSY 70</v>
      </c>
      <c r="C11" s="159">
        <f>revenue($A11,C$2,' Model Wise'!$A$2:$C$6,'RCD life cyl Parts'!$A$2:$CF$259)</f>
        <v>1246</v>
      </c>
      <c r="D11" s="159">
        <f>revenue($A11,D$2,' Model Wise'!$A$2:$C$6,'RCD life cyl Parts'!$A$2:$CF$259)</f>
        <v>0</v>
      </c>
      <c r="E11" s="159">
        <f>revenue($A11,E$2,' Model Wise'!$A$2:$C$6,'RCD life cyl Parts'!$A$2:$CF$259)</f>
        <v>0</v>
      </c>
      <c r="F11" s="159">
        <f>revenue($A11,F$2,' Model Wise'!$A$2:$C$6,'RCD life cyl Parts'!$A$2:$CF$259)</f>
        <v>1246</v>
      </c>
      <c r="G11" s="159">
        <f>revenue($A11,G$2,' Model Wise'!$A$2:$C$6,'RCD life cyl Parts'!$A$2:$CF$259)</f>
        <v>0</v>
      </c>
      <c r="H11" s="159">
        <f>revenue($A11,H$2,' Model Wise'!$A$2:$C$6,'RCD life cyl Parts'!$A$2:$CF$259)</f>
        <v>0</v>
      </c>
      <c r="I11" s="159">
        <f>revenue($A11,I$2,' Model Wise'!$A$2:$C$6,'RCD life cyl Parts'!$A$2:$CF$259)</f>
        <v>0</v>
      </c>
      <c r="J11" s="159">
        <f>revenue($A11,J$2,' Model Wise'!$A$2:$C$6,'RCD life cyl Parts'!$A$2:$CF$259)</f>
        <v>0</v>
      </c>
      <c r="K11" s="159">
        <f>revenue($A11,K$2,' Model Wise'!$A$2:$C$6,'RCD life cyl Parts'!$A$2:$CF$259)</f>
        <v>0</v>
      </c>
      <c r="L11" s="159">
        <f>revenue($A11,L$2,' Model Wise'!$A$2:$C$6,'RCD life cyl Parts'!$A$2:$CF$259)</f>
        <v>0</v>
      </c>
    </row>
    <row r="12" spans="1:12">
      <c r="A12" s="157" t="s">
        <v>26</v>
      </c>
      <c r="B12" s="159" t="str">
        <f>+VLOOKUP(A12,'RCD life cyl Parts'!B:D,3,0)</f>
        <v>PISTON ASSY 50</v>
      </c>
      <c r="C12" s="159">
        <f>revenue($A12,C$2,' Model Wise'!$A$2:$C$6,'RCD life cyl Parts'!$A$2:$CF$259)</f>
        <v>0</v>
      </c>
      <c r="D12" s="159">
        <f>revenue($A12,D$2,' Model Wise'!$A$2:$C$6,'RCD life cyl Parts'!$A$2:$CF$259)</f>
        <v>0</v>
      </c>
      <c r="E12" s="159">
        <f>revenue($A12,E$2,' Model Wise'!$A$2:$C$6,'RCD life cyl Parts'!$A$2:$CF$259)</f>
        <v>0</v>
      </c>
      <c r="F12" s="159">
        <f>revenue($A12,F$2,' Model Wise'!$A$2:$C$6,'RCD life cyl Parts'!$A$2:$CF$259)</f>
        <v>0</v>
      </c>
      <c r="G12" s="159">
        <f>revenue($A12,G$2,' Model Wise'!$A$2:$C$6,'RCD life cyl Parts'!$A$2:$CF$259)</f>
        <v>0</v>
      </c>
      <c r="H12" s="159">
        <f>revenue($A12,H$2,' Model Wise'!$A$2:$C$6,'RCD life cyl Parts'!$A$2:$CF$259)</f>
        <v>0</v>
      </c>
      <c r="I12" s="159">
        <f>revenue($A12,I$2,' Model Wise'!$A$2:$C$6,'RCD life cyl Parts'!$A$2:$CF$259)</f>
        <v>0</v>
      </c>
      <c r="J12" s="159">
        <f>revenue($A12,J$2,' Model Wise'!$A$2:$C$6,'RCD life cyl Parts'!$A$2:$CF$259)</f>
        <v>0</v>
      </c>
      <c r="K12" s="159">
        <f>revenue($A12,K$2,' Model Wise'!$A$2:$C$6,'RCD life cyl Parts'!$A$2:$CF$259)</f>
        <v>0</v>
      </c>
      <c r="L12" s="159">
        <f>revenue($A12,L$2,' Model Wise'!$A$2:$C$6,'RCD life cyl Parts'!$A$2:$CF$259)</f>
        <v>0</v>
      </c>
    </row>
    <row r="13" spans="1:12">
      <c r="A13" s="157" t="s">
        <v>28</v>
      </c>
      <c r="B13" s="159" t="str">
        <f>+VLOOKUP(A13,'RCD life cyl Parts'!B:D,3,0)</f>
        <v>CYLINDER ASSY 70</v>
      </c>
      <c r="C13" s="159">
        <f>revenue($A13,C$2,' Model Wise'!$A$2:$C$6,'RCD life cyl Parts'!$A$2:$CF$259)</f>
        <v>0</v>
      </c>
      <c r="D13" s="159">
        <f>revenue($A13,D$2,' Model Wise'!$A$2:$C$6,'RCD life cyl Parts'!$A$2:$CF$259)</f>
        <v>0</v>
      </c>
      <c r="E13" s="159">
        <f>revenue($A13,E$2,' Model Wise'!$A$2:$C$6,'RCD life cyl Parts'!$A$2:$CF$259)</f>
        <v>0</v>
      </c>
      <c r="F13" s="159">
        <f>revenue($A13,F$2,' Model Wise'!$A$2:$C$6,'RCD life cyl Parts'!$A$2:$CF$259)</f>
        <v>0</v>
      </c>
      <c r="G13" s="159">
        <f>revenue($A13,G$2,' Model Wise'!$A$2:$C$6,'RCD life cyl Parts'!$A$2:$CF$259)</f>
        <v>0</v>
      </c>
      <c r="H13" s="159">
        <f>revenue($A13,H$2,' Model Wise'!$A$2:$C$6,'RCD life cyl Parts'!$A$2:$CF$259)</f>
        <v>0</v>
      </c>
      <c r="I13" s="159">
        <f>revenue($A13,I$2,' Model Wise'!$A$2:$C$6,'RCD life cyl Parts'!$A$2:$CF$259)</f>
        <v>0</v>
      </c>
      <c r="J13" s="159">
        <f>revenue($A13,J$2,' Model Wise'!$A$2:$C$6,'RCD life cyl Parts'!$A$2:$CF$259)</f>
        <v>0</v>
      </c>
      <c r="K13" s="159">
        <f>revenue($A13,K$2,' Model Wise'!$A$2:$C$6,'RCD life cyl Parts'!$A$2:$CF$259)</f>
        <v>0</v>
      </c>
      <c r="L13" s="159">
        <f>revenue($A13,L$2,' Model Wise'!$A$2:$C$6,'RCD life cyl Parts'!$A$2:$CF$259)</f>
        <v>0</v>
      </c>
    </row>
    <row r="14" spans="1:12">
      <c r="A14" s="157" t="s">
        <v>30</v>
      </c>
      <c r="B14" s="159" t="str">
        <f>+VLOOKUP(A14,'RCD life cyl Parts'!B:D,3,0)</f>
        <v>CYLINDER ASSY 50</v>
      </c>
      <c r="C14" s="159">
        <f>revenue($A14,C$2,' Model Wise'!$A$2:$C$6,'RCD life cyl Parts'!$A$2:$CF$259)</f>
        <v>0</v>
      </c>
      <c r="D14" s="159">
        <f>revenue($A14,D$2,' Model Wise'!$A$2:$C$6,'RCD life cyl Parts'!$A$2:$CF$259)</f>
        <v>0</v>
      </c>
      <c r="E14" s="159">
        <f>revenue($A14,E$2,' Model Wise'!$A$2:$C$6,'RCD life cyl Parts'!$A$2:$CF$259)</f>
        <v>0</v>
      </c>
      <c r="F14" s="159">
        <f>revenue($A14,F$2,' Model Wise'!$A$2:$C$6,'RCD life cyl Parts'!$A$2:$CF$259)</f>
        <v>0</v>
      </c>
      <c r="G14" s="159">
        <f>revenue($A14,G$2,' Model Wise'!$A$2:$C$6,'RCD life cyl Parts'!$A$2:$CF$259)</f>
        <v>0</v>
      </c>
      <c r="H14" s="159">
        <f>revenue($A14,H$2,' Model Wise'!$A$2:$C$6,'RCD life cyl Parts'!$A$2:$CF$259)</f>
        <v>0</v>
      </c>
      <c r="I14" s="159">
        <f>revenue($A14,I$2,' Model Wise'!$A$2:$C$6,'RCD life cyl Parts'!$A$2:$CF$259)</f>
        <v>0</v>
      </c>
      <c r="J14" s="159">
        <f>revenue($A14,J$2,' Model Wise'!$A$2:$C$6,'RCD life cyl Parts'!$A$2:$CF$259)</f>
        <v>0</v>
      </c>
      <c r="K14" s="159">
        <f>revenue($A14,K$2,' Model Wise'!$A$2:$C$6,'RCD life cyl Parts'!$A$2:$CF$259)</f>
        <v>0</v>
      </c>
      <c r="L14" s="159">
        <f>revenue($A14,L$2,' Model Wise'!$A$2:$C$6,'RCD life cyl Parts'!$A$2:$CF$259)</f>
        <v>0</v>
      </c>
    </row>
    <row r="15" spans="1:12">
      <c r="A15" s="158" t="s">
        <v>32</v>
      </c>
      <c r="B15" s="159" t="str">
        <f>+VLOOKUP(A15,'RCD life cyl Parts'!B:D,3,0)</f>
        <v>CYLINDER HEAD 70</v>
      </c>
      <c r="C15" s="159">
        <f>revenue($A15,C$2,' Model Wise'!$A$2:$C$6,'RCD life cyl Parts'!$A$2:$CF$259)</f>
        <v>2472</v>
      </c>
      <c r="D15" s="159">
        <f>revenue($A15,D$2,' Model Wise'!$A$2:$C$6,'RCD life cyl Parts'!$A$2:$CF$259)</f>
        <v>0</v>
      </c>
      <c r="E15" s="159">
        <f>revenue($A15,E$2,' Model Wise'!$A$2:$C$6,'RCD life cyl Parts'!$A$2:$CF$259)</f>
        <v>0</v>
      </c>
      <c r="F15" s="159">
        <f>revenue($A15,F$2,' Model Wise'!$A$2:$C$6,'RCD life cyl Parts'!$A$2:$CF$259)</f>
        <v>2472</v>
      </c>
      <c r="G15" s="159">
        <f>revenue($A15,G$2,' Model Wise'!$A$2:$C$6,'RCD life cyl Parts'!$A$2:$CF$259)</f>
        <v>0</v>
      </c>
      <c r="H15" s="159">
        <f>revenue($A15,H$2,' Model Wise'!$A$2:$C$6,'RCD life cyl Parts'!$A$2:$CF$259)</f>
        <v>0</v>
      </c>
      <c r="I15" s="159">
        <f>revenue($A15,I$2,' Model Wise'!$A$2:$C$6,'RCD life cyl Parts'!$A$2:$CF$259)</f>
        <v>0</v>
      </c>
      <c r="J15" s="159">
        <f>revenue($A15,J$2,' Model Wise'!$A$2:$C$6,'RCD life cyl Parts'!$A$2:$CF$259)</f>
        <v>0</v>
      </c>
      <c r="K15" s="159">
        <f>revenue($A15,K$2,' Model Wise'!$A$2:$C$6,'RCD life cyl Parts'!$A$2:$CF$259)</f>
        <v>0</v>
      </c>
      <c r="L15" s="159">
        <f>revenue($A15,L$2,' Model Wise'!$A$2:$C$6,'RCD life cyl Parts'!$A$2:$CF$259)</f>
        <v>0</v>
      </c>
    </row>
    <row r="16" spans="1:12">
      <c r="A16" s="158" t="s">
        <v>34</v>
      </c>
      <c r="B16" s="159" t="str">
        <f>+VLOOKUP(A16,'RCD life cyl Parts'!B:D,3,0)</f>
        <v>CYLINDER HEAD 50</v>
      </c>
      <c r="C16" s="159">
        <f>revenue($A16,C$2,' Model Wise'!$A$2:$C$6,'RCD life cyl Parts'!$A$2:$CF$259)</f>
        <v>0</v>
      </c>
      <c r="D16" s="159">
        <f>revenue($A16,D$2,' Model Wise'!$A$2:$C$6,'RCD life cyl Parts'!$A$2:$CF$259)</f>
        <v>0</v>
      </c>
      <c r="E16" s="159">
        <f>revenue($A16,E$2,' Model Wise'!$A$2:$C$6,'RCD life cyl Parts'!$A$2:$CF$259)</f>
        <v>0</v>
      </c>
      <c r="F16" s="159">
        <f>revenue($A16,F$2,' Model Wise'!$A$2:$C$6,'RCD life cyl Parts'!$A$2:$CF$259)</f>
        <v>0</v>
      </c>
      <c r="G16" s="159">
        <f>revenue($A16,G$2,' Model Wise'!$A$2:$C$6,'RCD life cyl Parts'!$A$2:$CF$259)</f>
        <v>0</v>
      </c>
      <c r="H16" s="159">
        <f>revenue($A16,H$2,' Model Wise'!$A$2:$C$6,'RCD life cyl Parts'!$A$2:$CF$259)</f>
        <v>0</v>
      </c>
      <c r="I16" s="159">
        <f>revenue($A16,I$2,' Model Wise'!$A$2:$C$6,'RCD life cyl Parts'!$A$2:$CF$259)</f>
        <v>0</v>
      </c>
      <c r="J16" s="159">
        <f>revenue($A16,J$2,' Model Wise'!$A$2:$C$6,'RCD life cyl Parts'!$A$2:$CF$259)</f>
        <v>0</v>
      </c>
      <c r="K16" s="159">
        <f>revenue($A16,K$2,' Model Wise'!$A$2:$C$6,'RCD life cyl Parts'!$A$2:$CF$259)</f>
        <v>0</v>
      </c>
      <c r="L16" s="159">
        <f>revenue($A16,L$2,' Model Wise'!$A$2:$C$6,'RCD life cyl Parts'!$A$2:$CF$259)</f>
        <v>0</v>
      </c>
    </row>
    <row r="17" spans="1:12">
      <c r="A17" s="157" t="s">
        <v>36</v>
      </c>
      <c r="B17" s="159" t="str">
        <f>+VLOOKUP(A17,'RCD life cyl Parts'!B:D,3,0)</f>
        <v>C/SHAFT ASSY WITH BEARINGS</v>
      </c>
      <c r="C17" s="159">
        <f>revenue($A17,C$2,' Model Wise'!$A$2:$C$6,'RCD life cyl Parts'!$A$2:$CF$259)</f>
        <v>0</v>
      </c>
      <c r="D17" s="159">
        <f>revenue($A17,D$2,' Model Wise'!$A$2:$C$6,'RCD life cyl Parts'!$A$2:$CF$259)</f>
        <v>0</v>
      </c>
      <c r="E17" s="159">
        <f>revenue($A17,E$2,' Model Wise'!$A$2:$C$6,'RCD life cyl Parts'!$A$2:$CF$259)</f>
        <v>0</v>
      </c>
      <c r="F17" s="159">
        <f>revenue($A17,F$2,' Model Wise'!$A$2:$C$6,'RCD life cyl Parts'!$A$2:$CF$259)</f>
        <v>0</v>
      </c>
      <c r="G17" s="159">
        <f>revenue($A17,G$2,' Model Wise'!$A$2:$C$6,'RCD life cyl Parts'!$A$2:$CF$259)</f>
        <v>0</v>
      </c>
      <c r="H17" s="159">
        <f>revenue($A17,H$2,' Model Wise'!$A$2:$C$6,'RCD life cyl Parts'!$A$2:$CF$259)</f>
        <v>0</v>
      </c>
      <c r="I17" s="159">
        <f>revenue($A17,I$2,' Model Wise'!$A$2:$C$6,'RCD life cyl Parts'!$A$2:$CF$259)</f>
        <v>0</v>
      </c>
      <c r="J17" s="159">
        <f>revenue($A17,J$2,' Model Wise'!$A$2:$C$6,'RCD life cyl Parts'!$A$2:$CF$259)</f>
        <v>0</v>
      </c>
      <c r="K17" s="159">
        <f>revenue($A17,K$2,' Model Wise'!$A$2:$C$6,'RCD life cyl Parts'!$A$2:$CF$259)</f>
        <v>0</v>
      </c>
      <c r="L17" s="159">
        <f>revenue($A17,L$2,' Model Wise'!$A$2:$C$6,'RCD life cyl Parts'!$A$2:$CF$259)</f>
        <v>0</v>
      </c>
    </row>
    <row r="18" spans="1:12">
      <c r="A18" s="157" t="s">
        <v>38</v>
      </c>
      <c r="B18" s="159" t="str">
        <f>+VLOOKUP(A18,'RCD life cyl Parts'!B:D,3,0)</f>
        <v>V - BELT</v>
      </c>
      <c r="C18" s="159">
        <f>revenue($A18,C$2,' Model Wise'!$A$2:$C$6,'RCD life cyl Parts'!$A$2:$CF$259)</f>
        <v>0</v>
      </c>
      <c r="D18" s="159">
        <f>revenue($A18,D$2,' Model Wise'!$A$2:$C$6,'RCD life cyl Parts'!$A$2:$CF$259)</f>
        <v>0</v>
      </c>
      <c r="E18" s="159">
        <f>revenue($A18,E$2,' Model Wise'!$A$2:$C$6,'RCD life cyl Parts'!$A$2:$CF$259)</f>
        <v>0</v>
      </c>
      <c r="F18" s="159">
        <f>revenue($A18,F$2,' Model Wise'!$A$2:$C$6,'RCD life cyl Parts'!$A$2:$CF$259)</f>
        <v>0</v>
      </c>
      <c r="G18" s="159">
        <f>revenue($A18,G$2,' Model Wise'!$A$2:$C$6,'RCD life cyl Parts'!$A$2:$CF$259)</f>
        <v>0</v>
      </c>
      <c r="H18" s="159">
        <f>revenue($A18,H$2,' Model Wise'!$A$2:$C$6,'RCD life cyl Parts'!$A$2:$CF$259)</f>
        <v>0</v>
      </c>
      <c r="I18" s="159">
        <f>revenue($A18,I$2,' Model Wise'!$A$2:$C$6,'RCD life cyl Parts'!$A$2:$CF$259)</f>
        <v>0</v>
      </c>
      <c r="J18" s="159">
        <f>revenue($A18,J$2,' Model Wise'!$A$2:$C$6,'RCD life cyl Parts'!$A$2:$CF$259)</f>
        <v>0</v>
      </c>
      <c r="K18" s="159">
        <f>revenue($A18,K$2,' Model Wise'!$A$2:$C$6,'RCD life cyl Parts'!$A$2:$CF$259)</f>
        <v>0</v>
      </c>
      <c r="L18" s="159">
        <f>revenue($A18,L$2,' Model Wise'!$A$2:$C$6,'RCD life cyl Parts'!$A$2:$CF$259)</f>
        <v>0</v>
      </c>
    </row>
    <row r="19" spans="1:12">
      <c r="A19" s="157" t="s">
        <v>40</v>
      </c>
      <c r="B19" s="159" t="str">
        <f>+VLOOKUP(A19,'RCD life cyl Parts'!B:D,3,0)</f>
        <v xml:space="preserve">INTER COOLER </v>
      </c>
      <c r="C19" s="159">
        <f>revenue($A19,C$2,' Model Wise'!$A$2:$C$6,'RCD life cyl Parts'!$A$2:$CF$259)</f>
        <v>0</v>
      </c>
      <c r="D19" s="159">
        <f>revenue($A19,D$2,' Model Wise'!$A$2:$C$6,'RCD life cyl Parts'!$A$2:$CF$259)</f>
        <v>0</v>
      </c>
      <c r="E19" s="159">
        <f>revenue($A19,E$2,' Model Wise'!$A$2:$C$6,'RCD life cyl Parts'!$A$2:$CF$259)</f>
        <v>0</v>
      </c>
      <c r="F19" s="159">
        <f>revenue($A19,F$2,' Model Wise'!$A$2:$C$6,'RCD life cyl Parts'!$A$2:$CF$259)</f>
        <v>0</v>
      </c>
      <c r="G19" s="159">
        <f>revenue($A19,G$2,' Model Wise'!$A$2:$C$6,'RCD life cyl Parts'!$A$2:$CF$259)</f>
        <v>0</v>
      </c>
      <c r="H19" s="159">
        <f>revenue($A19,H$2,' Model Wise'!$A$2:$C$6,'RCD life cyl Parts'!$A$2:$CF$259)</f>
        <v>0</v>
      </c>
      <c r="I19" s="159">
        <f>revenue($A19,I$2,' Model Wise'!$A$2:$C$6,'RCD life cyl Parts'!$A$2:$CF$259)</f>
        <v>0</v>
      </c>
      <c r="J19" s="159">
        <f>revenue($A19,J$2,' Model Wise'!$A$2:$C$6,'RCD life cyl Parts'!$A$2:$CF$259)</f>
        <v>0</v>
      </c>
      <c r="K19" s="159">
        <f>revenue($A19,K$2,' Model Wise'!$A$2:$C$6,'RCD life cyl Parts'!$A$2:$CF$259)</f>
        <v>0</v>
      </c>
      <c r="L19" s="159">
        <f>revenue($A19,L$2,' Model Wise'!$A$2:$C$6,'RCD life cyl Parts'!$A$2:$CF$259)</f>
        <v>0</v>
      </c>
    </row>
    <row r="20" spans="1:12">
      <c r="A20" s="157" t="s">
        <v>42</v>
      </c>
      <c r="B20" s="159" t="str">
        <f>+VLOOKUP(A20,'RCD life cyl Parts'!B:D,3,0)</f>
        <v>AFTER COOLER PIPE</v>
      </c>
      <c r="C20" s="159">
        <f>revenue($A20,C$2,' Model Wise'!$A$2:$C$6,'RCD life cyl Parts'!$A$2:$CF$259)</f>
        <v>0</v>
      </c>
      <c r="D20" s="159">
        <f>revenue($A20,D$2,' Model Wise'!$A$2:$C$6,'RCD life cyl Parts'!$A$2:$CF$259)</f>
        <v>0</v>
      </c>
      <c r="E20" s="159">
        <f>revenue($A20,E$2,' Model Wise'!$A$2:$C$6,'RCD life cyl Parts'!$A$2:$CF$259)</f>
        <v>0</v>
      </c>
      <c r="F20" s="159">
        <f>revenue($A20,F$2,' Model Wise'!$A$2:$C$6,'RCD life cyl Parts'!$A$2:$CF$259)</f>
        <v>0</v>
      </c>
      <c r="G20" s="159">
        <f>revenue($A20,G$2,' Model Wise'!$A$2:$C$6,'RCD life cyl Parts'!$A$2:$CF$259)</f>
        <v>0</v>
      </c>
      <c r="H20" s="159">
        <f>revenue($A20,H$2,' Model Wise'!$A$2:$C$6,'RCD life cyl Parts'!$A$2:$CF$259)</f>
        <v>0</v>
      </c>
      <c r="I20" s="159">
        <f>revenue($A20,I$2,' Model Wise'!$A$2:$C$6,'RCD life cyl Parts'!$A$2:$CF$259)</f>
        <v>0</v>
      </c>
      <c r="J20" s="159">
        <f>revenue($A20,J$2,' Model Wise'!$A$2:$C$6,'RCD life cyl Parts'!$A$2:$CF$259)</f>
        <v>0</v>
      </c>
      <c r="K20" s="159">
        <f>revenue($A20,K$2,' Model Wise'!$A$2:$C$6,'RCD life cyl Parts'!$A$2:$CF$259)</f>
        <v>0</v>
      </c>
      <c r="L20" s="159">
        <f>revenue($A20,L$2,' Model Wise'!$A$2:$C$6,'RCD life cyl Parts'!$A$2:$CF$259)</f>
        <v>0</v>
      </c>
    </row>
    <row r="21" spans="1:12">
      <c r="A21" s="37" t="s">
        <v>44</v>
      </c>
      <c r="B21" s="159" t="str">
        <f>+VLOOKUP(A21,'RCD life cyl Parts'!B:D,3,0)</f>
        <v>PRESSURE GAUGE</v>
      </c>
      <c r="C21" s="159">
        <f>revenue($A21,C$2,' Model Wise'!$A$2:$C$6,'RCD life cyl Parts'!$A$2:$CF$259)</f>
        <v>674</v>
      </c>
      <c r="D21" s="159">
        <f>revenue($A21,D$2,' Model Wise'!$A$2:$C$6,'RCD life cyl Parts'!$A$2:$CF$259)</f>
        <v>0</v>
      </c>
      <c r="E21" s="159">
        <f>revenue($A21,E$2,' Model Wise'!$A$2:$C$6,'RCD life cyl Parts'!$A$2:$CF$259)</f>
        <v>0</v>
      </c>
      <c r="F21" s="159">
        <f>revenue($A21,F$2,' Model Wise'!$A$2:$C$6,'RCD life cyl Parts'!$A$2:$CF$259)</f>
        <v>674</v>
      </c>
      <c r="G21" s="159">
        <f>revenue($A21,G$2,' Model Wise'!$A$2:$C$6,'RCD life cyl Parts'!$A$2:$CF$259)</f>
        <v>0</v>
      </c>
      <c r="H21" s="159">
        <f>revenue($A21,H$2,' Model Wise'!$A$2:$C$6,'RCD life cyl Parts'!$A$2:$CF$259)</f>
        <v>0</v>
      </c>
      <c r="I21" s="159">
        <f>revenue($A21,I$2,' Model Wise'!$A$2:$C$6,'RCD life cyl Parts'!$A$2:$CF$259)</f>
        <v>0</v>
      </c>
      <c r="J21" s="159">
        <f>revenue($A21,J$2,' Model Wise'!$A$2:$C$6,'RCD life cyl Parts'!$A$2:$CF$259)</f>
        <v>0</v>
      </c>
      <c r="K21" s="159">
        <f>revenue($A21,K$2,' Model Wise'!$A$2:$C$6,'RCD life cyl Parts'!$A$2:$CF$259)</f>
        <v>0</v>
      </c>
      <c r="L21" s="159">
        <f>revenue($A21,L$2,' Model Wise'!$A$2:$C$6,'RCD life cyl Parts'!$A$2:$CF$259)</f>
        <v>0</v>
      </c>
    </row>
    <row r="22" spans="1:12">
      <c r="A22" s="157" t="s">
        <v>46</v>
      </c>
      <c r="B22" s="159" t="str">
        <f>+VLOOKUP(A22,'RCD life cyl Parts'!B:D,3,0)</f>
        <v>TUNE UP KIT</v>
      </c>
      <c r="C22" s="159">
        <f>revenue($A22,C$2,' Model Wise'!$A$2:$C$6,'RCD life cyl Parts'!$A$2:$CF$259)</f>
        <v>0</v>
      </c>
      <c r="D22" s="159">
        <f>revenue($A22,D$2,' Model Wise'!$A$2:$C$6,'RCD life cyl Parts'!$A$2:$CF$259)</f>
        <v>0</v>
      </c>
      <c r="E22" s="159">
        <f>revenue($A22,E$2,' Model Wise'!$A$2:$C$6,'RCD life cyl Parts'!$A$2:$CF$259)</f>
        <v>0</v>
      </c>
      <c r="F22" s="159">
        <f>revenue($A22,F$2,' Model Wise'!$A$2:$C$6,'RCD life cyl Parts'!$A$2:$CF$259)</f>
        <v>0</v>
      </c>
      <c r="G22" s="159">
        <f>revenue($A22,G$2,' Model Wise'!$A$2:$C$6,'RCD life cyl Parts'!$A$2:$CF$259)</f>
        <v>0</v>
      </c>
      <c r="H22" s="159">
        <f>revenue($A22,H$2,' Model Wise'!$A$2:$C$6,'RCD life cyl Parts'!$A$2:$CF$259)</f>
        <v>0</v>
      </c>
      <c r="I22" s="159">
        <f>revenue($A22,I$2,' Model Wise'!$A$2:$C$6,'RCD life cyl Parts'!$A$2:$CF$259)</f>
        <v>0</v>
      </c>
      <c r="J22" s="159">
        <f>revenue($A22,J$2,' Model Wise'!$A$2:$C$6,'RCD life cyl Parts'!$A$2:$CF$259)</f>
        <v>0</v>
      </c>
      <c r="K22" s="159">
        <f>revenue($A22,K$2,' Model Wise'!$A$2:$C$6,'RCD life cyl Parts'!$A$2:$CF$259)</f>
        <v>0</v>
      </c>
      <c r="L22" s="159">
        <f>revenue($A22,L$2,' Model Wise'!$A$2:$C$6,'RCD life cyl Parts'!$A$2:$CF$259)</f>
        <v>0</v>
      </c>
    </row>
    <row r="23" spans="1:12">
      <c r="A23" s="157" t="s">
        <v>48</v>
      </c>
      <c r="B23" s="159" t="str">
        <f>+VLOOKUP(A23,'RCD life cyl Parts'!B:D,3,0)</f>
        <v>SAFETY VALVE AFTER COOLER</v>
      </c>
      <c r="C23" s="159">
        <f>revenue($A23,C$2,' Model Wise'!$A$2:$C$6,'RCD life cyl Parts'!$A$2:$CF$259)</f>
        <v>0</v>
      </c>
      <c r="D23" s="159">
        <f>revenue($A23,D$2,' Model Wise'!$A$2:$C$6,'RCD life cyl Parts'!$A$2:$CF$259)</f>
        <v>0</v>
      </c>
      <c r="E23" s="159">
        <f>revenue($A23,E$2,' Model Wise'!$A$2:$C$6,'RCD life cyl Parts'!$A$2:$CF$259)</f>
        <v>0</v>
      </c>
      <c r="F23" s="159">
        <f>revenue($A23,F$2,' Model Wise'!$A$2:$C$6,'RCD life cyl Parts'!$A$2:$CF$259)</f>
        <v>0</v>
      </c>
      <c r="G23" s="159">
        <f>revenue($A23,G$2,' Model Wise'!$A$2:$C$6,'RCD life cyl Parts'!$A$2:$CF$259)</f>
        <v>0</v>
      </c>
      <c r="H23" s="159">
        <f>revenue($A23,H$2,' Model Wise'!$A$2:$C$6,'RCD life cyl Parts'!$A$2:$CF$259)</f>
        <v>0</v>
      </c>
      <c r="I23" s="159">
        <f>revenue($A23,I$2,' Model Wise'!$A$2:$C$6,'RCD life cyl Parts'!$A$2:$CF$259)</f>
        <v>0</v>
      </c>
      <c r="J23" s="159">
        <f>revenue($A23,J$2,' Model Wise'!$A$2:$C$6,'RCD life cyl Parts'!$A$2:$CF$259)</f>
        <v>0</v>
      </c>
      <c r="K23" s="159">
        <f>revenue($A23,K$2,' Model Wise'!$A$2:$C$6,'RCD life cyl Parts'!$A$2:$CF$259)</f>
        <v>0</v>
      </c>
      <c r="L23" s="159">
        <f>revenue($A23,L$2,' Model Wise'!$A$2:$C$6,'RCD life cyl Parts'!$A$2:$CF$259)</f>
        <v>0</v>
      </c>
    </row>
    <row r="24" spans="1:12">
      <c r="A24" s="160" t="s">
        <v>50</v>
      </c>
      <c r="B24" s="159" t="str">
        <f>+VLOOKUP(A24,'RCD life cyl Parts'!B:D,3,0)</f>
        <v>SAFETY VALVE INTER COOLER</v>
      </c>
      <c r="C24" s="159">
        <f>revenue($A24,C$2,' Model Wise'!$A$2:$C$6,'RCD life cyl Parts'!$A$2:$CF$259)</f>
        <v>0</v>
      </c>
      <c r="D24" s="159">
        <f>revenue($A24,D$2,' Model Wise'!$A$2:$C$6,'RCD life cyl Parts'!$A$2:$CF$259)</f>
        <v>0</v>
      </c>
      <c r="E24" s="159">
        <f>revenue($A24,E$2,' Model Wise'!$A$2:$C$6,'RCD life cyl Parts'!$A$2:$CF$259)</f>
        <v>0</v>
      </c>
      <c r="F24" s="159">
        <f>revenue($A24,F$2,' Model Wise'!$A$2:$C$6,'RCD life cyl Parts'!$A$2:$CF$259)</f>
        <v>0</v>
      </c>
      <c r="G24" s="159">
        <f>revenue($A24,G$2,' Model Wise'!$A$2:$C$6,'RCD life cyl Parts'!$A$2:$CF$259)</f>
        <v>0</v>
      </c>
      <c r="H24" s="159">
        <f>revenue($A24,H$2,' Model Wise'!$A$2:$C$6,'RCD life cyl Parts'!$A$2:$CF$259)</f>
        <v>0</v>
      </c>
      <c r="I24" s="159">
        <f>revenue($A24,I$2,' Model Wise'!$A$2:$C$6,'RCD life cyl Parts'!$A$2:$CF$259)</f>
        <v>0</v>
      </c>
      <c r="J24" s="159">
        <f>revenue($A24,J$2,' Model Wise'!$A$2:$C$6,'RCD life cyl Parts'!$A$2:$CF$259)</f>
        <v>0</v>
      </c>
      <c r="K24" s="159">
        <f>revenue($A24,K$2,' Model Wise'!$A$2:$C$6,'RCD life cyl Parts'!$A$2:$CF$259)</f>
        <v>0</v>
      </c>
      <c r="L24" s="159">
        <f>revenue($A24,L$2,' Model Wise'!$A$2:$C$6,'RCD life cyl Parts'!$A$2:$CF$259)</f>
        <v>0</v>
      </c>
    </row>
    <row r="25" spans="1:12">
      <c r="A25" s="37" t="s">
        <v>52</v>
      </c>
      <c r="B25" s="159" t="str">
        <f>+VLOOKUP(A25,'RCD life cyl Parts'!B:D,3,0)</f>
        <v>SAFETY VALVE AIR RECEIVER</v>
      </c>
      <c r="C25" s="159">
        <f>revenue($A25,C$2,' Model Wise'!$A$2:$C$6,'RCD life cyl Parts'!$A$2:$CF$259)</f>
        <v>628</v>
      </c>
      <c r="D25" s="159">
        <f>revenue($A25,D$2,' Model Wise'!$A$2:$C$6,'RCD life cyl Parts'!$A$2:$CF$259)</f>
        <v>0</v>
      </c>
      <c r="E25" s="159">
        <f>revenue($A25,E$2,' Model Wise'!$A$2:$C$6,'RCD life cyl Parts'!$A$2:$CF$259)</f>
        <v>0</v>
      </c>
      <c r="F25" s="159">
        <f>revenue($A25,F$2,' Model Wise'!$A$2:$C$6,'RCD life cyl Parts'!$A$2:$CF$259)</f>
        <v>628</v>
      </c>
      <c r="G25" s="159">
        <f>revenue($A25,G$2,' Model Wise'!$A$2:$C$6,'RCD life cyl Parts'!$A$2:$CF$259)</f>
        <v>0</v>
      </c>
      <c r="H25" s="159">
        <f>revenue($A25,H$2,' Model Wise'!$A$2:$C$6,'RCD life cyl Parts'!$A$2:$CF$259)</f>
        <v>0</v>
      </c>
      <c r="I25" s="159">
        <f>revenue($A25,I$2,' Model Wise'!$A$2:$C$6,'RCD life cyl Parts'!$A$2:$CF$259)</f>
        <v>0</v>
      </c>
      <c r="J25" s="159">
        <f>revenue($A25,J$2,' Model Wise'!$A$2:$C$6,'RCD life cyl Parts'!$A$2:$CF$259)</f>
        <v>0</v>
      </c>
      <c r="K25" s="159">
        <f>revenue($A25,K$2,' Model Wise'!$A$2:$C$6,'RCD life cyl Parts'!$A$2:$CF$259)</f>
        <v>0</v>
      </c>
      <c r="L25" s="159">
        <f>revenue($A25,L$2,' Model Wise'!$A$2:$C$6,'RCD life cyl Parts'!$A$2:$CF$259)</f>
        <v>0</v>
      </c>
    </row>
    <row r="26" spans="1:12">
      <c r="A26" s="157" t="s">
        <v>54</v>
      </c>
      <c r="B26" s="159" t="str">
        <f>+VLOOKUP(A26,'RCD life cyl Parts'!B:D,3,0)</f>
        <v>V - BELT</v>
      </c>
      <c r="C26" s="159">
        <f>revenue($A26,C$2,' Model Wise'!$A$2:$C$6,'RCD life cyl Parts'!$A$2:$CF$259)</f>
        <v>0</v>
      </c>
      <c r="D26" s="159">
        <f>revenue($A26,D$2,' Model Wise'!$A$2:$C$6,'RCD life cyl Parts'!$A$2:$CF$259)</f>
        <v>0</v>
      </c>
      <c r="E26" s="159">
        <f>revenue($A26,E$2,' Model Wise'!$A$2:$C$6,'RCD life cyl Parts'!$A$2:$CF$259)</f>
        <v>0</v>
      </c>
      <c r="F26" s="159">
        <f>revenue($A26,F$2,' Model Wise'!$A$2:$C$6,'RCD life cyl Parts'!$A$2:$CF$259)</f>
        <v>0</v>
      </c>
      <c r="G26" s="159">
        <f>revenue($A26,G$2,' Model Wise'!$A$2:$C$6,'RCD life cyl Parts'!$A$2:$CF$259)</f>
        <v>0</v>
      </c>
      <c r="H26" s="159">
        <f>revenue($A26,H$2,' Model Wise'!$A$2:$C$6,'RCD life cyl Parts'!$A$2:$CF$259)</f>
        <v>0</v>
      </c>
      <c r="I26" s="159">
        <f>revenue($A26,I$2,' Model Wise'!$A$2:$C$6,'RCD life cyl Parts'!$A$2:$CF$259)</f>
        <v>0</v>
      </c>
      <c r="J26" s="159">
        <f>revenue($A26,J$2,' Model Wise'!$A$2:$C$6,'RCD life cyl Parts'!$A$2:$CF$259)</f>
        <v>0</v>
      </c>
      <c r="K26" s="159">
        <f>revenue($A26,K$2,' Model Wise'!$A$2:$C$6,'RCD life cyl Parts'!$A$2:$CF$259)</f>
        <v>0</v>
      </c>
      <c r="L26" s="159">
        <f>revenue($A26,L$2,' Model Wise'!$A$2:$C$6,'RCD life cyl Parts'!$A$2:$CF$259)</f>
        <v>0</v>
      </c>
    </row>
    <row r="27" spans="1:12">
      <c r="A27" s="157" t="s">
        <v>55</v>
      </c>
      <c r="B27" s="159" t="str">
        <f>+VLOOKUP(A27,'RCD life cyl Parts'!B:D,3,0)</f>
        <v>AFTER COOLER PIPE</v>
      </c>
      <c r="C27" s="159">
        <f>revenue($A27,C$2,' Model Wise'!$A$2:$C$6,'RCD life cyl Parts'!$A$2:$CF$259)</f>
        <v>0</v>
      </c>
      <c r="D27" s="159">
        <f>revenue($A27,D$2,' Model Wise'!$A$2:$C$6,'RCD life cyl Parts'!$A$2:$CF$259)</f>
        <v>0</v>
      </c>
      <c r="E27" s="159">
        <f>revenue($A27,E$2,' Model Wise'!$A$2:$C$6,'RCD life cyl Parts'!$A$2:$CF$259)</f>
        <v>0</v>
      </c>
      <c r="F27" s="159">
        <f>revenue($A27,F$2,' Model Wise'!$A$2:$C$6,'RCD life cyl Parts'!$A$2:$CF$259)</f>
        <v>0</v>
      </c>
      <c r="G27" s="159">
        <f>revenue($A27,G$2,' Model Wise'!$A$2:$C$6,'RCD life cyl Parts'!$A$2:$CF$259)</f>
        <v>0</v>
      </c>
      <c r="H27" s="159">
        <f>revenue($A27,H$2,' Model Wise'!$A$2:$C$6,'RCD life cyl Parts'!$A$2:$CF$259)</f>
        <v>0</v>
      </c>
      <c r="I27" s="159">
        <f>revenue($A27,I$2,' Model Wise'!$A$2:$C$6,'RCD life cyl Parts'!$A$2:$CF$259)</f>
        <v>0</v>
      </c>
      <c r="J27" s="159">
        <f>revenue($A27,J$2,' Model Wise'!$A$2:$C$6,'RCD life cyl Parts'!$A$2:$CF$259)</f>
        <v>0</v>
      </c>
      <c r="K27" s="159">
        <f>revenue($A27,K$2,' Model Wise'!$A$2:$C$6,'RCD life cyl Parts'!$A$2:$CF$259)</f>
        <v>0</v>
      </c>
      <c r="L27" s="159">
        <f>revenue($A27,L$2,' Model Wise'!$A$2:$C$6,'RCD life cyl Parts'!$A$2:$CF$259)</f>
        <v>0</v>
      </c>
    </row>
    <row r="28" spans="1:12">
      <c r="A28" s="156" t="s">
        <v>57</v>
      </c>
      <c r="B28" s="159" t="str">
        <f>+VLOOKUP(A28,'RCD life cyl Parts'!B:D,3,0)</f>
        <v>AIRFILTER ELEMENT</v>
      </c>
      <c r="C28" s="159">
        <f>revenue($A28,C$2,' Model Wise'!$A$2:$C$6,'RCD life cyl Parts'!$A$2:$CF$259)</f>
        <v>0</v>
      </c>
      <c r="D28" s="159">
        <f>revenue($A28,D$2,' Model Wise'!$A$2:$C$6,'RCD life cyl Parts'!$A$2:$CF$259)</f>
        <v>0</v>
      </c>
      <c r="E28" s="159">
        <f>revenue($A28,E$2,' Model Wise'!$A$2:$C$6,'RCD life cyl Parts'!$A$2:$CF$259)</f>
        <v>0</v>
      </c>
      <c r="F28" s="159">
        <f>revenue($A28,F$2,' Model Wise'!$A$2:$C$6,'RCD life cyl Parts'!$A$2:$CF$259)</f>
        <v>0</v>
      </c>
      <c r="G28" s="159">
        <f>revenue($A28,G$2,' Model Wise'!$A$2:$C$6,'RCD life cyl Parts'!$A$2:$CF$259)</f>
        <v>0</v>
      </c>
      <c r="H28" s="159">
        <f>revenue($A28,H$2,' Model Wise'!$A$2:$C$6,'RCD life cyl Parts'!$A$2:$CF$259)</f>
        <v>0</v>
      </c>
      <c r="I28" s="159">
        <f>revenue($A28,I$2,' Model Wise'!$A$2:$C$6,'RCD life cyl Parts'!$A$2:$CF$259)</f>
        <v>0</v>
      </c>
      <c r="J28" s="159">
        <f>revenue($A28,J$2,' Model Wise'!$A$2:$C$6,'RCD life cyl Parts'!$A$2:$CF$259)</f>
        <v>0</v>
      </c>
      <c r="K28" s="159">
        <f>revenue($A28,K$2,' Model Wise'!$A$2:$C$6,'RCD life cyl Parts'!$A$2:$CF$259)</f>
        <v>0</v>
      </c>
      <c r="L28" s="159">
        <f>revenue($A28,L$2,' Model Wise'!$A$2:$C$6,'RCD life cyl Parts'!$A$2:$CF$259)</f>
        <v>0</v>
      </c>
    </row>
    <row r="29" spans="1:12">
      <c r="A29" s="158" t="s">
        <v>58</v>
      </c>
      <c r="B29" s="159" t="str">
        <f>+VLOOKUP(A29,'RCD life cyl Parts'!B:D,3,0)</f>
        <v>BREATHER VALVE</v>
      </c>
      <c r="C29" s="159">
        <f>revenue($A29,C$2,' Model Wise'!$A$2:$C$6,'RCD life cyl Parts'!$A$2:$CF$259)</f>
        <v>0</v>
      </c>
      <c r="D29" s="159">
        <f>revenue($A29,D$2,' Model Wise'!$A$2:$C$6,'RCD life cyl Parts'!$A$2:$CF$259)</f>
        <v>0</v>
      </c>
      <c r="E29" s="159">
        <f>revenue($A29,E$2,' Model Wise'!$A$2:$C$6,'RCD life cyl Parts'!$A$2:$CF$259)</f>
        <v>0</v>
      </c>
      <c r="F29" s="159">
        <f>revenue($A29,F$2,' Model Wise'!$A$2:$C$6,'RCD life cyl Parts'!$A$2:$CF$259)</f>
        <v>0</v>
      </c>
      <c r="G29" s="159">
        <f>revenue($A29,G$2,' Model Wise'!$A$2:$C$6,'RCD life cyl Parts'!$A$2:$CF$259)</f>
        <v>0</v>
      </c>
      <c r="H29" s="159">
        <f>revenue($A29,H$2,' Model Wise'!$A$2:$C$6,'RCD life cyl Parts'!$A$2:$CF$259)</f>
        <v>0</v>
      </c>
      <c r="I29" s="159">
        <f>revenue($A29,I$2,' Model Wise'!$A$2:$C$6,'RCD life cyl Parts'!$A$2:$CF$259)</f>
        <v>0</v>
      </c>
      <c r="J29" s="159">
        <f>revenue($A29,J$2,' Model Wise'!$A$2:$C$6,'RCD life cyl Parts'!$A$2:$CF$259)</f>
        <v>0</v>
      </c>
      <c r="K29" s="159">
        <f>revenue($A29,K$2,' Model Wise'!$A$2:$C$6,'RCD life cyl Parts'!$A$2:$CF$259)</f>
        <v>0</v>
      </c>
      <c r="L29" s="159">
        <f>revenue($A29,L$2,' Model Wise'!$A$2:$C$6,'RCD life cyl Parts'!$A$2:$CF$259)</f>
        <v>0</v>
      </c>
    </row>
    <row r="30" spans="1:12">
      <c r="A30" s="157" t="s">
        <v>59</v>
      </c>
      <c r="B30" s="159" t="str">
        <f>+VLOOKUP(A30,'RCD life cyl Parts'!B:D,3,0)</f>
        <v>PISTON ASSY 90</v>
      </c>
      <c r="C30" s="159">
        <f>revenue($A30,C$2,' Model Wise'!$A$2:$C$6,'RCD life cyl Parts'!$A$2:$CF$259)</f>
        <v>0</v>
      </c>
      <c r="D30" s="159">
        <f>revenue($A30,D$2,' Model Wise'!$A$2:$C$6,'RCD life cyl Parts'!$A$2:$CF$259)</f>
        <v>0</v>
      </c>
      <c r="E30" s="159">
        <f>revenue($A30,E$2,' Model Wise'!$A$2:$C$6,'RCD life cyl Parts'!$A$2:$CF$259)</f>
        <v>0</v>
      </c>
      <c r="F30" s="159">
        <f>revenue($A30,F$2,' Model Wise'!$A$2:$C$6,'RCD life cyl Parts'!$A$2:$CF$259)</f>
        <v>0</v>
      </c>
      <c r="G30" s="159">
        <f>revenue($A30,G$2,' Model Wise'!$A$2:$C$6,'RCD life cyl Parts'!$A$2:$CF$259)</f>
        <v>0</v>
      </c>
      <c r="H30" s="159">
        <f>revenue($A30,H$2,' Model Wise'!$A$2:$C$6,'RCD life cyl Parts'!$A$2:$CF$259)</f>
        <v>0</v>
      </c>
      <c r="I30" s="159">
        <f>revenue($A30,I$2,' Model Wise'!$A$2:$C$6,'RCD life cyl Parts'!$A$2:$CF$259)</f>
        <v>0</v>
      </c>
      <c r="J30" s="159">
        <f>revenue($A30,J$2,' Model Wise'!$A$2:$C$6,'RCD life cyl Parts'!$A$2:$CF$259)</f>
        <v>0</v>
      </c>
      <c r="K30" s="159">
        <f>revenue($A30,K$2,' Model Wise'!$A$2:$C$6,'RCD life cyl Parts'!$A$2:$CF$259)</f>
        <v>0</v>
      </c>
      <c r="L30" s="159">
        <f>revenue($A30,L$2,' Model Wise'!$A$2:$C$6,'RCD life cyl Parts'!$A$2:$CF$259)</f>
        <v>0</v>
      </c>
    </row>
    <row r="31" spans="1:12">
      <c r="A31" s="157" t="s">
        <v>61</v>
      </c>
      <c r="B31" s="159" t="str">
        <f>+VLOOKUP(A31,'RCD life cyl Parts'!B:D,3,0)</f>
        <v>CYLINDER ASSY 90</v>
      </c>
      <c r="C31" s="159">
        <f>revenue($A31,C$2,' Model Wise'!$A$2:$C$6,'RCD life cyl Parts'!$A$2:$CF$259)</f>
        <v>0</v>
      </c>
      <c r="D31" s="159">
        <f>revenue($A31,D$2,' Model Wise'!$A$2:$C$6,'RCD life cyl Parts'!$A$2:$CF$259)</f>
        <v>0</v>
      </c>
      <c r="E31" s="159">
        <f>revenue($A31,E$2,' Model Wise'!$A$2:$C$6,'RCD life cyl Parts'!$A$2:$CF$259)</f>
        <v>0</v>
      </c>
      <c r="F31" s="159">
        <f>revenue($A31,F$2,' Model Wise'!$A$2:$C$6,'RCD life cyl Parts'!$A$2:$CF$259)</f>
        <v>0</v>
      </c>
      <c r="G31" s="159">
        <f>revenue($A31,G$2,' Model Wise'!$A$2:$C$6,'RCD life cyl Parts'!$A$2:$CF$259)</f>
        <v>0</v>
      </c>
      <c r="H31" s="159">
        <f>revenue($A31,H$2,' Model Wise'!$A$2:$C$6,'RCD life cyl Parts'!$A$2:$CF$259)</f>
        <v>0</v>
      </c>
      <c r="I31" s="159">
        <f>revenue($A31,I$2,' Model Wise'!$A$2:$C$6,'RCD life cyl Parts'!$A$2:$CF$259)</f>
        <v>0</v>
      </c>
      <c r="J31" s="159">
        <f>revenue($A31,J$2,' Model Wise'!$A$2:$C$6,'RCD life cyl Parts'!$A$2:$CF$259)</f>
        <v>0</v>
      </c>
      <c r="K31" s="159">
        <f>revenue($A31,K$2,' Model Wise'!$A$2:$C$6,'RCD life cyl Parts'!$A$2:$CF$259)</f>
        <v>0</v>
      </c>
      <c r="L31" s="159">
        <f>revenue($A31,L$2,' Model Wise'!$A$2:$C$6,'RCD life cyl Parts'!$A$2:$CF$259)</f>
        <v>0</v>
      </c>
    </row>
    <row r="32" spans="1:12">
      <c r="A32" s="158" t="s">
        <v>63</v>
      </c>
      <c r="B32" s="159" t="str">
        <f>+VLOOKUP(A32,'RCD life cyl Parts'!B:D,3,0)</f>
        <v>CYLINDER HEAD 90</v>
      </c>
      <c r="C32" s="159">
        <f>revenue($A32,C$2,' Model Wise'!$A$2:$C$6,'RCD life cyl Parts'!$A$2:$CF$259)</f>
        <v>0</v>
      </c>
      <c r="D32" s="159">
        <f>revenue($A32,D$2,' Model Wise'!$A$2:$C$6,'RCD life cyl Parts'!$A$2:$CF$259)</f>
        <v>0</v>
      </c>
      <c r="E32" s="159">
        <f>revenue($A32,E$2,' Model Wise'!$A$2:$C$6,'RCD life cyl Parts'!$A$2:$CF$259)</f>
        <v>0</v>
      </c>
      <c r="F32" s="159">
        <f>revenue($A32,F$2,' Model Wise'!$A$2:$C$6,'RCD life cyl Parts'!$A$2:$CF$259)</f>
        <v>0</v>
      </c>
      <c r="G32" s="159">
        <f>revenue($A32,G$2,' Model Wise'!$A$2:$C$6,'RCD life cyl Parts'!$A$2:$CF$259)</f>
        <v>0</v>
      </c>
      <c r="H32" s="159">
        <f>revenue($A32,H$2,' Model Wise'!$A$2:$C$6,'RCD life cyl Parts'!$A$2:$CF$259)</f>
        <v>0</v>
      </c>
      <c r="I32" s="159">
        <f>revenue($A32,I$2,' Model Wise'!$A$2:$C$6,'RCD life cyl Parts'!$A$2:$CF$259)</f>
        <v>0</v>
      </c>
      <c r="J32" s="159">
        <f>revenue($A32,J$2,' Model Wise'!$A$2:$C$6,'RCD life cyl Parts'!$A$2:$CF$259)</f>
        <v>0</v>
      </c>
      <c r="K32" s="159">
        <f>revenue($A32,K$2,' Model Wise'!$A$2:$C$6,'RCD life cyl Parts'!$A$2:$CF$259)</f>
        <v>0</v>
      </c>
      <c r="L32" s="159">
        <f>revenue($A32,L$2,' Model Wise'!$A$2:$C$6,'RCD life cyl Parts'!$A$2:$CF$259)</f>
        <v>0</v>
      </c>
    </row>
    <row r="33" spans="1:12">
      <c r="A33" s="157" t="s">
        <v>65</v>
      </c>
      <c r="B33" s="159" t="str">
        <f>+VLOOKUP(A33,'RCD life cyl Parts'!B:D,3,0)</f>
        <v>V - BELT</v>
      </c>
      <c r="C33" s="159">
        <f>revenue($A33,C$2,' Model Wise'!$A$2:$C$6,'RCD life cyl Parts'!$A$2:$CF$259)</f>
        <v>0</v>
      </c>
      <c r="D33" s="159">
        <f>revenue($A33,D$2,' Model Wise'!$A$2:$C$6,'RCD life cyl Parts'!$A$2:$CF$259)</f>
        <v>0</v>
      </c>
      <c r="E33" s="159">
        <f>revenue($A33,E$2,' Model Wise'!$A$2:$C$6,'RCD life cyl Parts'!$A$2:$CF$259)</f>
        <v>0</v>
      </c>
      <c r="F33" s="159">
        <f>revenue($A33,F$2,' Model Wise'!$A$2:$C$6,'RCD life cyl Parts'!$A$2:$CF$259)</f>
        <v>0</v>
      </c>
      <c r="G33" s="159">
        <f>revenue($A33,G$2,' Model Wise'!$A$2:$C$6,'RCD life cyl Parts'!$A$2:$CF$259)</f>
        <v>0</v>
      </c>
      <c r="H33" s="159">
        <f>revenue($A33,H$2,' Model Wise'!$A$2:$C$6,'RCD life cyl Parts'!$A$2:$CF$259)</f>
        <v>0</v>
      </c>
      <c r="I33" s="159">
        <f>revenue($A33,I$2,' Model Wise'!$A$2:$C$6,'RCD life cyl Parts'!$A$2:$CF$259)</f>
        <v>0</v>
      </c>
      <c r="J33" s="159">
        <f>revenue($A33,J$2,' Model Wise'!$A$2:$C$6,'RCD life cyl Parts'!$A$2:$CF$259)</f>
        <v>0</v>
      </c>
      <c r="K33" s="159">
        <f>revenue($A33,K$2,' Model Wise'!$A$2:$C$6,'RCD life cyl Parts'!$A$2:$CF$259)</f>
        <v>0</v>
      </c>
      <c r="L33" s="159">
        <f>revenue($A33,L$2,' Model Wise'!$A$2:$C$6,'RCD life cyl Parts'!$A$2:$CF$259)</f>
        <v>0</v>
      </c>
    </row>
    <row r="34" spans="1:12">
      <c r="A34" s="157" t="s">
        <v>66</v>
      </c>
      <c r="B34" s="159" t="str">
        <f>+VLOOKUP(A34,'RCD life cyl Parts'!B:D,3,0)</f>
        <v xml:space="preserve">INTER COOLER </v>
      </c>
      <c r="C34" s="159">
        <f>revenue($A34,C$2,' Model Wise'!$A$2:$C$6,'RCD life cyl Parts'!$A$2:$CF$259)</f>
        <v>0</v>
      </c>
      <c r="D34" s="159">
        <f>revenue($A34,D$2,' Model Wise'!$A$2:$C$6,'RCD life cyl Parts'!$A$2:$CF$259)</f>
        <v>0</v>
      </c>
      <c r="E34" s="159">
        <f>revenue($A34,E$2,' Model Wise'!$A$2:$C$6,'RCD life cyl Parts'!$A$2:$CF$259)</f>
        <v>0</v>
      </c>
      <c r="F34" s="159">
        <f>revenue($A34,F$2,' Model Wise'!$A$2:$C$6,'RCD life cyl Parts'!$A$2:$CF$259)</f>
        <v>0</v>
      </c>
      <c r="G34" s="159">
        <f>revenue($A34,G$2,' Model Wise'!$A$2:$C$6,'RCD life cyl Parts'!$A$2:$CF$259)</f>
        <v>0</v>
      </c>
      <c r="H34" s="159">
        <f>revenue($A34,H$2,' Model Wise'!$A$2:$C$6,'RCD life cyl Parts'!$A$2:$CF$259)</f>
        <v>0</v>
      </c>
      <c r="I34" s="159">
        <f>revenue($A34,I$2,' Model Wise'!$A$2:$C$6,'RCD life cyl Parts'!$A$2:$CF$259)</f>
        <v>0</v>
      </c>
      <c r="J34" s="159">
        <f>revenue($A34,J$2,' Model Wise'!$A$2:$C$6,'RCD life cyl Parts'!$A$2:$CF$259)</f>
        <v>0</v>
      </c>
      <c r="K34" s="159">
        <f>revenue($A34,K$2,' Model Wise'!$A$2:$C$6,'RCD life cyl Parts'!$A$2:$CF$259)</f>
        <v>0</v>
      </c>
      <c r="L34" s="159">
        <f>revenue($A34,L$2,' Model Wise'!$A$2:$C$6,'RCD life cyl Parts'!$A$2:$CF$259)</f>
        <v>0</v>
      </c>
    </row>
    <row r="35" spans="1:12">
      <c r="A35" s="157" t="s">
        <v>67</v>
      </c>
      <c r="B35" s="159" t="str">
        <f>+VLOOKUP(A35,'RCD life cyl Parts'!B:D,3,0)</f>
        <v>AFTER COOLER PIPE</v>
      </c>
      <c r="C35" s="159">
        <f>revenue($A35,C$2,' Model Wise'!$A$2:$C$6,'RCD life cyl Parts'!$A$2:$CF$259)</f>
        <v>0</v>
      </c>
      <c r="D35" s="159">
        <f>revenue($A35,D$2,' Model Wise'!$A$2:$C$6,'RCD life cyl Parts'!$A$2:$CF$259)</f>
        <v>0</v>
      </c>
      <c r="E35" s="159">
        <f>revenue($A35,E$2,' Model Wise'!$A$2:$C$6,'RCD life cyl Parts'!$A$2:$CF$259)</f>
        <v>0</v>
      </c>
      <c r="F35" s="159">
        <f>revenue($A35,F$2,' Model Wise'!$A$2:$C$6,'RCD life cyl Parts'!$A$2:$CF$259)</f>
        <v>0</v>
      </c>
      <c r="G35" s="159">
        <f>revenue($A35,G$2,' Model Wise'!$A$2:$C$6,'RCD life cyl Parts'!$A$2:$CF$259)</f>
        <v>0</v>
      </c>
      <c r="H35" s="159">
        <f>revenue($A35,H$2,' Model Wise'!$A$2:$C$6,'RCD life cyl Parts'!$A$2:$CF$259)</f>
        <v>0</v>
      </c>
      <c r="I35" s="159">
        <f>revenue($A35,I$2,' Model Wise'!$A$2:$C$6,'RCD life cyl Parts'!$A$2:$CF$259)</f>
        <v>0</v>
      </c>
      <c r="J35" s="159">
        <f>revenue($A35,J$2,' Model Wise'!$A$2:$C$6,'RCD life cyl Parts'!$A$2:$CF$259)</f>
        <v>0</v>
      </c>
      <c r="K35" s="159">
        <f>revenue($A35,K$2,' Model Wise'!$A$2:$C$6,'RCD life cyl Parts'!$A$2:$CF$259)</f>
        <v>0</v>
      </c>
      <c r="L35" s="159">
        <f>revenue($A35,L$2,' Model Wise'!$A$2:$C$6,'RCD life cyl Parts'!$A$2:$CF$259)</f>
        <v>0</v>
      </c>
    </row>
    <row r="36" spans="1:12">
      <c r="A36" s="157" t="s">
        <v>68</v>
      </c>
      <c r="B36" s="159" t="str">
        <f>+VLOOKUP(A36,'RCD life cyl Parts'!B:D,3,0)</f>
        <v>TUNE UP KIT</v>
      </c>
      <c r="C36" s="159">
        <f>revenue($A36,C$2,' Model Wise'!$A$2:$C$6,'RCD life cyl Parts'!$A$2:$CF$259)</f>
        <v>0</v>
      </c>
      <c r="D36" s="159">
        <f>revenue($A36,D$2,' Model Wise'!$A$2:$C$6,'RCD life cyl Parts'!$A$2:$CF$259)</f>
        <v>0</v>
      </c>
      <c r="E36" s="159">
        <f>revenue($A36,E$2,' Model Wise'!$A$2:$C$6,'RCD life cyl Parts'!$A$2:$CF$259)</f>
        <v>0</v>
      </c>
      <c r="F36" s="159">
        <f>revenue($A36,F$2,' Model Wise'!$A$2:$C$6,'RCD life cyl Parts'!$A$2:$CF$259)</f>
        <v>0</v>
      </c>
      <c r="G36" s="159">
        <f>revenue($A36,G$2,' Model Wise'!$A$2:$C$6,'RCD life cyl Parts'!$A$2:$CF$259)</f>
        <v>0</v>
      </c>
      <c r="H36" s="159">
        <f>revenue($A36,H$2,' Model Wise'!$A$2:$C$6,'RCD life cyl Parts'!$A$2:$CF$259)</f>
        <v>0</v>
      </c>
      <c r="I36" s="159">
        <f>revenue($A36,I$2,' Model Wise'!$A$2:$C$6,'RCD life cyl Parts'!$A$2:$CF$259)</f>
        <v>0</v>
      </c>
      <c r="J36" s="159">
        <f>revenue($A36,J$2,' Model Wise'!$A$2:$C$6,'RCD life cyl Parts'!$A$2:$CF$259)</f>
        <v>0</v>
      </c>
      <c r="K36" s="159">
        <f>revenue($A36,K$2,' Model Wise'!$A$2:$C$6,'RCD life cyl Parts'!$A$2:$CF$259)</f>
        <v>0</v>
      </c>
      <c r="L36" s="159">
        <f>revenue($A36,L$2,' Model Wise'!$A$2:$C$6,'RCD life cyl Parts'!$A$2:$CF$259)</f>
        <v>0</v>
      </c>
    </row>
    <row r="37" spans="1:12">
      <c r="A37" s="156" t="s">
        <v>70</v>
      </c>
      <c r="B37" s="159" t="str">
        <f>+VLOOKUP(A37,'RCD life cyl Parts'!B:D,3,0)</f>
        <v>Air filter assy</v>
      </c>
      <c r="C37" s="159">
        <f>revenue($A37,C$2,' Model Wise'!$A$2:$C$6,'RCD life cyl Parts'!$A$2:$CF$259)</f>
        <v>0</v>
      </c>
      <c r="D37" s="159">
        <f>revenue($A37,D$2,' Model Wise'!$A$2:$C$6,'RCD life cyl Parts'!$A$2:$CF$259)</f>
        <v>0</v>
      </c>
      <c r="E37" s="159">
        <f>revenue($A37,E$2,' Model Wise'!$A$2:$C$6,'RCD life cyl Parts'!$A$2:$CF$259)</f>
        <v>0</v>
      </c>
      <c r="F37" s="159">
        <f>revenue($A37,F$2,' Model Wise'!$A$2:$C$6,'RCD life cyl Parts'!$A$2:$CF$259)</f>
        <v>0</v>
      </c>
      <c r="G37" s="159">
        <f>revenue($A37,G$2,' Model Wise'!$A$2:$C$6,'RCD life cyl Parts'!$A$2:$CF$259)</f>
        <v>0</v>
      </c>
      <c r="H37" s="159">
        <f>revenue($A37,H$2,' Model Wise'!$A$2:$C$6,'RCD life cyl Parts'!$A$2:$CF$259)</f>
        <v>0</v>
      </c>
      <c r="I37" s="159">
        <f>revenue($A37,I$2,' Model Wise'!$A$2:$C$6,'RCD life cyl Parts'!$A$2:$CF$259)</f>
        <v>0</v>
      </c>
      <c r="J37" s="159">
        <f>revenue($A37,J$2,' Model Wise'!$A$2:$C$6,'RCD life cyl Parts'!$A$2:$CF$259)</f>
        <v>0</v>
      </c>
      <c r="K37" s="159">
        <f>revenue($A37,K$2,' Model Wise'!$A$2:$C$6,'RCD life cyl Parts'!$A$2:$CF$259)</f>
        <v>0</v>
      </c>
      <c r="L37" s="159">
        <f>revenue($A37,L$2,' Model Wise'!$A$2:$C$6,'RCD life cyl Parts'!$A$2:$CF$259)</f>
        <v>0</v>
      </c>
    </row>
    <row r="38" spans="1:12">
      <c r="A38" s="157" t="s">
        <v>72</v>
      </c>
      <c r="B38" s="159" t="str">
        <f>+VLOOKUP(A38,'RCD life cyl Parts'!B:D,3,0)</f>
        <v>NRV VALVE KIT</v>
      </c>
      <c r="C38" s="159">
        <f>revenue($A38,C$2,' Model Wise'!$A$2:$C$6,'RCD life cyl Parts'!$A$2:$CF$259)</f>
        <v>0</v>
      </c>
      <c r="D38" s="159">
        <f>revenue($A38,D$2,' Model Wise'!$A$2:$C$6,'RCD life cyl Parts'!$A$2:$CF$259)</f>
        <v>0</v>
      </c>
      <c r="E38" s="159">
        <f>revenue($A38,E$2,' Model Wise'!$A$2:$C$6,'RCD life cyl Parts'!$A$2:$CF$259)</f>
        <v>0</v>
      </c>
      <c r="F38" s="159">
        <f>revenue($A38,F$2,' Model Wise'!$A$2:$C$6,'RCD life cyl Parts'!$A$2:$CF$259)</f>
        <v>0</v>
      </c>
      <c r="G38" s="159">
        <f>revenue($A38,G$2,' Model Wise'!$A$2:$C$6,'RCD life cyl Parts'!$A$2:$CF$259)</f>
        <v>0</v>
      </c>
      <c r="H38" s="159">
        <f>revenue($A38,H$2,' Model Wise'!$A$2:$C$6,'RCD life cyl Parts'!$A$2:$CF$259)</f>
        <v>0</v>
      </c>
      <c r="I38" s="159">
        <f>revenue($A38,I$2,' Model Wise'!$A$2:$C$6,'RCD life cyl Parts'!$A$2:$CF$259)</f>
        <v>0</v>
      </c>
      <c r="J38" s="159">
        <f>revenue($A38,J$2,' Model Wise'!$A$2:$C$6,'RCD life cyl Parts'!$A$2:$CF$259)</f>
        <v>0</v>
      </c>
      <c r="K38" s="159">
        <f>revenue($A38,K$2,' Model Wise'!$A$2:$C$6,'RCD life cyl Parts'!$A$2:$CF$259)</f>
        <v>0</v>
      </c>
      <c r="L38" s="159">
        <f>revenue($A38,L$2,' Model Wise'!$A$2:$C$6,'RCD life cyl Parts'!$A$2:$CF$259)</f>
        <v>0</v>
      </c>
    </row>
    <row r="39" spans="1:12">
      <c r="A39" s="157" t="s">
        <v>73</v>
      </c>
      <c r="B39" s="159" t="str">
        <f>+VLOOKUP(A39,'RCD life cyl Parts'!B:D,3,0)</f>
        <v>PISTON ASSY 78</v>
      </c>
      <c r="C39" s="159">
        <f>revenue($A39,C$2,' Model Wise'!$A$2:$C$6,'RCD life cyl Parts'!$A$2:$CF$259)</f>
        <v>0</v>
      </c>
      <c r="D39" s="159">
        <f>revenue($A39,D$2,' Model Wise'!$A$2:$C$6,'RCD life cyl Parts'!$A$2:$CF$259)</f>
        <v>0</v>
      </c>
      <c r="E39" s="159">
        <f>revenue($A39,E$2,' Model Wise'!$A$2:$C$6,'RCD life cyl Parts'!$A$2:$CF$259)</f>
        <v>0</v>
      </c>
      <c r="F39" s="159">
        <f>revenue($A39,F$2,' Model Wise'!$A$2:$C$6,'RCD life cyl Parts'!$A$2:$CF$259)</f>
        <v>0</v>
      </c>
      <c r="G39" s="159">
        <f>revenue($A39,G$2,' Model Wise'!$A$2:$C$6,'RCD life cyl Parts'!$A$2:$CF$259)</f>
        <v>0</v>
      </c>
      <c r="H39" s="159">
        <f>revenue($A39,H$2,' Model Wise'!$A$2:$C$6,'RCD life cyl Parts'!$A$2:$CF$259)</f>
        <v>0</v>
      </c>
      <c r="I39" s="159">
        <f>revenue($A39,I$2,' Model Wise'!$A$2:$C$6,'RCD life cyl Parts'!$A$2:$CF$259)</f>
        <v>0</v>
      </c>
      <c r="J39" s="159">
        <f>revenue($A39,J$2,' Model Wise'!$A$2:$C$6,'RCD life cyl Parts'!$A$2:$CF$259)</f>
        <v>0</v>
      </c>
      <c r="K39" s="159">
        <f>revenue($A39,K$2,' Model Wise'!$A$2:$C$6,'RCD life cyl Parts'!$A$2:$CF$259)</f>
        <v>0</v>
      </c>
      <c r="L39" s="159">
        <f>revenue($A39,L$2,' Model Wise'!$A$2:$C$6,'RCD life cyl Parts'!$A$2:$CF$259)</f>
        <v>0</v>
      </c>
    </row>
    <row r="40" spans="1:12">
      <c r="A40" s="157" t="s">
        <v>75</v>
      </c>
      <c r="B40" s="159" t="str">
        <f>+VLOOKUP(A40,'RCD life cyl Parts'!B:D,3,0)</f>
        <v>PISTON ASSY 50</v>
      </c>
      <c r="C40" s="159">
        <f>revenue($A40,C$2,' Model Wise'!$A$2:$C$6,'RCD life cyl Parts'!$A$2:$CF$259)</f>
        <v>0</v>
      </c>
      <c r="D40" s="159">
        <f>revenue($A40,D$2,' Model Wise'!$A$2:$C$6,'RCD life cyl Parts'!$A$2:$CF$259)</f>
        <v>0</v>
      </c>
      <c r="E40" s="159">
        <f>revenue($A40,E$2,' Model Wise'!$A$2:$C$6,'RCD life cyl Parts'!$A$2:$CF$259)</f>
        <v>0</v>
      </c>
      <c r="F40" s="159">
        <f>revenue($A40,F$2,' Model Wise'!$A$2:$C$6,'RCD life cyl Parts'!$A$2:$CF$259)</f>
        <v>0</v>
      </c>
      <c r="G40" s="159">
        <f>revenue($A40,G$2,' Model Wise'!$A$2:$C$6,'RCD life cyl Parts'!$A$2:$CF$259)</f>
        <v>0</v>
      </c>
      <c r="H40" s="159">
        <f>revenue($A40,H$2,' Model Wise'!$A$2:$C$6,'RCD life cyl Parts'!$A$2:$CF$259)</f>
        <v>0</v>
      </c>
      <c r="I40" s="159">
        <f>revenue($A40,I$2,' Model Wise'!$A$2:$C$6,'RCD life cyl Parts'!$A$2:$CF$259)</f>
        <v>0</v>
      </c>
      <c r="J40" s="159">
        <f>revenue($A40,J$2,' Model Wise'!$A$2:$C$6,'RCD life cyl Parts'!$A$2:$CF$259)</f>
        <v>0</v>
      </c>
      <c r="K40" s="159">
        <f>revenue($A40,K$2,' Model Wise'!$A$2:$C$6,'RCD life cyl Parts'!$A$2:$CF$259)</f>
        <v>0</v>
      </c>
      <c r="L40" s="159">
        <f>revenue($A40,L$2,' Model Wise'!$A$2:$C$6,'RCD life cyl Parts'!$A$2:$CF$259)</f>
        <v>0</v>
      </c>
    </row>
    <row r="41" spans="1:12">
      <c r="A41" s="157" t="s">
        <v>76</v>
      </c>
      <c r="B41" s="159" t="str">
        <f>+VLOOKUP(A41,'RCD life cyl Parts'!B:D,3,0)</f>
        <v>CYLINDER ASSY 78</v>
      </c>
      <c r="C41" s="159">
        <f>revenue($A41,C$2,' Model Wise'!$A$2:$C$6,'RCD life cyl Parts'!$A$2:$CF$259)</f>
        <v>0</v>
      </c>
      <c r="D41" s="159">
        <f>revenue($A41,D$2,' Model Wise'!$A$2:$C$6,'RCD life cyl Parts'!$A$2:$CF$259)</f>
        <v>0</v>
      </c>
      <c r="E41" s="159">
        <f>revenue($A41,E$2,' Model Wise'!$A$2:$C$6,'RCD life cyl Parts'!$A$2:$CF$259)</f>
        <v>0</v>
      </c>
      <c r="F41" s="159">
        <f>revenue($A41,F$2,' Model Wise'!$A$2:$C$6,'RCD life cyl Parts'!$A$2:$CF$259)</f>
        <v>0</v>
      </c>
      <c r="G41" s="159">
        <f>revenue($A41,G$2,' Model Wise'!$A$2:$C$6,'RCD life cyl Parts'!$A$2:$CF$259)</f>
        <v>0</v>
      </c>
      <c r="H41" s="159">
        <f>revenue($A41,H$2,' Model Wise'!$A$2:$C$6,'RCD life cyl Parts'!$A$2:$CF$259)</f>
        <v>0</v>
      </c>
      <c r="I41" s="159">
        <f>revenue($A41,I$2,' Model Wise'!$A$2:$C$6,'RCD life cyl Parts'!$A$2:$CF$259)</f>
        <v>0</v>
      </c>
      <c r="J41" s="159">
        <f>revenue($A41,J$2,' Model Wise'!$A$2:$C$6,'RCD life cyl Parts'!$A$2:$CF$259)</f>
        <v>0</v>
      </c>
      <c r="K41" s="159">
        <f>revenue($A41,K$2,' Model Wise'!$A$2:$C$6,'RCD life cyl Parts'!$A$2:$CF$259)</f>
        <v>0</v>
      </c>
      <c r="L41" s="159">
        <f>revenue($A41,L$2,' Model Wise'!$A$2:$C$6,'RCD life cyl Parts'!$A$2:$CF$259)</f>
        <v>0</v>
      </c>
    </row>
    <row r="42" spans="1:12">
      <c r="A42" s="157" t="s">
        <v>78</v>
      </c>
      <c r="B42" s="159" t="str">
        <f>+VLOOKUP(A42,'RCD life cyl Parts'!B:D,3,0)</f>
        <v>CYLINDER ASSY 50</v>
      </c>
      <c r="C42" s="159">
        <f>revenue($A42,C$2,' Model Wise'!$A$2:$C$6,'RCD life cyl Parts'!$A$2:$CF$259)</f>
        <v>0</v>
      </c>
      <c r="D42" s="159">
        <f>revenue($A42,D$2,' Model Wise'!$A$2:$C$6,'RCD life cyl Parts'!$A$2:$CF$259)</f>
        <v>0</v>
      </c>
      <c r="E42" s="159">
        <f>revenue($A42,E$2,' Model Wise'!$A$2:$C$6,'RCD life cyl Parts'!$A$2:$CF$259)</f>
        <v>0</v>
      </c>
      <c r="F42" s="159">
        <f>revenue($A42,F$2,' Model Wise'!$A$2:$C$6,'RCD life cyl Parts'!$A$2:$CF$259)</f>
        <v>0</v>
      </c>
      <c r="G42" s="159">
        <f>revenue($A42,G$2,' Model Wise'!$A$2:$C$6,'RCD life cyl Parts'!$A$2:$CF$259)</f>
        <v>0</v>
      </c>
      <c r="H42" s="159">
        <f>revenue($A42,H$2,' Model Wise'!$A$2:$C$6,'RCD life cyl Parts'!$A$2:$CF$259)</f>
        <v>0</v>
      </c>
      <c r="I42" s="159">
        <f>revenue($A42,I$2,' Model Wise'!$A$2:$C$6,'RCD life cyl Parts'!$A$2:$CF$259)</f>
        <v>0</v>
      </c>
      <c r="J42" s="159">
        <f>revenue($A42,J$2,' Model Wise'!$A$2:$C$6,'RCD life cyl Parts'!$A$2:$CF$259)</f>
        <v>0</v>
      </c>
      <c r="K42" s="159">
        <f>revenue($A42,K$2,' Model Wise'!$A$2:$C$6,'RCD life cyl Parts'!$A$2:$CF$259)</f>
        <v>0</v>
      </c>
      <c r="L42" s="159">
        <f>revenue($A42,L$2,' Model Wise'!$A$2:$C$6,'RCD life cyl Parts'!$A$2:$CF$259)</f>
        <v>0</v>
      </c>
    </row>
    <row r="43" spans="1:12">
      <c r="A43" s="158" t="s">
        <v>79</v>
      </c>
      <c r="B43" s="159" t="str">
        <f>+VLOOKUP(A43,'RCD life cyl Parts'!B:D,3,0)</f>
        <v>CYLINDER HEAD 78</v>
      </c>
      <c r="C43" s="159">
        <f>revenue($A43,C$2,' Model Wise'!$A$2:$C$6,'RCD life cyl Parts'!$A$2:$CF$259)</f>
        <v>0</v>
      </c>
      <c r="D43" s="159">
        <f>revenue($A43,D$2,' Model Wise'!$A$2:$C$6,'RCD life cyl Parts'!$A$2:$CF$259)</f>
        <v>0</v>
      </c>
      <c r="E43" s="159">
        <f>revenue($A43,E$2,' Model Wise'!$A$2:$C$6,'RCD life cyl Parts'!$A$2:$CF$259)</f>
        <v>0</v>
      </c>
      <c r="F43" s="159">
        <f>revenue($A43,F$2,' Model Wise'!$A$2:$C$6,'RCD life cyl Parts'!$A$2:$CF$259)</f>
        <v>0</v>
      </c>
      <c r="G43" s="159">
        <f>revenue($A43,G$2,' Model Wise'!$A$2:$C$6,'RCD life cyl Parts'!$A$2:$CF$259)</f>
        <v>0</v>
      </c>
      <c r="H43" s="159">
        <f>revenue($A43,H$2,' Model Wise'!$A$2:$C$6,'RCD life cyl Parts'!$A$2:$CF$259)</f>
        <v>0</v>
      </c>
      <c r="I43" s="159">
        <f>revenue($A43,I$2,' Model Wise'!$A$2:$C$6,'RCD life cyl Parts'!$A$2:$CF$259)</f>
        <v>0</v>
      </c>
      <c r="J43" s="159">
        <f>revenue($A43,J$2,' Model Wise'!$A$2:$C$6,'RCD life cyl Parts'!$A$2:$CF$259)</f>
        <v>0</v>
      </c>
      <c r="K43" s="159">
        <f>revenue($A43,K$2,' Model Wise'!$A$2:$C$6,'RCD life cyl Parts'!$A$2:$CF$259)</f>
        <v>0</v>
      </c>
      <c r="L43" s="159">
        <f>revenue($A43,L$2,' Model Wise'!$A$2:$C$6,'RCD life cyl Parts'!$A$2:$CF$259)</f>
        <v>0</v>
      </c>
    </row>
    <row r="44" spans="1:12">
      <c r="A44" s="158" t="s">
        <v>81</v>
      </c>
      <c r="B44" s="159" t="str">
        <f>+VLOOKUP(A44,'RCD life cyl Parts'!B:D,3,0)</f>
        <v>CYLINDER HEAD 50</v>
      </c>
      <c r="C44" s="159">
        <f>revenue($A44,C$2,' Model Wise'!$A$2:$C$6,'RCD life cyl Parts'!$A$2:$CF$259)</f>
        <v>0</v>
      </c>
      <c r="D44" s="159">
        <f>revenue($A44,D$2,' Model Wise'!$A$2:$C$6,'RCD life cyl Parts'!$A$2:$CF$259)</f>
        <v>0</v>
      </c>
      <c r="E44" s="159">
        <f>revenue($A44,E$2,' Model Wise'!$A$2:$C$6,'RCD life cyl Parts'!$A$2:$CF$259)</f>
        <v>0</v>
      </c>
      <c r="F44" s="159">
        <f>revenue($A44,F$2,' Model Wise'!$A$2:$C$6,'RCD life cyl Parts'!$A$2:$CF$259)</f>
        <v>0</v>
      </c>
      <c r="G44" s="159">
        <f>revenue($A44,G$2,' Model Wise'!$A$2:$C$6,'RCD life cyl Parts'!$A$2:$CF$259)</f>
        <v>0</v>
      </c>
      <c r="H44" s="159">
        <f>revenue($A44,H$2,' Model Wise'!$A$2:$C$6,'RCD life cyl Parts'!$A$2:$CF$259)</f>
        <v>0</v>
      </c>
      <c r="I44" s="159">
        <f>revenue($A44,I$2,' Model Wise'!$A$2:$C$6,'RCD life cyl Parts'!$A$2:$CF$259)</f>
        <v>0</v>
      </c>
      <c r="J44" s="159">
        <f>revenue($A44,J$2,' Model Wise'!$A$2:$C$6,'RCD life cyl Parts'!$A$2:$CF$259)</f>
        <v>0</v>
      </c>
      <c r="K44" s="159">
        <f>revenue($A44,K$2,' Model Wise'!$A$2:$C$6,'RCD life cyl Parts'!$A$2:$CF$259)</f>
        <v>0</v>
      </c>
      <c r="L44" s="159">
        <f>revenue($A44,L$2,' Model Wise'!$A$2:$C$6,'RCD life cyl Parts'!$A$2:$CF$259)</f>
        <v>0</v>
      </c>
    </row>
    <row r="45" spans="1:12">
      <c r="A45" s="157" t="s">
        <v>82</v>
      </c>
      <c r="B45" s="159" t="str">
        <f>+VLOOKUP(A45,'RCD life cyl Parts'!B:D,3,0)</f>
        <v>C/SHAFT ASSY WITH BEARINGS</v>
      </c>
      <c r="C45" s="159">
        <f>revenue($A45,C$2,' Model Wise'!$A$2:$C$6,'RCD life cyl Parts'!$A$2:$CF$259)</f>
        <v>0</v>
      </c>
      <c r="D45" s="159">
        <f>revenue($A45,D$2,' Model Wise'!$A$2:$C$6,'RCD life cyl Parts'!$A$2:$CF$259)</f>
        <v>0</v>
      </c>
      <c r="E45" s="159">
        <f>revenue($A45,E$2,' Model Wise'!$A$2:$C$6,'RCD life cyl Parts'!$A$2:$CF$259)</f>
        <v>0</v>
      </c>
      <c r="F45" s="159">
        <f>revenue($A45,F$2,' Model Wise'!$A$2:$C$6,'RCD life cyl Parts'!$A$2:$CF$259)</f>
        <v>0</v>
      </c>
      <c r="G45" s="159">
        <f>revenue($A45,G$2,' Model Wise'!$A$2:$C$6,'RCD life cyl Parts'!$A$2:$CF$259)</f>
        <v>0</v>
      </c>
      <c r="H45" s="159">
        <f>revenue($A45,H$2,' Model Wise'!$A$2:$C$6,'RCD life cyl Parts'!$A$2:$CF$259)</f>
        <v>0</v>
      </c>
      <c r="I45" s="159">
        <f>revenue($A45,I$2,' Model Wise'!$A$2:$C$6,'RCD life cyl Parts'!$A$2:$CF$259)</f>
        <v>0</v>
      </c>
      <c r="J45" s="159">
        <f>revenue($A45,J$2,' Model Wise'!$A$2:$C$6,'RCD life cyl Parts'!$A$2:$CF$259)</f>
        <v>0</v>
      </c>
      <c r="K45" s="159">
        <f>revenue($A45,K$2,' Model Wise'!$A$2:$C$6,'RCD life cyl Parts'!$A$2:$CF$259)</f>
        <v>0</v>
      </c>
      <c r="L45" s="159">
        <f>revenue($A45,L$2,' Model Wise'!$A$2:$C$6,'RCD life cyl Parts'!$A$2:$CF$259)</f>
        <v>0</v>
      </c>
    </row>
    <row r="46" spans="1:12">
      <c r="A46" s="157" t="s">
        <v>83</v>
      </c>
      <c r="B46" s="159" t="str">
        <f>+VLOOKUP(A46,'RCD life cyl Parts'!B:D,3,0)</f>
        <v>BELT V B62</v>
      </c>
      <c r="C46" s="159">
        <f>revenue($A46,C$2,' Model Wise'!$A$2:$C$6,'RCD life cyl Parts'!$A$2:$CF$259)</f>
        <v>0</v>
      </c>
      <c r="D46" s="159">
        <f>revenue($A46,D$2,' Model Wise'!$A$2:$C$6,'RCD life cyl Parts'!$A$2:$CF$259)</f>
        <v>0</v>
      </c>
      <c r="E46" s="159">
        <f>revenue($A46,E$2,' Model Wise'!$A$2:$C$6,'RCD life cyl Parts'!$A$2:$CF$259)</f>
        <v>0</v>
      </c>
      <c r="F46" s="159">
        <f>revenue($A46,F$2,' Model Wise'!$A$2:$C$6,'RCD life cyl Parts'!$A$2:$CF$259)</f>
        <v>0</v>
      </c>
      <c r="G46" s="159">
        <f>revenue($A46,G$2,' Model Wise'!$A$2:$C$6,'RCD life cyl Parts'!$A$2:$CF$259)</f>
        <v>0</v>
      </c>
      <c r="H46" s="159">
        <f>revenue($A46,H$2,' Model Wise'!$A$2:$C$6,'RCD life cyl Parts'!$A$2:$CF$259)</f>
        <v>0</v>
      </c>
      <c r="I46" s="159">
        <f>revenue($A46,I$2,' Model Wise'!$A$2:$C$6,'RCD life cyl Parts'!$A$2:$CF$259)</f>
        <v>0</v>
      </c>
      <c r="J46" s="159">
        <f>revenue($A46,J$2,' Model Wise'!$A$2:$C$6,'RCD life cyl Parts'!$A$2:$CF$259)</f>
        <v>0</v>
      </c>
      <c r="K46" s="159">
        <f>revenue($A46,K$2,' Model Wise'!$A$2:$C$6,'RCD life cyl Parts'!$A$2:$CF$259)</f>
        <v>0</v>
      </c>
      <c r="L46" s="159">
        <f>revenue($A46,L$2,' Model Wise'!$A$2:$C$6,'RCD life cyl Parts'!$A$2:$CF$259)</f>
        <v>0</v>
      </c>
    </row>
    <row r="47" spans="1:12">
      <c r="A47" s="157" t="s">
        <v>85</v>
      </c>
      <c r="B47" s="159" t="str">
        <f>+VLOOKUP(A47,'RCD life cyl Parts'!B:D,3,0)</f>
        <v xml:space="preserve">INTER COOLER </v>
      </c>
      <c r="C47" s="159">
        <f>revenue($A47,C$2,' Model Wise'!$A$2:$C$6,'RCD life cyl Parts'!$A$2:$CF$259)</f>
        <v>0</v>
      </c>
      <c r="D47" s="159">
        <f>revenue($A47,D$2,' Model Wise'!$A$2:$C$6,'RCD life cyl Parts'!$A$2:$CF$259)</f>
        <v>0</v>
      </c>
      <c r="E47" s="159">
        <f>revenue($A47,E$2,' Model Wise'!$A$2:$C$6,'RCD life cyl Parts'!$A$2:$CF$259)</f>
        <v>0</v>
      </c>
      <c r="F47" s="159">
        <f>revenue($A47,F$2,' Model Wise'!$A$2:$C$6,'RCD life cyl Parts'!$A$2:$CF$259)</f>
        <v>0</v>
      </c>
      <c r="G47" s="159">
        <f>revenue($A47,G$2,' Model Wise'!$A$2:$C$6,'RCD life cyl Parts'!$A$2:$CF$259)</f>
        <v>0</v>
      </c>
      <c r="H47" s="159">
        <f>revenue($A47,H$2,' Model Wise'!$A$2:$C$6,'RCD life cyl Parts'!$A$2:$CF$259)</f>
        <v>0</v>
      </c>
      <c r="I47" s="159">
        <f>revenue($A47,I$2,' Model Wise'!$A$2:$C$6,'RCD life cyl Parts'!$A$2:$CF$259)</f>
        <v>0</v>
      </c>
      <c r="J47" s="159">
        <f>revenue($A47,J$2,' Model Wise'!$A$2:$C$6,'RCD life cyl Parts'!$A$2:$CF$259)</f>
        <v>0</v>
      </c>
      <c r="K47" s="159">
        <f>revenue($A47,K$2,' Model Wise'!$A$2:$C$6,'RCD life cyl Parts'!$A$2:$CF$259)</f>
        <v>0</v>
      </c>
      <c r="L47" s="159">
        <f>revenue($A47,L$2,' Model Wise'!$A$2:$C$6,'RCD life cyl Parts'!$A$2:$CF$259)</f>
        <v>0</v>
      </c>
    </row>
    <row r="48" spans="1:12">
      <c r="A48" s="157" t="s">
        <v>86</v>
      </c>
      <c r="B48" s="159" t="str">
        <f>+VLOOKUP(A48,'RCD life cyl Parts'!B:D,3,0)</f>
        <v>AFTER COOLER PIPE</v>
      </c>
      <c r="C48" s="159">
        <f>revenue($A48,C$2,' Model Wise'!$A$2:$C$6,'RCD life cyl Parts'!$A$2:$CF$259)</f>
        <v>0</v>
      </c>
      <c r="D48" s="159">
        <f>revenue($A48,D$2,' Model Wise'!$A$2:$C$6,'RCD life cyl Parts'!$A$2:$CF$259)</f>
        <v>0</v>
      </c>
      <c r="E48" s="159">
        <f>revenue($A48,E$2,' Model Wise'!$A$2:$C$6,'RCD life cyl Parts'!$A$2:$CF$259)</f>
        <v>0</v>
      </c>
      <c r="F48" s="159">
        <f>revenue($A48,F$2,' Model Wise'!$A$2:$C$6,'RCD life cyl Parts'!$A$2:$CF$259)</f>
        <v>0</v>
      </c>
      <c r="G48" s="159">
        <f>revenue($A48,G$2,' Model Wise'!$A$2:$C$6,'RCD life cyl Parts'!$A$2:$CF$259)</f>
        <v>0</v>
      </c>
      <c r="H48" s="159">
        <f>revenue($A48,H$2,' Model Wise'!$A$2:$C$6,'RCD life cyl Parts'!$A$2:$CF$259)</f>
        <v>0</v>
      </c>
      <c r="I48" s="159">
        <f>revenue($A48,I$2,' Model Wise'!$A$2:$C$6,'RCD life cyl Parts'!$A$2:$CF$259)</f>
        <v>0</v>
      </c>
      <c r="J48" s="159">
        <f>revenue($A48,J$2,' Model Wise'!$A$2:$C$6,'RCD life cyl Parts'!$A$2:$CF$259)</f>
        <v>0</v>
      </c>
      <c r="K48" s="159">
        <f>revenue($A48,K$2,' Model Wise'!$A$2:$C$6,'RCD life cyl Parts'!$A$2:$CF$259)</f>
        <v>0</v>
      </c>
      <c r="L48" s="159">
        <f>revenue($A48,L$2,' Model Wise'!$A$2:$C$6,'RCD life cyl Parts'!$A$2:$CF$259)</f>
        <v>0</v>
      </c>
    </row>
    <row r="49" spans="1:12">
      <c r="A49" s="157" t="s">
        <v>87</v>
      </c>
      <c r="B49" s="159" t="str">
        <f>+VLOOKUP(A49,'RCD life cyl Parts'!B:D,3,0)</f>
        <v>TUNE UP KIT</v>
      </c>
      <c r="C49" s="159">
        <f>revenue($A49,C$2,' Model Wise'!$A$2:$C$6,'RCD life cyl Parts'!$A$2:$CF$259)</f>
        <v>0</v>
      </c>
      <c r="D49" s="159">
        <f>revenue($A49,D$2,' Model Wise'!$A$2:$C$6,'RCD life cyl Parts'!$A$2:$CF$259)</f>
        <v>0</v>
      </c>
      <c r="E49" s="159">
        <f>revenue($A49,E$2,' Model Wise'!$A$2:$C$6,'RCD life cyl Parts'!$A$2:$CF$259)</f>
        <v>0</v>
      </c>
      <c r="F49" s="159">
        <f>revenue($A49,F$2,' Model Wise'!$A$2:$C$6,'RCD life cyl Parts'!$A$2:$CF$259)</f>
        <v>0</v>
      </c>
      <c r="G49" s="159">
        <f>revenue($A49,G$2,' Model Wise'!$A$2:$C$6,'RCD life cyl Parts'!$A$2:$CF$259)</f>
        <v>0</v>
      </c>
      <c r="H49" s="159">
        <f>revenue($A49,H$2,' Model Wise'!$A$2:$C$6,'RCD life cyl Parts'!$A$2:$CF$259)</f>
        <v>0</v>
      </c>
      <c r="I49" s="159">
        <f>revenue($A49,I$2,' Model Wise'!$A$2:$C$6,'RCD life cyl Parts'!$A$2:$CF$259)</f>
        <v>0</v>
      </c>
      <c r="J49" s="159">
        <f>revenue($A49,J$2,' Model Wise'!$A$2:$C$6,'RCD life cyl Parts'!$A$2:$CF$259)</f>
        <v>0</v>
      </c>
      <c r="K49" s="159">
        <f>revenue($A49,K$2,' Model Wise'!$A$2:$C$6,'RCD life cyl Parts'!$A$2:$CF$259)</f>
        <v>0</v>
      </c>
      <c r="L49" s="159">
        <f>revenue($A49,L$2,' Model Wise'!$A$2:$C$6,'RCD life cyl Parts'!$A$2:$CF$259)</f>
        <v>0</v>
      </c>
    </row>
    <row r="50" spans="1:12">
      <c r="A50" s="37" t="s">
        <v>88</v>
      </c>
      <c r="B50" s="159" t="str">
        <f>+VLOOKUP(A50,'RCD life cyl Parts'!B:D,3,0)</f>
        <v>SAFETY VALVE AIR RECEIVER</v>
      </c>
      <c r="C50" s="159">
        <f>revenue($A50,C$2,' Model Wise'!$A$2:$C$6,'RCD life cyl Parts'!$A$2:$CF$259)</f>
        <v>628</v>
      </c>
      <c r="D50" s="159">
        <f>revenue($A50,D$2,' Model Wise'!$A$2:$C$6,'RCD life cyl Parts'!$A$2:$CF$259)</f>
        <v>0</v>
      </c>
      <c r="E50" s="159">
        <f>revenue($A50,E$2,' Model Wise'!$A$2:$C$6,'RCD life cyl Parts'!$A$2:$CF$259)</f>
        <v>0</v>
      </c>
      <c r="F50" s="159">
        <f>revenue($A50,F$2,' Model Wise'!$A$2:$C$6,'RCD life cyl Parts'!$A$2:$CF$259)</f>
        <v>628</v>
      </c>
      <c r="G50" s="159">
        <f>revenue($A50,G$2,' Model Wise'!$A$2:$C$6,'RCD life cyl Parts'!$A$2:$CF$259)</f>
        <v>0</v>
      </c>
      <c r="H50" s="159">
        <f>revenue($A50,H$2,' Model Wise'!$A$2:$C$6,'RCD life cyl Parts'!$A$2:$CF$259)</f>
        <v>0</v>
      </c>
      <c r="I50" s="159">
        <f>revenue($A50,I$2,' Model Wise'!$A$2:$C$6,'RCD life cyl Parts'!$A$2:$CF$259)</f>
        <v>0</v>
      </c>
      <c r="J50" s="159">
        <f>revenue($A50,J$2,' Model Wise'!$A$2:$C$6,'RCD life cyl Parts'!$A$2:$CF$259)</f>
        <v>0</v>
      </c>
      <c r="K50" s="159">
        <f>revenue($A50,K$2,' Model Wise'!$A$2:$C$6,'RCD life cyl Parts'!$A$2:$CF$259)</f>
        <v>0</v>
      </c>
      <c r="L50" s="159">
        <f>revenue($A50,L$2,' Model Wise'!$A$2:$C$6,'RCD life cyl Parts'!$A$2:$CF$259)</f>
        <v>0</v>
      </c>
    </row>
    <row r="51" spans="1:12">
      <c r="A51" s="157" t="s">
        <v>90</v>
      </c>
      <c r="B51" s="159" t="str">
        <f>+VLOOKUP(A51,'RCD life cyl Parts'!B:D,3,0)</f>
        <v>CON ROD  BUSH 100</v>
      </c>
      <c r="C51" s="159">
        <f>revenue($A51,C$2,' Model Wise'!$A$2:$C$6,'RCD life cyl Parts'!$A$2:$CF$259)</f>
        <v>0</v>
      </c>
      <c r="D51" s="159">
        <f>revenue($A51,D$2,' Model Wise'!$A$2:$C$6,'RCD life cyl Parts'!$A$2:$CF$259)</f>
        <v>0</v>
      </c>
      <c r="E51" s="159">
        <f>revenue($A51,E$2,' Model Wise'!$A$2:$C$6,'RCD life cyl Parts'!$A$2:$CF$259)</f>
        <v>0</v>
      </c>
      <c r="F51" s="159">
        <f>revenue($A51,F$2,' Model Wise'!$A$2:$C$6,'RCD life cyl Parts'!$A$2:$CF$259)</f>
        <v>0</v>
      </c>
      <c r="G51" s="159">
        <f>revenue($A51,G$2,' Model Wise'!$A$2:$C$6,'RCD life cyl Parts'!$A$2:$CF$259)</f>
        <v>0</v>
      </c>
      <c r="H51" s="159">
        <f>revenue($A51,H$2,' Model Wise'!$A$2:$C$6,'RCD life cyl Parts'!$A$2:$CF$259)</f>
        <v>0</v>
      </c>
      <c r="I51" s="159">
        <f>revenue($A51,I$2,' Model Wise'!$A$2:$C$6,'RCD life cyl Parts'!$A$2:$CF$259)</f>
        <v>0</v>
      </c>
      <c r="J51" s="159">
        <f>revenue($A51,J$2,' Model Wise'!$A$2:$C$6,'RCD life cyl Parts'!$A$2:$CF$259)</f>
        <v>0</v>
      </c>
      <c r="K51" s="159">
        <f>revenue($A51,K$2,' Model Wise'!$A$2:$C$6,'RCD life cyl Parts'!$A$2:$CF$259)</f>
        <v>0</v>
      </c>
      <c r="L51" s="159">
        <f>revenue($A51,L$2,' Model Wise'!$A$2:$C$6,'RCD life cyl Parts'!$A$2:$CF$259)</f>
        <v>0</v>
      </c>
    </row>
    <row r="52" spans="1:12">
      <c r="A52" s="157" t="s">
        <v>93</v>
      </c>
      <c r="B52" s="159" t="str">
        <f>+VLOOKUP(A52,'RCD life cyl Parts'!B:D,3,0)</f>
        <v>PISTON ASSY 100</v>
      </c>
      <c r="C52" s="159">
        <f>revenue($A52,C$2,' Model Wise'!$A$2:$C$6,'RCD life cyl Parts'!$A$2:$CF$259)</f>
        <v>0</v>
      </c>
      <c r="D52" s="159">
        <f>revenue($A52,D$2,' Model Wise'!$A$2:$C$6,'RCD life cyl Parts'!$A$2:$CF$259)</f>
        <v>0</v>
      </c>
      <c r="E52" s="159">
        <f>revenue($A52,E$2,' Model Wise'!$A$2:$C$6,'RCD life cyl Parts'!$A$2:$CF$259)</f>
        <v>0</v>
      </c>
      <c r="F52" s="159">
        <f>revenue($A52,F$2,' Model Wise'!$A$2:$C$6,'RCD life cyl Parts'!$A$2:$CF$259)</f>
        <v>0</v>
      </c>
      <c r="G52" s="159">
        <f>revenue($A52,G$2,' Model Wise'!$A$2:$C$6,'RCD life cyl Parts'!$A$2:$CF$259)</f>
        <v>0</v>
      </c>
      <c r="H52" s="159">
        <f>revenue($A52,H$2,' Model Wise'!$A$2:$C$6,'RCD life cyl Parts'!$A$2:$CF$259)</f>
        <v>0</v>
      </c>
      <c r="I52" s="159">
        <f>revenue($A52,I$2,' Model Wise'!$A$2:$C$6,'RCD life cyl Parts'!$A$2:$CF$259)</f>
        <v>0</v>
      </c>
      <c r="J52" s="159">
        <f>revenue($A52,J$2,' Model Wise'!$A$2:$C$6,'RCD life cyl Parts'!$A$2:$CF$259)</f>
        <v>0</v>
      </c>
      <c r="K52" s="159">
        <f>revenue($A52,K$2,' Model Wise'!$A$2:$C$6,'RCD life cyl Parts'!$A$2:$CF$259)</f>
        <v>0</v>
      </c>
      <c r="L52" s="159">
        <f>revenue($A52,L$2,' Model Wise'!$A$2:$C$6,'RCD life cyl Parts'!$A$2:$CF$259)</f>
        <v>0</v>
      </c>
    </row>
    <row r="53" spans="1:12">
      <c r="A53" s="157" t="s">
        <v>95</v>
      </c>
      <c r="B53" s="159" t="str">
        <f>+VLOOKUP(A53,'RCD life cyl Parts'!B:D,3,0)</f>
        <v>PISTON ASSY 60</v>
      </c>
      <c r="C53" s="159">
        <f>revenue($A53,C$2,' Model Wise'!$A$2:$C$6,'RCD life cyl Parts'!$A$2:$CF$259)</f>
        <v>0</v>
      </c>
      <c r="D53" s="159">
        <f>revenue($A53,D$2,' Model Wise'!$A$2:$C$6,'RCD life cyl Parts'!$A$2:$CF$259)</f>
        <v>0</v>
      </c>
      <c r="E53" s="159">
        <f>revenue($A53,E$2,' Model Wise'!$A$2:$C$6,'RCD life cyl Parts'!$A$2:$CF$259)</f>
        <v>0</v>
      </c>
      <c r="F53" s="159">
        <f>revenue($A53,F$2,' Model Wise'!$A$2:$C$6,'RCD life cyl Parts'!$A$2:$CF$259)</f>
        <v>0</v>
      </c>
      <c r="G53" s="159">
        <f>revenue($A53,G$2,' Model Wise'!$A$2:$C$6,'RCD life cyl Parts'!$A$2:$CF$259)</f>
        <v>0</v>
      </c>
      <c r="H53" s="159">
        <f>revenue($A53,H$2,' Model Wise'!$A$2:$C$6,'RCD life cyl Parts'!$A$2:$CF$259)</f>
        <v>0</v>
      </c>
      <c r="I53" s="159">
        <f>revenue($A53,I$2,' Model Wise'!$A$2:$C$6,'RCD life cyl Parts'!$A$2:$CF$259)</f>
        <v>0</v>
      </c>
      <c r="J53" s="159">
        <f>revenue($A53,J$2,' Model Wise'!$A$2:$C$6,'RCD life cyl Parts'!$A$2:$CF$259)</f>
        <v>0</v>
      </c>
      <c r="K53" s="159">
        <f>revenue($A53,K$2,' Model Wise'!$A$2:$C$6,'RCD life cyl Parts'!$A$2:$CF$259)</f>
        <v>0</v>
      </c>
      <c r="L53" s="159">
        <f>revenue($A53,L$2,' Model Wise'!$A$2:$C$6,'RCD life cyl Parts'!$A$2:$CF$259)</f>
        <v>0</v>
      </c>
    </row>
    <row r="54" spans="1:12">
      <c r="A54" s="157" t="s">
        <v>97</v>
      </c>
      <c r="B54" s="159" t="str">
        <f>+VLOOKUP(A54,'RCD life cyl Parts'!B:D,3,0)</f>
        <v>CYLINDER ASSY 100</v>
      </c>
      <c r="C54" s="159">
        <f>revenue($A54,C$2,' Model Wise'!$A$2:$C$6,'RCD life cyl Parts'!$A$2:$CF$259)</f>
        <v>0</v>
      </c>
      <c r="D54" s="159">
        <f>revenue($A54,D$2,' Model Wise'!$A$2:$C$6,'RCD life cyl Parts'!$A$2:$CF$259)</f>
        <v>0</v>
      </c>
      <c r="E54" s="159">
        <f>revenue($A54,E$2,' Model Wise'!$A$2:$C$6,'RCD life cyl Parts'!$A$2:$CF$259)</f>
        <v>0</v>
      </c>
      <c r="F54" s="159">
        <f>revenue($A54,F$2,' Model Wise'!$A$2:$C$6,'RCD life cyl Parts'!$A$2:$CF$259)</f>
        <v>0</v>
      </c>
      <c r="G54" s="159">
        <f>revenue($A54,G$2,' Model Wise'!$A$2:$C$6,'RCD life cyl Parts'!$A$2:$CF$259)</f>
        <v>0</v>
      </c>
      <c r="H54" s="159">
        <f>revenue($A54,H$2,' Model Wise'!$A$2:$C$6,'RCD life cyl Parts'!$A$2:$CF$259)</f>
        <v>0</v>
      </c>
      <c r="I54" s="159">
        <f>revenue($A54,I$2,' Model Wise'!$A$2:$C$6,'RCD life cyl Parts'!$A$2:$CF$259)</f>
        <v>0</v>
      </c>
      <c r="J54" s="159">
        <f>revenue($A54,J$2,' Model Wise'!$A$2:$C$6,'RCD life cyl Parts'!$A$2:$CF$259)</f>
        <v>0</v>
      </c>
      <c r="K54" s="159">
        <f>revenue($A54,K$2,' Model Wise'!$A$2:$C$6,'RCD life cyl Parts'!$A$2:$CF$259)</f>
        <v>0</v>
      </c>
      <c r="L54" s="159">
        <f>revenue($A54,L$2,' Model Wise'!$A$2:$C$6,'RCD life cyl Parts'!$A$2:$CF$259)</f>
        <v>0</v>
      </c>
    </row>
    <row r="55" spans="1:12">
      <c r="A55" s="157" t="s">
        <v>99</v>
      </c>
      <c r="B55" s="159" t="str">
        <f>+VLOOKUP(A55,'RCD life cyl Parts'!B:D,3,0)</f>
        <v>CYLINDER ASSY 60</v>
      </c>
      <c r="C55" s="159">
        <f>revenue($A55,C$2,' Model Wise'!$A$2:$C$6,'RCD life cyl Parts'!$A$2:$CF$259)</f>
        <v>0</v>
      </c>
      <c r="D55" s="159">
        <f>revenue($A55,D$2,' Model Wise'!$A$2:$C$6,'RCD life cyl Parts'!$A$2:$CF$259)</f>
        <v>0</v>
      </c>
      <c r="E55" s="159">
        <f>revenue($A55,E$2,' Model Wise'!$A$2:$C$6,'RCD life cyl Parts'!$A$2:$CF$259)</f>
        <v>0</v>
      </c>
      <c r="F55" s="159">
        <f>revenue($A55,F$2,' Model Wise'!$A$2:$C$6,'RCD life cyl Parts'!$A$2:$CF$259)</f>
        <v>0</v>
      </c>
      <c r="G55" s="159">
        <f>revenue($A55,G$2,' Model Wise'!$A$2:$C$6,'RCD life cyl Parts'!$A$2:$CF$259)</f>
        <v>0</v>
      </c>
      <c r="H55" s="159">
        <f>revenue($A55,H$2,' Model Wise'!$A$2:$C$6,'RCD life cyl Parts'!$A$2:$CF$259)</f>
        <v>0</v>
      </c>
      <c r="I55" s="159">
        <f>revenue($A55,I$2,' Model Wise'!$A$2:$C$6,'RCD life cyl Parts'!$A$2:$CF$259)</f>
        <v>0</v>
      </c>
      <c r="J55" s="159">
        <f>revenue($A55,J$2,' Model Wise'!$A$2:$C$6,'RCD life cyl Parts'!$A$2:$CF$259)</f>
        <v>0</v>
      </c>
      <c r="K55" s="159">
        <f>revenue($A55,K$2,' Model Wise'!$A$2:$C$6,'RCD life cyl Parts'!$A$2:$CF$259)</f>
        <v>0</v>
      </c>
      <c r="L55" s="159">
        <f>revenue($A55,L$2,' Model Wise'!$A$2:$C$6,'RCD life cyl Parts'!$A$2:$CF$259)</f>
        <v>0</v>
      </c>
    </row>
    <row r="56" spans="1:12">
      <c r="A56" s="158" t="s">
        <v>101</v>
      </c>
      <c r="B56" s="159" t="str">
        <f>+VLOOKUP(A56,'RCD life cyl Parts'!B:D,3,0)</f>
        <v>CYLINDER HEAD 100</v>
      </c>
      <c r="C56" s="159">
        <f>revenue($A56,C$2,' Model Wise'!$A$2:$C$6,'RCD life cyl Parts'!$A$2:$CF$259)</f>
        <v>0</v>
      </c>
      <c r="D56" s="159">
        <f>revenue($A56,D$2,' Model Wise'!$A$2:$C$6,'RCD life cyl Parts'!$A$2:$CF$259)</f>
        <v>0</v>
      </c>
      <c r="E56" s="159">
        <f>revenue($A56,E$2,' Model Wise'!$A$2:$C$6,'RCD life cyl Parts'!$A$2:$CF$259)</f>
        <v>0</v>
      </c>
      <c r="F56" s="159">
        <f>revenue($A56,F$2,' Model Wise'!$A$2:$C$6,'RCD life cyl Parts'!$A$2:$CF$259)</f>
        <v>0</v>
      </c>
      <c r="G56" s="159">
        <f>revenue($A56,G$2,' Model Wise'!$A$2:$C$6,'RCD life cyl Parts'!$A$2:$CF$259)</f>
        <v>0</v>
      </c>
      <c r="H56" s="159">
        <f>revenue($A56,H$2,' Model Wise'!$A$2:$C$6,'RCD life cyl Parts'!$A$2:$CF$259)</f>
        <v>0</v>
      </c>
      <c r="I56" s="159">
        <f>revenue($A56,I$2,' Model Wise'!$A$2:$C$6,'RCD life cyl Parts'!$A$2:$CF$259)</f>
        <v>0</v>
      </c>
      <c r="J56" s="159">
        <f>revenue($A56,J$2,' Model Wise'!$A$2:$C$6,'RCD life cyl Parts'!$A$2:$CF$259)</f>
        <v>0</v>
      </c>
      <c r="K56" s="159">
        <f>revenue($A56,K$2,' Model Wise'!$A$2:$C$6,'RCD life cyl Parts'!$A$2:$CF$259)</f>
        <v>0</v>
      </c>
      <c r="L56" s="159">
        <f>revenue($A56,L$2,' Model Wise'!$A$2:$C$6,'RCD life cyl Parts'!$A$2:$CF$259)</f>
        <v>0</v>
      </c>
    </row>
    <row r="57" spans="1:12">
      <c r="A57" s="158" t="s">
        <v>103</v>
      </c>
      <c r="B57" s="159" t="str">
        <f>+VLOOKUP(A57,'RCD life cyl Parts'!B:D,3,0)</f>
        <v>CYLINDER HEAD 60</v>
      </c>
      <c r="C57" s="159">
        <f>revenue($A57,C$2,' Model Wise'!$A$2:$C$6,'RCD life cyl Parts'!$A$2:$CF$259)</f>
        <v>0</v>
      </c>
      <c r="D57" s="159">
        <f>revenue($A57,D$2,' Model Wise'!$A$2:$C$6,'RCD life cyl Parts'!$A$2:$CF$259)</f>
        <v>0</v>
      </c>
      <c r="E57" s="159">
        <f>revenue($A57,E$2,' Model Wise'!$A$2:$C$6,'RCD life cyl Parts'!$A$2:$CF$259)</f>
        <v>0</v>
      </c>
      <c r="F57" s="159">
        <f>revenue($A57,F$2,' Model Wise'!$A$2:$C$6,'RCD life cyl Parts'!$A$2:$CF$259)</f>
        <v>0</v>
      </c>
      <c r="G57" s="159">
        <f>revenue($A57,G$2,' Model Wise'!$A$2:$C$6,'RCD life cyl Parts'!$A$2:$CF$259)</f>
        <v>0</v>
      </c>
      <c r="H57" s="159">
        <f>revenue($A57,H$2,' Model Wise'!$A$2:$C$6,'RCD life cyl Parts'!$A$2:$CF$259)</f>
        <v>0</v>
      </c>
      <c r="I57" s="159">
        <f>revenue($A57,I$2,' Model Wise'!$A$2:$C$6,'RCD life cyl Parts'!$A$2:$CF$259)</f>
        <v>0</v>
      </c>
      <c r="J57" s="159">
        <f>revenue($A57,J$2,' Model Wise'!$A$2:$C$6,'RCD life cyl Parts'!$A$2:$CF$259)</f>
        <v>0</v>
      </c>
      <c r="K57" s="159">
        <f>revenue($A57,K$2,' Model Wise'!$A$2:$C$6,'RCD life cyl Parts'!$A$2:$CF$259)</f>
        <v>0</v>
      </c>
      <c r="L57" s="159">
        <f>revenue($A57,L$2,' Model Wise'!$A$2:$C$6,'RCD life cyl Parts'!$A$2:$CF$259)</f>
        <v>0</v>
      </c>
    </row>
    <row r="58" spans="1:12">
      <c r="A58" s="157" t="s">
        <v>105</v>
      </c>
      <c r="B58" s="159" t="str">
        <f>+VLOOKUP(A58,'RCD life cyl Parts'!B:D,3,0)</f>
        <v>C/SHAFT ASSY WITH BEARINGS</v>
      </c>
      <c r="C58" s="159">
        <f>revenue($A58,C$2,' Model Wise'!$A$2:$C$6,'RCD life cyl Parts'!$A$2:$CF$259)</f>
        <v>0</v>
      </c>
      <c r="D58" s="159">
        <f>revenue($A58,D$2,' Model Wise'!$A$2:$C$6,'RCD life cyl Parts'!$A$2:$CF$259)</f>
        <v>0</v>
      </c>
      <c r="E58" s="159">
        <f>revenue($A58,E$2,' Model Wise'!$A$2:$C$6,'RCD life cyl Parts'!$A$2:$CF$259)</f>
        <v>0</v>
      </c>
      <c r="F58" s="159">
        <f>revenue($A58,F$2,' Model Wise'!$A$2:$C$6,'RCD life cyl Parts'!$A$2:$CF$259)</f>
        <v>0</v>
      </c>
      <c r="G58" s="159">
        <f>revenue($A58,G$2,' Model Wise'!$A$2:$C$6,'RCD life cyl Parts'!$A$2:$CF$259)</f>
        <v>0</v>
      </c>
      <c r="H58" s="159">
        <f>revenue($A58,H$2,' Model Wise'!$A$2:$C$6,'RCD life cyl Parts'!$A$2:$CF$259)</f>
        <v>0</v>
      </c>
      <c r="I58" s="159">
        <f>revenue($A58,I$2,' Model Wise'!$A$2:$C$6,'RCD life cyl Parts'!$A$2:$CF$259)</f>
        <v>0</v>
      </c>
      <c r="J58" s="159">
        <f>revenue($A58,J$2,' Model Wise'!$A$2:$C$6,'RCD life cyl Parts'!$A$2:$CF$259)</f>
        <v>0</v>
      </c>
      <c r="K58" s="159">
        <f>revenue($A58,K$2,' Model Wise'!$A$2:$C$6,'RCD life cyl Parts'!$A$2:$CF$259)</f>
        <v>0</v>
      </c>
      <c r="L58" s="159">
        <f>revenue($A58,L$2,' Model Wise'!$A$2:$C$6,'RCD life cyl Parts'!$A$2:$CF$259)</f>
        <v>0</v>
      </c>
    </row>
    <row r="59" spans="1:12">
      <c r="A59" s="157" t="s">
        <v>106</v>
      </c>
      <c r="B59" s="159" t="str">
        <f>+VLOOKUP(A59,'RCD life cyl Parts'!B:D,3,0)</f>
        <v xml:space="preserve">INTER COOLER </v>
      </c>
      <c r="C59" s="159">
        <f>revenue($A59,C$2,' Model Wise'!$A$2:$C$6,'RCD life cyl Parts'!$A$2:$CF$259)</f>
        <v>0</v>
      </c>
      <c r="D59" s="159">
        <f>revenue($A59,D$2,' Model Wise'!$A$2:$C$6,'RCD life cyl Parts'!$A$2:$CF$259)</f>
        <v>0</v>
      </c>
      <c r="E59" s="159">
        <f>revenue($A59,E$2,' Model Wise'!$A$2:$C$6,'RCD life cyl Parts'!$A$2:$CF$259)</f>
        <v>0</v>
      </c>
      <c r="F59" s="159">
        <f>revenue($A59,F$2,' Model Wise'!$A$2:$C$6,'RCD life cyl Parts'!$A$2:$CF$259)</f>
        <v>0</v>
      </c>
      <c r="G59" s="159">
        <f>revenue($A59,G$2,' Model Wise'!$A$2:$C$6,'RCD life cyl Parts'!$A$2:$CF$259)</f>
        <v>0</v>
      </c>
      <c r="H59" s="159">
        <f>revenue($A59,H$2,' Model Wise'!$A$2:$C$6,'RCD life cyl Parts'!$A$2:$CF$259)</f>
        <v>0</v>
      </c>
      <c r="I59" s="159">
        <f>revenue($A59,I$2,' Model Wise'!$A$2:$C$6,'RCD life cyl Parts'!$A$2:$CF$259)</f>
        <v>0</v>
      </c>
      <c r="J59" s="159">
        <f>revenue($A59,J$2,' Model Wise'!$A$2:$C$6,'RCD life cyl Parts'!$A$2:$CF$259)</f>
        <v>0</v>
      </c>
      <c r="K59" s="159">
        <f>revenue($A59,K$2,' Model Wise'!$A$2:$C$6,'RCD life cyl Parts'!$A$2:$CF$259)</f>
        <v>0</v>
      </c>
      <c r="L59" s="159">
        <f>revenue($A59,L$2,' Model Wise'!$A$2:$C$6,'RCD life cyl Parts'!$A$2:$CF$259)</f>
        <v>0</v>
      </c>
    </row>
    <row r="60" spans="1:12">
      <c r="A60" s="157" t="s">
        <v>107</v>
      </c>
      <c r="B60" s="159" t="str">
        <f>+VLOOKUP(A60,'RCD life cyl Parts'!B:D,3,0)</f>
        <v>AFTER COOLER PIPE</v>
      </c>
      <c r="C60" s="159">
        <f>revenue($A60,C$2,' Model Wise'!$A$2:$C$6,'RCD life cyl Parts'!$A$2:$CF$259)</f>
        <v>0</v>
      </c>
      <c r="D60" s="159">
        <f>revenue($A60,D$2,' Model Wise'!$A$2:$C$6,'RCD life cyl Parts'!$A$2:$CF$259)</f>
        <v>0</v>
      </c>
      <c r="E60" s="159">
        <f>revenue($A60,E$2,' Model Wise'!$A$2:$C$6,'RCD life cyl Parts'!$A$2:$CF$259)</f>
        <v>0</v>
      </c>
      <c r="F60" s="159">
        <f>revenue($A60,F$2,' Model Wise'!$A$2:$C$6,'RCD life cyl Parts'!$A$2:$CF$259)</f>
        <v>0</v>
      </c>
      <c r="G60" s="159">
        <f>revenue($A60,G$2,' Model Wise'!$A$2:$C$6,'RCD life cyl Parts'!$A$2:$CF$259)</f>
        <v>0</v>
      </c>
      <c r="H60" s="159">
        <f>revenue($A60,H$2,' Model Wise'!$A$2:$C$6,'RCD life cyl Parts'!$A$2:$CF$259)</f>
        <v>0</v>
      </c>
      <c r="I60" s="159">
        <f>revenue($A60,I$2,' Model Wise'!$A$2:$C$6,'RCD life cyl Parts'!$A$2:$CF$259)</f>
        <v>0</v>
      </c>
      <c r="J60" s="159">
        <f>revenue($A60,J$2,' Model Wise'!$A$2:$C$6,'RCD life cyl Parts'!$A$2:$CF$259)</f>
        <v>0</v>
      </c>
      <c r="K60" s="159">
        <f>revenue($A60,K$2,' Model Wise'!$A$2:$C$6,'RCD life cyl Parts'!$A$2:$CF$259)</f>
        <v>0</v>
      </c>
      <c r="L60" s="159">
        <f>revenue($A60,L$2,' Model Wise'!$A$2:$C$6,'RCD life cyl Parts'!$A$2:$CF$259)</f>
        <v>0</v>
      </c>
    </row>
    <row r="61" spans="1:12">
      <c r="A61" s="157" t="s">
        <v>108</v>
      </c>
      <c r="B61" s="159" t="str">
        <f>+VLOOKUP(A61,'RCD life cyl Parts'!B:D,3,0)</f>
        <v>TUNE UP KIT</v>
      </c>
      <c r="C61" s="159">
        <f>revenue($A61,C$2,' Model Wise'!$A$2:$C$6,'RCD life cyl Parts'!$A$2:$CF$259)</f>
        <v>0</v>
      </c>
      <c r="D61" s="159">
        <f>revenue($A61,D$2,' Model Wise'!$A$2:$C$6,'RCD life cyl Parts'!$A$2:$CF$259)</f>
        <v>0</v>
      </c>
      <c r="E61" s="159">
        <f>revenue($A61,E$2,' Model Wise'!$A$2:$C$6,'RCD life cyl Parts'!$A$2:$CF$259)</f>
        <v>0</v>
      </c>
      <c r="F61" s="159">
        <f>revenue($A61,F$2,' Model Wise'!$A$2:$C$6,'RCD life cyl Parts'!$A$2:$CF$259)</f>
        <v>0</v>
      </c>
      <c r="G61" s="159">
        <f>revenue($A61,G$2,' Model Wise'!$A$2:$C$6,'RCD life cyl Parts'!$A$2:$CF$259)</f>
        <v>0</v>
      </c>
      <c r="H61" s="159">
        <f>revenue($A61,H$2,' Model Wise'!$A$2:$C$6,'RCD life cyl Parts'!$A$2:$CF$259)</f>
        <v>0</v>
      </c>
      <c r="I61" s="159">
        <f>revenue($A61,I$2,' Model Wise'!$A$2:$C$6,'RCD life cyl Parts'!$A$2:$CF$259)</f>
        <v>0</v>
      </c>
      <c r="J61" s="159">
        <f>revenue($A61,J$2,' Model Wise'!$A$2:$C$6,'RCD life cyl Parts'!$A$2:$CF$259)</f>
        <v>0</v>
      </c>
      <c r="K61" s="159">
        <f>revenue($A61,K$2,' Model Wise'!$A$2:$C$6,'RCD life cyl Parts'!$A$2:$CF$259)</f>
        <v>0</v>
      </c>
      <c r="L61" s="159">
        <f>revenue($A61,L$2,' Model Wise'!$A$2:$C$6,'RCD life cyl Parts'!$A$2:$CF$259)</f>
        <v>0</v>
      </c>
    </row>
    <row r="62" spans="1:12">
      <c r="A62" s="158" t="s">
        <v>111</v>
      </c>
      <c r="B62" s="159" t="str">
        <f>+VLOOKUP(A62,'RCD life cyl Parts'!B:D,3,0)</f>
        <v>CYLINDER HEAD 70</v>
      </c>
      <c r="C62" s="159">
        <f>revenue($A62,C$2,' Model Wise'!$A$2:$C$6,'RCD life cyl Parts'!$A$2:$CF$259)</f>
        <v>0</v>
      </c>
      <c r="D62" s="159">
        <f>revenue($A62,D$2,' Model Wise'!$A$2:$C$6,'RCD life cyl Parts'!$A$2:$CF$259)</f>
        <v>0</v>
      </c>
      <c r="E62" s="159">
        <f>revenue($A62,E$2,' Model Wise'!$A$2:$C$6,'RCD life cyl Parts'!$A$2:$CF$259)</f>
        <v>0</v>
      </c>
      <c r="F62" s="159">
        <f>revenue($A62,F$2,' Model Wise'!$A$2:$C$6,'RCD life cyl Parts'!$A$2:$CF$259)</f>
        <v>0</v>
      </c>
      <c r="G62" s="159">
        <f>revenue($A62,G$2,' Model Wise'!$A$2:$C$6,'RCD life cyl Parts'!$A$2:$CF$259)</f>
        <v>0</v>
      </c>
      <c r="H62" s="159">
        <f>revenue($A62,H$2,' Model Wise'!$A$2:$C$6,'RCD life cyl Parts'!$A$2:$CF$259)</f>
        <v>0</v>
      </c>
      <c r="I62" s="159">
        <f>revenue($A62,I$2,' Model Wise'!$A$2:$C$6,'RCD life cyl Parts'!$A$2:$CF$259)</f>
        <v>0</v>
      </c>
      <c r="J62" s="159">
        <f>revenue($A62,J$2,' Model Wise'!$A$2:$C$6,'RCD life cyl Parts'!$A$2:$CF$259)</f>
        <v>0</v>
      </c>
      <c r="K62" s="159">
        <f>revenue($A62,K$2,' Model Wise'!$A$2:$C$6,'RCD life cyl Parts'!$A$2:$CF$259)</f>
        <v>0</v>
      </c>
      <c r="L62" s="159">
        <f>revenue($A62,L$2,' Model Wise'!$A$2:$C$6,'RCD life cyl Parts'!$A$2:$CF$259)</f>
        <v>0</v>
      </c>
    </row>
    <row r="63" spans="1:12">
      <c r="A63" s="157" t="s">
        <v>112</v>
      </c>
      <c r="B63" s="159" t="str">
        <f>+VLOOKUP(A63,'RCD life cyl Parts'!B:D,3,0)</f>
        <v>C/SHAFT ASSY WITH BEARINGS</v>
      </c>
      <c r="C63" s="159">
        <f>revenue($A63,C$2,' Model Wise'!$A$2:$C$6,'RCD life cyl Parts'!$A$2:$CF$259)</f>
        <v>0</v>
      </c>
      <c r="D63" s="159">
        <f>revenue($A63,D$2,' Model Wise'!$A$2:$C$6,'RCD life cyl Parts'!$A$2:$CF$259)</f>
        <v>0</v>
      </c>
      <c r="E63" s="159">
        <f>revenue($A63,E$2,' Model Wise'!$A$2:$C$6,'RCD life cyl Parts'!$A$2:$CF$259)</f>
        <v>0</v>
      </c>
      <c r="F63" s="159">
        <f>revenue($A63,F$2,' Model Wise'!$A$2:$C$6,'RCD life cyl Parts'!$A$2:$CF$259)</f>
        <v>0</v>
      </c>
      <c r="G63" s="159">
        <f>revenue($A63,G$2,' Model Wise'!$A$2:$C$6,'RCD life cyl Parts'!$A$2:$CF$259)</f>
        <v>0</v>
      </c>
      <c r="H63" s="159">
        <f>revenue($A63,H$2,' Model Wise'!$A$2:$C$6,'RCD life cyl Parts'!$A$2:$CF$259)</f>
        <v>0</v>
      </c>
      <c r="I63" s="159">
        <f>revenue($A63,I$2,' Model Wise'!$A$2:$C$6,'RCD life cyl Parts'!$A$2:$CF$259)</f>
        <v>0</v>
      </c>
      <c r="J63" s="159">
        <f>revenue($A63,J$2,' Model Wise'!$A$2:$C$6,'RCD life cyl Parts'!$A$2:$CF$259)</f>
        <v>0</v>
      </c>
      <c r="K63" s="159">
        <f>revenue($A63,K$2,' Model Wise'!$A$2:$C$6,'RCD life cyl Parts'!$A$2:$CF$259)</f>
        <v>0</v>
      </c>
      <c r="L63" s="159">
        <f>revenue($A63,L$2,' Model Wise'!$A$2:$C$6,'RCD life cyl Parts'!$A$2:$CF$259)</f>
        <v>0</v>
      </c>
    </row>
    <row r="64" spans="1:12">
      <c r="A64" s="157" t="s">
        <v>113</v>
      </c>
      <c r="B64" s="159" t="str">
        <f>+VLOOKUP(A64,'RCD life cyl Parts'!B:D,3,0)</f>
        <v>V - BELT</v>
      </c>
      <c r="C64" s="159">
        <f>revenue($A64,C$2,' Model Wise'!$A$2:$C$6,'RCD life cyl Parts'!$A$2:$CF$259)</f>
        <v>0</v>
      </c>
      <c r="D64" s="159">
        <f>revenue($A64,D$2,' Model Wise'!$A$2:$C$6,'RCD life cyl Parts'!$A$2:$CF$259)</f>
        <v>0</v>
      </c>
      <c r="E64" s="159">
        <f>revenue($A64,E$2,' Model Wise'!$A$2:$C$6,'RCD life cyl Parts'!$A$2:$CF$259)</f>
        <v>0</v>
      </c>
      <c r="F64" s="159">
        <f>revenue($A64,F$2,' Model Wise'!$A$2:$C$6,'RCD life cyl Parts'!$A$2:$CF$259)</f>
        <v>0</v>
      </c>
      <c r="G64" s="159">
        <f>revenue($A64,G$2,' Model Wise'!$A$2:$C$6,'RCD life cyl Parts'!$A$2:$CF$259)</f>
        <v>0</v>
      </c>
      <c r="H64" s="159">
        <f>revenue($A64,H$2,' Model Wise'!$A$2:$C$6,'RCD life cyl Parts'!$A$2:$CF$259)</f>
        <v>0</v>
      </c>
      <c r="I64" s="159">
        <f>revenue($A64,I$2,' Model Wise'!$A$2:$C$6,'RCD life cyl Parts'!$A$2:$CF$259)</f>
        <v>0</v>
      </c>
      <c r="J64" s="159">
        <f>revenue($A64,J$2,' Model Wise'!$A$2:$C$6,'RCD life cyl Parts'!$A$2:$CF$259)</f>
        <v>0</v>
      </c>
      <c r="K64" s="159">
        <f>revenue($A64,K$2,' Model Wise'!$A$2:$C$6,'RCD life cyl Parts'!$A$2:$CF$259)</f>
        <v>0</v>
      </c>
      <c r="L64" s="159">
        <f>revenue($A64,L$2,' Model Wise'!$A$2:$C$6,'RCD life cyl Parts'!$A$2:$CF$259)</f>
        <v>0</v>
      </c>
    </row>
    <row r="65" spans="1:12">
      <c r="A65" s="157" t="s">
        <v>114</v>
      </c>
      <c r="B65" s="159" t="str">
        <f>+VLOOKUP(A65,'RCD life cyl Parts'!B:D,3,0)</f>
        <v>INTER COOLER CON.PIPE (1)</v>
      </c>
      <c r="C65" s="159">
        <f>revenue($A65,C$2,' Model Wise'!$A$2:$C$6,'RCD life cyl Parts'!$A$2:$CF$259)</f>
        <v>0</v>
      </c>
      <c r="D65" s="159">
        <f>revenue($A65,D$2,' Model Wise'!$A$2:$C$6,'RCD life cyl Parts'!$A$2:$CF$259)</f>
        <v>0</v>
      </c>
      <c r="E65" s="159">
        <f>revenue($A65,E$2,' Model Wise'!$A$2:$C$6,'RCD life cyl Parts'!$A$2:$CF$259)</f>
        <v>0</v>
      </c>
      <c r="F65" s="159">
        <f>revenue($A65,F$2,' Model Wise'!$A$2:$C$6,'RCD life cyl Parts'!$A$2:$CF$259)</f>
        <v>0</v>
      </c>
      <c r="G65" s="159">
        <f>revenue($A65,G$2,' Model Wise'!$A$2:$C$6,'RCD life cyl Parts'!$A$2:$CF$259)</f>
        <v>0</v>
      </c>
      <c r="H65" s="159">
        <f>revenue($A65,H$2,' Model Wise'!$A$2:$C$6,'RCD life cyl Parts'!$A$2:$CF$259)</f>
        <v>0</v>
      </c>
      <c r="I65" s="159">
        <f>revenue($A65,I$2,' Model Wise'!$A$2:$C$6,'RCD life cyl Parts'!$A$2:$CF$259)</f>
        <v>0</v>
      </c>
      <c r="J65" s="159">
        <f>revenue($A65,J$2,' Model Wise'!$A$2:$C$6,'RCD life cyl Parts'!$A$2:$CF$259)</f>
        <v>0</v>
      </c>
      <c r="K65" s="159">
        <f>revenue($A65,K$2,' Model Wise'!$A$2:$C$6,'RCD life cyl Parts'!$A$2:$CF$259)</f>
        <v>0</v>
      </c>
      <c r="L65" s="159">
        <f>revenue($A65,L$2,' Model Wise'!$A$2:$C$6,'RCD life cyl Parts'!$A$2:$CF$259)</f>
        <v>0</v>
      </c>
    </row>
    <row r="66" spans="1:12">
      <c r="A66" s="157" t="s">
        <v>116</v>
      </c>
      <c r="B66" s="159" t="str">
        <f>+VLOOKUP(A66,'RCD life cyl Parts'!B:D,3,0)</f>
        <v>INTER COOLER CON.PIPE (2)</v>
      </c>
      <c r="C66" s="159">
        <f>revenue($A66,C$2,' Model Wise'!$A$2:$C$6,'RCD life cyl Parts'!$A$2:$CF$259)</f>
        <v>0</v>
      </c>
      <c r="D66" s="159">
        <f>revenue($A66,D$2,' Model Wise'!$A$2:$C$6,'RCD life cyl Parts'!$A$2:$CF$259)</f>
        <v>0</v>
      </c>
      <c r="E66" s="159">
        <f>revenue($A66,E$2,' Model Wise'!$A$2:$C$6,'RCD life cyl Parts'!$A$2:$CF$259)</f>
        <v>0</v>
      </c>
      <c r="F66" s="159">
        <f>revenue($A66,F$2,' Model Wise'!$A$2:$C$6,'RCD life cyl Parts'!$A$2:$CF$259)</f>
        <v>0</v>
      </c>
      <c r="G66" s="159">
        <f>revenue($A66,G$2,' Model Wise'!$A$2:$C$6,'RCD life cyl Parts'!$A$2:$CF$259)</f>
        <v>0</v>
      </c>
      <c r="H66" s="159">
        <f>revenue($A66,H$2,' Model Wise'!$A$2:$C$6,'RCD life cyl Parts'!$A$2:$CF$259)</f>
        <v>0</v>
      </c>
      <c r="I66" s="159">
        <f>revenue($A66,I$2,' Model Wise'!$A$2:$C$6,'RCD life cyl Parts'!$A$2:$CF$259)</f>
        <v>0</v>
      </c>
      <c r="J66" s="159">
        <f>revenue($A66,J$2,' Model Wise'!$A$2:$C$6,'RCD life cyl Parts'!$A$2:$CF$259)</f>
        <v>0</v>
      </c>
      <c r="K66" s="159">
        <f>revenue($A66,K$2,' Model Wise'!$A$2:$C$6,'RCD life cyl Parts'!$A$2:$CF$259)</f>
        <v>0</v>
      </c>
      <c r="L66" s="159">
        <f>revenue($A66,L$2,' Model Wise'!$A$2:$C$6,'RCD life cyl Parts'!$A$2:$CF$259)</f>
        <v>0</v>
      </c>
    </row>
    <row r="67" spans="1:12">
      <c r="A67" s="157" t="s">
        <v>118</v>
      </c>
      <c r="B67" s="159" t="str">
        <f>+VLOOKUP(A67,'RCD life cyl Parts'!B:D,3,0)</f>
        <v>AFTER COOLER PIPE 1</v>
      </c>
      <c r="C67" s="159">
        <f>revenue($A67,C$2,' Model Wise'!$A$2:$C$6,'RCD life cyl Parts'!$A$2:$CF$259)</f>
        <v>0</v>
      </c>
      <c r="D67" s="159">
        <f>revenue($A67,D$2,' Model Wise'!$A$2:$C$6,'RCD life cyl Parts'!$A$2:$CF$259)</f>
        <v>0</v>
      </c>
      <c r="E67" s="159">
        <f>revenue($A67,E$2,' Model Wise'!$A$2:$C$6,'RCD life cyl Parts'!$A$2:$CF$259)</f>
        <v>0</v>
      </c>
      <c r="F67" s="159">
        <f>revenue($A67,F$2,' Model Wise'!$A$2:$C$6,'RCD life cyl Parts'!$A$2:$CF$259)</f>
        <v>0</v>
      </c>
      <c r="G67" s="159">
        <f>revenue($A67,G$2,' Model Wise'!$A$2:$C$6,'RCD life cyl Parts'!$A$2:$CF$259)</f>
        <v>0</v>
      </c>
      <c r="H67" s="159">
        <f>revenue($A67,H$2,' Model Wise'!$A$2:$C$6,'RCD life cyl Parts'!$A$2:$CF$259)</f>
        <v>0</v>
      </c>
      <c r="I67" s="159">
        <f>revenue($A67,I$2,' Model Wise'!$A$2:$C$6,'RCD life cyl Parts'!$A$2:$CF$259)</f>
        <v>0</v>
      </c>
      <c r="J67" s="159">
        <f>revenue($A67,J$2,' Model Wise'!$A$2:$C$6,'RCD life cyl Parts'!$A$2:$CF$259)</f>
        <v>0</v>
      </c>
      <c r="K67" s="159">
        <f>revenue($A67,K$2,' Model Wise'!$A$2:$C$6,'RCD life cyl Parts'!$A$2:$CF$259)</f>
        <v>0</v>
      </c>
      <c r="L67" s="159">
        <f>revenue($A67,L$2,' Model Wise'!$A$2:$C$6,'RCD life cyl Parts'!$A$2:$CF$259)</f>
        <v>0</v>
      </c>
    </row>
    <row r="68" spans="1:12">
      <c r="A68" s="157" t="s">
        <v>120</v>
      </c>
      <c r="B68" s="159" t="str">
        <f>+VLOOKUP(A68,'RCD life cyl Parts'!B:D,3,0)</f>
        <v>AFTER COOLER PIPE 2</v>
      </c>
      <c r="C68" s="159">
        <f>revenue($A68,C$2,' Model Wise'!$A$2:$C$6,'RCD life cyl Parts'!$A$2:$CF$259)</f>
        <v>0</v>
      </c>
      <c r="D68" s="159">
        <f>revenue($A68,D$2,' Model Wise'!$A$2:$C$6,'RCD life cyl Parts'!$A$2:$CF$259)</f>
        <v>0</v>
      </c>
      <c r="E68" s="159">
        <f>revenue($A68,E$2,' Model Wise'!$A$2:$C$6,'RCD life cyl Parts'!$A$2:$CF$259)</f>
        <v>0</v>
      </c>
      <c r="F68" s="159">
        <f>revenue($A68,F$2,' Model Wise'!$A$2:$C$6,'RCD life cyl Parts'!$A$2:$CF$259)</f>
        <v>0</v>
      </c>
      <c r="G68" s="159">
        <f>revenue($A68,G$2,' Model Wise'!$A$2:$C$6,'RCD life cyl Parts'!$A$2:$CF$259)</f>
        <v>0</v>
      </c>
      <c r="H68" s="159">
        <f>revenue($A68,H$2,' Model Wise'!$A$2:$C$6,'RCD life cyl Parts'!$A$2:$CF$259)</f>
        <v>0</v>
      </c>
      <c r="I68" s="159">
        <f>revenue($A68,I$2,' Model Wise'!$A$2:$C$6,'RCD life cyl Parts'!$A$2:$CF$259)</f>
        <v>0</v>
      </c>
      <c r="J68" s="159">
        <f>revenue($A68,J$2,' Model Wise'!$A$2:$C$6,'RCD life cyl Parts'!$A$2:$CF$259)</f>
        <v>0</v>
      </c>
      <c r="K68" s="159">
        <f>revenue($A68,K$2,' Model Wise'!$A$2:$C$6,'RCD life cyl Parts'!$A$2:$CF$259)</f>
        <v>0</v>
      </c>
      <c r="L68" s="159">
        <f>revenue($A68,L$2,' Model Wise'!$A$2:$C$6,'RCD life cyl Parts'!$A$2:$CF$259)</f>
        <v>0</v>
      </c>
    </row>
    <row r="69" spans="1:12">
      <c r="A69" s="157" t="s">
        <v>122</v>
      </c>
      <c r="B69" s="159" t="str">
        <f>+VLOOKUP(A69,'RCD life cyl Parts'!B:D,3,0)</f>
        <v>TUNE UP KIT</v>
      </c>
      <c r="C69" s="159">
        <f>revenue($A69,C$2,' Model Wise'!$A$2:$C$6,'RCD life cyl Parts'!$A$2:$CF$259)</f>
        <v>0</v>
      </c>
      <c r="D69" s="159">
        <f>revenue($A69,D$2,' Model Wise'!$A$2:$C$6,'RCD life cyl Parts'!$A$2:$CF$259)</f>
        <v>0</v>
      </c>
      <c r="E69" s="159">
        <f>revenue($A69,E$2,' Model Wise'!$A$2:$C$6,'RCD life cyl Parts'!$A$2:$CF$259)</f>
        <v>0</v>
      </c>
      <c r="F69" s="159">
        <f>revenue($A69,F$2,' Model Wise'!$A$2:$C$6,'RCD life cyl Parts'!$A$2:$CF$259)</f>
        <v>0</v>
      </c>
      <c r="G69" s="159">
        <f>revenue($A69,G$2,' Model Wise'!$A$2:$C$6,'RCD life cyl Parts'!$A$2:$CF$259)</f>
        <v>0</v>
      </c>
      <c r="H69" s="159">
        <f>revenue($A69,H$2,' Model Wise'!$A$2:$C$6,'RCD life cyl Parts'!$A$2:$CF$259)</f>
        <v>0</v>
      </c>
      <c r="I69" s="159">
        <f>revenue($A69,I$2,' Model Wise'!$A$2:$C$6,'RCD life cyl Parts'!$A$2:$CF$259)</f>
        <v>0</v>
      </c>
      <c r="J69" s="159">
        <f>revenue($A69,J$2,' Model Wise'!$A$2:$C$6,'RCD life cyl Parts'!$A$2:$CF$259)</f>
        <v>0</v>
      </c>
      <c r="K69" s="159">
        <f>revenue($A69,K$2,' Model Wise'!$A$2:$C$6,'RCD life cyl Parts'!$A$2:$CF$259)</f>
        <v>0</v>
      </c>
      <c r="L69" s="159">
        <f>revenue($A69,L$2,' Model Wise'!$A$2:$C$6,'RCD life cyl Parts'!$A$2:$CF$259)</f>
        <v>0</v>
      </c>
    </row>
    <row r="70" spans="1:12">
      <c r="A70" s="157" t="s">
        <v>123</v>
      </c>
      <c r="B70" s="159" t="str">
        <f>+VLOOKUP(A70,'RCD life cyl Parts'!B:D,3,0)</f>
        <v>SAFETY VALVE AFTER COOLER</v>
      </c>
      <c r="C70" s="159">
        <f>revenue($A70,C$2,' Model Wise'!$A$2:$C$6,'RCD life cyl Parts'!$A$2:$CF$259)</f>
        <v>0</v>
      </c>
      <c r="D70" s="159">
        <f>revenue($A70,D$2,' Model Wise'!$A$2:$C$6,'RCD life cyl Parts'!$A$2:$CF$259)</f>
        <v>0</v>
      </c>
      <c r="E70" s="159">
        <f>revenue($A70,E$2,' Model Wise'!$A$2:$C$6,'RCD life cyl Parts'!$A$2:$CF$259)</f>
        <v>0</v>
      </c>
      <c r="F70" s="159">
        <f>revenue($A70,F$2,' Model Wise'!$A$2:$C$6,'RCD life cyl Parts'!$A$2:$CF$259)</f>
        <v>0</v>
      </c>
      <c r="G70" s="159">
        <f>revenue($A70,G$2,' Model Wise'!$A$2:$C$6,'RCD life cyl Parts'!$A$2:$CF$259)</f>
        <v>0</v>
      </c>
      <c r="H70" s="159">
        <f>revenue($A70,H$2,' Model Wise'!$A$2:$C$6,'RCD life cyl Parts'!$A$2:$CF$259)</f>
        <v>0</v>
      </c>
      <c r="I70" s="159">
        <f>revenue($A70,I$2,' Model Wise'!$A$2:$C$6,'RCD life cyl Parts'!$A$2:$CF$259)</f>
        <v>0</v>
      </c>
      <c r="J70" s="159">
        <f>revenue($A70,J$2,' Model Wise'!$A$2:$C$6,'RCD life cyl Parts'!$A$2:$CF$259)</f>
        <v>0</v>
      </c>
      <c r="K70" s="159">
        <f>revenue($A70,K$2,' Model Wise'!$A$2:$C$6,'RCD life cyl Parts'!$A$2:$CF$259)</f>
        <v>0</v>
      </c>
      <c r="L70" s="159">
        <f>revenue($A70,L$2,' Model Wise'!$A$2:$C$6,'RCD life cyl Parts'!$A$2:$CF$259)</f>
        <v>0</v>
      </c>
    </row>
    <row r="71" spans="1:12">
      <c r="A71" s="160" t="s">
        <v>124</v>
      </c>
      <c r="B71" s="159" t="str">
        <f>+VLOOKUP(A71,'RCD life cyl Parts'!B:D,3,0)</f>
        <v>SAFETY VALVE INTER COOLER</v>
      </c>
      <c r="C71" s="159">
        <f>revenue($A71,C$2,' Model Wise'!$A$2:$C$6,'RCD life cyl Parts'!$A$2:$CF$259)</f>
        <v>0</v>
      </c>
      <c r="D71" s="159">
        <f>revenue($A71,D$2,' Model Wise'!$A$2:$C$6,'RCD life cyl Parts'!$A$2:$CF$259)</f>
        <v>0</v>
      </c>
      <c r="E71" s="159">
        <f>revenue($A71,E$2,' Model Wise'!$A$2:$C$6,'RCD life cyl Parts'!$A$2:$CF$259)</f>
        <v>0</v>
      </c>
      <c r="F71" s="159">
        <f>revenue($A71,F$2,' Model Wise'!$A$2:$C$6,'RCD life cyl Parts'!$A$2:$CF$259)</f>
        <v>0</v>
      </c>
      <c r="G71" s="159">
        <f>revenue($A71,G$2,' Model Wise'!$A$2:$C$6,'RCD life cyl Parts'!$A$2:$CF$259)</f>
        <v>0</v>
      </c>
      <c r="H71" s="159">
        <f>revenue($A71,H$2,' Model Wise'!$A$2:$C$6,'RCD life cyl Parts'!$A$2:$CF$259)</f>
        <v>0</v>
      </c>
      <c r="I71" s="159">
        <f>revenue($A71,I$2,' Model Wise'!$A$2:$C$6,'RCD life cyl Parts'!$A$2:$CF$259)</f>
        <v>0</v>
      </c>
      <c r="J71" s="159">
        <f>revenue($A71,J$2,' Model Wise'!$A$2:$C$6,'RCD life cyl Parts'!$A$2:$CF$259)</f>
        <v>0</v>
      </c>
      <c r="K71" s="159">
        <f>revenue($A71,K$2,' Model Wise'!$A$2:$C$6,'RCD life cyl Parts'!$A$2:$CF$259)</f>
        <v>0</v>
      </c>
      <c r="L71" s="159">
        <f>revenue($A71,L$2,' Model Wise'!$A$2:$C$6,'RCD life cyl Parts'!$A$2:$CF$259)</f>
        <v>0</v>
      </c>
    </row>
    <row r="72" spans="1:12">
      <c r="A72" s="37" t="s">
        <v>125</v>
      </c>
      <c r="B72" s="159" t="str">
        <f>+VLOOKUP(A72,'RCD life cyl Parts'!B:D,3,0)</f>
        <v>SAFETY VALVE AIR RECEIVER</v>
      </c>
      <c r="C72" s="159">
        <f>revenue($A72,C$2,' Model Wise'!$A$2:$C$6,'RCD life cyl Parts'!$A$2:$CF$259)</f>
        <v>0</v>
      </c>
      <c r="D72" s="159">
        <f>revenue($A72,D$2,' Model Wise'!$A$2:$C$6,'RCD life cyl Parts'!$A$2:$CF$259)</f>
        <v>0</v>
      </c>
      <c r="E72" s="159">
        <f>revenue($A72,E$2,' Model Wise'!$A$2:$C$6,'RCD life cyl Parts'!$A$2:$CF$259)</f>
        <v>0</v>
      </c>
      <c r="F72" s="159">
        <f>revenue($A72,F$2,' Model Wise'!$A$2:$C$6,'RCD life cyl Parts'!$A$2:$CF$259)</f>
        <v>0</v>
      </c>
      <c r="G72" s="159">
        <f>revenue($A72,G$2,' Model Wise'!$A$2:$C$6,'RCD life cyl Parts'!$A$2:$CF$259)</f>
        <v>0</v>
      </c>
      <c r="H72" s="159">
        <f>revenue($A72,H$2,' Model Wise'!$A$2:$C$6,'RCD life cyl Parts'!$A$2:$CF$259)</f>
        <v>0</v>
      </c>
      <c r="I72" s="159">
        <f>revenue($A72,I$2,' Model Wise'!$A$2:$C$6,'RCD life cyl Parts'!$A$2:$CF$259)</f>
        <v>0</v>
      </c>
      <c r="J72" s="159">
        <f>revenue($A72,J$2,' Model Wise'!$A$2:$C$6,'RCD life cyl Parts'!$A$2:$CF$259)</f>
        <v>0</v>
      </c>
      <c r="K72" s="159">
        <f>revenue($A72,K$2,' Model Wise'!$A$2:$C$6,'RCD life cyl Parts'!$A$2:$CF$259)</f>
        <v>0</v>
      </c>
      <c r="L72" s="159">
        <f>revenue($A72,L$2,' Model Wise'!$A$2:$C$6,'RCD life cyl Parts'!$A$2:$CF$259)</f>
        <v>0</v>
      </c>
    </row>
    <row r="73" spans="1:12">
      <c r="A73" s="158" t="s">
        <v>127</v>
      </c>
      <c r="B73" s="159" t="str">
        <f>+VLOOKUP(A73,'RCD life cyl Parts'!B:D,3,0)</f>
        <v>BREATHER VALVE</v>
      </c>
      <c r="C73" s="159">
        <f>revenue($A73,C$2,' Model Wise'!$A$2:$C$6,'RCD life cyl Parts'!$A$2:$CF$259)</f>
        <v>0</v>
      </c>
      <c r="D73" s="159">
        <f>revenue($A73,D$2,' Model Wise'!$A$2:$C$6,'RCD life cyl Parts'!$A$2:$CF$259)</f>
        <v>0</v>
      </c>
      <c r="E73" s="159">
        <f>revenue($A73,E$2,' Model Wise'!$A$2:$C$6,'RCD life cyl Parts'!$A$2:$CF$259)</f>
        <v>0</v>
      </c>
      <c r="F73" s="159">
        <f>revenue($A73,F$2,' Model Wise'!$A$2:$C$6,'RCD life cyl Parts'!$A$2:$CF$259)</f>
        <v>0</v>
      </c>
      <c r="G73" s="159">
        <f>revenue($A73,G$2,' Model Wise'!$A$2:$C$6,'RCD life cyl Parts'!$A$2:$CF$259)</f>
        <v>0</v>
      </c>
      <c r="H73" s="159">
        <f>revenue($A73,H$2,' Model Wise'!$A$2:$C$6,'RCD life cyl Parts'!$A$2:$CF$259)</f>
        <v>0</v>
      </c>
      <c r="I73" s="159">
        <f>revenue($A73,I$2,' Model Wise'!$A$2:$C$6,'RCD life cyl Parts'!$A$2:$CF$259)</f>
        <v>0</v>
      </c>
      <c r="J73" s="159">
        <f>revenue($A73,J$2,' Model Wise'!$A$2:$C$6,'RCD life cyl Parts'!$A$2:$CF$259)</f>
        <v>0</v>
      </c>
      <c r="K73" s="159">
        <f>revenue($A73,K$2,' Model Wise'!$A$2:$C$6,'RCD life cyl Parts'!$A$2:$CF$259)</f>
        <v>0</v>
      </c>
      <c r="L73" s="159">
        <f>revenue($A73,L$2,' Model Wise'!$A$2:$C$6,'RCD life cyl Parts'!$A$2:$CF$259)</f>
        <v>0</v>
      </c>
    </row>
    <row r="74" spans="1:12">
      <c r="A74" s="157" t="s">
        <v>128</v>
      </c>
      <c r="B74" s="159" t="str">
        <f>+VLOOKUP(A74,'RCD life cyl Parts'!B:D,3,0)</f>
        <v>CON ROD  BUSH 70</v>
      </c>
      <c r="C74" s="159">
        <f>revenue($A74,C$2,' Model Wise'!$A$2:$C$6,'RCD life cyl Parts'!$A$2:$CF$259)</f>
        <v>0</v>
      </c>
      <c r="D74" s="159">
        <f>revenue($A74,D$2,' Model Wise'!$A$2:$C$6,'RCD life cyl Parts'!$A$2:$CF$259)</f>
        <v>0</v>
      </c>
      <c r="E74" s="159">
        <f>revenue($A74,E$2,' Model Wise'!$A$2:$C$6,'RCD life cyl Parts'!$A$2:$CF$259)</f>
        <v>0</v>
      </c>
      <c r="F74" s="159">
        <f>revenue($A74,F$2,' Model Wise'!$A$2:$C$6,'RCD life cyl Parts'!$A$2:$CF$259)</f>
        <v>0</v>
      </c>
      <c r="G74" s="159">
        <f>revenue($A74,G$2,' Model Wise'!$A$2:$C$6,'RCD life cyl Parts'!$A$2:$CF$259)</f>
        <v>0</v>
      </c>
      <c r="H74" s="159">
        <f>revenue($A74,H$2,' Model Wise'!$A$2:$C$6,'RCD life cyl Parts'!$A$2:$CF$259)</f>
        <v>0</v>
      </c>
      <c r="I74" s="159">
        <f>revenue($A74,I$2,' Model Wise'!$A$2:$C$6,'RCD life cyl Parts'!$A$2:$CF$259)</f>
        <v>0</v>
      </c>
      <c r="J74" s="159">
        <f>revenue($A74,J$2,' Model Wise'!$A$2:$C$6,'RCD life cyl Parts'!$A$2:$CF$259)</f>
        <v>0</v>
      </c>
      <c r="K74" s="159">
        <f>revenue($A74,K$2,' Model Wise'!$A$2:$C$6,'RCD life cyl Parts'!$A$2:$CF$259)</f>
        <v>0</v>
      </c>
      <c r="L74" s="159">
        <f>revenue($A74,L$2,' Model Wise'!$A$2:$C$6,'RCD life cyl Parts'!$A$2:$CF$259)</f>
        <v>0</v>
      </c>
    </row>
    <row r="75" spans="1:12">
      <c r="A75" s="157" t="s">
        <v>129</v>
      </c>
      <c r="B75" s="159" t="str">
        <f>+VLOOKUP(A75,'RCD life cyl Parts'!B:D,3,0)</f>
        <v>CON ROD BUSH 127</v>
      </c>
      <c r="C75" s="159">
        <f>revenue($A75,C$2,' Model Wise'!$A$2:$C$6,'RCD life cyl Parts'!$A$2:$CF$259)</f>
        <v>0</v>
      </c>
      <c r="D75" s="159">
        <f>revenue($A75,D$2,' Model Wise'!$A$2:$C$6,'RCD life cyl Parts'!$A$2:$CF$259)</f>
        <v>0</v>
      </c>
      <c r="E75" s="159">
        <f>revenue($A75,E$2,' Model Wise'!$A$2:$C$6,'RCD life cyl Parts'!$A$2:$CF$259)</f>
        <v>0</v>
      </c>
      <c r="F75" s="159">
        <f>revenue($A75,F$2,' Model Wise'!$A$2:$C$6,'RCD life cyl Parts'!$A$2:$CF$259)</f>
        <v>0</v>
      </c>
      <c r="G75" s="159">
        <f>revenue($A75,G$2,' Model Wise'!$A$2:$C$6,'RCD life cyl Parts'!$A$2:$CF$259)</f>
        <v>0</v>
      </c>
      <c r="H75" s="159">
        <f>revenue($A75,H$2,' Model Wise'!$A$2:$C$6,'RCD life cyl Parts'!$A$2:$CF$259)</f>
        <v>0</v>
      </c>
      <c r="I75" s="159">
        <f>revenue($A75,I$2,' Model Wise'!$A$2:$C$6,'RCD life cyl Parts'!$A$2:$CF$259)</f>
        <v>0</v>
      </c>
      <c r="J75" s="159">
        <f>revenue($A75,J$2,' Model Wise'!$A$2:$C$6,'RCD life cyl Parts'!$A$2:$CF$259)</f>
        <v>0</v>
      </c>
      <c r="K75" s="159">
        <f>revenue($A75,K$2,' Model Wise'!$A$2:$C$6,'RCD life cyl Parts'!$A$2:$CF$259)</f>
        <v>0</v>
      </c>
      <c r="L75" s="159">
        <f>revenue($A75,L$2,' Model Wise'!$A$2:$C$6,'RCD life cyl Parts'!$A$2:$CF$259)</f>
        <v>0</v>
      </c>
    </row>
    <row r="76" spans="1:12">
      <c r="A76" s="157" t="s">
        <v>131</v>
      </c>
      <c r="B76" s="159" t="str">
        <f>+VLOOKUP(A76,'RCD life cyl Parts'!B:D,3,0)</f>
        <v>PISTON ASSY 70</v>
      </c>
      <c r="C76" s="159">
        <f>revenue($A76,C$2,' Model Wise'!$A$2:$C$6,'RCD life cyl Parts'!$A$2:$CF$259)</f>
        <v>0</v>
      </c>
      <c r="D76" s="159">
        <f>revenue($A76,D$2,' Model Wise'!$A$2:$C$6,'RCD life cyl Parts'!$A$2:$CF$259)</f>
        <v>0</v>
      </c>
      <c r="E76" s="159">
        <f>revenue($A76,E$2,' Model Wise'!$A$2:$C$6,'RCD life cyl Parts'!$A$2:$CF$259)</f>
        <v>0</v>
      </c>
      <c r="F76" s="159">
        <f>revenue($A76,F$2,' Model Wise'!$A$2:$C$6,'RCD life cyl Parts'!$A$2:$CF$259)</f>
        <v>0</v>
      </c>
      <c r="G76" s="159">
        <f>revenue($A76,G$2,' Model Wise'!$A$2:$C$6,'RCD life cyl Parts'!$A$2:$CF$259)</f>
        <v>0</v>
      </c>
      <c r="H76" s="159">
        <f>revenue($A76,H$2,' Model Wise'!$A$2:$C$6,'RCD life cyl Parts'!$A$2:$CF$259)</f>
        <v>0</v>
      </c>
      <c r="I76" s="159">
        <f>revenue($A76,I$2,' Model Wise'!$A$2:$C$6,'RCD life cyl Parts'!$A$2:$CF$259)</f>
        <v>0</v>
      </c>
      <c r="J76" s="159">
        <f>revenue($A76,J$2,' Model Wise'!$A$2:$C$6,'RCD life cyl Parts'!$A$2:$CF$259)</f>
        <v>0</v>
      </c>
      <c r="K76" s="159">
        <f>revenue($A76,K$2,' Model Wise'!$A$2:$C$6,'RCD life cyl Parts'!$A$2:$CF$259)</f>
        <v>0</v>
      </c>
      <c r="L76" s="159">
        <f>revenue($A76,L$2,' Model Wise'!$A$2:$C$6,'RCD life cyl Parts'!$A$2:$CF$259)</f>
        <v>0</v>
      </c>
    </row>
    <row r="77" spans="1:12">
      <c r="A77" s="157" t="s">
        <v>132</v>
      </c>
      <c r="B77" s="159" t="str">
        <f>+VLOOKUP(A77,'RCD life cyl Parts'!B:D,3,0)</f>
        <v>PISTON ASSY 127</v>
      </c>
      <c r="C77" s="159">
        <f>revenue($A77,C$2,' Model Wise'!$A$2:$C$6,'RCD life cyl Parts'!$A$2:$CF$259)</f>
        <v>0</v>
      </c>
      <c r="D77" s="159">
        <f>revenue($A77,D$2,' Model Wise'!$A$2:$C$6,'RCD life cyl Parts'!$A$2:$CF$259)</f>
        <v>0</v>
      </c>
      <c r="E77" s="159">
        <f>revenue($A77,E$2,' Model Wise'!$A$2:$C$6,'RCD life cyl Parts'!$A$2:$CF$259)</f>
        <v>0</v>
      </c>
      <c r="F77" s="159">
        <f>revenue($A77,F$2,' Model Wise'!$A$2:$C$6,'RCD life cyl Parts'!$A$2:$CF$259)</f>
        <v>0</v>
      </c>
      <c r="G77" s="159">
        <f>revenue($A77,G$2,' Model Wise'!$A$2:$C$6,'RCD life cyl Parts'!$A$2:$CF$259)</f>
        <v>0</v>
      </c>
      <c r="H77" s="159">
        <f>revenue($A77,H$2,' Model Wise'!$A$2:$C$6,'RCD life cyl Parts'!$A$2:$CF$259)</f>
        <v>0</v>
      </c>
      <c r="I77" s="159">
        <f>revenue($A77,I$2,' Model Wise'!$A$2:$C$6,'RCD life cyl Parts'!$A$2:$CF$259)</f>
        <v>0</v>
      </c>
      <c r="J77" s="159">
        <f>revenue($A77,J$2,' Model Wise'!$A$2:$C$6,'RCD life cyl Parts'!$A$2:$CF$259)</f>
        <v>0</v>
      </c>
      <c r="K77" s="159">
        <f>revenue($A77,K$2,' Model Wise'!$A$2:$C$6,'RCD life cyl Parts'!$A$2:$CF$259)</f>
        <v>0</v>
      </c>
      <c r="L77" s="159">
        <f>revenue($A77,L$2,' Model Wise'!$A$2:$C$6,'RCD life cyl Parts'!$A$2:$CF$259)</f>
        <v>0</v>
      </c>
    </row>
    <row r="78" spans="1:12">
      <c r="A78" s="157" t="s">
        <v>134</v>
      </c>
      <c r="B78" s="159" t="str">
        <f>+VLOOKUP(A78,'RCD life cyl Parts'!B:D,3,0)</f>
        <v>CYLINDER ASSY 70</v>
      </c>
      <c r="C78" s="159">
        <f>revenue($A78,C$2,' Model Wise'!$A$2:$C$6,'RCD life cyl Parts'!$A$2:$CF$259)</f>
        <v>0</v>
      </c>
      <c r="D78" s="159">
        <f>revenue($A78,D$2,' Model Wise'!$A$2:$C$6,'RCD life cyl Parts'!$A$2:$CF$259)</f>
        <v>0</v>
      </c>
      <c r="E78" s="159">
        <f>revenue($A78,E$2,' Model Wise'!$A$2:$C$6,'RCD life cyl Parts'!$A$2:$CF$259)</f>
        <v>0</v>
      </c>
      <c r="F78" s="159">
        <f>revenue($A78,F$2,' Model Wise'!$A$2:$C$6,'RCD life cyl Parts'!$A$2:$CF$259)</f>
        <v>0</v>
      </c>
      <c r="G78" s="159">
        <f>revenue($A78,G$2,' Model Wise'!$A$2:$C$6,'RCD life cyl Parts'!$A$2:$CF$259)</f>
        <v>0</v>
      </c>
      <c r="H78" s="159">
        <f>revenue($A78,H$2,' Model Wise'!$A$2:$C$6,'RCD life cyl Parts'!$A$2:$CF$259)</f>
        <v>0</v>
      </c>
      <c r="I78" s="159">
        <f>revenue($A78,I$2,' Model Wise'!$A$2:$C$6,'RCD life cyl Parts'!$A$2:$CF$259)</f>
        <v>0</v>
      </c>
      <c r="J78" s="159">
        <f>revenue($A78,J$2,' Model Wise'!$A$2:$C$6,'RCD life cyl Parts'!$A$2:$CF$259)</f>
        <v>0</v>
      </c>
      <c r="K78" s="159">
        <f>revenue($A78,K$2,' Model Wise'!$A$2:$C$6,'RCD life cyl Parts'!$A$2:$CF$259)</f>
        <v>0</v>
      </c>
      <c r="L78" s="159">
        <f>revenue($A78,L$2,' Model Wise'!$A$2:$C$6,'RCD life cyl Parts'!$A$2:$CF$259)</f>
        <v>0</v>
      </c>
    </row>
    <row r="79" spans="1:12">
      <c r="A79" s="157" t="s">
        <v>135</v>
      </c>
      <c r="B79" s="159" t="str">
        <f>+VLOOKUP(A79,'RCD life cyl Parts'!B:D,3,0)</f>
        <v>CYLINDER ASSY 127</v>
      </c>
      <c r="C79" s="159">
        <f>revenue($A79,C$2,' Model Wise'!$A$2:$C$6,'RCD life cyl Parts'!$A$2:$CF$259)</f>
        <v>0</v>
      </c>
      <c r="D79" s="159">
        <f>revenue($A79,D$2,' Model Wise'!$A$2:$C$6,'RCD life cyl Parts'!$A$2:$CF$259)</f>
        <v>0</v>
      </c>
      <c r="E79" s="159">
        <f>revenue($A79,E$2,' Model Wise'!$A$2:$C$6,'RCD life cyl Parts'!$A$2:$CF$259)</f>
        <v>0</v>
      </c>
      <c r="F79" s="159">
        <f>revenue($A79,F$2,' Model Wise'!$A$2:$C$6,'RCD life cyl Parts'!$A$2:$CF$259)</f>
        <v>0</v>
      </c>
      <c r="G79" s="159">
        <f>revenue($A79,G$2,' Model Wise'!$A$2:$C$6,'RCD life cyl Parts'!$A$2:$CF$259)</f>
        <v>0</v>
      </c>
      <c r="H79" s="159">
        <f>revenue($A79,H$2,' Model Wise'!$A$2:$C$6,'RCD life cyl Parts'!$A$2:$CF$259)</f>
        <v>0</v>
      </c>
      <c r="I79" s="159">
        <f>revenue($A79,I$2,' Model Wise'!$A$2:$C$6,'RCD life cyl Parts'!$A$2:$CF$259)</f>
        <v>0</v>
      </c>
      <c r="J79" s="159">
        <f>revenue($A79,J$2,' Model Wise'!$A$2:$C$6,'RCD life cyl Parts'!$A$2:$CF$259)</f>
        <v>0</v>
      </c>
      <c r="K79" s="159">
        <f>revenue($A79,K$2,' Model Wise'!$A$2:$C$6,'RCD life cyl Parts'!$A$2:$CF$259)</f>
        <v>0</v>
      </c>
      <c r="L79" s="159">
        <f>revenue($A79,L$2,' Model Wise'!$A$2:$C$6,'RCD life cyl Parts'!$A$2:$CF$259)</f>
        <v>0</v>
      </c>
    </row>
    <row r="80" spans="1:12">
      <c r="A80" s="158" t="s">
        <v>137</v>
      </c>
      <c r="B80" s="159" t="str">
        <f>+VLOOKUP(A80,'RCD life cyl Parts'!B:D,3,0)</f>
        <v>CYLINDER HEAD 70</v>
      </c>
      <c r="C80" s="159">
        <f>revenue($A80,C$2,' Model Wise'!$A$2:$C$6,'RCD life cyl Parts'!$A$2:$CF$259)</f>
        <v>0</v>
      </c>
      <c r="D80" s="159">
        <f>revenue($A80,D$2,' Model Wise'!$A$2:$C$6,'RCD life cyl Parts'!$A$2:$CF$259)</f>
        <v>0</v>
      </c>
      <c r="E80" s="159">
        <f>revenue($A80,E$2,' Model Wise'!$A$2:$C$6,'RCD life cyl Parts'!$A$2:$CF$259)</f>
        <v>0</v>
      </c>
      <c r="F80" s="159">
        <f>revenue($A80,F$2,' Model Wise'!$A$2:$C$6,'RCD life cyl Parts'!$A$2:$CF$259)</f>
        <v>0</v>
      </c>
      <c r="G80" s="159">
        <f>revenue($A80,G$2,' Model Wise'!$A$2:$C$6,'RCD life cyl Parts'!$A$2:$CF$259)</f>
        <v>0</v>
      </c>
      <c r="H80" s="159">
        <f>revenue($A80,H$2,' Model Wise'!$A$2:$C$6,'RCD life cyl Parts'!$A$2:$CF$259)</f>
        <v>0</v>
      </c>
      <c r="I80" s="159">
        <f>revenue($A80,I$2,' Model Wise'!$A$2:$C$6,'RCD life cyl Parts'!$A$2:$CF$259)</f>
        <v>0</v>
      </c>
      <c r="J80" s="159">
        <f>revenue($A80,J$2,' Model Wise'!$A$2:$C$6,'RCD life cyl Parts'!$A$2:$CF$259)</f>
        <v>0</v>
      </c>
      <c r="K80" s="159">
        <f>revenue($A80,K$2,' Model Wise'!$A$2:$C$6,'RCD life cyl Parts'!$A$2:$CF$259)</f>
        <v>0</v>
      </c>
      <c r="L80" s="159">
        <f>revenue($A80,L$2,' Model Wise'!$A$2:$C$6,'RCD life cyl Parts'!$A$2:$CF$259)</f>
        <v>0</v>
      </c>
    </row>
    <row r="81" spans="1:12">
      <c r="A81" s="158" t="s">
        <v>138</v>
      </c>
      <c r="B81" s="159" t="str">
        <f>+VLOOKUP(A81,'RCD life cyl Parts'!B:D,3,0)</f>
        <v>CYLINDER HEAD 127</v>
      </c>
      <c r="C81" s="159">
        <f>revenue($A81,C$2,' Model Wise'!$A$2:$C$6,'RCD life cyl Parts'!$A$2:$CF$259)</f>
        <v>0</v>
      </c>
      <c r="D81" s="159">
        <f>revenue($A81,D$2,' Model Wise'!$A$2:$C$6,'RCD life cyl Parts'!$A$2:$CF$259)</f>
        <v>0</v>
      </c>
      <c r="E81" s="159">
        <f>revenue($A81,E$2,' Model Wise'!$A$2:$C$6,'RCD life cyl Parts'!$A$2:$CF$259)</f>
        <v>0</v>
      </c>
      <c r="F81" s="159">
        <f>revenue($A81,F$2,' Model Wise'!$A$2:$C$6,'RCD life cyl Parts'!$A$2:$CF$259)</f>
        <v>0</v>
      </c>
      <c r="G81" s="159">
        <f>revenue($A81,G$2,' Model Wise'!$A$2:$C$6,'RCD life cyl Parts'!$A$2:$CF$259)</f>
        <v>0</v>
      </c>
      <c r="H81" s="159">
        <f>revenue($A81,H$2,' Model Wise'!$A$2:$C$6,'RCD life cyl Parts'!$A$2:$CF$259)</f>
        <v>0</v>
      </c>
      <c r="I81" s="159">
        <f>revenue($A81,I$2,' Model Wise'!$A$2:$C$6,'RCD life cyl Parts'!$A$2:$CF$259)</f>
        <v>0</v>
      </c>
      <c r="J81" s="159">
        <f>revenue($A81,J$2,' Model Wise'!$A$2:$C$6,'RCD life cyl Parts'!$A$2:$CF$259)</f>
        <v>0</v>
      </c>
      <c r="K81" s="159">
        <f>revenue($A81,K$2,' Model Wise'!$A$2:$C$6,'RCD life cyl Parts'!$A$2:$CF$259)</f>
        <v>0</v>
      </c>
      <c r="L81" s="159">
        <f>revenue($A81,L$2,' Model Wise'!$A$2:$C$6,'RCD life cyl Parts'!$A$2:$CF$259)</f>
        <v>0</v>
      </c>
    </row>
    <row r="82" spans="1:12">
      <c r="A82" s="157" t="s">
        <v>140</v>
      </c>
      <c r="B82" s="159" t="str">
        <f>+VLOOKUP(A82,'RCD life cyl Parts'!B:D,3,0)</f>
        <v>C/SHAFT ASSY WITH BEARINGS</v>
      </c>
      <c r="C82" s="159">
        <f>revenue($A82,C$2,' Model Wise'!$A$2:$C$6,'RCD life cyl Parts'!$A$2:$CF$259)</f>
        <v>0</v>
      </c>
      <c r="D82" s="159">
        <f>revenue($A82,D$2,' Model Wise'!$A$2:$C$6,'RCD life cyl Parts'!$A$2:$CF$259)</f>
        <v>0</v>
      </c>
      <c r="E82" s="159">
        <f>revenue($A82,E$2,' Model Wise'!$A$2:$C$6,'RCD life cyl Parts'!$A$2:$CF$259)</f>
        <v>0</v>
      </c>
      <c r="F82" s="159">
        <f>revenue($A82,F$2,' Model Wise'!$A$2:$C$6,'RCD life cyl Parts'!$A$2:$CF$259)</f>
        <v>0</v>
      </c>
      <c r="G82" s="159">
        <f>revenue($A82,G$2,' Model Wise'!$A$2:$C$6,'RCD life cyl Parts'!$A$2:$CF$259)</f>
        <v>0</v>
      </c>
      <c r="H82" s="159">
        <f>revenue($A82,H$2,' Model Wise'!$A$2:$C$6,'RCD life cyl Parts'!$A$2:$CF$259)</f>
        <v>0</v>
      </c>
      <c r="I82" s="159">
        <f>revenue($A82,I$2,' Model Wise'!$A$2:$C$6,'RCD life cyl Parts'!$A$2:$CF$259)</f>
        <v>0</v>
      </c>
      <c r="J82" s="159">
        <f>revenue($A82,J$2,' Model Wise'!$A$2:$C$6,'RCD life cyl Parts'!$A$2:$CF$259)</f>
        <v>0</v>
      </c>
      <c r="K82" s="159">
        <f>revenue($A82,K$2,' Model Wise'!$A$2:$C$6,'RCD life cyl Parts'!$A$2:$CF$259)</f>
        <v>0</v>
      </c>
      <c r="L82" s="159">
        <f>revenue($A82,L$2,' Model Wise'!$A$2:$C$6,'RCD life cyl Parts'!$A$2:$CF$259)</f>
        <v>0</v>
      </c>
    </row>
    <row r="83" spans="1:12">
      <c r="A83" s="157" t="s">
        <v>141</v>
      </c>
      <c r="B83" s="159" t="str">
        <f>+VLOOKUP(A83,'RCD life cyl Parts'!B:D,3,0)</f>
        <v>V - BELT</v>
      </c>
      <c r="C83" s="159">
        <f>revenue($A83,C$2,' Model Wise'!$A$2:$C$6,'RCD life cyl Parts'!$A$2:$CF$259)</f>
        <v>0</v>
      </c>
      <c r="D83" s="159">
        <f>revenue($A83,D$2,' Model Wise'!$A$2:$C$6,'RCD life cyl Parts'!$A$2:$CF$259)</f>
        <v>0</v>
      </c>
      <c r="E83" s="159">
        <f>revenue($A83,E$2,' Model Wise'!$A$2:$C$6,'RCD life cyl Parts'!$A$2:$CF$259)</f>
        <v>0</v>
      </c>
      <c r="F83" s="159">
        <f>revenue($A83,F$2,' Model Wise'!$A$2:$C$6,'RCD life cyl Parts'!$A$2:$CF$259)</f>
        <v>0</v>
      </c>
      <c r="G83" s="159">
        <f>revenue($A83,G$2,' Model Wise'!$A$2:$C$6,'RCD life cyl Parts'!$A$2:$CF$259)</f>
        <v>0</v>
      </c>
      <c r="H83" s="159">
        <f>revenue($A83,H$2,' Model Wise'!$A$2:$C$6,'RCD life cyl Parts'!$A$2:$CF$259)</f>
        <v>0</v>
      </c>
      <c r="I83" s="159">
        <f>revenue($A83,I$2,' Model Wise'!$A$2:$C$6,'RCD life cyl Parts'!$A$2:$CF$259)</f>
        <v>0</v>
      </c>
      <c r="J83" s="159">
        <f>revenue($A83,J$2,' Model Wise'!$A$2:$C$6,'RCD life cyl Parts'!$A$2:$CF$259)</f>
        <v>0</v>
      </c>
      <c r="K83" s="159">
        <f>revenue($A83,K$2,' Model Wise'!$A$2:$C$6,'RCD life cyl Parts'!$A$2:$CF$259)</f>
        <v>0</v>
      </c>
      <c r="L83" s="159">
        <f>revenue($A83,L$2,' Model Wise'!$A$2:$C$6,'RCD life cyl Parts'!$A$2:$CF$259)</f>
        <v>0</v>
      </c>
    </row>
    <row r="84" spans="1:12">
      <c r="A84" s="157" t="s">
        <v>142</v>
      </c>
      <c r="B84" s="159" t="str">
        <f>+VLOOKUP(A84,'RCD life cyl Parts'!B:D,3,0)</f>
        <v>INTER COOLER</v>
      </c>
      <c r="C84" s="159">
        <f>revenue($A84,C$2,' Model Wise'!$A$2:$C$6,'RCD life cyl Parts'!$A$2:$CF$259)</f>
        <v>0</v>
      </c>
      <c r="D84" s="159">
        <f>revenue($A84,D$2,' Model Wise'!$A$2:$C$6,'RCD life cyl Parts'!$A$2:$CF$259)</f>
        <v>0</v>
      </c>
      <c r="E84" s="159">
        <f>revenue($A84,E$2,' Model Wise'!$A$2:$C$6,'RCD life cyl Parts'!$A$2:$CF$259)</f>
        <v>0</v>
      </c>
      <c r="F84" s="159">
        <f>revenue($A84,F$2,' Model Wise'!$A$2:$C$6,'RCD life cyl Parts'!$A$2:$CF$259)</f>
        <v>0</v>
      </c>
      <c r="G84" s="159">
        <f>revenue($A84,G$2,' Model Wise'!$A$2:$C$6,'RCD life cyl Parts'!$A$2:$CF$259)</f>
        <v>0</v>
      </c>
      <c r="H84" s="159">
        <f>revenue($A84,H$2,' Model Wise'!$A$2:$C$6,'RCD life cyl Parts'!$A$2:$CF$259)</f>
        <v>0</v>
      </c>
      <c r="I84" s="159">
        <f>revenue($A84,I$2,' Model Wise'!$A$2:$C$6,'RCD life cyl Parts'!$A$2:$CF$259)</f>
        <v>0</v>
      </c>
      <c r="J84" s="159">
        <f>revenue($A84,J$2,' Model Wise'!$A$2:$C$6,'RCD life cyl Parts'!$A$2:$CF$259)</f>
        <v>0</v>
      </c>
      <c r="K84" s="159">
        <f>revenue($A84,K$2,' Model Wise'!$A$2:$C$6,'RCD life cyl Parts'!$A$2:$CF$259)</f>
        <v>0</v>
      </c>
      <c r="L84" s="159">
        <f>revenue($A84,L$2,' Model Wise'!$A$2:$C$6,'RCD life cyl Parts'!$A$2:$CF$259)</f>
        <v>0</v>
      </c>
    </row>
    <row r="85" spans="1:12">
      <c r="A85" s="157" t="s">
        <v>144</v>
      </c>
      <c r="B85" s="159" t="str">
        <f>+VLOOKUP(A85,'RCD life cyl Parts'!B:D,3,0)</f>
        <v>AFTER COOLER PIPE 1</v>
      </c>
      <c r="C85" s="159">
        <f>revenue($A85,C$2,' Model Wise'!$A$2:$C$6,'RCD life cyl Parts'!$A$2:$CF$259)</f>
        <v>0</v>
      </c>
      <c r="D85" s="159">
        <f>revenue($A85,D$2,' Model Wise'!$A$2:$C$6,'RCD life cyl Parts'!$A$2:$CF$259)</f>
        <v>0</v>
      </c>
      <c r="E85" s="159">
        <f>revenue($A85,E$2,' Model Wise'!$A$2:$C$6,'RCD life cyl Parts'!$A$2:$CF$259)</f>
        <v>0</v>
      </c>
      <c r="F85" s="159">
        <f>revenue($A85,F$2,' Model Wise'!$A$2:$C$6,'RCD life cyl Parts'!$A$2:$CF$259)</f>
        <v>0</v>
      </c>
      <c r="G85" s="159">
        <f>revenue($A85,G$2,' Model Wise'!$A$2:$C$6,'RCD life cyl Parts'!$A$2:$CF$259)</f>
        <v>0</v>
      </c>
      <c r="H85" s="159">
        <f>revenue($A85,H$2,' Model Wise'!$A$2:$C$6,'RCD life cyl Parts'!$A$2:$CF$259)</f>
        <v>0</v>
      </c>
      <c r="I85" s="159">
        <f>revenue($A85,I$2,' Model Wise'!$A$2:$C$6,'RCD life cyl Parts'!$A$2:$CF$259)</f>
        <v>0</v>
      </c>
      <c r="J85" s="159">
        <f>revenue($A85,J$2,' Model Wise'!$A$2:$C$6,'RCD life cyl Parts'!$A$2:$CF$259)</f>
        <v>0</v>
      </c>
      <c r="K85" s="159">
        <f>revenue($A85,K$2,' Model Wise'!$A$2:$C$6,'RCD life cyl Parts'!$A$2:$CF$259)</f>
        <v>0</v>
      </c>
      <c r="L85" s="159">
        <f>revenue($A85,L$2,' Model Wise'!$A$2:$C$6,'RCD life cyl Parts'!$A$2:$CF$259)</f>
        <v>0</v>
      </c>
    </row>
    <row r="86" spans="1:12">
      <c r="A86" s="157" t="s">
        <v>145</v>
      </c>
      <c r="B86" s="159" t="str">
        <f>+VLOOKUP(A86,'RCD life cyl Parts'!B:D,3,0)</f>
        <v>AFTER COOLER PIPE 2</v>
      </c>
      <c r="C86" s="159">
        <f>revenue($A86,C$2,' Model Wise'!$A$2:$C$6,'RCD life cyl Parts'!$A$2:$CF$259)</f>
        <v>0</v>
      </c>
      <c r="D86" s="159">
        <f>revenue($A86,D$2,' Model Wise'!$A$2:$C$6,'RCD life cyl Parts'!$A$2:$CF$259)</f>
        <v>0</v>
      </c>
      <c r="E86" s="159">
        <f>revenue($A86,E$2,' Model Wise'!$A$2:$C$6,'RCD life cyl Parts'!$A$2:$CF$259)</f>
        <v>0</v>
      </c>
      <c r="F86" s="159">
        <f>revenue($A86,F$2,' Model Wise'!$A$2:$C$6,'RCD life cyl Parts'!$A$2:$CF$259)</f>
        <v>0</v>
      </c>
      <c r="G86" s="159">
        <f>revenue($A86,G$2,' Model Wise'!$A$2:$C$6,'RCD life cyl Parts'!$A$2:$CF$259)</f>
        <v>0</v>
      </c>
      <c r="H86" s="159">
        <f>revenue($A86,H$2,' Model Wise'!$A$2:$C$6,'RCD life cyl Parts'!$A$2:$CF$259)</f>
        <v>0</v>
      </c>
      <c r="I86" s="159">
        <f>revenue($A86,I$2,' Model Wise'!$A$2:$C$6,'RCD life cyl Parts'!$A$2:$CF$259)</f>
        <v>0</v>
      </c>
      <c r="J86" s="159">
        <f>revenue($A86,J$2,' Model Wise'!$A$2:$C$6,'RCD life cyl Parts'!$A$2:$CF$259)</f>
        <v>0</v>
      </c>
      <c r="K86" s="159">
        <f>revenue($A86,K$2,' Model Wise'!$A$2:$C$6,'RCD life cyl Parts'!$A$2:$CF$259)</f>
        <v>0</v>
      </c>
      <c r="L86" s="159">
        <f>revenue($A86,L$2,' Model Wise'!$A$2:$C$6,'RCD life cyl Parts'!$A$2:$CF$259)</f>
        <v>0</v>
      </c>
    </row>
    <row r="87" spans="1:12">
      <c r="A87" s="157" t="s">
        <v>146</v>
      </c>
      <c r="B87" s="159" t="str">
        <f>+VLOOKUP(A87,'RCD life cyl Parts'!B:D,3,0)</f>
        <v>TUNE UP KIT</v>
      </c>
      <c r="C87" s="159">
        <f>revenue($A87,C$2,' Model Wise'!$A$2:$C$6,'RCD life cyl Parts'!$A$2:$CF$259)</f>
        <v>0</v>
      </c>
      <c r="D87" s="159">
        <f>revenue($A87,D$2,' Model Wise'!$A$2:$C$6,'RCD life cyl Parts'!$A$2:$CF$259)</f>
        <v>0</v>
      </c>
      <c r="E87" s="159">
        <f>revenue($A87,E$2,' Model Wise'!$A$2:$C$6,'RCD life cyl Parts'!$A$2:$CF$259)</f>
        <v>0</v>
      </c>
      <c r="F87" s="159">
        <f>revenue($A87,F$2,' Model Wise'!$A$2:$C$6,'RCD life cyl Parts'!$A$2:$CF$259)</f>
        <v>0</v>
      </c>
      <c r="G87" s="159">
        <f>revenue($A87,G$2,' Model Wise'!$A$2:$C$6,'RCD life cyl Parts'!$A$2:$CF$259)</f>
        <v>0</v>
      </c>
      <c r="H87" s="159">
        <f>revenue($A87,H$2,' Model Wise'!$A$2:$C$6,'RCD life cyl Parts'!$A$2:$CF$259)</f>
        <v>0</v>
      </c>
      <c r="I87" s="159">
        <f>revenue($A87,I$2,' Model Wise'!$A$2:$C$6,'RCD life cyl Parts'!$A$2:$CF$259)</f>
        <v>0</v>
      </c>
      <c r="J87" s="159">
        <f>revenue($A87,J$2,' Model Wise'!$A$2:$C$6,'RCD life cyl Parts'!$A$2:$CF$259)</f>
        <v>0</v>
      </c>
      <c r="K87" s="159">
        <f>revenue($A87,K$2,' Model Wise'!$A$2:$C$6,'RCD life cyl Parts'!$A$2:$CF$259)</f>
        <v>0</v>
      </c>
      <c r="L87" s="159">
        <f>revenue($A87,L$2,' Model Wise'!$A$2:$C$6,'RCD life cyl Parts'!$A$2:$CF$259)</f>
        <v>0</v>
      </c>
    </row>
    <row r="88" spans="1:12">
      <c r="A88" s="157" t="s">
        <v>147</v>
      </c>
      <c r="B88" s="159" t="str">
        <f>+VLOOKUP(A88,'RCD life cyl Parts'!B:D,3,0)</f>
        <v>SAFETY VALVE AFTER COOLER</v>
      </c>
      <c r="C88" s="159">
        <f>revenue($A88,C$2,' Model Wise'!$A$2:$C$6,'RCD life cyl Parts'!$A$2:$CF$259)</f>
        <v>0</v>
      </c>
      <c r="D88" s="159">
        <f>revenue($A88,D$2,' Model Wise'!$A$2:$C$6,'RCD life cyl Parts'!$A$2:$CF$259)</f>
        <v>0</v>
      </c>
      <c r="E88" s="159">
        <f>revenue($A88,E$2,' Model Wise'!$A$2:$C$6,'RCD life cyl Parts'!$A$2:$CF$259)</f>
        <v>0</v>
      </c>
      <c r="F88" s="159">
        <f>revenue($A88,F$2,' Model Wise'!$A$2:$C$6,'RCD life cyl Parts'!$A$2:$CF$259)</f>
        <v>0</v>
      </c>
      <c r="G88" s="159">
        <f>revenue($A88,G$2,' Model Wise'!$A$2:$C$6,'RCD life cyl Parts'!$A$2:$CF$259)</f>
        <v>0</v>
      </c>
      <c r="H88" s="159">
        <f>revenue($A88,H$2,' Model Wise'!$A$2:$C$6,'RCD life cyl Parts'!$A$2:$CF$259)</f>
        <v>0</v>
      </c>
      <c r="I88" s="159">
        <f>revenue($A88,I$2,' Model Wise'!$A$2:$C$6,'RCD life cyl Parts'!$A$2:$CF$259)</f>
        <v>0</v>
      </c>
      <c r="J88" s="159">
        <f>revenue($A88,J$2,' Model Wise'!$A$2:$C$6,'RCD life cyl Parts'!$A$2:$CF$259)</f>
        <v>0</v>
      </c>
      <c r="K88" s="159">
        <f>revenue($A88,K$2,' Model Wise'!$A$2:$C$6,'RCD life cyl Parts'!$A$2:$CF$259)</f>
        <v>0</v>
      </c>
      <c r="L88" s="159">
        <f>revenue($A88,L$2,' Model Wise'!$A$2:$C$6,'RCD life cyl Parts'!$A$2:$CF$259)</f>
        <v>0</v>
      </c>
    </row>
    <row r="89" spans="1:12">
      <c r="A89" s="157" t="s">
        <v>149</v>
      </c>
      <c r="B89" s="159" t="str">
        <f>+VLOOKUP(A89,'RCD life cyl Parts'!B:D,3,0)</f>
        <v>CYLINDER ASSY 100 DV</v>
      </c>
      <c r="C89" s="159">
        <f>revenue($A89,C$2,' Model Wise'!$A$2:$C$6,'RCD life cyl Parts'!$A$2:$CF$259)</f>
        <v>0</v>
      </c>
      <c r="D89" s="159">
        <f>revenue($A89,D$2,' Model Wise'!$A$2:$C$6,'RCD life cyl Parts'!$A$2:$CF$259)</f>
        <v>0</v>
      </c>
      <c r="E89" s="159">
        <f>revenue($A89,E$2,' Model Wise'!$A$2:$C$6,'RCD life cyl Parts'!$A$2:$CF$259)</f>
        <v>0</v>
      </c>
      <c r="F89" s="159">
        <f>revenue($A89,F$2,' Model Wise'!$A$2:$C$6,'RCD life cyl Parts'!$A$2:$CF$259)</f>
        <v>0</v>
      </c>
      <c r="G89" s="159">
        <f>revenue($A89,G$2,' Model Wise'!$A$2:$C$6,'RCD life cyl Parts'!$A$2:$CF$259)</f>
        <v>0</v>
      </c>
      <c r="H89" s="159">
        <f>revenue($A89,H$2,' Model Wise'!$A$2:$C$6,'RCD life cyl Parts'!$A$2:$CF$259)</f>
        <v>0</v>
      </c>
      <c r="I89" s="159">
        <f>revenue($A89,I$2,' Model Wise'!$A$2:$C$6,'RCD life cyl Parts'!$A$2:$CF$259)</f>
        <v>0</v>
      </c>
      <c r="J89" s="159">
        <f>revenue($A89,J$2,' Model Wise'!$A$2:$C$6,'RCD life cyl Parts'!$A$2:$CF$259)</f>
        <v>0</v>
      </c>
      <c r="K89" s="159">
        <f>revenue($A89,K$2,' Model Wise'!$A$2:$C$6,'RCD life cyl Parts'!$A$2:$CF$259)</f>
        <v>0</v>
      </c>
      <c r="L89" s="159">
        <f>revenue($A89,L$2,' Model Wise'!$A$2:$C$6,'RCD life cyl Parts'!$A$2:$CF$259)</f>
        <v>0</v>
      </c>
    </row>
    <row r="90" spans="1:12">
      <c r="A90" s="158" t="s">
        <v>151</v>
      </c>
      <c r="B90" s="159" t="str">
        <f>+VLOOKUP(A90,'RCD life cyl Parts'!B:D,3,0)</f>
        <v>DISC VALVE ASSY</v>
      </c>
      <c r="C90" s="159">
        <f>revenue($A90,C$2,' Model Wise'!$A$2:$C$6,'RCD life cyl Parts'!$A$2:$CF$259)</f>
        <v>0</v>
      </c>
      <c r="D90" s="159">
        <f>revenue($A90,D$2,' Model Wise'!$A$2:$C$6,'RCD life cyl Parts'!$A$2:$CF$259)</f>
        <v>0</v>
      </c>
      <c r="E90" s="159">
        <f>revenue($A90,E$2,' Model Wise'!$A$2:$C$6,'RCD life cyl Parts'!$A$2:$CF$259)</f>
        <v>0</v>
      </c>
      <c r="F90" s="159">
        <f>revenue($A90,F$2,' Model Wise'!$A$2:$C$6,'RCD life cyl Parts'!$A$2:$CF$259)</f>
        <v>0</v>
      </c>
      <c r="G90" s="159">
        <f>revenue($A90,G$2,' Model Wise'!$A$2:$C$6,'RCD life cyl Parts'!$A$2:$CF$259)</f>
        <v>0</v>
      </c>
      <c r="H90" s="159">
        <f>revenue($A90,H$2,' Model Wise'!$A$2:$C$6,'RCD life cyl Parts'!$A$2:$CF$259)</f>
        <v>0</v>
      </c>
      <c r="I90" s="159">
        <f>revenue($A90,I$2,' Model Wise'!$A$2:$C$6,'RCD life cyl Parts'!$A$2:$CF$259)</f>
        <v>0</v>
      </c>
      <c r="J90" s="159">
        <f>revenue($A90,J$2,' Model Wise'!$A$2:$C$6,'RCD life cyl Parts'!$A$2:$CF$259)</f>
        <v>0</v>
      </c>
      <c r="K90" s="159">
        <f>revenue($A90,K$2,' Model Wise'!$A$2:$C$6,'RCD life cyl Parts'!$A$2:$CF$259)</f>
        <v>0</v>
      </c>
      <c r="L90" s="159">
        <f>revenue($A90,L$2,' Model Wise'!$A$2:$C$6,'RCD life cyl Parts'!$A$2:$CF$259)</f>
        <v>0</v>
      </c>
    </row>
    <row r="91" spans="1:12">
      <c r="A91" s="157" t="s">
        <v>153</v>
      </c>
      <c r="B91" s="159" t="str">
        <f>+VLOOKUP(A91,'RCD life cyl Parts'!B:D,3,0)</f>
        <v>TUNE UP KIT</v>
      </c>
      <c r="C91" s="159">
        <f>revenue($A91,C$2,' Model Wise'!$A$2:$C$6,'RCD life cyl Parts'!$A$2:$CF$259)</f>
        <v>0</v>
      </c>
      <c r="D91" s="159">
        <f>revenue($A91,D$2,' Model Wise'!$A$2:$C$6,'RCD life cyl Parts'!$A$2:$CF$259)</f>
        <v>0</v>
      </c>
      <c r="E91" s="159">
        <f>revenue($A91,E$2,' Model Wise'!$A$2:$C$6,'RCD life cyl Parts'!$A$2:$CF$259)</f>
        <v>0</v>
      </c>
      <c r="F91" s="159">
        <f>revenue($A91,F$2,' Model Wise'!$A$2:$C$6,'RCD life cyl Parts'!$A$2:$CF$259)</f>
        <v>0</v>
      </c>
      <c r="G91" s="159">
        <f>revenue($A91,G$2,' Model Wise'!$A$2:$C$6,'RCD life cyl Parts'!$A$2:$CF$259)</f>
        <v>0</v>
      </c>
      <c r="H91" s="159">
        <f>revenue($A91,H$2,' Model Wise'!$A$2:$C$6,'RCD life cyl Parts'!$A$2:$CF$259)</f>
        <v>0</v>
      </c>
      <c r="I91" s="159">
        <f>revenue($A91,I$2,' Model Wise'!$A$2:$C$6,'RCD life cyl Parts'!$A$2:$CF$259)</f>
        <v>0</v>
      </c>
      <c r="J91" s="159">
        <f>revenue($A91,J$2,' Model Wise'!$A$2:$C$6,'RCD life cyl Parts'!$A$2:$CF$259)</f>
        <v>0</v>
      </c>
      <c r="K91" s="159">
        <f>revenue($A91,K$2,' Model Wise'!$A$2:$C$6,'RCD life cyl Parts'!$A$2:$CF$259)</f>
        <v>0</v>
      </c>
      <c r="L91" s="159">
        <f>revenue($A91,L$2,' Model Wise'!$A$2:$C$6,'RCD life cyl Parts'!$A$2:$CF$259)</f>
        <v>0</v>
      </c>
    </row>
    <row r="92" spans="1:12">
      <c r="A92" s="157" t="s">
        <v>155</v>
      </c>
      <c r="B92" s="159" t="str">
        <f>+VLOOKUP(A92,'RCD life cyl Parts'!B:D,3,0)</f>
        <v>CYLINDER ASSY 70 (1)</v>
      </c>
      <c r="C92" s="159">
        <f>revenue($A92,C$2,' Model Wise'!$A$2:$C$6,'RCD life cyl Parts'!$A$2:$CF$259)</f>
        <v>3147</v>
      </c>
      <c r="D92" s="159">
        <f>revenue($A92,D$2,' Model Wise'!$A$2:$C$6,'RCD life cyl Parts'!$A$2:$CF$259)</f>
        <v>0</v>
      </c>
      <c r="E92" s="159">
        <f>revenue($A92,E$2,' Model Wise'!$A$2:$C$6,'RCD life cyl Parts'!$A$2:$CF$259)</f>
        <v>0</v>
      </c>
      <c r="F92" s="159">
        <f>revenue($A92,F$2,' Model Wise'!$A$2:$C$6,'RCD life cyl Parts'!$A$2:$CF$259)</f>
        <v>3147</v>
      </c>
      <c r="G92" s="159">
        <f>revenue($A92,G$2,' Model Wise'!$A$2:$C$6,'RCD life cyl Parts'!$A$2:$CF$259)</f>
        <v>0</v>
      </c>
      <c r="H92" s="159">
        <f>revenue($A92,H$2,' Model Wise'!$A$2:$C$6,'RCD life cyl Parts'!$A$2:$CF$259)</f>
        <v>0</v>
      </c>
      <c r="I92" s="159">
        <f>revenue($A92,I$2,' Model Wise'!$A$2:$C$6,'RCD life cyl Parts'!$A$2:$CF$259)</f>
        <v>0</v>
      </c>
      <c r="J92" s="159">
        <f>revenue($A92,J$2,' Model Wise'!$A$2:$C$6,'RCD life cyl Parts'!$A$2:$CF$259)</f>
        <v>0</v>
      </c>
      <c r="K92" s="159">
        <f>revenue($A92,K$2,' Model Wise'!$A$2:$C$6,'RCD life cyl Parts'!$A$2:$CF$259)</f>
        <v>0</v>
      </c>
      <c r="L92" s="159">
        <f>revenue($A92,L$2,' Model Wise'!$A$2:$C$6,'RCD life cyl Parts'!$A$2:$CF$259)</f>
        <v>0</v>
      </c>
    </row>
    <row r="93" spans="1:12">
      <c r="A93" s="157" t="s">
        <v>157</v>
      </c>
      <c r="B93" s="159" t="str">
        <f>+VLOOKUP(A93,'RCD life cyl Parts'!B:D,3,0)</f>
        <v>CYLINDER ASSY 70 (2)</v>
      </c>
      <c r="C93" s="159">
        <f>revenue($A93,C$2,' Model Wise'!$A$2:$C$6,'RCD life cyl Parts'!$A$2:$CF$259)</f>
        <v>2595</v>
      </c>
      <c r="D93" s="159">
        <f>revenue($A93,D$2,' Model Wise'!$A$2:$C$6,'RCD life cyl Parts'!$A$2:$CF$259)</f>
        <v>0</v>
      </c>
      <c r="E93" s="159">
        <f>revenue($A93,E$2,' Model Wise'!$A$2:$C$6,'RCD life cyl Parts'!$A$2:$CF$259)</f>
        <v>0</v>
      </c>
      <c r="F93" s="159">
        <f>revenue($A93,F$2,' Model Wise'!$A$2:$C$6,'RCD life cyl Parts'!$A$2:$CF$259)</f>
        <v>2595</v>
      </c>
      <c r="G93" s="159">
        <f>revenue($A93,G$2,' Model Wise'!$A$2:$C$6,'RCD life cyl Parts'!$A$2:$CF$259)</f>
        <v>0</v>
      </c>
      <c r="H93" s="159">
        <f>revenue($A93,H$2,' Model Wise'!$A$2:$C$6,'RCD life cyl Parts'!$A$2:$CF$259)</f>
        <v>0</v>
      </c>
      <c r="I93" s="159">
        <f>revenue($A93,I$2,' Model Wise'!$A$2:$C$6,'RCD life cyl Parts'!$A$2:$CF$259)</f>
        <v>0</v>
      </c>
      <c r="J93" s="159">
        <f>revenue($A93,J$2,' Model Wise'!$A$2:$C$6,'RCD life cyl Parts'!$A$2:$CF$259)</f>
        <v>0</v>
      </c>
      <c r="K93" s="159">
        <f>revenue($A93,K$2,' Model Wise'!$A$2:$C$6,'RCD life cyl Parts'!$A$2:$CF$259)</f>
        <v>0</v>
      </c>
      <c r="L93" s="159">
        <f>revenue($A93,L$2,' Model Wise'!$A$2:$C$6,'RCD life cyl Parts'!$A$2:$CF$259)</f>
        <v>0</v>
      </c>
    </row>
    <row r="94" spans="1:12">
      <c r="A94" s="157" t="s">
        <v>159</v>
      </c>
      <c r="B94" s="159" t="str">
        <f>+VLOOKUP(A94,'RCD life cyl Parts'!B:D,3,0)</f>
        <v>C/SHAFT ASSY WITH BEARINGS</v>
      </c>
      <c r="C94" s="159">
        <f>revenue($A94,C$2,' Model Wise'!$A$2:$C$6,'RCD life cyl Parts'!$A$2:$CF$259)</f>
        <v>6925</v>
      </c>
      <c r="D94" s="159">
        <f>revenue($A94,D$2,' Model Wise'!$A$2:$C$6,'RCD life cyl Parts'!$A$2:$CF$259)</f>
        <v>0</v>
      </c>
      <c r="E94" s="159">
        <f>revenue($A94,E$2,' Model Wise'!$A$2:$C$6,'RCD life cyl Parts'!$A$2:$CF$259)</f>
        <v>0</v>
      </c>
      <c r="F94" s="159">
        <f>revenue($A94,F$2,' Model Wise'!$A$2:$C$6,'RCD life cyl Parts'!$A$2:$CF$259)</f>
        <v>6925</v>
      </c>
      <c r="G94" s="159">
        <f>revenue($A94,G$2,' Model Wise'!$A$2:$C$6,'RCD life cyl Parts'!$A$2:$CF$259)</f>
        <v>0</v>
      </c>
      <c r="H94" s="159">
        <f>revenue($A94,H$2,' Model Wise'!$A$2:$C$6,'RCD life cyl Parts'!$A$2:$CF$259)</f>
        <v>0</v>
      </c>
      <c r="I94" s="159">
        <f>revenue($A94,I$2,' Model Wise'!$A$2:$C$6,'RCD life cyl Parts'!$A$2:$CF$259)</f>
        <v>0</v>
      </c>
      <c r="J94" s="159">
        <f>revenue($A94,J$2,' Model Wise'!$A$2:$C$6,'RCD life cyl Parts'!$A$2:$CF$259)</f>
        <v>0</v>
      </c>
      <c r="K94" s="159">
        <f>revenue($A94,K$2,' Model Wise'!$A$2:$C$6,'RCD life cyl Parts'!$A$2:$CF$259)</f>
        <v>0</v>
      </c>
      <c r="L94" s="159">
        <f>revenue($A94,L$2,' Model Wise'!$A$2:$C$6,'RCD life cyl Parts'!$A$2:$CF$259)</f>
        <v>0</v>
      </c>
    </row>
    <row r="95" spans="1:12">
      <c r="A95" s="157" t="s">
        <v>160</v>
      </c>
      <c r="B95" s="159" t="str">
        <f>+VLOOKUP(A95,'RCD life cyl Parts'!B:D,3,0)</f>
        <v>V - BELT</v>
      </c>
      <c r="C95" s="159">
        <f>revenue($A95,C$2,' Model Wise'!$A$2:$C$6,'RCD life cyl Parts'!$A$2:$CF$259)</f>
        <v>356</v>
      </c>
      <c r="D95" s="159">
        <f>revenue($A95,D$2,' Model Wise'!$A$2:$C$6,'RCD life cyl Parts'!$A$2:$CF$259)</f>
        <v>0</v>
      </c>
      <c r="E95" s="159">
        <f>revenue($A95,E$2,' Model Wise'!$A$2:$C$6,'RCD life cyl Parts'!$A$2:$CF$259)</f>
        <v>356</v>
      </c>
      <c r="F95" s="159">
        <f>revenue($A95,F$2,' Model Wise'!$A$2:$C$6,'RCD life cyl Parts'!$A$2:$CF$259)</f>
        <v>356</v>
      </c>
      <c r="G95" s="159">
        <f>revenue($A95,G$2,' Model Wise'!$A$2:$C$6,'RCD life cyl Parts'!$A$2:$CF$259)</f>
        <v>356</v>
      </c>
      <c r="H95" s="159">
        <f>revenue($A95,H$2,' Model Wise'!$A$2:$C$6,'RCD life cyl Parts'!$A$2:$CF$259)</f>
        <v>0</v>
      </c>
      <c r="I95" s="159">
        <f>revenue($A95,I$2,' Model Wise'!$A$2:$C$6,'RCD life cyl Parts'!$A$2:$CF$259)</f>
        <v>0</v>
      </c>
      <c r="J95" s="159">
        <f>revenue($A95,J$2,' Model Wise'!$A$2:$C$6,'RCD life cyl Parts'!$A$2:$CF$259)</f>
        <v>0</v>
      </c>
      <c r="K95" s="159">
        <f>revenue($A95,K$2,' Model Wise'!$A$2:$C$6,'RCD life cyl Parts'!$A$2:$CF$259)</f>
        <v>0</v>
      </c>
      <c r="L95" s="159">
        <f>revenue($A95,L$2,' Model Wise'!$A$2:$C$6,'RCD life cyl Parts'!$A$2:$CF$259)</f>
        <v>0</v>
      </c>
    </row>
    <row r="96" spans="1:12">
      <c r="A96" s="157" t="s">
        <v>161</v>
      </c>
      <c r="B96" s="159" t="str">
        <f>+VLOOKUP(A96,'RCD life cyl Parts'!B:D,3,0)</f>
        <v>CENTER COOLER</v>
      </c>
      <c r="C96" s="159">
        <f>revenue($A96,C$2,' Model Wise'!$A$2:$C$6,'RCD life cyl Parts'!$A$2:$CF$259)</f>
        <v>957</v>
      </c>
      <c r="D96" s="159">
        <f>revenue($A96,D$2,' Model Wise'!$A$2:$C$6,'RCD life cyl Parts'!$A$2:$CF$259)</f>
        <v>0</v>
      </c>
      <c r="E96" s="159">
        <f>revenue($A96,E$2,' Model Wise'!$A$2:$C$6,'RCD life cyl Parts'!$A$2:$CF$259)</f>
        <v>0</v>
      </c>
      <c r="F96" s="159">
        <f>revenue($A96,F$2,' Model Wise'!$A$2:$C$6,'RCD life cyl Parts'!$A$2:$CF$259)</f>
        <v>957</v>
      </c>
      <c r="G96" s="159">
        <f>revenue($A96,G$2,' Model Wise'!$A$2:$C$6,'RCD life cyl Parts'!$A$2:$CF$259)</f>
        <v>0</v>
      </c>
      <c r="H96" s="159">
        <f>revenue($A96,H$2,' Model Wise'!$A$2:$C$6,'RCD life cyl Parts'!$A$2:$CF$259)</f>
        <v>0</v>
      </c>
      <c r="I96" s="159">
        <f>revenue($A96,I$2,' Model Wise'!$A$2:$C$6,'RCD life cyl Parts'!$A$2:$CF$259)</f>
        <v>0</v>
      </c>
      <c r="J96" s="159">
        <f>revenue($A96,J$2,' Model Wise'!$A$2:$C$6,'RCD life cyl Parts'!$A$2:$CF$259)</f>
        <v>0</v>
      </c>
      <c r="K96" s="159">
        <f>revenue($A96,K$2,' Model Wise'!$A$2:$C$6,'RCD life cyl Parts'!$A$2:$CF$259)</f>
        <v>0</v>
      </c>
      <c r="L96" s="159">
        <f>revenue($A96,L$2,' Model Wise'!$A$2:$C$6,'RCD life cyl Parts'!$A$2:$CF$259)</f>
        <v>0</v>
      </c>
    </row>
    <row r="97" spans="1:12">
      <c r="A97" s="157" t="s">
        <v>163</v>
      </c>
      <c r="B97" s="159" t="str">
        <f>+VLOOKUP(A97,'RCD life cyl Parts'!B:D,3,0)</f>
        <v>AFTER COOLER PIPE</v>
      </c>
      <c r="C97" s="159">
        <f>revenue($A97,C$2,' Model Wise'!$A$2:$C$6,'RCD life cyl Parts'!$A$2:$CF$259)</f>
        <v>2772</v>
      </c>
      <c r="D97" s="159">
        <f>revenue($A97,D$2,' Model Wise'!$A$2:$C$6,'RCD life cyl Parts'!$A$2:$CF$259)</f>
        <v>0</v>
      </c>
      <c r="E97" s="159">
        <f>revenue($A97,E$2,' Model Wise'!$A$2:$C$6,'RCD life cyl Parts'!$A$2:$CF$259)</f>
        <v>0</v>
      </c>
      <c r="F97" s="159">
        <f>revenue($A97,F$2,' Model Wise'!$A$2:$C$6,'RCD life cyl Parts'!$A$2:$CF$259)</f>
        <v>2772</v>
      </c>
      <c r="G97" s="159">
        <f>revenue($A97,G$2,' Model Wise'!$A$2:$C$6,'RCD life cyl Parts'!$A$2:$CF$259)</f>
        <v>0</v>
      </c>
      <c r="H97" s="159">
        <f>revenue($A97,H$2,' Model Wise'!$A$2:$C$6,'RCD life cyl Parts'!$A$2:$CF$259)</f>
        <v>0</v>
      </c>
      <c r="I97" s="159">
        <f>revenue($A97,I$2,' Model Wise'!$A$2:$C$6,'RCD life cyl Parts'!$A$2:$CF$259)</f>
        <v>0</v>
      </c>
      <c r="J97" s="159">
        <f>revenue($A97,J$2,' Model Wise'!$A$2:$C$6,'RCD life cyl Parts'!$A$2:$CF$259)</f>
        <v>0</v>
      </c>
      <c r="K97" s="159">
        <f>revenue($A97,K$2,' Model Wise'!$A$2:$C$6,'RCD life cyl Parts'!$A$2:$CF$259)</f>
        <v>0</v>
      </c>
      <c r="L97" s="159">
        <f>revenue($A97,L$2,' Model Wise'!$A$2:$C$6,'RCD life cyl Parts'!$A$2:$CF$259)</f>
        <v>0</v>
      </c>
    </row>
    <row r="98" spans="1:12">
      <c r="A98" s="157" t="s">
        <v>164</v>
      </c>
      <c r="B98" s="159" t="str">
        <f>+VLOOKUP(A98,'RCD life cyl Parts'!B:D,3,0)</f>
        <v>TUNE UP KIT</v>
      </c>
      <c r="C98" s="159">
        <f>revenue($A98,C$2,' Model Wise'!$A$2:$C$6,'RCD life cyl Parts'!$A$2:$CF$259)</f>
        <v>1417</v>
      </c>
      <c r="D98" s="159">
        <f>revenue($A98,D$2,' Model Wise'!$A$2:$C$6,'RCD life cyl Parts'!$A$2:$CF$259)</f>
        <v>1417</v>
      </c>
      <c r="E98" s="159">
        <f>revenue($A98,E$2,' Model Wise'!$A$2:$C$6,'RCD life cyl Parts'!$A$2:$CF$259)</f>
        <v>1417</v>
      </c>
      <c r="F98" s="159">
        <f>revenue($A98,F$2,' Model Wise'!$A$2:$C$6,'RCD life cyl Parts'!$A$2:$CF$259)</f>
        <v>1417</v>
      </c>
      <c r="G98" s="159">
        <f>revenue($A98,G$2,' Model Wise'!$A$2:$C$6,'RCD life cyl Parts'!$A$2:$CF$259)</f>
        <v>1417</v>
      </c>
      <c r="H98" s="159">
        <f>revenue($A98,H$2,' Model Wise'!$A$2:$C$6,'RCD life cyl Parts'!$A$2:$CF$259)</f>
        <v>0</v>
      </c>
      <c r="I98" s="159">
        <f>revenue($A98,I$2,' Model Wise'!$A$2:$C$6,'RCD life cyl Parts'!$A$2:$CF$259)</f>
        <v>0</v>
      </c>
      <c r="J98" s="159">
        <f>revenue($A98,J$2,' Model Wise'!$A$2:$C$6,'RCD life cyl Parts'!$A$2:$CF$259)</f>
        <v>0</v>
      </c>
      <c r="K98" s="159">
        <f>revenue($A98,K$2,' Model Wise'!$A$2:$C$6,'RCD life cyl Parts'!$A$2:$CF$259)</f>
        <v>0</v>
      </c>
      <c r="L98" s="159">
        <f>revenue($A98,L$2,' Model Wise'!$A$2:$C$6,'RCD life cyl Parts'!$A$2:$CF$259)</f>
        <v>0</v>
      </c>
    </row>
    <row r="99" spans="1:12">
      <c r="A99" s="157" t="s">
        <v>166</v>
      </c>
      <c r="B99" s="159" t="str">
        <f>+VLOOKUP(A99,'RCD life cyl Parts'!B:D,3,0)</f>
        <v>C/SHAFT ASSY WITH BEARINGS</v>
      </c>
      <c r="C99" s="159">
        <f>revenue($A99,C$2,' Model Wise'!$A$2:$C$6,'RCD life cyl Parts'!$A$2:$CF$259)</f>
        <v>0</v>
      </c>
      <c r="D99" s="159">
        <f>revenue($A99,D$2,' Model Wise'!$A$2:$C$6,'RCD life cyl Parts'!$A$2:$CF$259)</f>
        <v>0</v>
      </c>
      <c r="E99" s="159">
        <f>revenue($A99,E$2,' Model Wise'!$A$2:$C$6,'RCD life cyl Parts'!$A$2:$CF$259)</f>
        <v>0</v>
      </c>
      <c r="F99" s="159">
        <f>revenue($A99,F$2,' Model Wise'!$A$2:$C$6,'RCD life cyl Parts'!$A$2:$CF$259)</f>
        <v>0</v>
      </c>
      <c r="G99" s="159">
        <f>revenue($A99,G$2,' Model Wise'!$A$2:$C$6,'RCD life cyl Parts'!$A$2:$CF$259)</f>
        <v>0</v>
      </c>
      <c r="H99" s="159">
        <f>revenue($A99,H$2,' Model Wise'!$A$2:$C$6,'RCD life cyl Parts'!$A$2:$CF$259)</f>
        <v>0</v>
      </c>
      <c r="I99" s="159">
        <f>revenue($A99,I$2,' Model Wise'!$A$2:$C$6,'RCD life cyl Parts'!$A$2:$CF$259)</f>
        <v>0</v>
      </c>
      <c r="J99" s="159">
        <f>revenue($A99,J$2,' Model Wise'!$A$2:$C$6,'RCD life cyl Parts'!$A$2:$CF$259)</f>
        <v>0</v>
      </c>
      <c r="K99" s="159">
        <f>revenue($A99,K$2,' Model Wise'!$A$2:$C$6,'RCD life cyl Parts'!$A$2:$CF$259)</f>
        <v>0</v>
      </c>
      <c r="L99" s="159">
        <f>revenue($A99,L$2,' Model Wise'!$A$2:$C$6,'RCD life cyl Parts'!$A$2:$CF$259)</f>
        <v>0</v>
      </c>
    </row>
    <row r="100" spans="1:12">
      <c r="A100" s="157" t="s">
        <v>167</v>
      </c>
      <c r="B100" s="159" t="str">
        <f>+VLOOKUP(A100,'RCD life cyl Parts'!B:D,3,0)</f>
        <v>V - BELT  M 70</v>
      </c>
      <c r="C100" s="159">
        <f>revenue($A100,C$2,' Model Wise'!$A$2:$C$6,'RCD life cyl Parts'!$A$2:$CF$259)</f>
        <v>0</v>
      </c>
      <c r="D100" s="159">
        <f>revenue($A100,D$2,' Model Wise'!$A$2:$C$6,'RCD life cyl Parts'!$A$2:$CF$259)</f>
        <v>0</v>
      </c>
      <c r="E100" s="159">
        <f>revenue($A100,E$2,' Model Wise'!$A$2:$C$6,'RCD life cyl Parts'!$A$2:$CF$259)</f>
        <v>0</v>
      </c>
      <c r="F100" s="159">
        <f>revenue($A100,F$2,' Model Wise'!$A$2:$C$6,'RCD life cyl Parts'!$A$2:$CF$259)</f>
        <v>0</v>
      </c>
      <c r="G100" s="159">
        <f>revenue($A100,G$2,' Model Wise'!$A$2:$C$6,'RCD life cyl Parts'!$A$2:$CF$259)</f>
        <v>0</v>
      </c>
      <c r="H100" s="159">
        <f>revenue($A100,H$2,' Model Wise'!$A$2:$C$6,'RCD life cyl Parts'!$A$2:$CF$259)</f>
        <v>0</v>
      </c>
      <c r="I100" s="159">
        <f>revenue($A100,I$2,' Model Wise'!$A$2:$C$6,'RCD life cyl Parts'!$A$2:$CF$259)</f>
        <v>0</v>
      </c>
      <c r="J100" s="159">
        <f>revenue($A100,J$2,' Model Wise'!$A$2:$C$6,'RCD life cyl Parts'!$A$2:$CF$259)</f>
        <v>0</v>
      </c>
      <c r="K100" s="159">
        <f>revenue($A100,K$2,' Model Wise'!$A$2:$C$6,'RCD life cyl Parts'!$A$2:$CF$259)</f>
        <v>0</v>
      </c>
      <c r="L100" s="159">
        <f>revenue($A100,L$2,' Model Wise'!$A$2:$C$6,'RCD life cyl Parts'!$A$2:$CF$259)</f>
        <v>0</v>
      </c>
    </row>
    <row r="101" spans="1:12">
      <c r="A101" s="157" t="s">
        <v>169</v>
      </c>
      <c r="B101" s="159" t="str">
        <f>+VLOOKUP(A101,'RCD life cyl Parts'!B:D,3,0)</f>
        <v xml:space="preserve">CENTER COOLER </v>
      </c>
      <c r="C101" s="159">
        <f>revenue($A101,C$2,' Model Wise'!$A$2:$C$6,'RCD life cyl Parts'!$A$2:$CF$259)</f>
        <v>0</v>
      </c>
      <c r="D101" s="159">
        <f>revenue($A101,D$2,' Model Wise'!$A$2:$C$6,'RCD life cyl Parts'!$A$2:$CF$259)</f>
        <v>0</v>
      </c>
      <c r="E101" s="159">
        <f>revenue($A101,E$2,' Model Wise'!$A$2:$C$6,'RCD life cyl Parts'!$A$2:$CF$259)</f>
        <v>0</v>
      </c>
      <c r="F101" s="159">
        <f>revenue($A101,F$2,' Model Wise'!$A$2:$C$6,'RCD life cyl Parts'!$A$2:$CF$259)</f>
        <v>0</v>
      </c>
      <c r="G101" s="159">
        <f>revenue($A101,G$2,' Model Wise'!$A$2:$C$6,'RCD life cyl Parts'!$A$2:$CF$259)</f>
        <v>0</v>
      </c>
      <c r="H101" s="159">
        <f>revenue($A101,H$2,' Model Wise'!$A$2:$C$6,'RCD life cyl Parts'!$A$2:$CF$259)</f>
        <v>0</v>
      </c>
      <c r="I101" s="159">
        <f>revenue($A101,I$2,' Model Wise'!$A$2:$C$6,'RCD life cyl Parts'!$A$2:$CF$259)</f>
        <v>0</v>
      </c>
      <c r="J101" s="159">
        <f>revenue($A101,J$2,' Model Wise'!$A$2:$C$6,'RCD life cyl Parts'!$A$2:$CF$259)</f>
        <v>0</v>
      </c>
      <c r="K101" s="159">
        <f>revenue($A101,K$2,' Model Wise'!$A$2:$C$6,'RCD life cyl Parts'!$A$2:$CF$259)</f>
        <v>0</v>
      </c>
      <c r="L101" s="159">
        <f>revenue($A101,L$2,' Model Wise'!$A$2:$C$6,'RCD life cyl Parts'!$A$2:$CF$259)</f>
        <v>0</v>
      </c>
    </row>
    <row r="102" spans="1:12">
      <c r="A102" s="157" t="s">
        <v>171</v>
      </c>
      <c r="B102" s="159" t="str">
        <f>+VLOOKUP(A102,'RCD life cyl Parts'!B:D,3,0)</f>
        <v>AFTER COOLER PIPE</v>
      </c>
      <c r="C102" s="159">
        <f>revenue($A102,C$2,' Model Wise'!$A$2:$C$6,'RCD life cyl Parts'!$A$2:$CF$259)</f>
        <v>0</v>
      </c>
      <c r="D102" s="159">
        <f>revenue($A102,D$2,' Model Wise'!$A$2:$C$6,'RCD life cyl Parts'!$A$2:$CF$259)</f>
        <v>0</v>
      </c>
      <c r="E102" s="159">
        <f>revenue($A102,E$2,' Model Wise'!$A$2:$C$6,'RCD life cyl Parts'!$A$2:$CF$259)</f>
        <v>0</v>
      </c>
      <c r="F102" s="159">
        <f>revenue($A102,F$2,' Model Wise'!$A$2:$C$6,'RCD life cyl Parts'!$A$2:$CF$259)</f>
        <v>0</v>
      </c>
      <c r="G102" s="159">
        <f>revenue($A102,G$2,' Model Wise'!$A$2:$C$6,'RCD life cyl Parts'!$A$2:$CF$259)</f>
        <v>0</v>
      </c>
      <c r="H102" s="159">
        <f>revenue($A102,H$2,' Model Wise'!$A$2:$C$6,'RCD life cyl Parts'!$A$2:$CF$259)</f>
        <v>0</v>
      </c>
      <c r="I102" s="159">
        <f>revenue($A102,I$2,' Model Wise'!$A$2:$C$6,'RCD life cyl Parts'!$A$2:$CF$259)</f>
        <v>0</v>
      </c>
      <c r="J102" s="159">
        <f>revenue($A102,J$2,' Model Wise'!$A$2:$C$6,'RCD life cyl Parts'!$A$2:$CF$259)</f>
        <v>0</v>
      </c>
      <c r="K102" s="159">
        <f>revenue($A102,K$2,' Model Wise'!$A$2:$C$6,'RCD life cyl Parts'!$A$2:$CF$259)</f>
        <v>0</v>
      </c>
      <c r="L102" s="159">
        <f>revenue($A102,L$2,' Model Wise'!$A$2:$C$6,'RCD life cyl Parts'!$A$2:$CF$259)</f>
        <v>0</v>
      </c>
    </row>
    <row r="103" spans="1:12">
      <c r="A103" s="157" t="s">
        <v>172</v>
      </c>
      <c r="B103" s="159" t="str">
        <f>+VLOOKUP(A103,'RCD life cyl Parts'!B:D,3,0)</f>
        <v>TUNE UP KIT</v>
      </c>
      <c r="C103" s="159">
        <f>revenue($A103,C$2,' Model Wise'!$A$2:$C$6,'RCD life cyl Parts'!$A$2:$CF$259)</f>
        <v>0</v>
      </c>
      <c r="D103" s="159">
        <f>revenue($A103,D$2,' Model Wise'!$A$2:$C$6,'RCD life cyl Parts'!$A$2:$CF$259)</f>
        <v>0</v>
      </c>
      <c r="E103" s="159">
        <f>revenue($A103,E$2,' Model Wise'!$A$2:$C$6,'RCD life cyl Parts'!$A$2:$CF$259)</f>
        <v>0</v>
      </c>
      <c r="F103" s="159">
        <f>revenue($A103,F$2,' Model Wise'!$A$2:$C$6,'RCD life cyl Parts'!$A$2:$CF$259)</f>
        <v>0</v>
      </c>
      <c r="G103" s="159">
        <f>revenue($A103,G$2,' Model Wise'!$A$2:$C$6,'RCD life cyl Parts'!$A$2:$CF$259)</f>
        <v>0</v>
      </c>
      <c r="H103" s="159">
        <f>revenue($A103,H$2,' Model Wise'!$A$2:$C$6,'RCD life cyl Parts'!$A$2:$CF$259)</f>
        <v>0</v>
      </c>
      <c r="I103" s="159">
        <f>revenue($A103,I$2,' Model Wise'!$A$2:$C$6,'RCD life cyl Parts'!$A$2:$CF$259)</f>
        <v>0</v>
      </c>
      <c r="J103" s="159">
        <f>revenue($A103,J$2,' Model Wise'!$A$2:$C$6,'RCD life cyl Parts'!$A$2:$CF$259)</f>
        <v>0</v>
      </c>
      <c r="K103" s="159">
        <f>revenue($A103,K$2,' Model Wise'!$A$2:$C$6,'RCD life cyl Parts'!$A$2:$CF$259)</f>
        <v>0</v>
      </c>
      <c r="L103" s="159">
        <f>revenue($A103,L$2,' Model Wise'!$A$2:$C$6,'RCD life cyl Parts'!$A$2:$CF$259)</f>
        <v>0</v>
      </c>
    </row>
    <row r="104" spans="1:12">
      <c r="A104" s="157" t="s">
        <v>174</v>
      </c>
      <c r="B104" s="159" t="str">
        <f>+VLOOKUP(A104,'RCD life cyl Parts'!B:D,3,0)</f>
        <v>C/SHAFT ASSY WITH BEARINGS</v>
      </c>
      <c r="C104" s="159">
        <f>revenue($A104,C$2,' Model Wise'!$A$2:$C$6,'RCD life cyl Parts'!$A$2:$CF$259)</f>
        <v>0</v>
      </c>
      <c r="D104" s="159">
        <f>revenue($A104,D$2,' Model Wise'!$A$2:$C$6,'RCD life cyl Parts'!$A$2:$CF$259)</f>
        <v>0</v>
      </c>
      <c r="E104" s="159">
        <f>revenue($A104,E$2,' Model Wise'!$A$2:$C$6,'RCD life cyl Parts'!$A$2:$CF$259)</f>
        <v>0</v>
      </c>
      <c r="F104" s="159">
        <f>revenue($A104,F$2,' Model Wise'!$A$2:$C$6,'RCD life cyl Parts'!$A$2:$CF$259)</f>
        <v>0</v>
      </c>
      <c r="G104" s="159">
        <f>revenue($A104,G$2,' Model Wise'!$A$2:$C$6,'RCD life cyl Parts'!$A$2:$CF$259)</f>
        <v>0</v>
      </c>
      <c r="H104" s="159">
        <f>revenue($A104,H$2,' Model Wise'!$A$2:$C$6,'RCD life cyl Parts'!$A$2:$CF$259)</f>
        <v>0</v>
      </c>
      <c r="I104" s="159">
        <f>revenue($A104,I$2,' Model Wise'!$A$2:$C$6,'RCD life cyl Parts'!$A$2:$CF$259)</f>
        <v>0</v>
      </c>
      <c r="J104" s="159">
        <f>revenue($A104,J$2,' Model Wise'!$A$2:$C$6,'RCD life cyl Parts'!$A$2:$CF$259)</f>
        <v>0</v>
      </c>
      <c r="K104" s="159">
        <f>revenue($A104,K$2,' Model Wise'!$A$2:$C$6,'RCD life cyl Parts'!$A$2:$CF$259)</f>
        <v>0</v>
      </c>
      <c r="L104" s="159">
        <f>revenue($A104,L$2,' Model Wise'!$A$2:$C$6,'RCD life cyl Parts'!$A$2:$CF$259)</f>
        <v>0</v>
      </c>
    </row>
    <row r="105" spans="1:12">
      <c r="A105" s="157" t="s">
        <v>175</v>
      </c>
      <c r="B105" s="159" t="str">
        <f>+VLOOKUP(A105,'RCD life cyl Parts'!B:D,3,0)</f>
        <v>V - BELT</v>
      </c>
      <c r="C105" s="159">
        <f>revenue($A105,C$2,' Model Wise'!$A$2:$C$6,'RCD life cyl Parts'!$A$2:$CF$259)</f>
        <v>0</v>
      </c>
      <c r="D105" s="159">
        <f>revenue($A105,D$2,' Model Wise'!$A$2:$C$6,'RCD life cyl Parts'!$A$2:$CF$259)</f>
        <v>0</v>
      </c>
      <c r="E105" s="159">
        <f>revenue($A105,E$2,' Model Wise'!$A$2:$C$6,'RCD life cyl Parts'!$A$2:$CF$259)</f>
        <v>0</v>
      </c>
      <c r="F105" s="159">
        <f>revenue($A105,F$2,' Model Wise'!$A$2:$C$6,'RCD life cyl Parts'!$A$2:$CF$259)</f>
        <v>0</v>
      </c>
      <c r="G105" s="159">
        <f>revenue($A105,G$2,' Model Wise'!$A$2:$C$6,'RCD life cyl Parts'!$A$2:$CF$259)</f>
        <v>0</v>
      </c>
      <c r="H105" s="159">
        <f>revenue($A105,H$2,' Model Wise'!$A$2:$C$6,'RCD life cyl Parts'!$A$2:$CF$259)</f>
        <v>0</v>
      </c>
      <c r="I105" s="159">
        <f>revenue($A105,I$2,' Model Wise'!$A$2:$C$6,'RCD life cyl Parts'!$A$2:$CF$259)</f>
        <v>0</v>
      </c>
      <c r="J105" s="159">
        <f>revenue($A105,J$2,' Model Wise'!$A$2:$C$6,'RCD life cyl Parts'!$A$2:$CF$259)</f>
        <v>0</v>
      </c>
      <c r="K105" s="159">
        <f>revenue($A105,K$2,' Model Wise'!$A$2:$C$6,'RCD life cyl Parts'!$A$2:$CF$259)</f>
        <v>0</v>
      </c>
      <c r="L105" s="159">
        <f>revenue($A105,L$2,' Model Wise'!$A$2:$C$6,'RCD life cyl Parts'!$A$2:$CF$259)</f>
        <v>0</v>
      </c>
    </row>
    <row r="106" spans="1:12">
      <c r="A106" s="157" t="s">
        <v>176</v>
      </c>
      <c r="B106" s="159" t="str">
        <f>+VLOOKUP(A106,'RCD life cyl Parts'!B:D,3,0)</f>
        <v xml:space="preserve">INTER COOLER </v>
      </c>
      <c r="C106" s="159">
        <f>revenue($A106,C$2,' Model Wise'!$A$2:$C$6,'RCD life cyl Parts'!$A$2:$CF$259)</f>
        <v>0</v>
      </c>
      <c r="D106" s="159">
        <f>revenue($A106,D$2,' Model Wise'!$A$2:$C$6,'RCD life cyl Parts'!$A$2:$CF$259)</f>
        <v>0</v>
      </c>
      <c r="E106" s="159">
        <f>revenue($A106,E$2,' Model Wise'!$A$2:$C$6,'RCD life cyl Parts'!$A$2:$CF$259)</f>
        <v>0</v>
      </c>
      <c r="F106" s="159">
        <f>revenue($A106,F$2,' Model Wise'!$A$2:$C$6,'RCD life cyl Parts'!$A$2:$CF$259)</f>
        <v>0</v>
      </c>
      <c r="G106" s="159">
        <f>revenue($A106,G$2,' Model Wise'!$A$2:$C$6,'RCD life cyl Parts'!$A$2:$CF$259)</f>
        <v>0</v>
      </c>
      <c r="H106" s="159">
        <f>revenue($A106,H$2,' Model Wise'!$A$2:$C$6,'RCD life cyl Parts'!$A$2:$CF$259)</f>
        <v>0</v>
      </c>
      <c r="I106" s="159">
        <f>revenue($A106,I$2,' Model Wise'!$A$2:$C$6,'RCD life cyl Parts'!$A$2:$CF$259)</f>
        <v>0</v>
      </c>
      <c r="J106" s="159">
        <f>revenue($A106,J$2,' Model Wise'!$A$2:$C$6,'RCD life cyl Parts'!$A$2:$CF$259)</f>
        <v>0</v>
      </c>
      <c r="K106" s="159">
        <f>revenue($A106,K$2,' Model Wise'!$A$2:$C$6,'RCD life cyl Parts'!$A$2:$CF$259)</f>
        <v>0</v>
      </c>
      <c r="L106" s="159">
        <f>revenue($A106,L$2,' Model Wise'!$A$2:$C$6,'RCD life cyl Parts'!$A$2:$CF$259)</f>
        <v>0</v>
      </c>
    </row>
    <row r="107" spans="1:12">
      <c r="A107" s="157" t="s">
        <v>177</v>
      </c>
      <c r="B107" s="159" t="str">
        <f>+VLOOKUP(A107,'RCD life cyl Parts'!B:D,3,0)</f>
        <v xml:space="preserve">INTER COOLER </v>
      </c>
      <c r="C107" s="159">
        <f>revenue($A107,C$2,' Model Wise'!$A$2:$C$6,'RCD life cyl Parts'!$A$2:$CF$259)</f>
        <v>0</v>
      </c>
      <c r="D107" s="159">
        <f>revenue($A107,D$2,' Model Wise'!$A$2:$C$6,'RCD life cyl Parts'!$A$2:$CF$259)</f>
        <v>0</v>
      </c>
      <c r="E107" s="159">
        <f>revenue($A107,E$2,' Model Wise'!$A$2:$C$6,'RCD life cyl Parts'!$A$2:$CF$259)</f>
        <v>0</v>
      </c>
      <c r="F107" s="159">
        <f>revenue($A107,F$2,' Model Wise'!$A$2:$C$6,'RCD life cyl Parts'!$A$2:$CF$259)</f>
        <v>0</v>
      </c>
      <c r="G107" s="159">
        <f>revenue($A107,G$2,' Model Wise'!$A$2:$C$6,'RCD life cyl Parts'!$A$2:$CF$259)</f>
        <v>0</v>
      </c>
      <c r="H107" s="159">
        <f>revenue($A107,H$2,' Model Wise'!$A$2:$C$6,'RCD life cyl Parts'!$A$2:$CF$259)</f>
        <v>0</v>
      </c>
      <c r="I107" s="159">
        <f>revenue($A107,I$2,' Model Wise'!$A$2:$C$6,'RCD life cyl Parts'!$A$2:$CF$259)</f>
        <v>0</v>
      </c>
      <c r="J107" s="159">
        <f>revenue($A107,J$2,' Model Wise'!$A$2:$C$6,'RCD life cyl Parts'!$A$2:$CF$259)</f>
        <v>0</v>
      </c>
      <c r="K107" s="159">
        <f>revenue($A107,K$2,' Model Wise'!$A$2:$C$6,'RCD life cyl Parts'!$A$2:$CF$259)</f>
        <v>0</v>
      </c>
      <c r="L107" s="159">
        <f>revenue($A107,L$2,' Model Wise'!$A$2:$C$6,'RCD life cyl Parts'!$A$2:$CF$259)</f>
        <v>0</v>
      </c>
    </row>
    <row r="108" spans="1:12">
      <c r="A108" s="157" t="s">
        <v>178</v>
      </c>
      <c r="B108" s="159" t="str">
        <f>+VLOOKUP(A108,'RCD life cyl Parts'!B:D,3,0)</f>
        <v>AFTER COOLER PIPE</v>
      </c>
      <c r="C108" s="159">
        <f>revenue($A108,C$2,' Model Wise'!$A$2:$C$6,'RCD life cyl Parts'!$A$2:$CF$259)</f>
        <v>0</v>
      </c>
      <c r="D108" s="159">
        <f>revenue($A108,D$2,' Model Wise'!$A$2:$C$6,'RCD life cyl Parts'!$A$2:$CF$259)</f>
        <v>0</v>
      </c>
      <c r="E108" s="159">
        <f>revenue($A108,E$2,' Model Wise'!$A$2:$C$6,'RCD life cyl Parts'!$A$2:$CF$259)</f>
        <v>0</v>
      </c>
      <c r="F108" s="159">
        <f>revenue($A108,F$2,' Model Wise'!$A$2:$C$6,'RCD life cyl Parts'!$A$2:$CF$259)</f>
        <v>0</v>
      </c>
      <c r="G108" s="159">
        <f>revenue($A108,G$2,' Model Wise'!$A$2:$C$6,'RCD life cyl Parts'!$A$2:$CF$259)</f>
        <v>0</v>
      </c>
      <c r="H108" s="159">
        <f>revenue($A108,H$2,' Model Wise'!$A$2:$C$6,'RCD life cyl Parts'!$A$2:$CF$259)</f>
        <v>0</v>
      </c>
      <c r="I108" s="159">
        <f>revenue($A108,I$2,' Model Wise'!$A$2:$C$6,'RCD life cyl Parts'!$A$2:$CF$259)</f>
        <v>0</v>
      </c>
      <c r="J108" s="159">
        <f>revenue($A108,J$2,' Model Wise'!$A$2:$C$6,'RCD life cyl Parts'!$A$2:$CF$259)</f>
        <v>0</v>
      </c>
      <c r="K108" s="159">
        <f>revenue($A108,K$2,' Model Wise'!$A$2:$C$6,'RCD life cyl Parts'!$A$2:$CF$259)</f>
        <v>0</v>
      </c>
      <c r="L108" s="159">
        <f>revenue($A108,L$2,' Model Wise'!$A$2:$C$6,'RCD life cyl Parts'!$A$2:$CF$259)</f>
        <v>0</v>
      </c>
    </row>
    <row r="109" spans="1:12">
      <c r="A109" s="157" t="s">
        <v>179</v>
      </c>
      <c r="B109" s="159" t="str">
        <f>+VLOOKUP(A109,'RCD life cyl Parts'!B:D,3,0)</f>
        <v>AFTER COOLER PIPE</v>
      </c>
      <c r="C109" s="159">
        <f>revenue($A109,C$2,' Model Wise'!$A$2:$C$6,'RCD life cyl Parts'!$A$2:$CF$259)</f>
        <v>0</v>
      </c>
      <c r="D109" s="159">
        <f>revenue($A109,D$2,' Model Wise'!$A$2:$C$6,'RCD life cyl Parts'!$A$2:$CF$259)</f>
        <v>0</v>
      </c>
      <c r="E109" s="159">
        <f>revenue($A109,E$2,' Model Wise'!$A$2:$C$6,'RCD life cyl Parts'!$A$2:$CF$259)</f>
        <v>0</v>
      </c>
      <c r="F109" s="159">
        <f>revenue($A109,F$2,' Model Wise'!$A$2:$C$6,'RCD life cyl Parts'!$A$2:$CF$259)</f>
        <v>0</v>
      </c>
      <c r="G109" s="159">
        <f>revenue($A109,G$2,' Model Wise'!$A$2:$C$6,'RCD life cyl Parts'!$A$2:$CF$259)</f>
        <v>0</v>
      </c>
      <c r="H109" s="159">
        <f>revenue($A109,H$2,' Model Wise'!$A$2:$C$6,'RCD life cyl Parts'!$A$2:$CF$259)</f>
        <v>0</v>
      </c>
      <c r="I109" s="159">
        <f>revenue($A109,I$2,' Model Wise'!$A$2:$C$6,'RCD life cyl Parts'!$A$2:$CF$259)</f>
        <v>0</v>
      </c>
      <c r="J109" s="159">
        <f>revenue($A109,J$2,' Model Wise'!$A$2:$C$6,'RCD life cyl Parts'!$A$2:$CF$259)</f>
        <v>0</v>
      </c>
      <c r="K109" s="159">
        <f>revenue($A109,K$2,' Model Wise'!$A$2:$C$6,'RCD life cyl Parts'!$A$2:$CF$259)</f>
        <v>0</v>
      </c>
      <c r="L109" s="159">
        <f>revenue($A109,L$2,' Model Wise'!$A$2:$C$6,'RCD life cyl Parts'!$A$2:$CF$259)</f>
        <v>0</v>
      </c>
    </row>
    <row r="110" spans="1:12">
      <c r="A110" s="157" t="s">
        <v>180</v>
      </c>
      <c r="B110" s="159" t="str">
        <f>+VLOOKUP(A110,'RCD life cyl Parts'!B:D,3,0)</f>
        <v>TUNE UP KIT</v>
      </c>
      <c r="C110" s="159">
        <f>revenue($A110,C$2,' Model Wise'!$A$2:$C$6,'RCD life cyl Parts'!$A$2:$CF$259)</f>
        <v>0</v>
      </c>
      <c r="D110" s="159">
        <f>revenue($A110,D$2,' Model Wise'!$A$2:$C$6,'RCD life cyl Parts'!$A$2:$CF$259)</f>
        <v>0</v>
      </c>
      <c r="E110" s="159">
        <f>revenue($A110,E$2,' Model Wise'!$A$2:$C$6,'RCD life cyl Parts'!$A$2:$CF$259)</f>
        <v>0</v>
      </c>
      <c r="F110" s="159">
        <f>revenue($A110,F$2,' Model Wise'!$A$2:$C$6,'RCD life cyl Parts'!$A$2:$CF$259)</f>
        <v>0</v>
      </c>
      <c r="G110" s="159">
        <f>revenue($A110,G$2,' Model Wise'!$A$2:$C$6,'RCD life cyl Parts'!$A$2:$CF$259)</f>
        <v>0</v>
      </c>
      <c r="H110" s="159">
        <f>revenue($A110,H$2,' Model Wise'!$A$2:$C$6,'RCD life cyl Parts'!$A$2:$CF$259)</f>
        <v>0</v>
      </c>
      <c r="I110" s="159">
        <f>revenue($A110,I$2,' Model Wise'!$A$2:$C$6,'RCD life cyl Parts'!$A$2:$CF$259)</f>
        <v>0</v>
      </c>
      <c r="J110" s="159">
        <f>revenue($A110,J$2,' Model Wise'!$A$2:$C$6,'RCD life cyl Parts'!$A$2:$CF$259)</f>
        <v>0</v>
      </c>
      <c r="K110" s="159">
        <f>revenue($A110,K$2,' Model Wise'!$A$2:$C$6,'RCD life cyl Parts'!$A$2:$CF$259)</f>
        <v>0</v>
      </c>
      <c r="L110" s="159">
        <f>revenue($A110,L$2,' Model Wise'!$A$2:$C$6,'RCD life cyl Parts'!$A$2:$CF$259)</f>
        <v>0</v>
      </c>
    </row>
    <row r="111" spans="1:12">
      <c r="A111" s="37" t="s">
        <v>181</v>
      </c>
      <c r="B111" s="159" t="str">
        <f>+VLOOKUP(A111,'RCD life cyl Parts'!B:D,3,0)</f>
        <v>SAFETY VALVE AIR RECEIVER</v>
      </c>
      <c r="C111" s="159">
        <f>revenue($A111,C$2,' Model Wise'!$A$2:$C$6,'RCD life cyl Parts'!$A$2:$CF$259)</f>
        <v>0</v>
      </c>
      <c r="D111" s="159">
        <f>revenue($A111,D$2,' Model Wise'!$A$2:$C$6,'RCD life cyl Parts'!$A$2:$CF$259)</f>
        <v>0</v>
      </c>
      <c r="E111" s="159">
        <f>revenue($A111,E$2,' Model Wise'!$A$2:$C$6,'RCD life cyl Parts'!$A$2:$CF$259)</f>
        <v>0</v>
      </c>
      <c r="F111" s="159">
        <f>revenue($A111,F$2,' Model Wise'!$A$2:$C$6,'RCD life cyl Parts'!$A$2:$CF$259)</f>
        <v>0</v>
      </c>
      <c r="G111" s="159">
        <f>revenue($A111,G$2,' Model Wise'!$A$2:$C$6,'RCD life cyl Parts'!$A$2:$CF$259)</f>
        <v>0</v>
      </c>
      <c r="H111" s="159">
        <f>revenue($A111,H$2,' Model Wise'!$A$2:$C$6,'RCD life cyl Parts'!$A$2:$CF$259)</f>
        <v>0</v>
      </c>
      <c r="I111" s="159">
        <f>revenue($A111,I$2,' Model Wise'!$A$2:$C$6,'RCD life cyl Parts'!$A$2:$CF$259)</f>
        <v>0</v>
      </c>
      <c r="J111" s="159">
        <f>revenue($A111,J$2,' Model Wise'!$A$2:$C$6,'RCD life cyl Parts'!$A$2:$CF$259)</f>
        <v>0</v>
      </c>
      <c r="K111" s="159">
        <f>revenue($A111,K$2,' Model Wise'!$A$2:$C$6,'RCD life cyl Parts'!$A$2:$CF$259)</f>
        <v>0</v>
      </c>
      <c r="L111" s="159">
        <f>revenue($A111,L$2,' Model Wise'!$A$2:$C$6,'RCD life cyl Parts'!$A$2:$CF$259)</f>
        <v>0</v>
      </c>
    </row>
  </sheetData>
  <mergeCells count="1">
    <mergeCell ref="C1:L1"/>
  </mergeCells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RCD life cyl Parts</vt:lpstr>
      <vt:lpstr>Price(Op.Hrs)</vt:lpstr>
      <vt:lpstr>Console</vt:lpstr>
      <vt:lpstr> Model Wise</vt:lpstr>
      <vt:lpstr>Part Wise</vt:lpstr>
    </vt:vector>
  </TitlesOfParts>
  <Company>Microsoft</Company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Meeting Hall</dc:creator>
  <cp:lastModifiedBy>Bis Admin</cp:lastModifiedBy>
  <dcterms:created xsi:type="dcterms:W3CDTF">2017-08-18T06:27:28Z</dcterms:created>
  <dcterms:modified xsi:type="dcterms:W3CDTF">2017-09-15T10:49:53Z</dcterms:modified>
</cp:coreProperties>
</file>