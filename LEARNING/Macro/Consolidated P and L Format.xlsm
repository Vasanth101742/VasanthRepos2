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65" windowWidth="14805" windowHeight="7950"/>
  </bookViews>
  <sheets>
    <sheet name="Sheet1" sheetId="1" r:id="rId1"/>
  </sheets>
  <externalReferences>
    <externalReference r:id="rId2"/>
    <externalReference r:id="rId3"/>
  </externalReferences>
  <definedNames>
    <definedName name="_xlnm._FilterDatabase" localSheetId="0" hidden="1">Sheet1!$A$2:$T$197</definedName>
  </definedNames>
  <calcPr calcId="124519"/>
</workbook>
</file>

<file path=xl/calcChain.xml><?xml version="1.0" encoding="utf-8"?>
<calcChain xmlns="http://schemas.openxmlformats.org/spreadsheetml/2006/main">
  <c r="I191" i="1"/>
  <c r="L191"/>
  <c r="L186"/>
  <c r="L185"/>
  <c r="K191"/>
  <c r="K189"/>
  <c r="K186"/>
  <c r="K185"/>
  <c r="I186"/>
  <c r="I185"/>
  <c r="J186"/>
  <c r="J185"/>
  <c r="G189"/>
  <c r="G186"/>
  <c r="G185"/>
  <c r="F186"/>
  <c r="F185"/>
  <c r="L184" l="1"/>
  <c r="L183"/>
  <c r="L182"/>
  <c r="L181"/>
  <c r="L180"/>
  <c r="L179"/>
  <c r="L178"/>
  <c r="L177"/>
  <c r="L176"/>
  <c r="L175"/>
  <c r="L174"/>
  <c r="L173"/>
  <c r="L172"/>
  <c r="K184"/>
  <c r="K183"/>
  <c r="K182"/>
  <c r="K181"/>
  <c r="K180"/>
  <c r="K179"/>
  <c r="K178"/>
  <c r="K177"/>
  <c r="K176"/>
  <c r="K175"/>
  <c r="K174"/>
  <c r="K173"/>
  <c r="K172"/>
  <c r="J184"/>
  <c r="J183"/>
  <c r="J182"/>
  <c r="J181"/>
  <c r="J180"/>
  <c r="J179"/>
  <c r="J178"/>
  <c r="J177"/>
  <c r="J176"/>
  <c r="J175"/>
  <c r="J174"/>
  <c r="J173"/>
  <c r="J172"/>
  <c r="I184"/>
  <c r="I183"/>
  <c r="I182"/>
  <c r="I181"/>
  <c r="I180"/>
  <c r="I179"/>
  <c r="I178"/>
  <c r="I177"/>
  <c r="I176"/>
  <c r="I175"/>
  <c r="I174"/>
  <c r="I173"/>
  <c r="I172"/>
  <c r="G184"/>
  <c r="G183"/>
  <c r="G182"/>
  <c r="G181"/>
  <c r="G180"/>
  <c r="G179"/>
  <c r="G178"/>
  <c r="G177"/>
  <c r="G176"/>
  <c r="G175"/>
  <c r="G174"/>
  <c r="G173"/>
  <c r="G172"/>
  <c r="F184"/>
  <c r="F183"/>
  <c r="F182"/>
  <c r="F181"/>
  <c r="F180"/>
  <c r="F179"/>
  <c r="F178"/>
  <c r="F177"/>
  <c r="F176"/>
  <c r="F175"/>
  <c r="F174"/>
  <c r="F173"/>
  <c r="F172"/>
  <c r="L171"/>
  <c r="L170"/>
  <c r="L169"/>
  <c r="L168"/>
  <c r="L167"/>
  <c r="L166"/>
  <c r="L165"/>
  <c r="L164"/>
  <c r="L163"/>
  <c r="L162"/>
  <c r="L161"/>
  <c r="L160"/>
  <c r="L159"/>
  <c r="I171"/>
  <c r="I170"/>
  <c r="I169"/>
  <c r="I168"/>
  <c r="I167"/>
  <c r="I166"/>
  <c r="I165"/>
  <c r="I164"/>
  <c r="I163"/>
  <c r="I162"/>
  <c r="I161"/>
  <c r="I160"/>
  <c r="I159"/>
  <c r="K146"/>
  <c r="K147"/>
  <c r="K148"/>
  <c r="K149"/>
  <c r="K150"/>
  <c r="K151"/>
  <c r="K152"/>
  <c r="K153"/>
  <c r="K154"/>
  <c r="K155"/>
  <c r="K156"/>
  <c r="K157"/>
  <c r="K158"/>
  <c r="J158"/>
  <c r="J157"/>
  <c r="J156"/>
  <c r="J155"/>
  <c r="J154"/>
  <c r="J153"/>
  <c r="J152"/>
  <c r="J151"/>
  <c r="J150"/>
  <c r="J149"/>
  <c r="J148"/>
  <c r="J147"/>
  <c r="J146"/>
  <c r="G158"/>
  <c r="G157"/>
  <c r="G156"/>
  <c r="G155"/>
  <c r="G154"/>
  <c r="G153"/>
  <c r="G152"/>
  <c r="G151"/>
  <c r="G150"/>
  <c r="G149"/>
  <c r="G148"/>
  <c r="G147"/>
  <c r="G146"/>
  <c r="F158"/>
  <c r="F157"/>
  <c r="F156"/>
  <c r="F155"/>
  <c r="F154"/>
  <c r="F153"/>
  <c r="F152"/>
  <c r="F151"/>
  <c r="F150"/>
  <c r="F149"/>
  <c r="F148"/>
  <c r="F147"/>
  <c r="F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K145"/>
  <c r="K144"/>
  <c r="K143"/>
  <c r="K142"/>
  <c r="K141"/>
  <c r="K140"/>
  <c r="K139"/>
  <c r="K138"/>
  <c r="K137"/>
  <c r="K136"/>
  <c r="K135"/>
  <c r="K134"/>
  <c r="K133"/>
  <c r="K132"/>
  <c r="K131"/>
  <c r="K130"/>
  <c r="K129"/>
  <c r="K128"/>
  <c r="K127"/>
  <c r="K126"/>
  <c r="K125"/>
  <c r="K124"/>
  <c r="K123"/>
  <c r="K122"/>
  <c r="K121"/>
  <c r="K120"/>
  <c r="K119"/>
  <c r="K118"/>
  <c r="K117"/>
  <c r="K116"/>
  <c r="K115"/>
  <c r="K114"/>
  <c r="K113"/>
  <c r="K112"/>
  <c r="K111"/>
  <c r="K110"/>
  <c r="K109"/>
  <c r="K108"/>
  <c r="K107"/>
  <c r="K106"/>
  <c r="K105"/>
  <c r="K104"/>
  <c r="K103"/>
  <c r="K102"/>
  <c r="K101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0"/>
  <c r="F61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L28"/>
  <c r="L27"/>
  <c r="L26"/>
  <c r="L25"/>
  <c r="L24"/>
  <c r="L23"/>
  <c r="L22"/>
  <c r="L21"/>
  <c r="L20"/>
  <c r="L19"/>
  <c r="L18"/>
  <c r="L17"/>
  <c r="L16"/>
  <c r="K28"/>
  <c r="K27"/>
  <c r="K26"/>
  <c r="K25"/>
  <c r="K24"/>
  <c r="K23"/>
  <c r="K22"/>
  <c r="K21"/>
  <c r="K20"/>
  <c r="K19"/>
  <c r="K18"/>
  <c r="K17"/>
  <c r="K16"/>
  <c r="J28"/>
  <c r="J27"/>
  <c r="J26"/>
  <c r="J25"/>
  <c r="J24"/>
  <c r="J23"/>
  <c r="J22"/>
  <c r="J21"/>
  <c r="J20"/>
  <c r="J19"/>
  <c r="J18"/>
  <c r="J17"/>
  <c r="J16"/>
  <c r="I28"/>
  <c r="I27"/>
  <c r="I26"/>
  <c r="I25"/>
  <c r="I24"/>
  <c r="I23"/>
  <c r="I22"/>
  <c r="I21"/>
  <c r="I20"/>
  <c r="I19"/>
  <c r="I18"/>
  <c r="I17"/>
  <c r="I16"/>
  <c r="G28"/>
  <c r="G27"/>
  <c r="G26"/>
  <c r="G25"/>
  <c r="G24"/>
  <c r="G23"/>
  <c r="G22"/>
  <c r="G21"/>
  <c r="G20"/>
  <c r="G19"/>
  <c r="G18"/>
  <c r="G17"/>
  <c r="G16"/>
  <c r="F28"/>
  <c r="F27"/>
  <c r="F26"/>
  <c r="F25"/>
  <c r="F24"/>
  <c r="F23"/>
  <c r="F22"/>
  <c r="F21"/>
  <c r="F20"/>
  <c r="F19"/>
  <c r="F18"/>
  <c r="F17"/>
  <c r="F16"/>
  <c r="L15"/>
  <c r="L14"/>
  <c r="L13"/>
  <c r="L12"/>
  <c r="L11"/>
  <c r="L10"/>
  <c r="L9"/>
  <c r="L8"/>
  <c r="L7"/>
  <c r="L6"/>
  <c r="L5"/>
  <c r="L4"/>
  <c r="L3"/>
  <c r="K15"/>
  <c r="K14"/>
  <c r="K13"/>
  <c r="K12"/>
  <c r="K11"/>
  <c r="K10"/>
  <c r="K9"/>
  <c r="K8"/>
  <c r="K7"/>
  <c r="K6"/>
  <c r="K5"/>
  <c r="K4"/>
  <c r="K3"/>
  <c r="J15"/>
  <c r="J14"/>
  <c r="J13"/>
  <c r="J12"/>
  <c r="J11"/>
  <c r="J10"/>
  <c r="J9"/>
  <c r="J8"/>
  <c r="J7"/>
  <c r="J6"/>
  <c r="J5"/>
  <c r="J4"/>
  <c r="J3"/>
  <c r="I15"/>
  <c r="I14"/>
  <c r="I13"/>
  <c r="I12"/>
  <c r="I11"/>
  <c r="I10"/>
  <c r="I9"/>
  <c r="I8"/>
  <c r="I7"/>
  <c r="I6"/>
  <c r="I5"/>
  <c r="I4"/>
  <c r="I3"/>
  <c r="G15"/>
  <c r="G14"/>
  <c r="G13"/>
  <c r="G12"/>
  <c r="G11"/>
  <c r="G10"/>
  <c r="G9"/>
  <c r="G8"/>
  <c r="G7"/>
  <c r="G6"/>
  <c r="G5"/>
  <c r="G4"/>
  <c r="G3"/>
  <c r="F15"/>
  <c r="F14"/>
  <c r="F13"/>
  <c r="F12"/>
  <c r="F11"/>
  <c r="F10"/>
  <c r="F9"/>
  <c r="F8"/>
  <c r="F7"/>
  <c r="F6"/>
  <c r="F5"/>
  <c r="F4"/>
  <c r="F3"/>
</calcChain>
</file>

<file path=xl/sharedStrings.xml><?xml version="1.0" encoding="utf-8"?>
<sst xmlns="http://schemas.openxmlformats.org/spreadsheetml/2006/main" count="982" uniqueCount="52">
  <si>
    <t>Company</t>
  </si>
  <si>
    <t>currate</t>
  </si>
  <si>
    <t>types</t>
  </si>
  <si>
    <t>LYAct</t>
  </si>
  <si>
    <t>CYAct</t>
  </si>
  <si>
    <t>CYBUdget</t>
  </si>
  <si>
    <t>CYCurmnthAct</t>
  </si>
  <si>
    <t>LYCurmnthAct</t>
  </si>
  <si>
    <t>CYCurmnthBud</t>
  </si>
  <si>
    <t>CYLstmnthAct</t>
  </si>
  <si>
    <t>CYYTDAct</t>
  </si>
  <si>
    <t>LYYTDAct</t>
  </si>
  <si>
    <t>CYYTDBud</t>
  </si>
  <si>
    <t>ATS</t>
  </si>
  <si>
    <t>Depreciation</t>
  </si>
  <si>
    <t>INR</t>
  </si>
  <si>
    <t>Homecurr</t>
  </si>
  <si>
    <t>Donation</t>
  </si>
  <si>
    <t>Employee related costs</t>
  </si>
  <si>
    <t>Extraordinary Expense</t>
  </si>
  <si>
    <t>Fixed overheads</t>
  </si>
  <si>
    <t>Interest Expenses</t>
  </si>
  <si>
    <t>Interest Income</t>
  </si>
  <si>
    <t>Material Cost</t>
  </si>
  <si>
    <t>Other Income</t>
  </si>
  <si>
    <t>Other Variable Cost</t>
  </si>
  <si>
    <t xml:space="preserve">Sales </t>
  </si>
  <si>
    <t>Particulars</t>
  </si>
  <si>
    <t>Currency</t>
  </si>
  <si>
    <t>Finmonth</t>
  </si>
  <si>
    <t>FinYear</t>
  </si>
  <si>
    <t>ELGI-STANDALONE</t>
  </si>
  <si>
    <t>Exchange Fluctuation (Gain) / Loss-Realised</t>
  </si>
  <si>
    <t>Exchange Fluctuation (Gain) / Loss- Unrealised</t>
  </si>
  <si>
    <t>ELGI-USA</t>
  </si>
  <si>
    <t>PATTONS</t>
  </si>
  <si>
    <t>BRAZIL</t>
  </si>
  <si>
    <t>ELGI-ITALY</t>
  </si>
  <si>
    <t>GULF</t>
  </si>
  <si>
    <t>INDONESIA</t>
  </si>
  <si>
    <t>CHINA</t>
  </si>
  <si>
    <t>AUSTRALIA</t>
  </si>
  <si>
    <t>ERGO</t>
  </si>
  <si>
    <t>BELAIR</t>
  </si>
  <si>
    <t>SAUER</t>
  </si>
  <si>
    <t>USA-CONTRA</t>
  </si>
  <si>
    <t>ELGI-CONTRA</t>
  </si>
  <si>
    <t>CompCategory</t>
  </si>
  <si>
    <t>CompOrder</t>
  </si>
  <si>
    <t>ELGi Consolidated</t>
  </si>
  <si>
    <t>USA Consolidated</t>
  </si>
  <si>
    <t>ParticularsOrder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</si>
</sst>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Fill="1" applyBorder="1"/>
    <xf numFmtId="0" fontId="0" fillId="0" borderId="1" xfId="0" applyBorder="1"/>
    <xf numFmtId="11" fontId="0" fillId="0" borderId="1" xfId="0" applyNumberFormat="1" applyFill="1" applyBorder="1"/>
    <xf numFmtId="0" fontId="1" fillId="2" borderId="1" xfId="0" applyFont="1" applyFill="1" applyBorder="1"/>
    <xf numFmtId="0" fontId="1" fillId="3" borderId="1" xfId="0" applyFont="1" applyFill="1" applyBorder="1"/>
    <xf numFmtId="2" fontId="0" fillId="0" borderId="1" xfId="0" applyNumberFormat="1" applyFill="1" applyBorder="1"/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lgi%20Consolidated%20%20July%202016-FTM%20&amp;%20YTD%2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ools%20-%20Profit%20&amp;%20Loss%20format-MTM%20-%20JULY%202016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tr Wise-P&amp;L"/>
      <sheetName val="Qtr-EBITA"/>
      <sheetName val="New Con-%"/>
      <sheetName val="Sales &amp; EBIDTA"/>
      <sheetName val="Estimated P&amp;L"/>
      <sheetName val="Elgi"/>
      <sheetName val="Pattons"/>
      <sheetName val="Elgi-USA"/>
      <sheetName val="USA-Cons"/>
      <sheetName val="Brazil"/>
      <sheetName val="Elgi-Italy"/>
      <sheetName val="Gulf"/>
      <sheetName val="Indonesia"/>
      <sheetName val="China"/>
      <sheetName val="Australia"/>
      <sheetName val="ATS"/>
      <sheetName val="Sauer"/>
      <sheetName val="Ergo"/>
      <sheetName val="Sheet1"/>
      <sheetName val="Belair"/>
      <sheetName val="Elgi Sauer"/>
      <sheetName val="Sheet2"/>
    </sheetNames>
    <sheetDataSet>
      <sheetData sheetId="0"/>
      <sheetData sheetId="1"/>
      <sheetData sheetId="2"/>
      <sheetData sheetId="3"/>
      <sheetData sheetId="4"/>
      <sheetData sheetId="5">
        <row r="6">
          <cell r="B6">
            <v>811.84010075925926</v>
          </cell>
          <cell r="D6">
            <v>676.29000000000042</v>
          </cell>
          <cell r="F6">
            <v>664.00000000000011</v>
          </cell>
          <cell r="H6">
            <v>3024.2373156297795</v>
          </cell>
          <cell r="J6">
            <v>2715.5100000000007</v>
          </cell>
          <cell r="L6">
            <v>2506.4348009999994</v>
          </cell>
        </row>
        <row r="8">
          <cell r="B8">
            <v>464.36340873282478</v>
          </cell>
          <cell r="D8">
            <v>376.7</v>
          </cell>
          <cell r="F8">
            <v>367.70000000000005</v>
          </cell>
          <cell r="H8">
            <v>1685.7329322250023</v>
          </cell>
          <cell r="J8">
            <v>1458.7</v>
          </cell>
          <cell r="L8">
            <v>1389.3466900999999</v>
          </cell>
        </row>
        <row r="9">
          <cell r="B9">
            <v>65.662641450308399</v>
          </cell>
          <cell r="D9">
            <v>61.199999999999989</v>
          </cell>
          <cell r="F9">
            <v>57.400000000000034</v>
          </cell>
          <cell r="H9">
            <v>248.72326612680649</v>
          </cell>
          <cell r="J9">
            <v>232.59999999999968</v>
          </cell>
          <cell r="L9">
            <v>213.22378039999967</v>
          </cell>
        </row>
        <row r="14">
          <cell r="B14">
            <v>110.67752493814233</v>
          </cell>
          <cell r="D14">
            <v>103.66</v>
          </cell>
          <cell r="F14">
            <v>94.95</v>
          </cell>
          <cell r="H14">
            <v>442.71009975256931</v>
          </cell>
          <cell r="J14">
            <v>419.56</v>
          </cell>
          <cell r="L14">
            <v>383.84673499999997</v>
          </cell>
        </row>
        <row r="15">
          <cell r="B15">
            <v>62.831709599117509</v>
          </cell>
          <cell r="D15">
            <v>59.139366600000002</v>
          </cell>
          <cell r="F15">
            <v>46.166470300000007</v>
          </cell>
          <cell r="H15">
            <v>252.45866813511111</v>
          </cell>
          <cell r="J15">
            <v>252.07628030000006</v>
          </cell>
          <cell r="L15">
            <v>179.0256708</v>
          </cell>
        </row>
        <row r="16">
          <cell r="B16">
            <v>0</v>
          </cell>
          <cell r="D16">
            <v>-5.9999999999999982</v>
          </cell>
          <cell r="F16">
            <v>-0.10000000000000053</v>
          </cell>
          <cell r="H16">
            <v>0</v>
          </cell>
          <cell r="J16">
            <v>1.6500000000000008</v>
          </cell>
          <cell r="L16">
            <v>-0.12412750000000017</v>
          </cell>
        </row>
        <row r="20">
          <cell r="B20">
            <v>0</v>
          </cell>
          <cell r="D20">
            <v>5.8000000000000007</v>
          </cell>
          <cell r="F20">
            <v>53</v>
          </cell>
          <cell r="H20">
            <v>0</v>
          </cell>
          <cell r="J20">
            <v>70.899999999999991</v>
          </cell>
          <cell r="L20">
            <v>69.236672800000008</v>
          </cell>
        </row>
        <row r="21">
          <cell r="B21">
            <v>0</v>
          </cell>
          <cell r="D21">
            <v>2.8</v>
          </cell>
          <cell r="F21">
            <v>1.3000000000000003</v>
          </cell>
          <cell r="H21">
            <v>0</v>
          </cell>
          <cell r="J21">
            <v>11.1</v>
          </cell>
          <cell r="L21">
            <v>6.8526409000000017</v>
          </cell>
        </row>
        <row r="22">
          <cell r="B22">
            <v>0</v>
          </cell>
          <cell r="D22">
            <v>0</v>
          </cell>
          <cell r="F22">
            <v>0</v>
          </cell>
          <cell r="H22">
            <v>0</v>
          </cell>
          <cell r="J22">
            <v>0</v>
          </cell>
          <cell r="L22">
            <v>0</v>
          </cell>
        </row>
        <row r="23">
          <cell r="B23">
            <v>0</v>
          </cell>
          <cell r="D23">
            <v>0.8</v>
          </cell>
          <cell r="F23">
            <v>3.6</v>
          </cell>
          <cell r="H23">
            <v>0</v>
          </cell>
          <cell r="J23">
            <v>3.8</v>
          </cell>
          <cell r="L23">
            <v>13.8</v>
          </cell>
        </row>
        <row r="24">
          <cell r="B24">
            <v>0</v>
          </cell>
          <cell r="D24">
            <v>1.5</v>
          </cell>
          <cell r="F24">
            <v>4.3</v>
          </cell>
          <cell r="H24">
            <v>0</v>
          </cell>
          <cell r="J24">
            <v>11.7</v>
          </cell>
          <cell r="L24">
            <v>11.517652</v>
          </cell>
        </row>
        <row r="25">
          <cell r="B25">
            <v>0</v>
          </cell>
          <cell r="D25">
            <v>7.1999999999999993</v>
          </cell>
          <cell r="F25">
            <v>6.4</v>
          </cell>
          <cell r="H25">
            <v>0</v>
          </cell>
          <cell r="J25">
            <v>8.6499999999999986</v>
          </cell>
          <cell r="L25">
            <v>7.4</v>
          </cell>
        </row>
        <row r="26">
          <cell r="B26">
            <v>29.9</v>
          </cell>
          <cell r="D26">
            <v>29.9</v>
          </cell>
          <cell r="F26">
            <v>29.4</v>
          </cell>
          <cell r="H26">
            <v>117.1</v>
          </cell>
          <cell r="J26">
            <v>117.1</v>
          </cell>
          <cell r="L26">
            <v>113.90647309999999</v>
          </cell>
        </row>
      </sheetData>
      <sheetData sheetId="6">
        <row r="6">
          <cell r="B6">
            <v>192.4898095756852</v>
          </cell>
          <cell r="D6">
            <v>126.73975898039998</v>
          </cell>
          <cell r="F6">
            <v>168.77497788191658</v>
          </cell>
          <cell r="H6">
            <v>693.23446701789806</v>
          </cell>
          <cell r="J6">
            <v>643.95487190400002</v>
          </cell>
          <cell r="L6">
            <v>608.41759860374998</v>
          </cell>
        </row>
        <row r="8">
          <cell r="B8">
            <v>119.79118522637143</v>
          </cell>
          <cell r="D8">
            <v>79.702723029899914</v>
          </cell>
          <cell r="F8">
            <v>106.92792419183348</v>
          </cell>
          <cell r="H8">
            <v>430.11246511702552</v>
          </cell>
          <cell r="J8">
            <v>416.68441009919997</v>
          </cell>
          <cell r="L8">
            <v>382.75360529250014</v>
          </cell>
        </row>
        <row r="9">
          <cell r="B9">
            <v>5.818149433431917</v>
          </cell>
          <cell r="D9">
            <v>1.2273597354000003</v>
          </cell>
          <cell r="F9">
            <v>2.6703671599999979</v>
          </cell>
          <cell r="H9">
            <v>20.606348855149065</v>
          </cell>
          <cell r="J9">
            <v>8.5176842132000008</v>
          </cell>
          <cell r="L9">
            <v>11.355140842499999</v>
          </cell>
        </row>
        <row r="14">
          <cell r="B14">
            <v>35.127844451867169</v>
          </cell>
          <cell r="D14">
            <v>33.226477189900066</v>
          </cell>
          <cell r="F14">
            <v>35.823764095083362</v>
          </cell>
          <cell r="H14">
            <v>146.5989937697517</v>
          </cell>
          <cell r="J14">
            <v>133.53993570790004</v>
          </cell>
          <cell r="L14">
            <v>139.04932630875001</v>
          </cell>
        </row>
        <row r="15">
          <cell r="B15">
            <v>15.81720360895039</v>
          </cell>
          <cell r="D15">
            <v>13.812498460700056</v>
          </cell>
          <cell r="F15">
            <v>17.255073612416595</v>
          </cell>
          <cell r="H15">
            <v>63.644016563426561</v>
          </cell>
          <cell r="J15">
            <v>55.729034622200025</v>
          </cell>
          <cell r="L15">
            <v>62.57213824874993</v>
          </cell>
        </row>
        <row r="16">
          <cell r="B16">
            <v>0</v>
          </cell>
          <cell r="D16">
            <v>0</v>
          </cell>
          <cell r="F16">
            <v>0</v>
          </cell>
          <cell r="H16">
            <v>0</v>
          </cell>
          <cell r="J16">
            <v>0</v>
          </cell>
          <cell r="L16">
            <v>0</v>
          </cell>
        </row>
        <row r="20">
          <cell r="B20">
            <v>4.1483704166666656E-2</v>
          </cell>
          <cell r="D20">
            <v>3.523577E-3</v>
          </cell>
          <cell r="F20">
            <v>8.9823488000000035E-2</v>
          </cell>
          <cell r="H20">
            <v>0.16593481666666665</v>
          </cell>
          <cell r="J20">
            <v>0.13800380470000001</v>
          </cell>
          <cell r="L20">
            <v>0.24352984499999999</v>
          </cell>
        </row>
        <row r="21">
          <cell r="B21">
            <v>0</v>
          </cell>
          <cell r="D21">
            <v>0</v>
          </cell>
          <cell r="F21">
            <v>0</v>
          </cell>
          <cell r="H21">
            <v>0</v>
          </cell>
          <cell r="J21">
            <v>0</v>
          </cell>
          <cell r="L21">
            <v>0</v>
          </cell>
        </row>
        <row r="22">
          <cell r="B22">
            <v>0</v>
          </cell>
          <cell r="D22">
            <v>0</v>
          </cell>
          <cell r="F22">
            <v>0</v>
          </cell>
          <cell r="H22">
            <v>0</v>
          </cell>
          <cell r="J22">
            <v>0</v>
          </cell>
          <cell r="L22">
            <v>0</v>
          </cell>
        </row>
        <row r="23">
          <cell r="B23">
            <v>0</v>
          </cell>
          <cell r="D23">
            <v>3.8883904099999977E-2</v>
          </cell>
          <cell r="F23">
            <v>1.7210039999999999E-3</v>
          </cell>
          <cell r="H23">
            <v>0</v>
          </cell>
          <cell r="J23">
            <v>0.20380368640000002</v>
          </cell>
          <cell r="L23">
            <v>7.2285524999999998E-3</v>
          </cell>
        </row>
        <row r="24">
          <cell r="B24">
            <v>0</v>
          </cell>
          <cell r="D24">
            <v>0</v>
          </cell>
          <cell r="F24">
            <v>0</v>
          </cell>
          <cell r="H24">
            <v>0</v>
          </cell>
          <cell r="J24">
            <v>0</v>
          </cell>
          <cell r="L24">
            <v>0</v>
          </cell>
        </row>
        <row r="25">
          <cell r="B25">
            <v>0</v>
          </cell>
          <cell r="D25">
            <v>0</v>
          </cell>
          <cell r="F25">
            <v>0</v>
          </cell>
          <cell r="H25">
            <v>0</v>
          </cell>
          <cell r="J25">
            <v>0</v>
          </cell>
          <cell r="L25">
            <v>0</v>
          </cell>
        </row>
        <row r="26">
          <cell r="B26">
            <v>7.027841486249998</v>
          </cell>
          <cell r="D26">
            <v>2.2494289187999978</v>
          </cell>
          <cell r="F26">
            <v>1.8518532760000008</v>
          </cell>
          <cell r="H26">
            <v>28.111365945000003</v>
          </cell>
          <cell r="J26">
            <v>8.9426466772999991</v>
          </cell>
          <cell r="L26">
            <v>7.3818401475000002</v>
          </cell>
        </row>
      </sheetData>
      <sheetData sheetId="7">
        <row r="6">
          <cell r="B6">
            <v>41.796828231766035</v>
          </cell>
          <cell r="D6">
            <v>36.434688366300009</v>
          </cell>
          <cell r="F6">
            <v>49.210050171500015</v>
          </cell>
          <cell r="H6">
            <v>158.19986434665884</v>
          </cell>
          <cell r="J6">
            <v>144.85820959050002</v>
          </cell>
          <cell r="L6">
            <v>156.5858612175</v>
          </cell>
        </row>
        <row r="8">
          <cell r="B8">
            <v>29.123502847717717</v>
          </cell>
          <cell r="D8">
            <v>24.00029694429999</v>
          </cell>
          <cell r="F8">
            <v>28.83016678191666</v>
          </cell>
          <cell r="H8">
            <v>111.09642285094367</v>
          </cell>
          <cell r="J8">
            <v>90.656054649200001</v>
          </cell>
          <cell r="L8">
            <v>95.636282673750003</v>
          </cell>
        </row>
        <row r="9">
          <cell r="B9">
            <v>0.21789208129663684</v>
          </cell>
          <cell r="D9">
            <v>1.0269712696999997</v>
          </cell>
          <cell r="F9">
            <v>1.6628665362500001</v>
          </cell>
          <cell r="H9">
            <v>0.89329809135054183</v>
          </cell>
          <cell r="J9">
            <v>4.2957889582000002</v>
          </cell>
          <cell r="L9">
            <v>7.5774629287500002</v>
          </cell>
        </row>
        <row r="14">
          <cell r="B14">
            <v>8.935842139391319</v>
          </cell>
          <cell r="D14">
            <v>8.719434037300001</v>
          </cell>
          <cell r="F14">
            <v>8.8961769150000123</v>
          </cell>
          <cell r="H14">
            <v>35.829739030970572</v>
          </cell>
          <cell r="J14">
            <v>35.975299000900002</v>
          </cell>
          <cell r="L14">
            <v>38.450525100000007</v>
          </cell>
        </row>
        <row r="15">
          <cell r="B15">
            <v>5.5393461493470157</v>
          </cell>
          <cell r="D15">
            <v>7.1536200807999908</v>
          </cell>
          <cell r="F15">
            <v>4.0752223965000027</v>
          </cell>
          <cell r="H15">
            <v>22.773550206788382</v>
          </cell>
          <cell r="J15">
            <v>21.388698183499994</v>
          </cell>
          <cell r="L15">
            <v>16.588759882500007</v>
          </cell>
        </row>
        <row r="16">
          <cell r="B16">
            <v>0</v>
          </cell>
          <cell r="D16">
            <v>0</v>
          </cell>
          <cell r="F16">
            <v>0</v>
          </cell>
          <cell r="H16">
            <v>0</v>
          </cell>
          <cell r="J16">
            <v>0</v>
          </cell>
          <cell r="L16">
            <v>0</v>
          </cell>
        </row>
        <row r="20">
          <cell r="B20">
            <v>0</v>
          </cell>
          <cell r="D20">
            <v>0</v>
          </cell>
          <cell r="F20">
            <v>0</v>
          </cell>
          <cell r="H20">
            <v>0</v>
          </cell>
          <cell r="J20">
            <v>0</v>
          </cell>
          <cell r="L20">
            <v>0</v>
          </cell>
        </row>
        <row r="21">
          <cell r="B21">
            <v>0</v>
          </cell>
          <cell r="D21">
            <v>2.6689890400000005</v>
          </cell>
          <cell r="F21">
            <v>0</v>
          </cell>
          <cell r="H21">
            <v>0</v>
          </cell>
          <cell r="J21">
            <v>9.8859442400000006</v>
          </cell>
          <cell r="L21">
            <v>0</v>
          </cell>
        </row>
        <row r="22">
          <cell r="B22">
            <v>0</v>
          </cell>
          <cell r="D22">
            <v>0</v>
          </cell>
          <cell r="F22">
            <v>0</v>
          </cell>
          <cell r="H22">
            <v>0</v>
          </cell>
          <cell r="J22">
            <v>0</v>
          </cell>
          <cell r="L22">
            <v>0</v>
          </cell>
        </row>
        <row r="23">
          <cell r="B23">
            <v>3.1205256333333344</v>
          </cell>
          <cell r="D23">
            <v>3.6816193973999987</v>
          </cell>
          <cell r="F23">
            <v>5.1805542128333304</v>
          </cell>
          <cell r="H23">
            <v>12.945227533333332</v>
          </cell>
          <cell r="J23">
            <v>14.6953812474</v>
          </cell>
          <cell r="L23">
            <v>20.827297627499998</v>
          </cell>
        </row>
        <row r="24">
          <cell r="B24">
            <v>0</v>
          </cell>
          <cell r="D24">
            <v>0</v>
          </cell>
          <cell r="F24">
            <v>0</v>
          </cell>
          <cell r="H24">
            <v>0</v>
          </cell>
          <cell r="J24">
            <v>0</v>
          </cell>
          <cell r="L24">
            <v>0</v>
          </cell>
        </row>
        <row r="25">
          <cell r="B25">
            <v>0</v>
          </cell>
          <cell r="D25">
            <v>3.2578467300000007</v>
          </cell>
          <cell r="F25">
            <v>0</v>
          </cell>
          <cell r="H25">
            <v>0</v>
          </cell>
          <cell r="J25">
            <v>-18.135469759999999</v>
          </cell>
          <cell r="L25">
            <v>0</v>
          </cell>
        </row>
        <row r="26">
          <cell r="B26">
            <v>0.242138715</v>
          </cell>
          <cell r="D26">
            <v>0.3233057169000001</v>
          </cell>
          <cell r="F26">
            <v>0.23686971941666679</v>
          </cell>
          <cell r="H26">
            <v>0.96855486000000002</v>
          </cell>
          <cell r="J26">
            <v>1.2967397148000002</v>
          </cell>
          <cell r="L26">
            <v>0.93599107875000009</v>
          </cell>
        </row>
      </sheetData>
      <sheetData sheetId="8">
        <row r="6">
          <cell r="O6">
            <v>0</v>
          </cell>
          <cell r="Q6">
            <v>-24.772660579299838</v>
          </cell>
          <cell r="S6">
            <v>11.541093133383299</v>
          </cell>
          <cell r="U6">
            <v>0</v>
          </cell>
          <cell r="W6">
            <v>-60.689137502899939</v>
          </cell>
          <cell r="Y6">
            <v>-24.619848924050075</v>
          </cell>
        </row>
        <row r="8">
          <cell r="O8">
            <v>0</v>
          </cell>
          <cell r="Q8">
            <v>-25.28774746899991</v>
          </cell>
          <cell r="S8">
            <v>-11.122476267549985</v>
          </cell>
          <cell r="U8">
            <v>0</v>
          </cell>
          <cell r="W8">
            <v>-68.722302132499976</v>
          </cell>
          <cell r="Y8">
            <v>-43.386024776050078</v>
          </cell>
        </row>
        <row r="9">
          <cell r="O9">
            <v>0</v>
          </cell>
          <cell r="Q9">
            <v>0</v>
          </cell>
          <cell r="S9">
            <v>-1.6395843849998926E-2</v>
          </cell>
          <cell r="U9">
            <v>0</v>
          </cell>
          <cell r="W9">
            <v>0</v>
          </cell>
          <cell r="Y9">
            <v>-1.7164838850000308E-2</v>
          </cell>
        </row>
        <row r="14">
          <cell r="O14">
            <v>0</v>
          </cell>
          <cell r="Q14">
            <v>1.2689967132999698</v>
          </cell>
          <cell r="S14">
            <v>2.0997870916602324E-2</v>
          </cell>
          <cell r="U14">
            <v>0</v>
          </cell>
          <cell r="W14">
            <v>5.5894199021999498</v>
          </cell>
          <cell r="Y14">
            <v>1.400393304996328E-2</v>
          </cell>
        </row>
        <row r="15">
          <cell r="O15">
            <v>0</v>
          </cell>
          <cell r="Q15">
            <v>-1.2689967133000906</v>
          </cell>
          <cell r="S15">
            <v>2.3013191683332934E-2</v>
          </cell>
          <cell r="U15">
            <v>0</v>
          </cell>
          <cell r="W15">
            <v>-5.5894199022000493</v>
          </cell>
          <cell r="Y15">
            <v>6.2454357500030255E-3</v>
          </cell>
        </row>
        <row r="16">
          <cell r="O16">
            <v>0</v>
          </cell>
          <cell r="Q16">
            <v>0</v>
          </cell>
          <cell r="S16">
            <v>0</v>
          </cell>
          <cell r="U16">
            <v>0</v>
          </cell>
          <cell r="W16">
            <v>0</v>
          </cell>
          <cell r="Y16">
            <v>0</v>
          </cell>
        </row>
        <row r="20">
          <cell r="O20">
            <v>0</v>
          </cell>
          <cell r="Q20">
            <v>0</v>
          </cell>
          <cell r="S20">
            <v>2.7309599999997269E-5</v>
          </cell>
          <cell r="U20">
            <v>0</v>
          </cell>
          <cell r="W20">
            <v>0</v>
          </cell>
          <cell r="Y20">
            <v>1.9213400000023251E-5</v>
          </cell>
        </row>
        <row r="21">
          <cell r="O21">
            <v>0</v>
          </cell>
          <cell r="Q21">
            <v>0</v>
          </cell>
          <cell r="S21">
            <v>0</v>
          </cell>
          <cell r="U21">
            <v>0</v>
          </cell>
          <cell r="W21">
            <v>0</v>
          </cell>
          <cell r="Y21">
            <v>0</v>
          </cell>
        </row>
        <row r="22">
          <cell r="O22">
            <v>0</v>
          </cell>
          <cell r="Q22">
            <v>0</v>
          </cell>
          <cell r="S22">
            <v>0</v>
          </cell>
          <cell r="U22">
            <v>0</v>
          </cell>
          <cell r="W22">
            <v>0</v>
          </cell>
          <cell r="Y22">
            <v>0</v>
          </cell>
        </row>
        <row r="23">
          <cell r="O23">
            <v>0</v>
          </cell>
          <cell r="Q23">
            <v>0</v>
          </cell>
          <cell r="S23">
            <v>2.4682031666678483E-3</v>
          </cell>
          <cell r="U23">
            <v>0</v>
          </cell>
          <cell r="W23">
            <v>0</v>
          </cell>
          <cell r="Y23">
            <v>1.6437496000030194E-3</v>
          </cell>
        </row>
        <row r="24">
          <cell r="O24">
            <v>0</v>
          </cell>
          <cell r="Q24">
            <v>0</v>
          </cell>
          <cell r="S24">
            <v>0</v>
          </cell>
          <cell r="U24">
            <v>0</v>
          </cell>
          <cell r="W24">
            <v>0</v>
          </cell>
          <cell r="Y24">
            <v>0</v>
          </cell>
        </row>
        <row r="25">
          <cell r="O25">
            <v>0</v>
          </cell>
          <cell r="Q25">
            <v>0</v>
          </cell>
          <cell r="S25">
            <v>0</v>
          </cell>
          <cell r="U25">
            <v>0</v>
          </cell>
          <cell r="W25">
            <v>0</v>
          </cell>
          <cell r="Y25">
            <v>0</v>
          </cell>
        </row>
        <row r="26">
          <cell r="O26">
            <v>0</v>
          </cell>
          <cell r="Q26">
            <v>0</v>
          </cell>
          <cell r="S26">
            <v>9.8434598333296819E-4</v>
          </cell>
          <cell r="U26">
            <v>0</v>
          </cell>
          <cell r="W26">
            <v>0</v>
          </cell>
          <cell r="Y26">
            <v>6.562391500004594E-4</v>
          </cell>
        </row>
      </sheetData>
      <sheetData sheetId="9">
        <row r="6">
          <cell r="B6">
            <v>17.857513450000006</v>
          </cell>
          <cell r="D6">
            <v>19.054378267600036</v>
          </cell>
          <cell r="F6">
            <v>33.124970206899945</v>
          </cell>
          <cell r="H6">
            <v>62.438539000000006</v>
          </cell>
          <cell r="J6">
            <v>82.905448059600019</v>
          </cell>
          <cell r="L6">
            <v>127.35624698139999</v>
          </cell>
        </row>
        <row r="8">
          <cell r="B8">
            <v>12.473420701929999</v>
          </cell>
          <cell r="D8">
            <v>10.641476797999999</v>
          </cell>
          <cell r="F8">
            <v>23.00715838029997</v>
          </cell>
          <cell r="H8">
            <v>42.538179761839999</v>
          </cell>
          <cell r="J8">
            <v>48.349620821999999</v>
          </cell>
          <cell r="L8">
            <v>85.834207511799988</v>
          </cell>
        </row>
        <row r="9">
          <cell r="B9">
            <v>0.66281709633333374</v>
          </cell>
          <cell r="D9">
            <v>0.70681943940000025</v>
          </cell>
          <cell r="F9">
            <v>0.45218112159999846</v>
          </cell>
          <cell r="H9">
            <v>2.3098811632333338</v>
          </cell>
          <cell r="J9">
            <v>3.3172187790000001</v>
          </cell>
          <cell r="L9">
            <v>3.6390537495999986</v>
          </cell>
        </row>
        <row r="14">
          <cell r="B14">
            <v>1.9801099343328987</v>
          </cell>
          <cell r="D14">
            <v>2.3580063797999973</v>
          </cell>
          <cell r="F14">
            <v>3.4819938893999982</v>
          </cell>
          <cell r="H14">
            <v>7.872747021558764</v>
          </cell>
          <cell r="J14">
            <v>9.9062246009999981</v>
          </cell>
          <cell r="L14">
            <v>16.8190236234</v>
          </cell>
        </row>
        <row r="15">
          <cell r="B15">
            <v>2.5020847319545467</v>
          </cell>
          <cell r="D15">
            <v>3.1496279690000026</v>
          </cell>
          <cell r="F15">
            <v>2.9594000517999977</v>
          </cell>
          <cell r="H15">
            <v>10.726882827818184</v>
          </cell>
          <cell r="J15">
            <v>13.422383979000003</v>
          </cell>
          <cell r="L15">
            <v>14.6747014648</v>
          </cell>
        </row>
        <row r="16">
          <cell r="B16">
            <v>0</v>
          </cell>
          <cell r="D16">
            <v>-1.9492615941337181</v>
          </cell>
          <cell r="F16">
            <v>5.2927964407963568</v>
          </cell>
          <cell r="H16">
            <v>0</v>
          </cell>
          <cell r="J16">
            <v>-4.5309559674321624</v>
          </cell>
          <cell r="L16">
            <v>18.076052107550105</v>
          </cell>
        </row>
        <row r="20">
          <cell r="B20">
            <v>0</v>
          </cell>
          <cell r="D20">
            <v>0.25306936480000009</v>
          </cell>
          <cell r="F20">
            <v>0.12841227700000007</v>
          </cell>
          <cell r="H20">
            <v>0</v>
          </cell>
          <cell r="J20">
            <v>0.67931805240000021</v>
          </cell>
          <cell r="L20">
            <v>0.68818542300000007</v>
          </cell>
        </row>
        <row r="21">
          <cell r="B21">
            <v>0</v>
          </cell>
          <cell r="D21">
            <v>0</v>
          </cell>
          <cell r="F21">
            <v>0</v>
          </cell>
          <cell r="H21">
            <v>0</v>
          </cell>
          <cell r="J21">
            <v>0</v>
          </cell>
          <cell r="L21">
            <v>0</v>
          </cell>
        </row>
        <row r="22">
          <cell r="B22">
            <v>0</v>
          </cell>
          <cell r="D22">
            <v>0</v>
          </cell>
          <cell r="F22">
            <v>0</v>
          </cell>
          <cell r="H22">
            <v>0</v>
          </cell>
          <cell r="J22">
            <v>0</v>
          </cell>
          <cell r="L22">
            <v>0</v>
          </cell>
        </row>
        <row r="23">
          <cell r="B23">
            <v>2.5130174999999992</v>
          </cell>
          <cell r="D23">
            <v>3.8245810185999982</v>
          </cell>
          <cell r="F23">
            <v>-7.2374735999999884E-3</v>
          </cell>
          <cell r="H23">
            <v>10.052070000000001</v>
          </cell>
          <cell r="J23">
            <v>14.656990809</v>
          </cell>
          <cell r="L23">
            <v>0.41576208240000001</v>
          </cell>
        </row>
        <row r="25">
          <cell r="B25">
            <v>0</v>
          </cell>
          <cell r="D25">
            <v>2.3614148051337209</v>
          </cell>
          <cell r="F25">
            <v>15.1321515254786</v>
          </cell>
          <cell r="H25">
            <v>0</v>
          </cell>
          <cell r="J25">
            <v>1.1758979304321608</v>
          </cell>
          <cell r="L25">
            <v>-6.7770828371501164</v>
          </cell>
        </row>
        <row r="26">
          <cell r="B26">
            <v>9.5020749999999932E-2</v>
          </cell>
          <cell r="D26">
            <v>0.15731230759999987</v>
          </cell>
          <cell r="F26">
            <v>0.10514984060000004</v>
          </cell>
          <cell r="H26">
            <v>0.38008299999999995</v>
          </cell>
          <cell r="J26">
            <v>0.62716847279999999</v>
          </cell>
          <cell r="L26">
            <v>0.42080788959999998</v>
          </cell>
        </row>
      </sheetData>
      <sheetData sheetId="10">
        <row r="6">
          <cell r="B6">
            <v>115.2</v>
          </cell>
          <cell r="D6">
            <v>109.0848072605001</v>
          </cell>
          <cell r="F6">
            <v>132.46245631586669</v>
          </cell>
          <cell r="H6">
            <v>440.85599999999999</v>
          </cell>
          <cell r="J6">
            <v>440.29478133000009</v>
          </cell>
          <cell r="L6">
            <v>527.15395462079994</v>
          </cell>
        </row>
        <row r="8">
          <cell r="B8">
            <v>74.496540257334701</v>
          </cell>
          <cell r="D8">
            <v>70.7339908439167</v>
          </cell>
          <cell r="F8">
            <v>87.561127125283235</v>
          </cell>
          <cell r="H8">
            <v>285.28644786331114</v>
          </cell>
          <cell r="J8">
            <v>286.33604782125002</v>
          </cell>
          <cell r="L8">
            <v>352.87317026674998</v>
          </cell>
        </row>
        <row r="9">
          <cell r="B9">
            <v>3.3171391369305705</v>
          </cell>
          <cell r="D9">
            <v>2.9869932939166661</v>
          </cell>
          <cell r="F9">
            <v>4.1547723003833337</v>
          </cell>
          <cell r="H9">
            <v>12.738093770715976</v>
          </cell>
          <cell r="J9">
            <v>10.350570843750001</v>
          </cell>
          <cell r="L9">
            <v>16.816001859050001</v>
          </cell>
        </row>
        <row r="14">
          <cell r="B14">
            <v>20.003999999999998</v>
          </cell>
          <cell r="D14">
            <v>20.050963259583312</v>
          </cell>
          <cell r="F14">
            <v>18.958604973300005</v>
          </cell>
          <cell r="H14">
            <v>81.21791039999998</v>
          </cell>
          <cell r="J14">
            <v>86.71969426874999</v>
          </cell>
          <cell r="L14">
            <v>78.114150261700004</v>
          </cell>
        </row>
        <row r="15">
          <cell r="B15">
            <v>4.478423997084132</v>
          </cell>
          <cell r="D15">
            <v>5.6119754980000032</v>
          </cell>
          <cell r="F15">
            <v>4.4188041759166676</v>
          </cell>
          <cell r="H15">
            <v>20.864710888425559</v>
          </cell>
          <cell r="J15">
            <v>20.287457940000003</v>
          </cell>
          <cell r="L15">
            <v>17.884177877649996</v>
          </cell>
        </row>
        <row r="16">
          <cell r="B16">
            <v>0</v>
          </cell>
          <cell r="D16">
            <v>-2.4117447916666673E-2</v>
          </cell>
          <cell r="F16">
            <v>-5.8019646400000013E-2</v>
          </cell>
          <cell r="H16">
            <v>0</v>
          </cell>
          <cell r="J16">
            <v>-0.16339007624999999</v>
          </cell>
          <cell r="L16">
            <v>1.4132903660000002</v>
          </cell>
        </row>
        <row r="20">
          <cell r="B20">
            <v>3.947260482675162E-2</v>
          </cell>
          <cell r="D20">
            <v>2.7180429583333388E-2</v>
          </cell>
          <cell r="F20">
            <v>3.7107428333332798E-4</v>
          </cell>
          <cell r="H20">
            <v>0.14750419016196745</v>
          </cell>
          <cell r="J20">
            <v>0.35084050124999999</v>
          </cell>
          <cell r="L20">
            <v>9.703003415E-2</v>
          </cell>
        </row>
        <row r="21">
          <cell r="B21">
            <v>0</v>
          </cell>
          <cell r="D21">
            <v>0</v>
          </cell>
          <cell r="F21">
            <v>0</v>
          </cell>
          <cell r="H21">
            <v>0</v>
          </cell>
          <cell r="J21">
            <v>0</v>
          </cell>
          <cell r="L21">
            <v>0</v>
          </cell>
        </row>
        <row r="22">
          <cell r="B22">
            <v>6.57876747112527E-2</v>
          </cell>
          <cell r="D22">
            <v>4.167022083333527E-3</v>
          </cell>
          <cell r="F22">
            <v>-0.13652022941666667</v>
          </cell>
          <cell r="H22">
            <v>0.24584031693661246</v>
          </cell>
          <cell r="J22">
            <v>-0.51164421374999991</v>
          </cell>
          <cell r="L22">
            <v>-0.13861642595000001</v>
          </cell>
        </row>
        <row r="23">
          <cell r="B23">
            <v>0.26750788486160526</v>
          </cell>
          <cell r="D23">
            <v>2.0845177809166664</v>
          </cell>
          <cell r="F23">
            <v>1.7207630356666677</v>
          </cell>
          <cell r="H23">
            <v>1.070031539446421</v>
          </cell>
          <cell r="J23">
            <v>8.2130922787500005</v>
          </cell>
          <cell r="L23">
            <v>8.8394688074000012</v>
          </cell>
        </row>
        <row r="24">
          <cell r="B24">
            <v>0</v>
          </cell>
          <cell r="D24">
            <v>0</v>
          </cell>
          <cell r="F24">
            <v>0</v>
          </cell>
          <cell r="H24">
            <v>0</v>
          </cell>
          <cell r="J24">
            <v>0</v>
          </cell>
          <cell r="L24">
            <v>0</v>
          </cell>
        </row>
        <row r="25">
          <cell r="B25">
            <v>0</v>
          </cell>
          <cell r="D25">
            <v>0</v>
          </cell>
          <cell r="F25">
            <v>0</v>
          </cell>
          <cell r="H25">
            <v>0</v>
          </cell>
          <cell r="J25">
            <v>0</v>
          </cell>
          <cell r="L25">
            <v>0</v>
          </cell>
        </row>
        <row r="26">
          <cell r="B26">
            <v>0.99359999999999993</v>
          </cell>
          <cell r="D26">
            <v>0.85310499075000035</v>
          </cell>
          <cell r="F26">
            <v>0.79351894898333342</v>
          </cell>
          <cell r="H26">
            <v>3.7008000000000001</v>
          </cell>
          <cell r="J26">
            <v>3.4320603712500004</v>
          </cell>
          <cell r="L26">
            <v>3.2492704456500006</v>
          </cell>
        </row>
      </sheetData>
      <sheetData sheetId="11">
        <row r="6">
          <cell r="B6">
            <v>50.47</v>
          </cell>
          <cell r="D6">
            <v>38.995394416890022</v>
          </cell>
          <cell r="F6">
            <v>33.897660000000002</v>
          </cell>
          <cell r="H6">
            <v>199.09933988035468</v>
          </cell>
          <cell r="J6">
            <v>156.11701557570001</v>
          </cell>
          <cell r="L6">
            <v>135.83512500000001</v>
          </cell>
        </row>
        <row r="8">
          <cell r="B8">
            <v>37.590000000000003</v>
          </cell>
          <cell r="D8">
            <v>28.142354765249976</v>
          </cell>
          <cell r="F8">
            <v>22.19248</v>
          </cell>
          <cell r="H8">
            <v>149.19873841158477</v>
          </cell>
          <cell r="J8">
            <v>115.50039998354998</v>
          </cell>
          <cell r="L8">
            <v>93.694971837400004</v>
          </cell>
        </row>
        <row r="9">
          <cell r="B9">
            <v>0.76</v>
          </cell>
          <cell r="D9">
            <v>0.40128604320000028</v>
          </cell>
          <cell r="F9">
            <v>0.74425999999999992</v>
          </cell>
          <cell r="H9">
            <v>2.9894400982053195</v>
          </cell>
          <cell r="J9">
            <v>2.7328377792</v>
          </cell>
          <cell r="L9">
            <v>3.06426</v>
          </cell>
        </row>
        <row r="14">
          <cell r="B14">
            <v>4.3457188477643651</v>
          </cell>
          <cell r="D14">
            <v>5.0018085520499991</v>
          </cell>
          <cell r="F14">
            <v>4.6586368812999996</v>
          </cell>
          <cell r="H14">
            <v>17.38287539105746</v>
          </cell>
          <cell r="J14">
            <v>20.474251729950002</v>
          </cell>
          <cell r="L14">
            <v>18.069074881299997</v>
          </cell>
        </row>
        <row r="15">
          <cell r="B15">
            <v>2.0920133490666668</v>
          </cell>
          <cell r="D15">
            <v>2.8689724593000001</v>
          </cell>
          <cell r="F15">
            <v>1.7142686676999992</v>
          </cell>
          <cell r="H15">
            <v>8.3680533962666637</v>
          </cell>
          <cell r="J15">
            <v>10.004768396100003</v>
          </cell>
          <cell r="L15">
            <v>8.1742686676999998</v>
          </cell>
        </row>
        <row r="16">
          <cell r="B16">
            <v>0</v>
          </cell>
          <cell r="D16">
            <v>7.2965855850000039E-2</v>
          </cell>
          <cell r="F16">
            <v>4.9987884599999997E-2</v>
          </cell>
          <cell r="H16">
            <v>0</v>
          </cell>
          <cell r="J16">
            <v>0.55091896215000002</v>
          </cell>
          <cell r="L16">
            <v>0.17851788460000001</v>
          </cell>
        </row>
        <row r="20">
          <cell r="B20">
            <v>0</v>
          </cell>
          <cell r="D20">
            <v>1.7159761200000068E-2</v>
          </cell>
          <cell r="F20">
            <v>0</v>
          </cell>
          <cell r="H20">
            <v>0</v>
          </cell>
          <cell r="J20">
            <v>0.70904854380000004</v>
          </cell>
          <cell r="L20">
            <v>0</v>
          </cell>
        </row>
        <row r="21">
          <cell r="B21">
            <v>0</v>
          </cell>
          <cell r="D21">
            <v>0</v>
          </cell>
          <cell r="F21">
            <v>0</v>
          </cell>
          <cell r="H21">
            <v>0</v>
          </cell>
          <cell r="J21">
            <v>0</v>
          </cell>
          <cell r="L21">
            <v>0</v>
          </cell>
        </row>
        <row r="22">
          <cell r="B22">
            <v>0</v>
          </cell>
          <cell r="D22">
            <v>0</v>
          </cell>
          <cell r="F22">
            <v>0</v>
          </cell>
          <cell r="H22">
            <v>0</v>
          </cell>
          <cell r="J22">
            <v>0</v>
          </cell>
          <cell r="L22">
            <v>0</v>
          </cell>
        </row>
        <row r="23">
          <cell r="B23">
            <v>0</v>
          </cell>
          <cell r="D23">
            <v>0</v>
          </cell>
          <cell r="F23">
            <v>0</v>
          </cell>
          <cell r="H23">
            <v>0</v>
          </cell>
          <cell r="J23">
            <v>0</v>
          </cell>
          <cell r="L23">
            <v>0</v>
          </cell>
        </row>
        <row r="24">
          <cell r="B24">
            <v>0</v>
          </cell>
          <cell r="D24">
            <v>0</v>
          </cell>
          <cell r="F24">
            <v>0</v>
          </cell>
          <cell r="H24">
            <v>0</v>
          </cell>
          <cell r="J24">
            <v>0</v>
          </cell>
          <cell r="L24">
            <v>0</v>
          </cell>
        </row>
        <row r="25">
          <cell r="B25">
            <v>0</v>
          </cell>
          <cell r="D25">
            <v>0</v>
          </cell>
          <cell r="F25">
            <v>0</v>
          </cell>
          <cell r="H25">
            <v>0</v>
          </cell>
          <cell r="J25">
            <v>0</v>
          </cell>
          <cell r="L25">
            <v>0</v>
          </cell>
        </row>
        <row r="26">
          <cell r="B26">
            <v>0.09</v>
          </cell>
          <cell r="D26">
            <v>9.9749422649999919E-2</v>
          </cell>
          <cell r="F26">
            <v>8.4574999999999997E-2</v>
          </cell>
          <cell r="H26">
            <v>0.36</v>
          </cell>
          <cell r="J26">
            <v>0.40758087404999993</v>
          </cell>
          <cell r="L26">
            <v>0.31952773639999998</v>
          </cell>
        </row>
      </sheetData>
      <sheetData sheetId="12">
        <row r="6">
          <cell r="B6">
            <v>7.4579244166666676</v>
          </cell>
          <cell r="D6">
            <v>6.4958420505679797</v>
          </cell>
          <cell r="F6">
            <v>5.5474680000000038</v>
          </cell>
          <cell r="H6">
            <v>31.526928426041664</v>
          </cell>
          <cell r="J6">
            <v>30.778759818470693</v>
          </cell>
          <cell r="L6">
            <v>16.983000000000004</v>
          </cell>
        </row>
        <row r="8">
          <cell r="B8">
            <v>4.4914130817510998</v>
          </cell>
          <cell r="D8">
            <v>2.9510010906334303</v>
          </cell>
          <cell r="F8">
            <v>2.8802241141790601</v>
          </cell>
          <cell r="H8">
            <v>19.4660308448052</v>
          </cell>
          <cell r="J8">
            <v>19.149067303307497</v>
          </cell>
          <cell r="L8">
            <v>10.163589595121801</v>
          </cell>
        </row>
        <row r="9">
          <cell r="B9">
            <v>3.8029055453582816E-2</v>
          </cell>
          <cell r="D9">
            <v>1.4172688391329985E-2</v>
          </cell>
          <cell r="F9">
            <v>5.0621757600943007E-2</v>
          </cell>
          <cell r="H9">
            <v>0.14382923398774983</v>
          </cell>
          <cell r="J9">
            <v>4.6967136101349949E-2</v>
          </cell>
          <cell r="L9">
            <v>4.1204900422948998E-2</v>
          </cell>
        </row>
        <row r="14">
          <cell r="B14">
            <v>1.3081666666666663</v>
          </cell>
          <cell r="D14">
            <v>1.1859657258468652</v>
          </cell>
          <cell r="F14">
            <v>1.9339939791420599</v>
          </cell>
          <cell r="H14">
            <v>5.2326666666666659</v>
          </cell>
          <cell r="J14">
            <v>4.5877261876180437</v>
          </cell>
          <cell r="L14">
            <v>5.1919809791420599</v>
          </cell>
        </row>
        <row r="15">
          <cell r="B15">
            <v>0.97678166666666799</v>
          </cell>
          <cell r="D15">
            <v>0.55564884753883947</v>
          </cell>
          <cell r="F15">
            <v>0.72648630094403388</v>
          </cell>
          <cell r="H15">
            <v>3.9071266666666675</v>
          </cell>
          <cell r="J15">
            <v>1.7241415125161093</v>
          </cell>
          <cell r="L15">
            <v>1.9034714288658519</v>
          </cell>
        </row>
        <row r="16">
          <cell r="B16">
            <v>0</v>
          </cell>
          <cell r="D16">
            <v>0</v>
          </cell>
          <cell r="F16">
            <v>-1.0000000000000009E-2</v>
          </cell>
          <cell r="H16">
            <v>0</v>
          </cell>
          <cell r="J16">
            <v>-0.17</v>
          </cell>
          <cell r="L16">
            <v>-0.17</v>
          </cell>
        </row>
        <row r="20">
          <cell r="B20">
            <v>0</v>
          </cell>
          <cell r="D20">
            <v>5.0534999872433109E-3</v>
          </cell>
          <cell r="F20">
            <v>0</v>
          </cell>
          <cell r="H20">
            <v>0</v>
          </cell>
          <cell r="J20">
            <v>4.495009241596018E-2</v>
          </cell>
          <cell r="L20">
            <v>3.2925000000000003E-2</v>
          </cell>
        </row>
        <row r="21">
          <cell r="B21">
            <v>0</v>
          </cell>
          <cell r="D21">
            <v>0</v>
          </cell>
          <cell r="F21">
            <v>0</v>
          </cell>
          <cell r="H21">
            <v>0</v>
          </cell>
          <cell r="J21">
            <v>0</v>
          </cell>
          <cell r="L21">
            <v>0</v>
          </cell>
        </row>
        <row r="22">
          <cell r="B22">
            <v>0</v>
          </cell>
          <cell r="D22">
            <v>0</v>
          </cell>
          <cell r="F22">
            <v>0</v>
          </cell>
          <cell r="H22">
            <v>0</v>
          </cell>
          <cell r="J22">
            <v>0</v>
          </cell>
          <cell r="L22">
            <v>0</v>
          </cell>
        </row>
        <row r="23">
          <cell r="B23">
            <v>0</v>
          </cell>
          <cell r="D23">
            <v>0</v>
          </cell>
          <cell r="F23">
            <v>0</v>
          </cell>
          <cell r="H23">
            <v>0</v>
          </cell>
          <cell r="J23">
            <v>0</v>
          </cell>
          <cell r="L23">
            <v>0</v>
          </cell>
        </row>
        <row r="24">
          <cell r="B24">
            <v>0</v>
          </cell>
          <cell r="D24">
            <v>0</v>
          </cell>
          <cell r="F24">
            <v>0</v>
          </cell>
          <cell r="H24">
            <v>0</v>
          </cell>
          <cell r="J24">
            <v>0</v>
          </cell>
          <cell r="L24">
            <v>0</v>
          </cell>
        </row>
        <row r="25">
          <cell r="B25">
            <v>0</v>
          </cell>
          <cell r="D25">
            <v>-6.2387591180929736E-2</v>
          </cell>
          <cell r="F25">
            <v>0</v>
          </cell>
          <cell r="H25">
            <v>0</v>
          </cell>
          <cell r="J25">
            <v>-0.53</v>
          </cell>
          <cell r="L25">
            <v>0.37</v>
          </cell>
        </row>
        <row r="26">
          <cell r="B26">
            <v>3.0930836742361113E-2</v>
          </cell>
          <cell r="D26">
            <v>3.27761244066649E-2</v>
          </cell>
          <cell r="F26">
            <v>3.1E-2</v>
          </cell>
          <cell r="H26">
            <v>0.12372334696944445</v>
          </cell>
          <cell r="J26">
            <v>0.12960302340966706</v>
          </cell>
          <cell r="L26">
            <v>0.11388176136325071</v>
          </cell>
        </row>
      </sheetData>
      <sheetData sheetId="13">
        <row r="6">
          <cell r="B6">
            <v>2.5924999999999998</v>
          </cell>
          <cell r="D6">
            <v>2.5747167646999998</v>
          </cell>
          <cell r="F6">
            <v>21.717204668084005</v>
          </cell>
          <cell r="H6">
            <v>10.37</v>
          </cell>
          <cell r="J6">
            <v>11.477073309</v>
          </cell>
          <cell r="L6">
            <v>47.678661668084004</v>
          </cell>
        </row>
        <row r="8">
          <cell r="B8">
            <v>1.2962499999999999</v>
          </cell>
          <cell r="D8">
            <v>0.89510829582527318</v>
          </cell>
          <cell r="F8">
            <v>15.301573645977651</v>
          </cell>
          <cell r="H8">
            <v>5.1849999999999996</v>
          </cell>
          <cell r="J8">
            <v>5.9444229467747194</v>
          </cell>
          <cell r="L8">
            <v>32.476667408892652</v>
          </cell>
        </row>
        <row r="9">
          <cell r="B9">
            <v>0.10764689953271026</v>
          </cell>
          <cell r="D9">
            <v>0.20526808752799997</v>
          </cell>
          <cell r="F9">
            <v>1.9657138048244753</v>
          </cell>
          <cell r="H9">
            <v>0.43058759813084102</v>
          </cell>
          <cell r="J9">
            <v>0.8207989165620001</v>
          </cell>
          <cell r="L9">
            <v>3.6496047916000003</v>
          </cell>
        </row>
        <row r="14">
          <cell r="B14">
            <v>1.6656827778466667</v>
          </cell>
          <cell r="D14">
            <v>2.2272426876999987</v>
          </cell>
          <cell r="F14">
            <v>7.5433157404000006</v>
          </cell>
          <cell r="H14">
            <v>6.662731111386667</v>
          </cell>
          <cell r="J14">
            <v>12.705117119000001</v>
          </cell>
          <cell r="L14">
            <v>30.5523217404</v>
          </cell>
        </row>
        <row r="15">
          <cell r="B15">
            <v>0.65330999999999995</v>
          </cell>
          <cell r="D15">
            <v>1.9654539191808382</v>
          </cell>
          <cell r="F15">
            <v>2.4847261897976454</v>
          </cell>
          <cell r="H15">
            <v>2.6132399999999998</v>
          </cell>
          <cell r="J15">
            <v>5.1179568681422065</v>
          </cell>
          <cell r="L15">
            <v>8.8488789427674384</v>
          </cell>
        </row>
        <row r="16">
          <cell r="B16">
            <v>0</v>
          </cell>
          <cell r="D16">
            <v>0.28346378132181349</v>
          </cell>
          <cell r="F16">
            <v>1.8575435718138356E-3</v>
          </cell>
          <cell r="H16">
            <v>0</v>
          </cell>
          <cell r="J16">
            <v>0.27922864260000002</v>
          </cell>
          <cell r="L16">
            <v>0.21</v>
          </cell>
        </row>
        <row r="20">
          <cell r="B20">
            <v>0</v>
          </cell>
          <cell r="D20">
            <v>4.17052594E-2</v>
          </cell>
          <cell r="F20">
            <v>0.13922583599999999</v>
          </cell>
          <cell r="H20">
            <v>0</v>
          </cell>
          <cell r="J20">
            <v>4.82825671E-2</v>
          </cell>
          <cell r="L20">
            <v>0.146669836</v>
          </cell>
        </row>
        <row r="21">
          <cell r="B21">
            <v>0</v>
          </cell>
          <cell r="D21">
            <v>0</v>
          </cell>
          <cell r="F21">
            <v>0</v>
          </cell>
          <cell r="H21">
            <v>0</v>
          </cell>
          <cell r="J21">
            <v>0</v>
          </cell>
          <cell r="L21">
            <v>0</v>
          </cell>
        </row>
        <row r="22">
          <cell r="B22">
            <v>0</v>
          </cell>
          <cell r="D22">
            <v>0</v>
          </cell>
          <cell r="F22">
            <v>0</v>
          </cell>
          <cell r="H22">
            <v>0</v>
          </cell>
          <cell r="J22">
            <v>0</v>
          </cell>
          <cell r="L22">
            <v>0</v>
          </cell>
        </row>
        <row r="23">
          <cell r="B23">
            <v>0.28949583333333334</v>
          </cell>
          <cell r="D23">
            <v>0.43066182889999993</v>
          </cell>
          <cell r="F23">
            <v>0.72760510127853206</v>
          </cell>
          <cell r="H23">
            <v>1.1579833333333334</v>
          </cell>
          <cell r="J23">
            <v>1.6401469557000001</v>
          </cell>
          <cell r="L23">
            <v>2.605</v>
          </cell>
        </row>
        <row r="24">
          <cell r="B24">
            <v>0</v>
          </cell>
          <cell r="D24">
            <v>0</v>
          </cell>
          <cell r="F24">
            <v>0</v>
          </cell>
          <cell r="H24">
            <v>0</v>
          </cell>
          <cell r="J24">
            <v>0</v>
          </cell>
          <cell r="L24">
            <v>0</v>
          </cell>
        </row>
        <row r="25">
          <cell r="B25">
            <v>0</v>
          </cell>
          <cell r="D25">
            <v>0</v>
          </cell>
          <cell r="F25">
            <v>-0.17743017428725505</v>
          </cell>
          <cell r="H25">
            <v>0</v>
          </cell>
          <cell r="J25">
            <v>0</v>
          </cell>
          <cell r="L25">
            <v>-1.38</v>
          </cell>
        </row>
        <row r="26">
          <cell r="B26">
            <v>0.25924999999999998</v>
          </cell>
          <cell r="D26">
            <v>0.13882217550000009</v>
          </cell>
          <cell r="F26">
            <v>0.19260693575965027</v>
          </cell>
          <cell r="H26">
            <v>1.0369999999999999</v>
          </cell>
          <cell r="J26">
            <v>0.578736166</v>
          </cell>
          <cell r="L26">
            <v>0.78151354600000011</v>
          </cell>
        </row>
      </sheetData>
      <sheetData sheetId="14">
        <row r="6">
          <cell r="B6">
            <v>12.423016892259259</v>
          </cell>
          <cell r="D6">
            <v>4.1400000000000006</v>
          </cell>
          <cell r="F6">
            <v>9.0709000000000017</v>
          </cell>
          <cell r="H6">
            <v>26.618920727333332</v>
          </cell>
          <cell r="J6">
            <v>26.84</v>
          </cell>
          <cell r="L6">
            <v>15.540900000000001</v>
          </cell>
        </row>
        <row r="8">
          <cell r="B8">
            <v>8.2448617446794294</v>
          </cell>
          <cell r="D8">
            <v>3.27</v>
          </cell>
          <cell r="F8">
            <v>7.5685999999999991</v>
          </cell>
          <cell r="H8">
            <v>16.927414017393907</v>
          </cell>
          <cell r="J8">
            <v>19.13</v>
          </cell>
          <cell r="L8">
            <v>12.508599999999999</v>
          </cell>
        </row>
        <row r="9">
          <cell r="B9">
            <v>0</v>
          </cell>
          <cell r="D9">
            <v>-0.131935895333333</v>
          </cell>
          <cell r="F9">
            <v>-0.63162712666666654</v>
          </cell>
          <cell r="H9">
            <v>0</v>
          </cell>
          <cell r="J9">
            <v>-0.24</v>
          </cell>
          <cell r="L9">
            <v>-0.50162712666666653</v>
          </cell>
        </row>
        <row r="14">
          <cell r="B14">
            <v>0.88771859999999991</v>
          </cell>
          <cell r="D14">
            <v>0.4</v>
          </cell>
          <cell r="F14">
            <v>1.6758042378000004</v>
          </cell>
          <cell r="H14">
            <v>3.5508743999999997</v>
          </cell>
          <cell r="J14">
            <v>2.2799999999999998</v>
          </cell>
          <cell r="L14">
            <v>7.2958042378000005</v>
          </cell>
        </row>
        <row r="15">
          <cell r="B15">
            <v>0.51057887733333329</v>
          </cell>
          <cell r="D15">
            <v>0.5</v>
          </cell>
          <cell r="F15">
            <v>0.45000000000000018</v>
          </cell>
          <cell r="H15">
            <v>2.000648842666668</v>
          </cell>
          <cell r="J15">
            <v>3.12</v>
          </cell>
          <cell r="L15">
            <v>2.5</v>
          </cell>
        </row>
        <row r="16">
          <cell r="B16">
            <v>0</v>
          </cell>
          <cell r="D16">
            <v>0</v>
          </cell>
          <cell r="F16">
            <v>0.04</v>
          </cell>
          <cell r="H16">
            <v>0</v>
          </cell>
          <cell r="J16">
            <v>0.15</v>
          </cell>
          <cell r="L16">
            <v>0.04</v>
          </cell>
        </row>
        <row r="20">
          <cell r="B20">
            <v>0</v>
          </cell>
          <cell r="D20">
            <v>0</v>
          </cell>
          <cell r="F20">
            <v>0</v>
          </cell>
          <cell r="H20">
            <v>0</v>
          </cell>
          <cell r="J20">
            <v>0</v>
          </cell>
          <cell r="L20">
            <v>-0.09</v>
          </cell>
        </row>
        <row r="21">
          <cell r="B21">
            <v>0</v>
          </cell>
          <cell r="D21">
            <v>0</v>
          </cell>
          <cell r="F21">
            <v>0</v>
          </cell>
          <cell r="H21">
            <v>0</v>
          </cell>
          <cell r="J21">
            <v>0</v>
          </cell>
          <cell r="L21">
            <v>0</v>
          </cell>
        </row>
        <row r="22">
          <cell r="B22">
            <v>0</v>
          </cell>
          <cell r="D22">
            <v>0</v>
          </cell>
          <cell r="F22">
            <v>0</v>
          </cell>
          <cell r="H22">
            <v>0</v>
          </cell>
          <cell r="J22">
            <v>0</v>
          </cell>
          <cell r="L22">
            <v>0</v>
          </cell>
        </row>
        <row r="23">
          <cell r="B23">
            <v>0</v>
          </cell>
          <cell r="D23">
            <v>0.42848189999999997</v>
          </cell>
          <cell r="F23">
            <v>0.42</v>
          </cell>
          <cell r="H23">
            <v>0</v>
          </cell>
          <cell r="J23">
            <v>1.69411095</v>
          </cell>
          <cell r="L23">
            <v>1.6354719</v>
          </cell>
        </row>
        <row r="25">
          <cell r="B25">
            <v>0</v>
          </cell>
          <cell r="D25">
            <v>0.05</v>
          </cell>
          <cell r="F25">
            <v>-0.04</v>
          </cell>
          <cell r="H25">
            <v>0</v>
          </cell>
          <cell r="J25">
            <v>0.24</v>
          </cell>
          <cell r="L25">
            <v>-0.04</v>
          </cell>
        </row>
        <row r="26">
          <cell r="B26">
            <v>0</v>
          </cell>
          <cell r="D26">
            <v>5.8542567599999984E-2</v>
          </cell>
          <cell r="F26">
            <v>0</v>
          </cell>
          <cell r="H26">
            <v>0</v>
          </cell>
          <cell r="J26">
            <v>0.2314627638</v>
          </cell>
          <cell r="L26">
            <v>0.72</v>
          </cell>
        </row>
      </sheetData>
      <sheetData sheetId="15">
        <row r="6">
          <cell r="B6">
            <v>135.36466877585264</v>
          </cell>
          <cell r="D6">
            <v>127.04543966</v>
          </cell>
          <cell r="F6">
            <v>116.30954737999997</v>
          </cell>
          <cell r="H6">
            <v>513.50215287964261</v>
          </cell>
          <cell r="J6">
            <v>498.09667147000005</v>
          </cell>
          <cell r="L6">
            <v>435.74535104999995</v>
          </cell>
        </row>
        <row r="8">
          <cell r="B8">
            <v>80.53</v>
          </cell>
          <cell r="D8">
            <v>75.682036210000035</v>
          </cell>
          <cell r="F8">
            <v>68.589981750000021</v>
          </cell>
          <cell r="H8">
            <v>303.95676913576392</v>
          </cell>
          <cell r="J8">
            <v>295.9670537400001</v>
          </cell>
          <cell r="L8">
            <v>259.79043516999997</v>
          </cell>
        </row>
        <row r="9">
          <cell r="B9">
            <v>11.839354157502745</v>
          </cell>
          <cell r="D9">
            <v>10.538937860000001</v>
          </cell>
          <cell r="F9">
            <v>10.406109019999999</v>
          </cell>
          <cell r="H9">
            <v>45.027915618310686</v>
          </cell>
          <cell r="J9">
            <v>41.113356540000005</v>
          </cell>
          <cell r="L9">
            <v>35.745318060000002</v>
          </cell>
        </row>
        <row r="14">
          <cell r="B14">
            <v>21.674141519410135</v>
          </cell>
          <cell r="D14">
            <v>20.70408484</v>
          </cell>
          <cell r="F14">
            <v>18.137026719999998</v>
          </cell>
          <cell r="H14">
            <v>85.19850026751422</v>
          </cell>
          <cell r="J14">
            <v>85.842185430000001</v>
          </cell>
          <cell r="L14">
            <v>73.514150769999986</v>
          </cell>
        </row>
        <row r="15">
          <cell r="B15">
            <v>9.0758390125540682</v>
          </cell>
          <cell r="D15">
            <v>9.9999657000000042</v>
          </cell>
          <cell r="F15">
            <v>8.885042369999999</v>
          </cell>
          <cell r="H15">
            <v>36.289094149005088</v>
          </cell>
          <cell r="J15">
            <v>42.297114290000003</v>
          </cell>
          <cell r="L15">
            <v>32.460793149999994</v>
          </cell>
        </row>
        <row r="16">
          <cell r="B16">
            <v>0</v>
          </cell>
          <cell r="D16">
            <v>0.324434</v>
          </cell>
          <cell r="F16">
            <v>2.6886999999999994E-2</v>
          </cell>
          <cell r="H16">
            <v>0</v>
          </cell>
          <cell r="J16">
            <v>0.91014012000000011</v>
          </cell>
          <cell r="L16">
            <v>0.249029</v>
          </cell>
        </row>
        <row r="20">
          <cell r="B20">
            <v>0.39566360070000073</v>
          </cell>
          <cell r="D20">
            <v>0.31037262000000077</v>
          </cell>
          <cell r="F20">
            <v>0.1945668600000019</v>
          </cell>
          <cell r="H20">
            <v>1.5826544028000029</v>
          </cell>
          <cell r="J20">
            <v>0.72144229000000237</v>
          </cell>
          <cell r="L20">
            <v>1.2271983200000012</v>
          </cell>
        </row>
        <row r="21">
          <cell r="B21">
            <v>2.4</v>
          </cell>
          <cell r="D21">
            <v>2.2501151100000003</v>
          </cell>
          <cell r="F21">
            <v>2.9645652500000006</v>
          </cell>
          <cell r="H21">
            <v>10.297153729</v>
          </cell>
          <cell r="J21">
            <v>9.3100461900000013</v>
          </cell>
          <cell r="L21">
            <v>10.634874060000001</v>
          </cell>
        </row>
        <row r="22">
          <cell r="B22">
            <v>0</v>
          </cell>
          <cell r="D22">
            <v>0</v>
          </cell>
          <cell r="F22">
            <v>0</v>
          </cell>
          <cell r="H22">
            <v>0</v>
          </cell>
          <cell r="J22">
            <v>0</v>
          </cell>
          <cell r="L22">
            <v>0</v>
          </cell>
        </row>
        <row r="23">
          <cell r="B23">
            <v>0</v>
          </cell>
          <cell r="D23">
            <v>0</v>
          </cell>
          <cell r="F23">
            <v>0</v>
          </cell>
          <cell r="H23">
            <v>0</v>
          </cell>
          <cell r="J23">
            <v>0</v>
          </cell>
          <cell r="L23">
            <v>0</v>
          </cell>
        </row>
        <row r="24">
          <cell r="B24">
            <v>0.26400000000000007</v>
          </cell>
          <cell r="D24">
            <v>0.21299999999999997</v>
          </cell>
          <cell r="F24">
            <v>0.32</v>
          </cell>
          <cell r="H24">
            <v>1.0560000000000003</v>
          </cell>
          <cell r="J24">
            <v>0.85199999999999998</v>
          </cell>
          <cell r="L24">
            <v>0.32</v>
          </cell>
        </row>
        <row r="25">
          <cell r="B25">
            <v>0</v>
          </cell>
          <cell r="D25">
            <v>0.27926499999999999</v>
          </cell>
          <cell r="F25">
            <v>0.14138400000000001</v>
          </cell>
          <cell r="H25">
            <v>0</v>
          </cell>
          <cell r="J25">
            <v>0.87201499999999998</v>
          </cell>
          <cell r="L25">
            <v>0.20788400000000001</v>
          </cell>
        </row>
        <row r="26">
          <cell r="B26">
            <v>1.3841666666666665</v>
          </cell>
          <cell r="D26">
            <v>1.3521367900000008</v>
          </cell>
          <cell r="F26">
            <v>1.3005850000000003</v>
          </cell>
          <cell r="H26">
            <v>5.5366666666666662</v>
          </cell>
          <cell r="J26">
            <v>5.3783167199999999</v>
          </cell>
          <cell r="L26">
            <v>5.0276630000000004</v>
          </cell>
        </row>
      </sheetData>
      <sheetData sheetId="16"/>
      <sheetData sheetId="17">
        <row r="6">
          <cell r="B6">
            <v>1.22</v>
          </cell>
          <cell r="D6">
            <v>1.08</v>
          </cell>
          <cell r="F6">
            <v>4.9000000000000004</v>
          </cell>
          <cell r="H6">
            <v>4.3</v>
          </cell>
        </row>
        <row r="8">
          <cell r="B8">
            <v>0</v>
          </cell>
          <cell r="D8">
            <v>0</v>
          </cell>
          <cell r="F8">
            <v>0</v>
          </cell>
          <cell r="H8">
            <v>0</v>
          </cell>
        </row>
        <row r="9">
          <cell r="B9">
            <v>0.03</v>
          </cell>
          <cell r="D9">
            <v>0.01</v>
          </cell>
          <cell r="F9">
            <v>0.1</v>
          </cell>
          <cell r="H9">
            <v>0.1</v>
          </cell>
        </row>
        <row r="14">
          <cell r="B14">
            <v>0.76</v>
          </cell>
          <cell r="D14">
            <v>0.49</v>
          </cell>
          <cell r="F14">
            <v>2.8</v>
          </cell>
          <cell r="H14">
            <v>1.86</v>
          </cell>
        </row>
        <row r="15">
          <cell r="B15">
            <v>0.39</v>
          </cell>
          <cell r="D15">
            <v>0.36</v>
          </cell>
          <cell r="F15">
            <v>1.5</v>
          </cell>
          <cell r="H15">
            <v>1.44</v>
          </cell>
        </row>
        <row r="16">
          <cell r="B16">
            <v>0</v>
          </cell>
          <cell r="D16">
            <v>0</v>
          </cell>
          <cell r="F16">
            <v>0</v>
          </cell>
          <cell r="H16">
            <v>0</v>
          </cell>
        </row>
        <row r="20">
          <cell r="B20">
            <v>0</v>
          </cell>
          <cell r="D20">
            <v>0</v>
          </cell>
          <cell r="F20">
            <v>0</v>
          </cell>
          <cell r="H20">
            <v>7.0000000000000007E-2</v>
          </cell>
        </row>
        <row r="21">
          <cell r="B21">
            <v>0</v>
          </cell>
          <cell r="D21">
            <v>0</v>
          </cell>
          <cell r="F21">
            <v>0</v>
          </cell>
          <cell r="H21">
            <v>0</v>
          </cell>
        </row>
        <row r="22">
          <cell r="B22">
            <v>0</v>
          </cell>
          <cell r="D22">
            <v>0</v>
          </cell>
          <cell r="F22">
            <v>0</v>
          </cell>
          <cell r="H22">
            <v>0</v>
          </cell>
        </row>
        <row r="23">
          <cell r="B23">
            <v>0</v>
          </cell>
          <cell r="D23">
            <v>0</v>
          </cell>
          <cell r="F23">
            <v>0</v>
          </cell>
          <cell r="H23">
            <v>0</v>
          </cell>
        </row>
        <row r="24">
          <cell r="B24">
            <v>0</v>
          </cell>
          <cell r="D24">
            <v>0</v>
          </cell>
          <cell r="F24">
            <v>0</v>
          </cell>
          <cell r="H24">
            <v>0</v>
          </cell>
        </row>
        <row r="25">
          <cell r="B25">
            <v>0</v>
          </cell>
          <cell r="D25">
            <v>0</v>
          </cell>
          <cell r="F25">
            <v>0</v>
          </cell>
          <cell r="H25">
            <v>0</v>
          </cell>
        </row>
        <row r="26">
          <cell r="B26">
            <v>0.04</v>
          </cell>
          <cell r="D26">
            <v>0.01</v>
          </cell>
          <cell r="F26">
            <v>0.11</v>
          </cell>
          <cell r="H26">
            <v>0.11</v>
          </cell>
        </row>
      </sheetData>
      <sheetData sheetId="18"/>
      <sheetData sheetId="19">
        <row r="6">
          <cell r="B6">
            <v>49.295939610933331</v>
          </cell>
          <cell r="D6">
            <v>173.2371347696</v>
          </cell>
        </row>
        <row r="8">
          <cell r="B8">
            <v>26.616204822166665</v>
          </cell>
          <cell r="D8">
            <v>94.676406949500006</v>
          </cell>
        </row>
        <row r="9">
          <cell r="B9">
            <v>6.3909897493499699</v>
          </cell>
          <cell r="D9">
            <v>20.262774202549984</v>
          </cell>
        </row>
        <row r="14">
          <cell r="B14">
            <v>12.347659152883338</v>
          </cell>
          <cell r="D14">
            <v>48.594233532350003</v>
          </cell>
        </row>
        <row r="15">
          <cell r="B15">
            <v>5.0682105687000139</v>
          </cell>
          <cell r="D15">
            <v>20.04540631830001</v>
          </cell>
        </row>
        <row r="16">
          <cell r="B16">
            <v>0</v>
          </cell>
          <cell r="D16">
            <v>0</v>
          </cell>
        </row>
        <row r="20">
          <cell r="B20">
            <v>0</v>
          </cell>
          <cell r="D20">
            <v>0</v>
          </cell>
        </row>
        <row r="22">
          <cell r="B22">
            <v>-6.6999999999997834E-7</v>
          </cell>
          <cell r="D22">
            <v>4.1829000000000004E-4</v>
          </cell>
        </row>
        <row r="23">
          <cell r="B23">
            <v>0.29383998803333344</v>
          </cell>
          <cell r="D23">
            <v>0.75529370430000009</v>
          </cell>
        </row>
        <row r="24">
          <cell r="B24">
            <v>0</v>
          </cell>
          <cell r="D24">
            <v>0</v>
          </cell>
        </row>
        <row r="25">
          <cell r="B25">
            <v>0</v>
          </cell>
          <cell r="D25">
            <v>0</v>
          </cell>
        </row>
        <row r="26">
          <cell r="B26">
            <v>0.25906503166666683</v>
          </cell>
          <cell r="D26">
            <v>1.0411935250000002</v>
          </cell>
        </row>
      </sheetData>
      <sheetData sheetId="20">
        <row r="6">
          <cell r="B6">
            <v>6.1723999999999997</v>
          </cell>
          <cell r="D6">
            <v>9.181325809999997</v>
          </cell>
          <cell r="F6">
            <v>5.544556477200004</v>
          </cell>
          <cell r="H6">
            <v>26.648440000000001</v>
          </cell>
          <cell r="J6">
            <v>28.736270434999998</v>
          </cell>
          <cell r="L6">
            <v>29.375594955200004</v>
          </cell>
        </row>
        <row r="8">
          <cell r="B8">
            <v>3.518268</v>
          </cell>
          <cell r="D8">
            <v>5.1443536192000021</v>
          </cell>
          <cell r="F8">
            <v>2.6657252310000001</v>
          </cell>
          <cell r="H8">
            <v>14.262341600000001</v>
          </cell>
          <cell r="J8">
            <v>15.498039676400001</v>
          </cell>
          <cell r="L8">
            <v>13.861023758400004</v>
          </cell>
        </row>
        <row r="9">
          <cell r="B9">
            <v>0.88529999999999998</v>
          </cell>
          <cell r="D9">
            <v>0.87037867020000026</v>
          </cell>
          <cell r="F9">
            <v>0.72650053320000008</v>
          </cell>
          <cell r="H9">
            <v>1.955538</v>
          </cell>
          <cell r="J9">
            <v>1.9278566658000003</v>
          </cell>
          <cell r="L9">
            <v>1.8422725983999999</v>
          </cell>
        </row>
        <row r="14">
          <cell r="B14">
            <v>0.70199999999999996</v>
          </cell>
          <cell r="D14">
            <v>0.92053450000000003</v>
          </cell>
          <cell r="F14">
            <v>0.62993769800000032</v>
          </cell>
          <cell r="H14">
            <v>2.5674999999999999</v>
          </cell>
          <cell r="J14">
            <v>2.7791763899999999</v>
          </cell>
          <cell r="L14">
            <v>2.5320975758000004</v>
          </cell>
        </row>
        <row r="15">
          <cell r="B15">
            <v>0.3321315218</v>
          </cell>
          <cell r="D15">
            <v>0.32415062979999942</v>
          </cell>
          <cell r="F15">
            <v>0.13713675299999978</v>
          </cell>
          <cell r="H15">
            <v>1.2406534217999998</v>
          </cell>
          <cell r="J15">
            <v>1.8849715241999998</v>
          </cell>
          <cell r="L15">
            <v>0.85367534719999982</v>
          </cell>
        </row>
        <row r="16">
          <cell r="B16">
            <v>0</v>
          </cell>
          <cell r="D16">
            <v>2.2892999999998831E-4</v>
          </cell>
          <cell r="F16">
            <v>-5.6159999999999951E-3</v>
          </cell>
          <cell r="H16">
            <v>0</v>
          </cell>
          <cell r="J16">
            <v>-0.11818226000000001</v>
          </cell>
          <cell r="L16">
            <v>6.1372573600000001E-2</v>
          </cell>
        </row>
        <row r="20">
          <cell r="B20">
            <v>0.11228213880000019</v>
          </cell>
          <cell r="D20">
            <v>0.11228213880000015</v>
          </cell>
          <cell r="F20">
            <v>2.3415745599999989E-2</v>
          </cell>
          <cell r="H20">
            <v>1.1663221388000002</v>
          </cell>
          <cell r="J20">
            <v>1.1662667536000002</v>
          </cell>
          <cell r="L20">
            <v>0.27375475919999998</v>
          </cell>
        </row>
        <row r="21">
          <cell r="B21">
            <v>0.19850618579999998</v>
          </cell>
          <cell r="D21">
            <v>0.19844667119999992</v>
          </cell>
          <cell r="F21">
            <v>5.4094128399999976E-2</v>
          </cell>
          <cell r="H21">
            <v>0.33864842700000003</v>
          </cell>
          <cell r="J21">
            <v>0.36948103639999985</v>
          </cell>
          <cell r="L21">
            <v>0.35883358159999995</v>
          </cell>
        </row>
        <row r="22">
          <cell r="B22">
            <v>0</v>
          </cell>
          <cell r="D22">
            <v>0</v>
          </cell>
          <cell r="F22">
            <v>0</v>
          </cell>
          <cell r="H22">
            <v>0</v>
          </cell>
          <cell r="J22">
            <v>0</v>
          </cell>
          <cell r="L22">
            <v>0</v>
          </cell>
        </row>
        <row r="23">
          <cell r="B23">
            <v>0</v>
          </cell>
          <cell r="D23">
            <v>0</v>
          </cell>
          <cell r="F23">
            <v>0</v>
          </cell>
          <cell r="H23">
            <v>0</v>
          </cell>
          <cell r="J23">
            <v>0</v>
          </cell>
          <cell r="L23">
            <v>0</v>
          </cell>
        </row>
        <row r="24">
          <cell r="B24">
            <v>0</v>
          </cell>
          <cell r="D24">
            <v>0</v>
          </cell>
          <cell r="F24">
            <v>0</v>
          </cell>
          <cell r="H24">
            <v>0</v>
          </cell>
          <cell r="J24">
            <v>0</v>
          </cell>
          <cell r="L24">
            <v>0</v>
          </cell>
        </row>
        <row r="25">
          <cell r="F25">
            <v>0</v>
          </cell>
          <cell r="L25">
            <v>0</v>
          </cell>
        </row>
        <row r="26">
          <cell r="B26">
            <v>2.86E-2</v>
          </cell>
          <cell r="D26">
            <v>2.8143440000000006E-2</v>
          </cell>
          <cell r="F26">
            <v>3.7239020000000012E-2</v>
          </cell>
          <cell r="H26">
            <v>0.11310000000000001</v>
          </cell>
          <cell r="J26">
            <v>0.11002654000000001</v>
          </cell>
          <cell r="L26">
            <v>0.12095720000000001</v>
          </cell>
        </row>
      </sheetData>
      <sheetData sheetId="2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Qtr Wise-P&amp;L"/>
      <sheetName val="Qtr-EBITA"/>
      <sheetName val="New Con-%"/>
      <sheetName val="Sales &amp; EBIDTA"/>
      <sheetName val="Elgi"/>
      <sheetName val="Pattons"/>
      <sheetName val="Elgi-USA"/>
      <sheetName val="USA-Cons"/>
      <sheetName val="Brazil"/>
      <sheetName val="Elgi-Italy"/>
      <sheetName val="Gulf"/>
      <sheetName val="Indonesia"/>
      <sheetName val="China"/>
      <sheetName val="Australia"/>
      <sheetName val="ATS"/>
      <sheetName val="Sauer"/>
      <sheetName val="Ergo"/>
      <sheetName val="Sheet1"/>
      <sheetName val="Belair"/>
      <sheetName val="Elgi Sauer"/>
      <sheetName val="Sheet2"/>
    </sheetNames>
    <sheetDataSet>
      <sheetData sheetId="0"/>
      <sheetData sheetId="1"/>
      <sheetData sheetId="2">
        <row r="9">
          <cell r="Y9">
            <v>95.233434092592603</v>
          </cell>
          <cell r="Z9">
            <v>94.421950379999998</v>
          </cell>
          <cell r="AA9">
            <v>297.32682327999999</v>
          </cell>
          <cell r="AC9">
            <v>368.35064896311235</v>
          </cell>
          <cell r="AD9">
            <v>87.016000000000005</v>
          </cell>
          <cell r="AE9">
            <v>307.37366572000002</v>
          </cell>
        </row>
        <row r="11">
          <cell r="AA11">
            <v>26.4</v>
          </cell>
          <cell r="AE11">
            <v>3.2</v>
          </cell>
        </row>
        <row r="44">
          <cell r="G44">
            <v>49.5</v>
          </cell>
          <cell r="K44">
            <v>49.5</v>
          </cell>
          <cell r="M44">
            <v>49.5</v>
          </cell>
        </row>
        <row r="62">
          <cell r="AA62">
            <v>3.2941789999999999E-2</v>
          </cell>
          <cell r="AC62">
            <v>6.94988194</v>
          </cell>
        </row>
        <row r="65">
          <cell r="Z65">
            <v>0.43</v>
          </cell>
          <cell r="AA65">
            <v>1.65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685"/>
  <sheetViews>
    <sheetView tabSelected="1" workbookViewId="0">
      <pane xSplit="5" ySplit="2" topLeftCell="F160" activePane="bottomRight" state="frozen"/>
      <selection pane="topRight" activeCell="F1" sqref="F1"/>
      <selection pane="bottomLeft" activeCell="A3" sqref="A3"/>
      <selection pane="bottomRight" activeCell="F160" sqref="F160"/>
    </sheetView>
  </sheetViews>
  <sheetFormatPr defaultRowHeight="15"/>
  <cols>
    <col min="1" max="1" width="17.7109375" bestFit="1" customWidth="1"/>
    <col min="2" max="2" width="40.28515625" bestFit="1" customWidth="1"/>
    <col min="3" max="3" width="8.85546875" bestFit="1" customWidth="1"/>
    <col min="4" max="4" width="11" bestFit="1" customWidth="1"/>
    <col min="5" max="5" width="9.7109375" bestFit="1" customWidth="1"/>
    <col min="6" max="6" width="14.5703125" bestFit="1" customWidth="1"/>
    <col min="7" max="7" width="14" bestFit="1" customWidth="1"/>
    <col min="8" max="8" width="13.42578125" hidden="1" customWidth="1"/>
    <col min="9" max="9" width="13.7109375" bestFit="1" customWidth="1"/>
    <col min="10" max="10" width="12" bestFit="1" customWidth="1"/>
    <col min="11" max="12" width="12.7109375" bestFit="1" customWidth="1"/>
    <col min="13" max="13" width="12" hidden="1" customWidth="1"/>
    <col min="14" max="15" width="12.7109375" hidden="1" customWidth="1"/>
    <col min="16" max="16" width="9.5703125" bestFit="1" customWidth="1"/>
    <col min="17" max="17" width="7.7109375" bestFit="1" customWidth="1"/>
    <col min="18" max="18" width="17" bestFit="1" customWidth="1"/>
    <col min="19" max="19" width="11.28515625" bestFit="1" customWidth="1"/>
    <col min="20" max="20" width="14.7109375" bestFit="1" customWidth="1"/>
  </cols>
  <sheetData>
    <row r="1" spans="1:20" ht="25.5" customHeight="1"/>
    <row r="2" spans="1:20">
      <c r="A2" s="4" t="s">
        <v>0</v>
      </c>
      <c r="B2" s="4" t="s">
        <v>27</v>
      </c>
      <c r="C2" s="4" t="s">
        <v>28</v>
      </c>
      <c r="D2" s="4" t="s">
        <v>1</v>
      </c>
      <c r="E2" s="4" t="s">
        <v>2</v>
      </c>
      <c r="F2" s="5" t="s">
        <v>8</v>
      </c>
      <c r="G2" s="5" t="s">
        <v>6</v>
      </c>
      <c r="H2" s="4" t="s">
        <v>9</v>
      </c>
      <c r="I2" s="5" t="s">
        <v>7</v>
      </c>
      <c r="J2" s="5" t="s">
        <v>12</v>
      </c>
      <c r="K2" s="5" t="s">
        <v>10</v>
      </c>
      <c r="L2" s="5" t="s">
        <v>11</v>
      </c>
      <c r="M2" s="4" t="s">
        <v>5</v>
      </c>
      <c r="N2" s="4" t="s">
        <v>4</v>
      </c>
      <c r="O2" s="4" t="s">
        <v>3</v>
      </c>
      <c r="P2" s="4" t="s">
        <v>29</v>
      </c>
      <c r="Q2" s="4" t="s">
        <v>30</v>
      </c>
      <c r="R2" s="4" t="s">
        <v>47</v>
      </c>
      <c r="S2" s="4" t="s">
        <v>48</v>
      </c>
      <c r="T2" s="4" t="s">
        <v>51</v>
      </c>
    </row>
    <row r="3" spans="1:20">
      <c r="A3" s="1" t="s">
        <v>31</v>
      </c>
      <c r="B3" s="8" t="s">
        <v>26</v>
      </c>
      <c r="C3" s="1" t="s">
        <v>15</v>
      </c>
      <c r="D3" s="1">
        <v>1</v>
      </c>
      <c r="E3" s="1" t="s">
        <v>16</v>
      </c>
      <c r="F3" s="1">
        <f>[1]Elgi!$B$6</f>
        <v>811.84010075925926</v>
      </c>
      <c r="G3" s="1">
        <f>[1]Elgi!$D$6</f>
        <v>676.29000000000042</v>
      </c>
      <c r="H3" s="1">
        <v>0</v>
      </c>
      <c r="I3" s="1">
        <f>[1]Elgi!$F$6</f>
        <v>664.00000000000011</v>
      </c>
      <c r="J3" s="1">
        <f>[1]Elgi!$H$6</f>
        <v>3024.2373156297795</v>
      </c>
      <c r="K3" s="1">
        <f>[1]Elgi!$J$6</f>
        <v>2715.5100000000007</v>
      </c>
      <c r="L3" s="1">
        <f>[1]Elgi!$L$6</f>
        <v>2506.4348009999994</v>
      </c>
      <c r="M3" s="1">
        <v>0</v>
      </c>
      <c r="N3" s="1">
        <v>0</v>
      </c>
      <c r="O3" s="1">
        <v>0</v>
      </c>
      <c r="P3" s="1">
        <v>4</v>
      </c>
      <c r="Q3" s="2">
        <v>2016</v>
      </c>
      <c r="R3" s="2" t="s">
        <v>49</v>
      </c>
      <c r="S3" s="2">
        <v>1</v>
      </c>
      <c r="T3" s="2">
        <v>1</v>
      </c>
    </row>
    <row r="4" spans="1:20">
      <c r="A4" s="1" t="s">
        <v>31</v>
      </c>
      <c r="B4" s="8" t="s">
        <v>23</v>
      </c>
      <c r="C4" s="1" t="s">
        <v>15</v>
      </c>
      <c r="D4" s="1">
        <v>1</v>
      </c>
      <c r="E4" s="1" t="s">
        <v>16</v>
      </c>
      <c r="F4" s="1">
        <f>[1]Elgi!$B$8</f>
        <v>464.36340873282478</v>
      </c>
      <c r="G4" s="1">
        <f>[1]Elgi!$D$8</f>
        <v>376.7</v>
      </c>
      <c r="H4" s="1"/>
      <c r="I4" s="1">
        <f>[1]Elgi!$F$8</f>
        <v>367.70000000000005</v>
      </c>
      <c r="J4" s="1">
        <f>[1]Elgi!$H$8</f>
        <v>1685.7329322250023</v>
      </c>
      <c r="K4" s="1">
        <f>[1]Elgi!$J$8</f>
        <v>1458.7</v>
      </c>
      <c r="L4" s="1">
        <f>[1]Elgi!$L$8</f>
        <v>1389.3466900999999</v>
      </c>
      <c r="M4" s="1"/>
      <c r="N4" s="1"/>
      <c r="O4" s="1"/>
      <c r="P4" s="1">
        <v>4</v>
      </c>
      <c r="Q4" s="2">
        <v>2016</v>
      </c>
      <c r="R4" s="2" t="s">
        <v>49</v>
      </c>
      <c r="S4" s="2">
        <v>1</v>
      </c>
      <c r="T4" s="2">
        <v>2</v>
      </c>
    </row>
    <row r="5" spans="1:20">
      <c r="A5" s="1" t="s">
        <v>31</v>
      </c>
      <c r="B5" s="8" t="s">
        <v>25</v>
      </c>
      <c r="C5" s="1" t="s">
        <v>15</v>
      </c>
      <c r="D5" s="1">
        <v>1</v>
      </c>
      <c r="E5" s="1" t="s">
        <v>16</v>
      </c>
      <c r="F5" s="1">
        <f>[1]Elgi!$B$9</f>
        <v>65.662641450308399</v>
      </c>
      <c r="G5" s="1">
        <f>[1]Elgi!$D$9</f>
        <v>61.199999999999989</v>
      </c>
      <c r="H5" s="1"/>
      <c r="I5" s="1">
        <f>[1]Elgi!$F$9</f>
        <v>57.400000000000034</v>
      </c>
      <c r="J5" s="1">
        <f>[1]Elgi!$H$9</f>
        <v>248.72326612680649</v>
      </c>
      <c r="K5" s="1">
        <f>[1]Elgi!$J$9</f>
        <v>232.59999999999968</v>
      </c>
      <c r="L5" s="1">
        <f>[1]Elgi!$L$9</f>
        <v>213.22378039999967</v>
      </c>
      <c r="M5" s="1"/>
      <c r="N5" s="1"/>
      <c r="O5" s="1"/>
      <c r="P5" s="1">
        <v>4</v>
      </c>
      <c r="Q5" s="2">
        <v>2016</v>
      </c>
      <c r="R5" s="2" t="s">
        <v>49</v>
      </c>
      <c r="S5" s="2">
        <v>1</v>
      </c>
      <c r="T5" s="2">
        <v>3</v>
      </c>
    </row>
    <row r="6" spans="1:20">
      <c r="A6" s="1" t="s">
        <v>31</v>
      </c>
      <c r="B6" s="8" t="s">
        <v>18</v>
      </c>
      <c r="C6" s="1" t="s">
        <v>15</v>
      </c>
      <c r="D6" s="1">
        <v>1</v>
      </c>
      <c r="E6" s="1" t="s">
        <v>16</v>
      </c>
      <c r="F6" s="1">
        <f>[1]Elgi!$B$14</f>
        <v>110.67752493814233</v>
      </c>
      <c r="G6" s="1">
        <f>[1]Elgi!$D$14</f>
        <v>103.66</v>
      </c>
      <c r="H6" s="1"/>
      <c r="I6" s="1">
        <f>[1]Elgi!$F$14</f>
        <v>94.95</v>
      </c>
      <c r="J6" s="1">
        <f>[1]Elgi!$H$14</f>
        <v>442.71009975256931</v>
      </c>
      <c r="K6" s="1">
        <f>[1]Elgi!$J$14</f>
        <v>419.56</v>
      </c>
      <c r="L6" s="1">
        <f>[1]Elgi!$L$14</f>
        <v>383.84673499999997</v>
      </c>
      <c r="M6" s="1"/>
      <c r="N6" s="1"/>
      <c r="O6" s="1"/>
      <c r="P6" s="1">
        <v>4</v>
      </c>
      <c r="Q6" s="2">
        <v>2016</v>
      </c>
      <c r="R6" s="2" t="s">
        <v>49</v>
      </c>
      <c r="S6" s="2">
        <v>1</v>
      </c>
      <c r="T6" s="2">
        <v>4</v>
      </c>
    </row>
    <row r="7" spans="1:20">
      <c r="A7" s="1" t="s">
        <v>31</v>
      </c>
      <c r="B7" s="8" t="s">
        <v>20</v>
      </c>
      <c r="C7" s="1" t="s">
        <v>15</v>
      </c>
      <c r="D7" s="1">
        <v>1</v>
      </c>
      <c r="E7" s="1" t="s">
        <v>16</v>
      </c>
      <c r="F7" s="1">
        <f>[1]Elgi!$B$15</f>
        <v>62.831709599117509</v>
      </c>
      <c r="G7" s="1">
        <f>[1]Elgi!$D$15</f>
        <v>59.139366600000002</v>
      </c>
      <c r="H7" s="1"/>
      <c r="I7" s="1">
        <f>[1]Elgi!$F$15</f>
        <v>46.166470300000007</v>
      </c>
      <c r="J7" s="1">
        <f>[1]Elgi!$H$15</f>
        <v>252.45866813511111</v>
      </c>
      <c r="K7" s="1">
        <f>[1]Elgi!$J$15</f>
        <v>252.07628030000006</v>
      </c>
      <c r="L7" s="1">
        <f>[1]Elgi!$L$15</f>
        <v>179.0256708</v>
      </c>
      <c r="M7" s="1"/>
      <c r="N7" s="1"/>
      <c r="O7" s="3"/>
      <c r="P7" s="1">
        <v>4</v>
      </c>
      <c r="Q7" s="2">
        <v>2016</v>
      </c>
      <c r="R7" s="2" t="s">
        <v>49</v>
      </c>
      <c r="S7" s="2">
        <v>1</v>
      </c>
      <c r="T7" s="2">
        <v>5</v>
      </c>
    </row>
    <row r="8" spans="1:20">
      <c r="A8" s="1" t="s">
        <v>31</v>
      </c>
      <c r="B8" s="8" t="s">
        <v>32</v>
      </c>
      <c r="C8" s="1" t="s">
        <v>15</v>
      </c>
      <c r="D8" s="1">
        <v>1</v>
      </c>
      <c r="E8" s="1" t="s">
        <v>16</v>
      </c>
      <c r="F8" s="1">
        <f>[1]Elgi!$B$16</f>
        <v>0</v>
      </c>
      <c r="G8" s="1">
        <f>[1]Elgi!$D$16</f>
        <v>-5.9999999999999982</v>
      </c>
      <c r="H8" s="1"/>
      <c r="I8" s="1">
        <f>[1]Elgi!$F$16</f>
        <v>-0.10000000000000053</v>
      </c>
      <c r="J8" s="1">
        <f>[1]Elgi!$H$16</f>
        <v>0</v>
      </c>
      <c r="K8" s="1">
        <f>[1]Elgi!$J$16</f>
        <v>1.6500000000000008</v>
      </c>
      <c r="L8" s="1">
        <f>[1]Elgi!$L$16</f>
        <v>-0.12412750000000017</v>
      </c>
      <c r="M8" s="1"/>
      <c r="N8" s="1"/>
      <c r="O8" s="1"/>
      <c r="P8" s="1">
        <v>4</v>
      </c>
      <c r="Q8" s="2">
        <v>2016</v>
      </c>
      <c r="R8" s="2" t="s">
        <v>49</v>
      </c>
      <c r="S8" s="2">
        <v>1</v>
      </c>
      <c r="T8" s="2">
        <v>6</v>
      </c>
    </row>
    <row r="9" spans="1:20">
      <c r="A9" s="1" t="s">
        <v>31</v>
      </c>
      <c r="B9" s="7" t="s">
        <v>24</v>
      </c>
      <c r="C9" s="1" t="s">
        <v>15</v>
      </c>
      <c r="D9" s="1">
        <v>1</v>
      </c>
      <c r="E9" s="1" t="s">
        <v>16</v>
      </c>
      <c r="F9" s="1">
        <f>[1]Elgi!$B$20</f>
        <v>0</v>
      </c>
      <c r="G9" s="1">
        <f>[1]Elgi!$D$20</f>
        <v>5.8000000000000007</v>
      </c>
      <c r="H9" s="1"/>
      <c r="I9" s="1">
        <f>[1]Elgi!$F$20</f>
        <v>53</v>
      </c>
      <c r="J9" s="1">
        <f>[1]Elgi!$H$20</f>
        <v>0</v>
      </c>
      <c r="K9" s="1">
        <f>[1]Elgi!$J$20</f>
        <v>70.899999999999991</v>
      </c>
      <c r="L9" s="1">
        <f>[1]Elgi!$L$20</f>
        <v>69.236672800000008</v>
      </c>
      <c r="M9" s="1"/>
      <c r="N9" s="1"/>
      <c r="O9" s="1"/>
      <c r="P9" s="1">
        <v>4</v>
      </c>
      <c r="Q9" s="2">
        <v>2016</v>
      </c>
      <c r="R9" s="2" t="s">
        <v>49</v>
      </c>
      <c r="S9" s="2">
        <v>1</v>
      </c>
      <c r="T9" s="2">
        <v>7</v>
      </c>
    </row>
    <row r="10" spans="1:20">
      <c r="A10" s="1" t="s">
        <v>31</v>
      </c>
      <c r="B10" s="7" t="s">
        <v>22</v>
      </c>
      <c r="C10" s="1" t="s">
        <v>15</v>
      </c>
      <c r="D10" s="1">
        <v>1</v>
      </c>
      <c r="E10" s="1" t="s">
        <v>16</v>
      </c>
      <c r="F10" s="1">
        <f>[1]Elgi!$B$21</f>
        <v>0</v>
      </c>
      <c r="G10" s="1">
        <f>[1]Elgi!$D$21</f>
        <v>2.8</v>
      </c>
      <c r="H10" s="1"/>
      <c r="I10" s="1">
        <f>[1]Elgi!$F$21</f>
        <v>1.3000000000000003</v>
      </c>
      <c r="J10" s="1">
        <f>[1]Elgi!$H$21</f>
        <v>0</v>
      </c>
      <c r="K10" s="1">
        <f>[1]Elgi!$J$21</f>
        <v>11.1</v>
      </c>
      <c r="L10" s="1">
        <f>[1]Elgi!$L$21</f>
        <v>6.8526409000000017</v>
      </c>
      <c r="M10" s="1"/>
      <c r="N10" s="1"/>
      <c r="O10" s="1"/>
      <c r="P10" s="1">
        <v>4</v>
      </c>
      <c r="Q10" s="2">
        <v>2016</v>
      </c>
      <c r="R10" s="2" t="s">
        <v>49</v>
      </c>
      <c r="S10" s="2">
        <v>1</v>
      </c>
      <c r="T10" s="2">
        <v>8</v>
      </c>
    </row>
    <row r="11" spans="1:20">
      <c r="A11" s="1" t="s">
        <v>31</v>
      </c>
      <c r="B11" s="7" t="s">
        <v>19</v>
      </c>
      <c r="C11" s="1" t="s">
        <v>15</v>
      </c>
      <c r="D11" s="1">
        <v>1</v>
      </c>
      <c r="E11" s="1" t="s">
        <v>16</v>
      </c>
      <c r="F11" s="1">
        <f>[1]Elgi!$B$22</f>
        <v>0</v>
      </c>
      <c r="G11" s="1">
        <f>[1]Elgi!$D$22</f>
        <v>0</v>
      </c>
      <c r="H11" s="1"/>
      <c r="I11" s="1">
        <f>[1]Elgi!$F$22</f>
        <v>0</v>
      </c>
      <c r="J11" s="1">
        <f>[1]Elgi!$H$22</f>
        <v>0</v>
      </c>
      <c r="K11" s="1">
        <f>[1]Elgi!$J$22</f>
        <v>0</v>
      </c>
      <c r="L11" s="1">
        <f>[1]Elgi!$L$22</f>
        <v>0</v>
      </c>
      <c r="M11" s="1"/>
      <c r="N11" s="1"/>
      <c r="O11" s="1"/>
      <c r="P11" s="1">
        <v>4</v>
      </c>
      <c r="Q11" s="2">
        <v>2016</v>
      </c>
      <c r="R11" s="2" t="s">
        <v>49</v>
      </c>
      <c r="S11" s="2">
        <v>1</v>
      </c>
      <c r="T11" s="2">
        <v>9</v>
      </c>
    </row>
    <row r="12" spans="1:20">
      <c r="A12" s="1" t="s">
        <v>31</v>
      </c>
      <c r="B12" s="7" t="s">
        <v>21</v>
      </c>
      <c r="C12" s="1" t="s">
        <v>15</v>
      </c>
      <c r="D12" s="1">
        <v>1</v>
      </c>
      <c r="E12" s="1" t="s">
        <v>16</v>
      </c>
      <c r="F12" s="1">
        <f>[1]Elgi!$B$23</f>
        <v>0</v>
      </c>
      <c r="G12" s="1">
        <f>[1]Elgi!$D$23</f>
        <v>0.8</v>
      </c>
      <c r="H12" s="1"/>
      <c r="I12" s="1">
        <f>[1]Elgi!$F$23</f>
        <v>3.6</v>
      </c>
      <c r="J12" s="1">
        <f>[1]Elgi!$H$23</f>
        <v>0</v>
      </c>
      <c r="K12" s="1">
        <f>[1]Elgi!$J$23</f>
        <v>3.8</v>
      </c>
      <c r="L12" s="1">
        <f>[1]Elgi!$L$23</f>
        <v>13.8</v>
      </c>
      <c r="M12" s="1"/>
      <c r="N12" s="1"/>
      <c r="O12" s="1"/>
      <c r="P12" s="1">
        <v>4</v>
      </c>
      <c r="Q12" s="2">
        <v>2016</v>
      </c>
      <c r="R12" s="2" t="s">
        <v>49</v>
      </c>
      <c r="S12" s="2">
        <v>1</v>
      </c>
      <c r="T12" s="2">
        <v>10</v>
      </c>
    </row>
    <row r="13" spans="1:20">
      <c r="A13" s="1" t="s">
        <v>31</v>
      </c>
      <c r="B13" s="7" t="s">
        <v>17</v>
      </c>
      <c r="C13" s="1" t="s">
        <v>15</v>
      </c>
      <c r="D13" s="1">
        <v>1</v>
      </c>
      <c r="E13" s="1" t="s">
        <v>16</v>
      </c>
      <c r="F13" s="1">
        <f>[1]Elgi!$B$24</f>
        <v>0</v>
      </c>
      <c r="G13" s="1">
        <f>[1]Elgi!$D$24</f>
        <v>1.5</v>
      </c>
      <c r="H13" s="1"/>
      <c r="I13" s="1">
        <f>[1]Elgi!$F$24</f>
        <v>4.3</v>
      </c>
      <c r="J13" s="1">
        <f>[1]Elgi!$H$24</f>
        <v>0</v>
      </c>
      <c r="K13" s="1">
        <f>[1]Elgi!$J$24</f>
        <v>11.7</v>
      </c>
      <c r="L13" s="1">
        <f>[1]Elgi!$L$24</f>
        <v>11.517652</v>
      </c>
      <c r="M13" s="1"/>
      <c r="N13" s="1"/>
      <c r="O13" s="1"/>
      <c r="P13" s="1">
        <v>4</v>
      </c>
      <c r="Q13" s="2">
        <v>2016</v>
      </c>
      <c r="R13" s="2" t="s">
        <v>49</v>
      </c>
      <c r="S13" s="2">
        <v>1</v>
      </c>
      <c r="T13" s="2">
        <v>11</v>
      </c>
    </row>
    <row r="14" spans="1:20">
      <c r="A14" s="1" t="s">
        <v>31</v>
      </c>
      <c r="B14" s="7" t="s">
        <v>33</v>
      </c>
      <c r="C14" s="1" t="s">
        <v>15</v>
      </c>
      <c r="D14" s="1">
        <v>1</v>
      </c>
      <c r="E14" s="1" t="s">
        <v>16</v>
      </c>
      <c r="F14" s="1">
        <f>[1]Elgi!$B$25</f>
        <v>0</v>
      </c>
      <c r="G14" s="1">
        <f>[1]Elgi!$D$25</f>
        <v>7.1999999999999993</v>
      </c>
      <c r="H14" s="1"/>
      <c r="I14" s="1">
        <f>[1]Elgi!$F$25</f>
        <v>6.4</v>
      </c>
      <c r="J14" s="1">
        <f>[1]Elgi!$H$25</f>
        <v>0</v>
      </c>
      <c r="K14" s="1">
        <f>[1]Elgi!$J$25</f>
        <v>8.6499999999999986</v>
      </c>
      <c r="L14" s="1">
        <f>[1]Elgi!$L$25</f>
        <v>7.4</v>
      </c>
      <c r="M14" s="1"/>
      <c r="N14" s="1"/>
      <c r="O14" s="1"/>
      <c r="P14" s="1">
        <v>4</v>
      </c>
      <c r="Q14" s="2">
        <v>2016</v>
      </c>
      <c r="R14" s="2" t="s">
        <v>49</v>
      </c>
      <c r="S14" s="2">
        <v>1</v>
      </c>
      <c r="T14" s="2">
        <v>12</v>
      </c>
    </row>
    <row r="15" spans="1:20">
      <c r="A15" s="1" t="s">
        <v>31</v>
      </c>
      <c r="B15" s="7" t="s">
        <v>14</v>
      </c>
      <c r="C15" s="1" t="s">
        <v>15</v>
      </c>
      <c r="D15" s="1">
        <v>1</v>
      </c>
      <c r="E15" s="1" t="s">
        <v>16</v>
      </c>
      <c r="F15" s="1">
        <f>[1]Elgi!$B$26</f>
        <v>29.9</v>
      </c>
      <c r="G15" s="1">
        <f>[1]Elgi!$D$26</f>
        <v>29.9</v>
      </c>
      <c r="H15" s="1"/>
      <c r="I15" s="1">
        <f>[1]Elgi!$F$26</f>
        <v>29.4</v>
      </c>
      <c r="J15" s="1">
        <f>[1]Elgi!$H$26</f>
        <v>117.1</v>
      </c>
      <c r="K15" s="1">
        <f>[1]Elgi!$J$26</f>
        <v>117.1</v>
      </c>
      <c r="L15" s="1">
        <f>[1]Elgi!$L$26</f>
        <v>113.90647309999999</v>
      </c>
      <c r="M15" s="1"/>
      <c r="N15" s="1"/>
      <c r="O15" s="1"/>
      <c r="P15" s="1">
        <v>4</v>
      </c>
      <c r="Q15" s="2">
        <v>2016</v>
      </c>
      <c r="R15" s="2" t="s">
        <v>49</v>
      </c>
      <c r="S15" s="2">
        <v>1</v>
      </c>
      <c r="T15" s="2">
        <v>13</v>
      </c>
    </row>
    <row r="16" spans="1:20">
      <c r="A16" s="1" t="s">
        <v>35</v>
      </c>
      <c r="B16" s="1" t="s">
        <v>26</v>
      </c>
      <c r="C16" s="1" t="s">
        <v>15</v>
      </c>
      <c r="D16" s="1">
        <v>1</v>
      </c>
      <c r="E16" s="1" t="s">
        <v>16</v>
      </c>
      <c r="F16" s="1">
        <f>[1]Pattons!$B$6</f>
        <v>192.4898095756852</v>
      </c>
      <c r="G16" s="1">
        <f>[1]Pattons!$D$6</f>
        <v>126.73975898039998</v>
      </c>
      <c r="H16" s="1"/>
      <c r="I16" s="1">
        <f>[1]Pattons!$F$6</f>
        <v>168.77497788191658</v>
      </c>
      <c r="J16" s="1">
        <f>[1]Pattons!$H$6</f>
        <v>693.23446701789806</v>
      </c>
      <c r="K16" s="1">
        <f>[1]Pattons!$J$6</f>
        <v>643.95487190400002</v>
      </c>
      <c r="L16" s="1">
        <f>[1]Pattons!$L$6</f>
        <v>608.41759860374998</v>
      </c>
      <c r="M16" s="1"/>
      <c r="N16" s="1"/>
      <c r="O16" s="1"/>
      <c r="P16" s="1">
        <v>4</v>
      </c>
      <c r="Q16" s="2">
        <v>2016</v>
      </c>
      <c r="R16" s="2" t="s">
        <v>50</v>
      </c>
      <c r="S16" s="2">
        <v>2</v>
      </c>
      <c r="T16" s="2">
        <v>1</v>
      </c>
    </row>
    <row r="17" spans="1:20">
      <c r="A17" s="1" t="s">
        <v>35</v>
      </c>
      <c r="B17" s="1" t="s">
        <v>23</v>
      </c>
      <c r="C17" s="1" t="s">
        <v>15</v>
      </c>
      <c r="D17" s="1">
        <v>1</v>
      </c>
      <c r="E17" s="1" t="s">
        <v>16</v>
      </c>
      <c r="F17" s="1">
        <f>[1]Pattons!$B$8</f>
        <v>119.79118522637143</v>
      </c>
      <c r="G17" s="1">
        <f>[1]Pattons!$D$8</f>
        <v>79.702723029899914</v>
      </c>
      <c r="H17" s="1"/>
      <c r="I17" s="1">
        <f>[1]Pattons!$F$8</f>
        <v>106.92792419183348</v>
      </c>
      <c r="J17" s="1">
        <f>[1]Pattons!$H$8</f>
        <v>430.11246511702552</v>
      </c>
      <c r="K17" s="1">
        <f>[1]Pattons!$J$8</f>
        <v>416.68441009919997</v>
      </c>
      <c r="L17" s="1">
        <f>[1]Pattons!$L$8</f>
        <v>382.75360529250014</v>
      </c>
      <c r="M17" s="1"/>
      <c r="N17" s="1"/>
      <c r="O17" s="1"/>
      <c r="P17" s="1">
        <v>4</v>
      </c>
      <c r="Q17" s="2">
        <v>2016</v>
      </c>
      <c r="R17" s="2" t="s">
        <v>50</v>
      </c>
      <c r="S17" s="2">
        <v>2</v>
      </c>
      <c r="T17" s="2">
        <v>2</v>
      </c>
    </row>
    <row r="18" spans="1:20">
      <c r="A18" s="1" t="s">
        <v>35</v>
      </c>
      <c r="B18" s="1" t="s">
        <v>25</v>
      </c>
      <c r="C18" s="1" t="s">
        <v>15</v>
      </c>
      <c r="D18" s="1">
        <v>1</v>
      </c>
      <c r="E18" s="1" t="s">
        <v>16</v>
      </c>
      <c r="F18" s="1">
        <f>[1]Pattons!$B$9</f>
        <v>5.818149433431917</v>
      </c>
      <c r="G18" s="1">
        <f>[1]Pattons!$D$9</f>
        <v>1.2273597354000003</v>
      </c>
      <c r="H18" s="1"/>
      <c r="I18" s="1">
        <f>[1]Pattons!$F$9</f>
        <v>2.6703671599999979</v>
      </c>
      <c r="J18" s="1">
        <f>[1]Pattons!$H$9</f>
        <v>20.606348855149065</v>
      </c>
      <c r="K18" s="1">
        <f>[1]Pattons!$J$9</f>
        <v>8.5176842132000008</v>
      </c>
      <c r="L18" s="1">
        <f>[1]Pattons!$L$9</f>
        <v>11.355140842499999</v>
      </c>
      <c r="M18" s="1"/>
      <c r="N18" s="1"/>
      <c r="O18" s="1"/>
      <c r="P18" s="1">
        <v>4</v>
      </c>
      <c r="Q18" s="2">
        <v>2016</v>
      </c>
      <c r="R18" s="2" t="s">
        <v>50</v>
      </c>
      <c r="S18" s="2">
        <v>2</v>
      </c>
      <c r="T18" s="2">
        <v>3</v>
      </c>
    </row>
    <row r="19" spans="1:20">
      <c r="A19" s="1" t="s">
        <v>35</v>
      </c>
      <c r="B19" s="1" t="s">
        <v>18</v>
      </c>
      <c r="C19" s="1" t="s">
        <v>15</v>
      </c>
      <c r="D19" s="1">
        <v>1</v>
      </c>
      <c r="E19" s="1" t="s">
        <v>16</v>
      </c>
      <c r="F19" s="1">
        <f>[1]Pattons!$B$14</f>
        <v>35.127844451867169</v>
      </c>
      <c r="G19" s="1">
        <f>[1]Pattons!$D$14</f>
        <v>33.226477189900066</v>
      </c>
      <c r="H19" s="1"/>
      <c r="I19" s="1">
        <f>[1]Pattons!$F$14</f>
        <v>35.823764095083362</v>
      </c>
      <c r="J19" s="1">
        <f>[1]Pattons!$H$14</f>
        <v>146.5989937697517</v>
      </c>
      <c r="K19" s="1">
        <f>[1]Pattons!$J$14</f>
        <v>133.53993570790004</v>
      </c>
      <c r="L19" s="1">
        <f>[1]Pattons!$L$14</f>
        <v>139.04932630875001</v>
      </c>
      <c r="M19" s="1"/>
      <c r="N19" s="1"/>
      <c r="O19" s="1"/>
      <c r="P19" s="1">
        <v>4</v>
      </c>
      <c r="Q19" s="2">
        <v>2016</v>
      </c>
      <c r="R19" s="2" t="s">
        <v>50</v>
      </c>
      <c r="S19" s="2">
        <v>2</v>
      </c>
      <c r="T19" s="2">
        <v>4</v>
      </c>
    </row>
    <row r="20" spans="1:20">
      <c r="A20" s="1" t="s">
        <v>35</v>
      </c>
      <c r="B20" s="1" t="s">
        <v>20</v>
      </c>
      <c r="C20" s="1" t="s">
        <v>15</v>
      </c>
      <c r="D20" s="1">
        <v>1</v>
      </c>
      <c r="E20" s="1" t="s">
        <v>16</v>
      </c>
      <c r="F20" s="1">
        <f>[1]Pattons!$B$15</f>
        <v>15.81720360895039</v>
      </c>
      <c r="G20" s="1">
        <f>[1]Pattons!$D$15</f>
        <v>13.812498460700056</v>
      </c>
      <c r="H20" s="1"/>
      <c r="I20" s="1">
        <f>[1]Pattons!$F$15</f>
        <v>17.255073612416595</v>
      </c>
      <c r="J20" s="1">
        <f>[1]Pattons!$H$15</f>
        <v>63.644016563426561</v>
      </c>
      <c r="K20" s="1">
        <f>[1]Pattons!$J$15</f>
        <v>55.729034622200025</v>
      </c>
      <c r="L20" s="1">
        <f>[1]Pattons!$L$15</f>
        <v>62.57213824874993</v>
      </c>
      <c r="M20" s="1"/>
      <c r="N20" s="1"/>
      <c r="O20" s="1"/>
      <c r="P20" s="1">
        <v>4</v>
      </c>
      <c r="Q20" s="2">
        <v>2016</v>
      </c>
      <c r="R20" s="2" t="s">
        <v>50</v>
      </c>
      <c r="S20" s="2">
        <v>2</v>
      </c>
      <c r="T20" s="2">
        <v>5</v>
      </c>
    </row>
    <row r="21" spans="1:20">
      <c r="A21" s="1" t="s">
        <v>35</v>
      </c>
      <c r="B21" s="1" t="s">
        <v>32</v>
      </c>
      <c r="C21" s="1" t="s">
        <v>15</v>
      </c>
      <c r="D21" s="1">
        <v>1</v>
      </c>
      <c r="E21" s="1" t="s">
        <v>16</v>
      </c>
      <c r="F21" s="1">
        <f>[1]Pattons!$B$16</f>
        <v>0</v>
      </c>
      <c r="G21" s="1">
        <f>[1]Pattons!$D$16</f>
        <v>0</v>
      </c>
      <c r="H21" s="1"/>
      <c r="I21" s="1">
        <f>[1]Pattons!$F$16</f>
        <v>0</v>
      </c>
      <c r="J21" s="1">
        <f>[1]Pattons!$H$16</f>
        <v>0</v>
      </c>
      <c r="K21" s="1">
        <f>[1]Pattons!$J$16</f>
        <v>0</v>
      </c>
      <c r="L21" s="1">
        <f>[1]Pattons!$L$16</f>
        <v>0</v>
      </c>
      <c r="M21" s="1"/>
      <c r="N21" s="1"/>
      <c r="O21" s="1"/>
      <c r="P21" s="1">
        <v>4</v>
      </c>
      <c r="Q21" s="2">
        <v>2016</v>
      </c>
      <c r="R21" s="2" t="s">
        <v>50</v>
      </c>
      <c r="S21" s="2">
        <v>2</v>
      </c>
      <c r="T21" s="2">
        <v>6</v>
      </c>
    </row>
    <row r="22" spans="1:20">
      <c r="A22" s="1" t="s">
        <v>35</v>
      </c>
      <c r="B22" s="1" t="s">
        <v>24</v>
      </c>
      <c r="C22" s="1" t="s">
        <v>15</v>
      </c>
      <c r="D22" s="1">
        <v>1</v>
      </c>
      <c r="E22" s="1" t="s">
        <v>16</v>
      </c>
      <c r="F22" s="1">
        <f>[1]Pattons!$B$20</f>
        <v>4.1483704166666656E-2</v>
      </c>
      <c r="G22" s="1">
        <f>[1]Pattons!$D$20</f>
        <v>3.523577E-3</v>
      </c>
      <c r="H22" s="1"/>
      <c r="I22" s="1">
        <f>[1]Pattons!$F$20</f>
        <v>8.9823488000000035E-2</v>
      </c>
      <c r="J22" s="1">
        <f>[1]Pattons!$H$20</f>
        <v>0.16593481666666665</v>
      </c>
      <c r="K22" s="1">
        <f>[1]Pattons!$J$20</f>
        <v>0.13800380470000001</v>
      </c>
      <c r="L22" s="1">
        <f>[1]Pattons!$L$20</f>
        <v>0.24352984499999999</v>
      </c>
      <c r="M22" s="1"/>
      <c r="N22" s="1"/>
      <c r="O22" s="1"/>
      <c r="P22" s="1">
        <v>4</v>
      </c>
      <c r="Q22" s="2">
        <v>2016</v>
      </c>
      <c r="R22" s="2" t="s">
        <v>50</v>
      </c>
      <c r="S22" s="2">
        <v>2</v>
      </c>
      <c r="T22" s="2">
        <v>7</v>
      </c>
    </row>
    <row r="23" spans="1:20">
      <c r="A23" s="1" t="s">
        <v>35</v>
      </c>
      <c r="B23" s="1" t="s">
        <v>22</v>
      </c>
      <c r="C23" s="1" t="s">
        <v>15</v>
      </c>
      <c r="D23" s="1">
        <v>1</v>
      </c>
      <c r="E23" s="1" t="s">
        <v>16</v>
      </c>
      <c r="F23" s="1">
        <f>[1]Pattons!$B$21</f>
        <v>0</v>
      </c>
      <c r="G23" s="1">
        <f>[1]Pattons!$D$21</f>
        <v>0</v>
      </c>
      <c r="H23" s="1"/>
      <c r="I23" s="1">
        <f>[1]Pattons!$F$21</f>
        <v>0</v>
      </c>
      <c r="J23" s="1">
        <f>[1]Pattons!$H$21</f>
        <v>0</v>
      </c>
      <c r="K23" s="1">
        <f>[1]Pattons!$J$21</f>
        <v>0</v>
      </c>
      <c r="L23" s="1">
        <f>[1]Pattons!$L$21</f>
        <v>0</v>
      </c>
      <c r="M23" s="1"/>
      <c r="N23" s="1"/>
      <c r="O23" s="1"/>
      <c r="P23" s="1">
        <v>4</v>
      </c>
      <c r="Q23" s="2">
        <v>2016</v>
      </c>
      <c r="R23" s="2" t="s">
        <v>50</v>
      </c>
      <c r="S23" s="2">
        <v>2</v>
      </c>
      <c r="T23" s="2">
        <v>8</v>
      </c>
    </row>
    <row r="24" spans="1:20">
      <c r="A24" s="1" t="s">
        <v>35</v>
      </c>
      <c r="B24" s="1" t="s">
        <v>19</v>
      </c>
      <c r="C24" s="1" t="s">
        <v>15</v>
      </c>
      <c r="D24" s="1">
        <v>1</v>
      </c>
      <c r="E24" s="1" t="s">
        <v>16</v>
      </c>
      <c r="F24" s="1">
        <f>[1]Pattons!$B$22</f>
        <v>0</v>
      </c>
      <c r="G24" s="1">
        <f>[1]Pattons!$D$22</f>
        <v>0</v>
      </c>
      <c r="H24" s="1"/>
      <c r="I24" s="1">
        <f>[1]Pattons!$F$22</f>
        <v>0</v>
      </c>
      <c r="J24" s="1">
        <f>[1]Pattons!$H$22</f>
        <v>0</v>
      </c>
      <c r="K24" s="1">
        <f>[1]Pattons!$J$22</f>
        <v>0</v>
      </c>
      <c r="L24" s="1">
        <f>[1]Pattons!$L$22</f>
        <v>0</v>
      </c>
      <c r="M24" s="1"/>
      <c r="N24" s="1"/>
      <c r="O24" s="1"/>
      <c r="P24" s="1">
        <v>4</v>
      </c>
      <c r="Q24" s="2">
        <v>2016</v>
      </c>
      <c r="R24" s="2" t="s">
        <v>50</v>
      </c>
      <c r="S24" s="2">
        <v>2</v>
      </c>
      <c r="T24" s="2">
        <v>9</v>
      </c>
    </row>
    <row r="25" spans="1:20">
      <c r="A25" s="1" t="s">
        <v>35</v>
      </c>
      <c r="B25" s="1" t="s">
        <v>21</v>
      </c>
      <c r="C25" s="1" t="s">
        <v>15</v>
      </c>
      <c r="D25" s="1">
        <v>1</v>
      </c>
      <c r="E25" s="1" t="s">
        <v>16</v>
      </c>
      <c r="F25" s="1">
        <f>[1]Pattons!$B$23</f>
        <v>0</v>
      </c>
      <c r="G25" s="1">
        <f>[1]Pattons!$D$23</f>
        <v>3.8883904099999977E-2</v>
      </c>
      <c r="H25" s="1"/>
      <c r="I25" s="1">
        <f>[1]Pattons!$F$23</f>
        <v>1.7210039999999999E-3</v>
      </c>
      <c r="J25" s="1">
        <f>[1]Pattons!$H$23</f>
        <v>0</v>
      </c>
      <c r="K25" s="1">
        <f>[1]Pattons!$J$23</f>
        <v>0.20380368640000002</v>
      </c>
      <c r="L25" s="1">
        <f>[1]Pattons!$L$23</f>
        <v>7.2285524999999998E-3</v>
      </c>
      <c r="M25" s="1"/>
      <c r="N25" s="1"/>
      <c r="O25" s="1"/>
      <c r="P25" s="1">
        <v>4</v>
      </c>
      <c r="Q25" s="2">
        <v>2016</v>
      </c>
      <c r="R25" s="2" t="s">
        <v>50</v>
      </c>
      <c r="S25" s="2">
        <v>2</v>
      </c>
      <c r="T25" s="2">
        <v>10</v>
      </c>
    </row>
    <row r="26" spans="1:20">
      <c r="A26" s="1" t="s">
        <v>35</v>
      </c>
      <c r="B26" s="1" t="s">
        <v>17</v>
      </c>
      <c r="C26" s="1" t="s">
        <v>15</v>
      </c>
      <c r="D26" s="1">
        <v>1</v>
      </c>
      <c r="E26" s="1" t="s">
        <v>16</v>
      </c>
      <c r="F26" s="1">
        <f>[1]Pattons!$B$24</f>
        <v>0</v>
      </c>
      <c r="G26" s="1">
        <f>[1]Pattons!$D$24</f>
        <v>0</v>
      </c>
      <c r="H26" s="1"/>
      <c r="I26" s="1">
        <f>[1]Pattons!$F$24</f>
        <v>0</v>
      </c>
      <c r="J26" s="1">
        <f>[1]Pattons!$H$24</f>
        <v>0</v>
      </c>
      <c r="K26" s="1">
        <f>[1]Pattons!$J$24</f>
        <v>0</v>
      </c>
      <c r="L26" s="1">
        <f>[1]Pattons!$L$24</f>
        <v>0</v>
      </c>
      <c r="M26" s="1"/>
      <c r="N26" s="1"/>
      <c r="O26" s="1"/>
      <c r="P26" s="1">
        <v>4</v>
      </c>
      <c r="Q26" s="2">
        <v>2016</v>
      </c>
      <c r="R26" s="2" t="s">
        <v>50</v>
      </c>
      <c r="S26" s="2">
        <v>2</v>
      </c>
      <c r="T26" s="2">
        <v>11</v>
      </c>
    </row>
    <row r="27" spans="1:20">
      <c r="A27" s="1" t="s">
        <v>35</v>
      </c>
      <c r="B27" s="1" t="s">
        <v>33</v>
      </c>
      <c r="C27" s="1" t="s">
        <v>15</v>
      </c>
      <c r="D27" s="1">
        <v>1</v>
      </c>
      <c r="E27" s="1" t="s">
        <v>16</v>
      </c>
      <c r="F27" s="1">
        <f>[1]Pattons!$B$25</f>
        <v>0</v>
      </c>
      <c r="G27" s="1">
        <f>[1]Pattons!$D$25</f>
        <v>0</v>
      </c>
      <c r="H27" s="1"/>
      <c r="I27" s="1">
        <f>[1]Pattons!$F$25</f>
        <v>0</v>
      </c>
      <c r="J27" s="1">
        <f>[1]Pattons!$H$25</f>
        <v>0</v>
      </c>
      <c r="K27" s="1">
        <f>[1]Pattons!$J$25</f>
        <v>0</v>
      </c>
      <c r="L27" s="1">
        <f>[1]Pattons!$L$25</f>
        <v>0</v>
      </c>
      <c r="M27" s="1"/>
      <c r="N27" s="1"/>
      <c r="O27" s="1"/>
      <c r="P27" s="1">
        <v>4</v>
      </c>
      <c r="Q27" s="2">
        <v>2016</v>
      </c>
      <c r="R27" s="2" t="s">
        <v>50</v>
      </c>
      <c r="S27" s="2">
        <v>2</v>
      </c>
      <c r="T27" s="2">
        <v>12</v>
      </c>
    </row>
    <row r="28" spans="1:20">
      <c r="A28" s="1" t="s">
        <v>35</v>
      </c>
      <c r="B28" s="1" t="s">
        <v>14</v>
      </c>
      <c r="C28" s="1" t="s">
        <v>15</v>
      </c>
      <c r="D28" s="1">
        <v>1</v>
      </c>
      <c r="E28" s="1" t="s">
        <v>16</v>
      </c>
      <c r="F28" s="1">
        <f>[1]Pattons!$B$26</f>
        <v>7.027841486249998</v>
      </c>
      <c r="G28" s="1">
        <f>[1]Pattons!$D$26</f>
        <v>2.2494289187999978</v>
      </c>
      <c r="H28" s="1"/>
      <c r="I28" s="1">
        <f>[1]Pattons!$F$26</f>
        <v>1.8518532760000008</v>
      </c>
      <c r="J28" s="1">
        <f>[1]Pattons!$H$26</f>
        <v>28.111365945000003</v>
      </c>
      <c r="K28" s="1">
        <f>[1]Pattons!$J$26</f>
        <v>8.9426466772999991</v>
      </c>
      <c r="L28" s="1">
        <f>[1]Pattons!$L$26</f>
        <v>7.3818401475000002</v>
      </c>
      <c r="M28" s="1"/>
      <c r="N28" s="1"/>
      <c r="O28" s="1"/>
      <c r="P28" s="1">
        <v>4</v>
      </c>
      <c r="Q28" s="2">
        <v>2016</v>
      </c>
      <c r="R28" s="2" t="s">
        <v>50</v>
      </c>
      <c r="S28" s="2">
        <v>2</v>
      </c>
      <c r="T28" s="2">
        <v>13</v>
      </c>
    </row>
    <row r="29" spans="1:20">
      <c r="A29" s="1" t="s">
        <v>34</v>
      </c>
      <c r="B29" s="1" t="s">
        <v>26</v>
      </c>
      <c r="C29" s="1" t="s">
        <v>15</v>
      </c>
      <c r="D29" s="1">
        <v>1</v>
      </c>
      <c r="E29" s="1" t="s">
        <v>16</v>
      </c>
      <c r="F29" s="1">
        <f>'[1]Elgi-USA'!$B$6</f>
        <v>41.796828231766035</v>
      </c>
      <c r="G29" s="1">
        <f>'[1]Elgi-USA'!$D$6</f>
        <v>36.434688366300009</v>
      </c>
      <c r="H29" s="1"/>
      <c r="I29" s="1">
        <f>'[1]Elgi-USA'!$F$6</f>
        <v>49.210050171500015</v>
      </c>
      <c r="J29" s="1">
        <f>'[1]Elgi-USA'!$H$6</f>
        <v>158.19986434665884</v>
      </c>
      <c r="K29" s="1">
        <f>'[1]Elgi-USA'!$J$6</f>
        <v>144.85820959050002</v>
      </c>
      <c r="L29" s="1">
        <f>'[1]Elgi-USA'!$L$6</f>
        <v>156.5858612175</v>
      </c>
      <c r="M29" s="1"/>
      <c r="N29" s="1"/>
      <c r="O29" s="1"/>
      <c r="P29" s="1">
        <v>4</v>
      </c>
      <c r="Q29" s="2">
        <v>2016</v>
      </c>
      <c r="R29" s="2" t="s">
        <v>50</v>
      </c>
      <c r="S29" s="2">
        <v>3</v>
      </c>
      <c r="T29" s="2">
        <v>1</v>
      </c>
    </row>
    <row r="30" spans="1:20">
      <c r="A30" s="1" t="s">
        <v>34</v>
      </c>
      <c r="B30" s="1" t="s">
        <v>23</v>
      </c>
      <c r="C30" s="1" t="s">
        <v>15</v>
      </c>
      <c r="D30" s="1">
        <v>1</v>
      </c>
      <c r="E30" s="1" t="s">
        <v>16</v>
      </c>
      <c r="F30" s="1">
        <f>'[1]Elgi-USA'!$B$8</f>
        <v>29.123502847717717</v>
      </c>
      <c r="G30" s="1">
        <f>'[1]Elgi-USA'!$D$8</f>
        <v>24.00029694429999</v>
      </c>
      <c r="H30" s="1"/>
      <c r="I30" s="1">
        <f>'[1]Elgi-USA'!$F$8</f>
        <v>28.83016678191666</v>
      </c>
      <c r="J30" s="1">
        <f>'[1]Elgi-USA'!$H$8</f>
        <v>111.09642285094367</v>
      </c>
      <c r="K30" s="1">
        <f>'[1]Elgi-USA'!$J$8</f>
        <v>90.656054649200001</v>
      </c>
      <c r="L30" s="1">
        <f>'[1]Elgi-USA'!$L$8</f>
        <v>95.636282673750003</v>
      </c>
      <c r="M30" s="1"/>
      <c r="N30" s="1"/>
      <c r="O30" s="1"/>
      <c r="P30" s="1">
        <v>4</v>
      </c>
      <c r="Q30" s="2">
        <v>2016</v>
      </c>
      <c r="R30" s="2" t="s">
        <v>50</v>
      </c>
      <c r="S30" s="2">
        <v>3</v>
      </c>
      <c r="T30" s="2">
        <v>2</v>
      </c>
    </row>
    <row r="31" spans="1:20">
      <c r="A31" s="1" t="s">
        <v>34</v>
      </c>
      <c r="B31" s="1" t="s">
        <v>25</v>
      </c>
      <c r="C31" s="1" t="s">
        <v>15</v>
      </c>
      <c r="D31" s="1">
        <v>1</v>
      </c>
      <c r="E31" s="1" t="s">
        <v>16</v>
      </c>
      <c r="F31" s="1">
        <f>'[1]Elgi-USA'!$B$9</f>
        <v>0.21789208129663684</v>
      </c>
      <c r="G31" s="1">
        <f>'[1]Elgi-USA'!$D$9</f>
        <v>1.0269712696999997</v>
      </c>
      <c r="H31" s="1"/>
      <c r="I31" s="1">
        <f>'[1]Elgi-USA'!$F$9</f>
        <v>1.6628665362500001</v>
      </c>
      <c r="J31" s="1">
        <f>'[1]Elgi-USA'!$H$9</f>
        <v>0.89329809135054183</v>
      </c>
      <c r="K31" s="1">
        <f>'[1]Elgi-USA'!$J$9</f>
        <v>4.2957889582000002</v>
      </c>
      <c r="L31" s="1">
        <f>'[1]Elgi-USA'!$L$9</f>
        <v>7.5774629287500002</v>
      </c>
      <c r="M31" s="1"/>
      <c r="N31" s="1"/>
      <c r="O31" s="1"/>
      <c r="P31" s="1">
        <v>4</v>
      </c>
      <c r="Q31" s="2">
        <v>2016</v>
      </c>
      <c r="R31" s="2" t="s">
        <v>50</v>
      </c>
      <c r="S31" s="2">
        <v>3</v>
      </c>
      <c r="T31" s="2">
        <v>3</v>
      </c>
    </row>
    <row r="32" spans="1:20">
      <c r="A32" s="1" t="s">
        <v>34</v>
      </c>
      <c r="B32" s="1" t="s">
        <v>18</v>
      </c>
      <c r="C32" s="1" t="s">
        <v>15</v>
      </c>
      <c r="D32" s="1">
        <v>1</v>
      </c>
      <c r="E32" s="1" t="s">
        <v>16</v>
      </c>
      <c r="F32" s="1">
        <f>'[1]Elgi-USA'!$B$14</f>
        <v>8.935842139391319</v>
      </c>
      <c r="G32" s="1">
        <f>'[1]Elgi-USA'!$D$14</f>
        <v>8.719434037300001</v>
      </c>
      <c r="H32" s="1"/>
      <c r="I32" s="1">
        <f>'[1]Elgi-USA'!$F$14</f>
        <v>8.8961769150000123</v>
      </c>
      <c r="J32" s="1">
        <f>'[1]Elgi-USA'!$H$14</f>
        <v>35.829739030970572</v>
      </c>
      <c r="K32" s="1">
        <f>'[1]Elgi-USA'!$J$14</f>
        <v>35.975299000900002</v>
      </c>
      <c r="L32" s="1">
        <f>'[1]Elgi-USA'!$L$14</f>
        <v>38.450525100000007</v>
      </c>
      <c r="M32" s="1"/>
      <c r="N32" s="1"/>
      <c r="O32" s="1"/>
      <c r="P32" s="1">
        <v>4</v>
      </c>
      <c r="Q32" s="2">
        <v>2016</v>
      </c>
      <c r="R32" s="2" t="s">
        <v>50</v>
      </c>
      <c r="S32" s="2">
        <v>3</v>
      </c>
      <c r="T32" s="2">
        <v>4</v>
      </c>
    </row>
    <row r="33" spans="1:20">
      <c r="A33" s="1" t="s">
        <v>34</v>
      </c>
      <c r="B33" s="1" t="s">
        <v>20</v>
      </c>
      <c r="C33" s="1" t="s">
        <v>15</v>
      </c>
      <c r="D33" s="1">
        <v>1</v>
      </c>
      <c r="E33" s="1" t="s">
        <v>16</v>
      </c>
      <c r="F33" s="1">
        <f>'[1]Elgi-USA'!$B$15</f>
        <v>5.5393461493470157</v>
      </c>
      <c r="G33" s="1">
        <f>'[1]Elgi-USA'!$D$15</f>
        <v>7.1536200807999908</v>
      </c>
      <c r="H33" s="1"/>
      <c r="I33" s="1">
        <f>'[1]Elgi-USA'!$F$15</f>
        <v>4.0752223965000027</v>
      </c>
      <c r="J33" s="1">
        <f>'[1]Elgi-USA'!$H$15</f>
        <v>22.773550206788382</v>
      </c>
      <c r="K33" s="1">
        <f>'[1]Elgi-USA'!$J$15</f>
        <v>21.388698183499994</v>
      </c>
      <c r="L33" s="1">
        <f>'[1]Elgi-USA'!$L$15</f>
        <v>16.588759882500007</v>
      </c>
      <c r="M33" s="1"/>
      <c r="N33" s="1"/>
      <c r="O33" s="1"/>
      <c r="P33" s="1">
        <v>4</v>
      </c>
      <c r="Q33" s="2">
        <v>2016</v>
      </c>
      <c r="R33" s="2" t="s">
        <v>50</v>
      </c>
      <c r="S33" s="2">
        <v>3</v>
      </c>
      <c r="T33" s="2">
        <v>5</v>
      </c>
    </row>
    <row r="34" spans="1:20">
      <c r="A34" s="1" t="s">
        <v>34</v>
      </c>
      <c r="B34" s="1" t="s">
        <v>32</v>
      </c>
      <c r="C34" s="1" t="s">
        <v>15</v>
      </c>
      <c r="D34" s="1">
        <v>1</v>
      </c>
      <c r="E34" s="1" t="s">
        <v>16</v>
      </c>
      <c r="F34" s="1">
        <f>'[1]Elgi-USA'!$B$16</f>
        <v>0</v>
      </c>
      <c r="G34" s="1">
        <f>'[1]Elgi-USA'!$D$16</f>
        <v>0</v>
      </c>
      <c r="H34" s="1"/>
      <c r="I34" s="1">
        <f>'[1]Elgi-USA'!$F$16</f>
        <v>0</v>
      </c>
      <c r="J34" s="1">
        <f>'[1]Elgi-USA'!$H$16</f>
        <v>0</v>
      </c>
      <c r="K34" s="1">
        <f>'[1]Elgi-USA'!$J$16</f>
        <v>0</v>
      </c>
      <c r="L34" s="1">
        <f>'[1]Elgi-USA'!$L$16</f>
        <v>0</v>
      </c>
      <c r="M34" s="1"/>
      <c r="N34" s="1"/>
      <c r="O34" s="1"/>
      <c r="P34" s="1">
        <v>4</v>
      </c>
      <c r="Q34" s="2">
        <v>2016</v>
      </c>
      <c r="R34" s="2" t="s">
        <v>50</v>
      </c>
      <c r="S34" s="2">
        <v>3</v>
      </c>
      <c r="T34" s="2">
        <v>6</v>
      </c>
    </row>
    <row r="35" spans="1:20">
      <c r="A35" s="1" t="s">
        <v>34</v>
      </c>
      <c r="B35" s="1" t="s">
        <v>24</v>
      </c>
      <c r="C35" s="1" t="s">
        <v>15</v>
      </c>
      <c r="D35" s="1">
        <v>1</v>
      </c>
      <c r="E35" s="1" t="s">
        <v>16</v>
      </c>
      <c r="F35" s="1">
        <f>'[1]Elgi-USA'!$B$20</f>
        <v>0</v>
      </c>
      <c r="G35" s="1">
        <f>'[1]Elgi-USA'!$D$20</f>
        <v>0</v>
      </c>
      <c r="H35" s="1"/>
      <c r="I35" s="1">
        <f>'[1]Elgi-USA'!$F$20</f>
        <v>0</v>
      </c>
      <c r="J35" s="1">
        <f>'[1]Elgi-USA'!$H$20</f>
        <v>0</v>
      </c>
      <c r="K35" s="1">
        <f>'[1]Elgi-USA'!$J$20</f>
        <v>0</v>
      </c>
      <c r="L35" s="1">
        <f>'[1]Elgi-USA'!$L$20</f>
        <v>0</v>
      </c>
      <c r="M35" s="1"/>
      <c r="N35" s="1"/>
      <c r="O35" s="1"/>
      <c r="P35" s="1">
        <v>4</v>
      </c>
      <c r="Q35" s="2">
        <v>2016</v>
      </c>
      <c r="R35" s="2" t="s">
        <v>50</v>
      </c>
      <c r="S35" s="2">
        <v>3</v>
      </c>
      <c r="T35" s="2">
        <v>7</v>
      </c>
    </row>
    <row r="36" spans="1:20">
      <c r="A36" s="1" t="s">
        <v>34</v>
      </c>
      <c r="B36" s="1" t="s">
        <v>22</v>
      </c>
      <c r="C36" s="1" t="s">
        <v>15</v>
      </c>
      <c r="D36" s="1">
        <v>1</v>
      </c>
      <c r="E36" s="1" t="s">
        <v>16</v>
      </c>
      <c r="F36" s="1">
        <f>'[1]Elgi-USA'!$B$21</f>
        <v>0</v>
      </c>
      <c r="G36" s="1">
        <f>'[1]Elgi-USA'!$D$21</f>
        <v>2.6689890400000005</v>
      </c>
      <c r="H36" s="1"/>
      <c r="I36" s="1">
        <f>'[1]Elgi-USA'!$F$21</f>
        <v>0</v>
      </c>
      <c r="J36" s="1">
        <f>'[1]Elgi-USA'!$H$21</f>
        <v>0</v>
      </c>
      <c r="K36" s="1">
        <f>'[1]Elgi-USA'!$J$21</f>
        <v>9.8859442400000006</v>
      </c>
      <c r="L36" s="1">
        <f>'[1]Elgi-USA'!$L$21</f>
        <v>0</v>
      </c>
      <c r="M36" s="1"/>
      <c r="N36" s="1"/>
      <c r="O36" s="1"/>
      <c r="P36" s="1">
        <v>4</v>
      </c>
      <c r="Q36" s="2">
        <v>2016</v>
      </c>
      <c r="R36" s="2" t="s">
        <v>50</v>
      </c>
      <c r="S36" s="2">
        <v>3</v>
      </c>
      <c r="T36" s="2">
        <v>8</v>
      </c>
    </row>
    <row r="37" spans="1:20">
      <c r="A37" s="1" t="s">
        <v>34</v>
      </c>
      <c r="B37" s="1" t="s">
        <v>19</v>
      </c>
      <c r="C37" s="1" t="s">
        <v>15</v>
      </c>
      <c r="D37" s="1">
        <v>1</v>
      </c>
      <c r="E37" s="1" t="s">
        <v>16</v>
      </c>
      <c r="F37" s="1">
        <f>'[1]Elgi-USA'!$B$22</f>
        <v>0</v>
      </c>
      <c r="G37" s="1">
        <f>'[1]Elgi-USA'!$D$22</f>
        <v>0</v>
      </c>
      <c r="H37" s="1"/>
      <c r="I37" s="1">
        <f>'[1]Elgi-USA'!$F$22</f>
        <v>0</v>
      </c>
      <c r="J37" s="1">
        <f>'[1]Elgi-USA'!$H$22</f>
        <v>0</v>
      </c>
      <c r="K37" s="1">
        <f>'[1]Elgi-USA'!$J$22</f>
        <v>0</v>
      </c>
      <c r="L37" s="1">
        <f>'[1]Elgi-USA'!$L$22</f>
        <v>0</v>
      </c>
      <c r="M37" s="1"/>
      <c r="N37" s="1"/>
      <c r="O37" s="1"/>
      <c r="P37" s="1">
        <v>4</v>
      </c>
      <c r="Q37" s="2">
        <v>2016</v>
      </c>
      <c r="R37" s="2" t="s">
        <v>50</v>
      </c>
      <c r="S37" s="2">
        <v>3</v>
      </c>
      <c r="T37" s="2">
        <v>9</v>
      </c>
    </row>
    <row r="38" spans="1:20">
      <c r="A38" s="1" t="s">
        <v>34</v>
      </c>
      <c r="B38" s="1" t="s">
        <v>21</v>
      </c>
      <c r="C38" s="1" t="s">
        <v>15</v>
      </c>
      <c r="D38" s="1">
        <v>1</v>
      </c>
      <c r="E38" s="1" t="s">
        <v>16</v>
      </c>
      <c r="F38" s="1">
        <f>'[1]Elgi-USA'!$B$23</f>
        <v>3.1205256333333344</v>
      </c>
      <c r="G38" s="1">
        <f>'[1]Elgi-USA'!$D$23</f>
        <v>3.6816193973999987</v>
      </c>
      <c r="H38" s="1"/>
      <c r="I38" s="1">
        <f>'[1]Elgi-USA'!$F$23</f>
        <v>5.1805542128333304</v>
      </c>
      <c r="J38" s="1">
        <f>'[1]Elgi-USA'!$H$23</f>
        <v>12.945227533333332</v>
      </c>
      <c r="K38" s="1">
        <f>'[1]Elgi-USA'!$J$23</f>
        <v>14.6953812474</v>
      </c>
      <c r="L38" s="1">
        <f>'[1]Elgi-USA'!$L$23</f>
        <v>20.827297627499998</v>
      </c>
      <c r="M38" s="1"/>
      <c r="N38" s="1"/>
      <c r="O38" s="1"/>
      <c r="P38" s="1">
        <v>4</v>
      </c>
      <c r="Q38" s="2">
        <v>2016</v>
      </c>
      <c r="R38" s="2" t="s">
        <v>50</v>
      </c>
      <c r="S38" s="2">
        <v>3</v>
      </c>
      <c r="T38" s="2">
        <v>10</v>
      </c>
    </row>
    <row r="39" spans="1:20">
      <c r="A39" s="1" t="s">
        <v>34</v>
      </c>
      <c r="B39" s="1" t="s">
        <v>17</v>
      </c>
      <c r="C39" s="1" t="s">
        <v>15</v>
      </c>
      <c r="D39" s="1">
        <v>1</v>
      </c>
      <c r="E39" s="1" t="s">
        <v>16</v>
      </c>
      <c r="F39" s="1">
        <f>'[1]Elgi-USA'!$B$24</f>
        <v>0</v>
      </c>
      <c r="G39" s="1">
        <f>'[1]Elgi-USA'!$D$24</f>
        <v>0</v>
      </c>
      <c r="H39" s="1"/>
      <c r="I39" s="1">
        <f>'[1]Elgi-USA'!$F$24</f>
        <v>0</v>
      </c>
      <c r="J39" s="1">
        <f>'[1]Elgi-USA'!$H$24</f>
        <v>0</v>
      </c>
      <c r="K39" s="1">
        <f>'[1]Elgi-USA'!$J$24</f>
        <v>0</v>
      </c>
      <c r="L39" s="1">
        <f>'[1]Elgi-USA'!$L$24</f>
        <v>0</v>
      </c>
      <c r="M39" s="1"/>
      <c r="N39" s="1"/>
      <c r="O39" s="1"/>
      <c r="P39" s="1">
        <v>4</v>
      </c>
      <c r="Q39" s="2">
        <v>2016</v>
      </c>
      <c r="R39" s="2" t="s">
        <v>50</v>
      </c>
      <c r="S39" s="2">
        <v>3</v>
      </c>
      <c r="T39" s="2">
        <v>11</v>
      </c>
    </row>
    <row r="40" spans="1:20">
      <c r="A40" s="1" t="s">
        <v>34</v>
      </c>
      <c r="B40" s="1" t="s">
        <v>33</v>
      </c>
      <c r="C40" s="1" t="s">
        <v>15</v>
      </c>
      <c r="D40" s="1">
        <v>1</v>
      </c>
      <c r="E40" s="1" t="s">
        <v>16</v>
      </c>
      <c r="F40" s="1">
        <f>'[1]Elgi-USA'!$B$25</f>
        <v>0</v>
      </c>
      <c r="G40" s="1">
        <f>'[1]Elgi-USA'!$D$25</f>
        <v>3.2578467300000007</v>
      </c>
      <c r="H40" s="1"/>
      <c r="I40" s="1">
        <f>'[1]Elgi-USA'!$F$25</f>
        <v>0</v>
      </c>
      <c r="J40" s="1">
        <f>'[1]Elgi-USA'!$H$25</f>
        <v>0</v>
      </c>
      <c r="K40" s="1">
        <f>'[1]Elgi-USA'!$J$25</f>
        <v>-18.135469759999999</v>
      </c>
      <c r="L40" s="1">
        <f>'[1]Elgi-USA'!$L$25</f>
        <v>0</v>
      </c>
      <c r="M40" s="1"/>
      <c r="N40" s="1"/>
      <c r="O40" s="1"/>
      <c r="P40" s="1">
        <v>4</v>
      </c>
      <c r="Q40" s="2">
        <v>2016</v>
      </c>
      <c r="R40" s="2" t="s">
        <v>50</v>
      </c>
      <c r="S40" s="2">
        <v>3</v>
      </c>
      <c r="T40" s="2">
        <v>12</v>
      </c>
    </row>
    <row r="41" spans="1:20">
      <c r="A41" s="1" t="s">
        <v>34</v>
      </c>
      <c r="B41" s="1" t="s">
        <v>14</v>
      </c>
      <c r="C41" s="1" t="s">
        <v>15</v>
      </c>
      <c r="D41" s="1">
        <v>1</v>
      </c>
      <c r="E41" s="1" t="s">
        <v>16</v>
      </c>
      <c r="F41" s="1">
        <f>'[1]Elgi-USA'!$B$26</f>
        <v>0.242138715</v>
      </c>
      <c r="G41" s="1">
        <f>'[1]Elgi-USA'!$D$26</f>
        <v>0.3233057169000001</v>
      </c>
      <c r="H41" s="1"/>
      <c r="I41" s="1">
        <f>'[1]Elgi-USA'!$F$26</f>
        <v>0.23686971941666679</v>
      </c>
      <c r="J41" s="1">
        <f>'[1]Elgi-USA'!$H$26</f>
        <v>0.96855486000000002</v>
      </c>
      <c r="K41" s="1">
        <f>'[1]Elgi-USA'!$J$26</f>
        <v>1.2967397148000002</v>
      </c>
      <c r="L41" s="1">
        <f>'[1]Elgi-USA'!$L$26</f>
        <v>0.93599107875000009</v>
      </c>
      <c r="M41" s="1"/>
      <c r="N41" s="1"/>
      <c r="O41" s="1"/>
      <c r="P41" s="1">
        <v>4</v>
      </c>
      <c r="Q41" s="2">
        <v>2016</v>
      </c>
      <c r="R41" s="2" t="s">
        <v>50</v>
      </c>
      <c r="S41" s="2">
        <v>3</v>
      </c>
      <c r="T41" s="2">
        <v>13</v>
      </c>
    </row>
    <row r="42" spans="1:20">
      <c r="A42" s="1" t="s">
        <v>36</v>
      </c>
      <c r="B42" s="1" t="s">
        <v>26</v>
      </c>
      <c r="C42" s="1" t="s">
        <v>15</v>
      </c>
      <c r="D42" s="1">
        <v>1</v>
      </c>
      <c r="E42" s="1" t="s">
        <v>16</v>
      </c>
      <c r="F42" s="1">
        <f>[1]Brazil!$B$6</f>
        <v>17.857513450000006</v>
      </c>
      <c r="G42" s="1">
        <f>[1]Brazil!$D$6</f>
        <v>19.054378267600036</v>
      </c>
      <c r="H42" s="1"/>
      <c r="I42" s="1">
        <f>[1]Brazil!$F$6</f>
        <v>33.124970206899945</v>
      </c>
      <c r="J42" s="1">
        <f>[1]Brazil!$H$6</f>
        <v>62.438539000000006</v>
      </c>
      <c r="K42" s="1">
        <f>[1]Brazil!$J$6</f>
        <v>82.905448059600019</v>
      </c>
      <c r="L42" s="1">
        <f>[1]Brazil!$L$6</f>
        <v>127.35624698139999</v>
      </c>
      <c r="M42" s="1"/>
      <c r="N42" s="1"/>
      <c r="O42" s="1"/>
      <c r="P42" s="1">
        <v>4</v>
      </c>
      <c r="Q42" s="2">
        <v>2016</v>
      </c>
      <c r="R42" s="2" t="s">
        <v>49</v>
      </c>
      <c r="S42" s="2">
        <v>4</v>
      </c>
      <c r="T42" s="2">
        <v>1</v>
      </c>
    </row>
    <row r="43" spans="1:20">
      <c r="A43" s="1" t="s">
        <v>36</v>
      </c>
      <c r="B43" s="1" t="s">
        <v>23</v>
      </c>
      <c r="C43" s="1" t="s">
        <v>15</v>
      </c>
      <c r="D43" s="1">
        <v>1</v>
      </c>
      <c r="E43" s="1" t="s">
        <v>16</v>
      </c>
      <c r="F43" s="1">
        <f>[1]Brazil!$B$8</f>
        <v>12.473420701929999</v>
      </c>
      <c r="G43" s="1">
        <f>[1]Brazil!$D$8</f>
        <v>10.641476797999999</v>
      </c>
      <c r="H43" s="1"/>
      <c r="I43" s="1">
        <f>[1]Brazil!$F$8</f>
        <v>23.00715838029997</v>
      </c>
      <c r="J43" s="1">
        <f>[1]Brazil!$H$8</f>
        <v>42.538179761839999</v>
      </c>
      <c r="K43" s="1">
        <f>[1]Brazil!$J$8</f>
        <v>48.349620821999999</v>
      </c>
      <c r="L43" s="1">
        <f>[1]Brazil!$L$8</f>
        <v>85.834207511799988</v>
      </c>
      <c r="M43" s="1"/>
      <c r="N43" s="1"/>
      <c r="O43" s="1"/>
      <c r="P43" s="1">
        <v>4</v>
      </c>
      <c r="Q43" s="2">
        <v>2016</v>
      </c>
      <c r="R43" s="2" t="s">
        <v>49</v>
      </c>
      <c r="S43" s="2">
        <v>4</v>
      </c>
      <c r="T43" s="2">
        <v>2</v>
      </c>
    </row>
    <row r="44" spans="1:20">
      <c r="A44" s="1" t="s">
        <v>36</v>
      </c>
      <c r="B44" s="1" t="s">
        <v>25</v>
      </c>
      <c r="C44" s="1" t="s">
        <v>15</v>
      </c>
      <c r="D44" s="1">
        <v>1</v>
      </c>
      <c r="E44" s="1" t="s">
        <v>16</v>
      </c>
      <c r="F44" s="1">
        <f>[1]Brazil!$B$9</f>
        <v>0.66281709633333374</v>
      </c>
      <c r="G44" s="1">
        <f>[1]Brazil!$D$9</f>
        <v>0.70681943940000025</v>
      </c>
      <c r="H44" s="1"/>
      <c r="I44" s="1">
        <f>[1]Brazil!$F$9</f>
        <v>0.45218112159999846</v>
      </c>
      <c r="J44" s="1">
        <f>[1]Brazil!$H$9</f>
        <v>2.3098811632333338</v>
      </c>
      <c r="K44" s="1">
        <f>[1]Brazil!$J$9</f>
        <v>3.3172187790000001</v>
      </c>
      <c r="L44" s="1">
        <f>[1]Brazil!$L$9</f>
        <v>3.6390537495999986</v>
      </c>
      <c r="M44" s="1"/>
      <c r="N44" s="1"/>
      <c r="O44" s="1"/>
      <c r="P44" s="1">
        <v>4</v>
      </c>
      <c r="Q44" s="2">
        <v>2016</v>
      </c>
      <c r="R44" s="2" t="s">
        <v>49</v>
      </c>
      <c r="S44" s="2">
        <v>4</v>
      </c>
      <c r="T44" s="2">
        <v>3</v>
      </c>
    </row>
    <row r="45" spans="1:20">
      <c r="A45" s="1" t="s">
        <v>36</v>
      </c>
      <c r="B45" s="1" t="s">
        <v>18</v>
      </c>
      <c r="C45" s="1" t="s">
        <v>15</v>
      </c>
      <c r="D45" s="1">
        <v>1</v>
      </c>
      <c r="E45" s="1" t="s">
        <v>16</v>
      </c>
      <c r="F45" s="1">
        <f>[1]Brazil!$B$14</f>
        <v>1.9801099343328987</v>
      </c>
      <c r="G45" s="1">
        <f>[1]Brazil!$D$14</f>
        <v>2.3580063797999973</v>
      </c>
      <c r="H45" s="1"/>
      <c r="I45" s="1">
        <f>[1]Brazil!$F$14</f>
        <v>3.4819938893999982</v>
      </c>
      <c r="J45" s="1">
        <f>[1]Brazil!$H$14</f>
        <v>7.872747021558764</v>
      </c>
      <c r="K45" s="1">
        <f>[1]Brazil!$J$14</f>
        <v>9.9062246009999981</v>
      </c>
      <c r="L45" s="1">
        <f>[1]Brazil!$L$14</f>
        <v>16.8190236234</v>
      </c>
      <c r="M45" s="1"/>
      <c r="N45" s="1"/>
      <c r="O45" s="1"/>
      <c r="P45" s="1">
        <v>4</v>
      </c>
      <c r="Q45" s="2">
        <v>2016</v>
      </c>
      <c r="R45" s="2" t="s">
        <v>49</v>
      </c>
      <c r="S45" s="2">
        <v>4</v>
      </c>
      <c r="T45" s="2">
        <v>4</v>
      </c>
    </row>
    <row r="46" spans="1:20">
      <c r="A46" s="1" t="s">
        <v>36</v>
      </c>
      <c r="B46" s="1" t="s">
        <v>20</v>
      </c>
      <c r="C46" s="1" t="s">
        <v>15</v>
      </c>
      <c r="D46" s="1">
        <v>1</v>
      </c>
      <c r="E46" s="1" t="s">
        <v>16</v>
      </c>
      <c r="F46" s="1">
        <f>[1]Brazil!$B$15</f>
        <v>2.5020847319545467</v>
      </c>
      <c r="G46" s="1">
        <f>[1]Brazil!$D$15</f>
        <v>3.1496279690000026</v>
      </c>
      <c r="H46" s="1"/>
      <c r="I46" s="1">
        <f>[1]Brazil!$F$15</f>
        <v>2.9594000517999977</v>
      </c>
      <c r="J46" s="1">
        <f>[1]Brazil!$H$15</f>
        <v>10.726882827818184</v>
      </c>
      <c r="K46" s="1">
        <f>[1]Brazil!$J$15</f>
        <v>13.422383979000003</v>
      </c>
      <c r="L46" s="1">
        <f>[1]Brazil!$L$15</f>
        <v>14.6747014648</v>
      </c>
      <c r="M46" s="1"/>
      <c r="N46" s="1"/>
      <c r="O46" s="1"/>
      <c r="P46" s="1">
        <v>4</v>
      </c>
      <c r="Q46" s="2">
        <v>2016</v>
      </c>
      <c r="R46" s="2" t="s">
        <v>49</v>
      </c>
      <c r="S46" s="2">
        <v>4</v>
      </c>
      <c r="T46" s="2">
        <v>5</v>
      </c>
    </row>
    <row r="47" spans="1:20">
      <c r="A47" s="1" t="s">
        <v>36</v>
      </c>
      <c r="B47" s="1" t="s">
        <v>32</v>
      </c>
      <c r="C47" s="1" t="s">
        <v>15</v>
      </c>
      <c r="D47" s="1">
        <v>1</v>
      </c>
      <c r="E47" s="1" t="s">
        <v>16</v>
      </c>
      <c r="F47" s="1">
        <f>[1]Brazil!$B$16</f>
        <v>0</v>
      </c>
      <c r="G47" s="1">
        <f>[1]Brazil!$D$16</f>
        <v>-1.9492615941337181</v>
      </c>
      <c r="H47" s="1"/>
      <c r="I47" s="1">
        <f>[1]Brazil!$F$16</f>
        <v>5.2927964407963568</v>
      </c>
      <c r="J47" s="1">
        <f>[1]Brazil!$H$16</f>
        <v>0</v>
      </c>
      <c r="K47" s="1">
        <f>[1]Brazil!$J$16</f>
        <v>-4.5309559674321624</v>
      </c>
      <c r="L47" s="1">
        <f>[1]Brazil!$L$16</f>
        <v>18.076052107550105</v>
      </c>
      <c r="M47" s="1"/>
      <c r="N47" s="1"/>
      <c r="O47" s="1"/>
      <c r="P47" s="1">
        <v>4</v>
      </c>
      <c r="Q47" s="2">
        <v>2016</v>
      </c>
      <c r="R47" s="2" t="s">
        <v>49</v>
      </c>
      <c r="S47" s="2">
        <v>4</v>
      </c>
      <c r="T47" s="2">
        <v>6</v>
      </c>
    </row>
    <row r="48" spans="1:20">
      <c r="A48" s="1" t="s">
        <v>36</v>
      </c>
      <c r="B48" s="1" t="s">
        <v>24</v>
      </c>
      <c r="C48" s="1" t="s">
        <v>15</v>
      </c>
      <c r="D48" s="1">
        <v>1</v>
      </c>
      <c r="E48" s="1" t="s">
        <v>16</v>
      </c>
      <c r="F48" s="1">
        <f>[1]Brazil!$B$20</f>
        <v>0</v>
      </c>
      <c r="G48" s="1">
        <f>[1]Brazil!$D$20</f>
        <v>0.25306936480000009</v>
      </c>
      <c r="H48" s="1"/>
      <c r="I48" s="1">
        <f>[1]Brazil!$F$20</f>
        <v>0.12841227700000007</v>
      </c>
      <c r="J48" s="1">
        <f>[1]Brazil!$H$20</f>
        <v>0</v>
      </c>
      <c r="K48" s="1">
        <f>[1]Brazil!$J$20</f>
        <v>0.67931805240000021</v>
      </c>
      <c r="L48" s="1">
        <f>[1]Brazil!$L$20</f>
        <v>0.68818542300000007</v>
      </c>
      <c r="M48" s="1"/>
      <c r="N48" s="1"/>
      <c r="O48" s="1"/>
      <c r="P48" s="1">
        <v>4</v>
      </c>
      <c r="Q48" s="2">
        <v>2016</v>
      </c>
      <c r="R48" s="2" t="s">
        <v>49</v>
      </c>
      <c r="S48" s="2">
        <v>4</v>
      </c>
      <c r="T48" s="2">
        <v>7</v>
      </c>
    </row>
    <row r="49" spans="1:20">
      <c r="A49" s="1" t="s">
        <v>36</v>
      </c>
      <c r="B49" s="1" t="s">
        <v>22</v>
      </c>
      <c r="C49" s="1" t="s">
        <v>15</v>
      </c>
      <c r="D49" s="1">
        <v>1</v>
      </c>
      <c r="E49" s="1" t="s">
        <v>16</v>
      </c>
      <c r="F49" s="1">
        <f>[1]Brazil!$B$21</f>
        <v>0</v>
      </c>
      <c r="G49" s="1">
        <f>[1]Brazil!$D$21</f>
        <v>0</v>
      </c>
      <c r="H49" s="1"/>
      <c r="I49" s="1">
        <f>[1]Brazil!$F$21</f>
        <v>0</v>
      </c>
      <c r="J49" s="1">
        <f>[1]Brazil!$H$21</f>
        <v>0</v>
      </c>
      <c r="K49" s="1">
        <f>[1]Brazil!$J$21</f>
        <v>0</v>
      </c>
      <c r="L49" s="1">
        <f>[1]Brazil!$L$21</f>
        <v>0</v>
      </c>
      <c r="M49" s="1"/>
      <c r="N49" s="1"/>
      <c r="O49" s="1"/>
      <c r="P49" s="1">
        <v>4</v>
      </c>
      <c r="Q49" s="2">
        <v>2016</v>
      </c>
      <c r="R49" s="2" t="s">
        <v>49</v>
      </c>
      <c r="S49" s="2">
        <v>4</v>
      </c>
      <c r="T49" s="2">
        <v>8</v>
      </c>
    </row>
    <row r="50" spans="1:20">
      <c r="A50" s="1" t="s">
        <v>36</v>
      </c>
      <c r="B50" s="1" t="s">
        <v>19</v>
      </c>
      <c r="C50" s="1" t="s">
        <v>15</v>
      </c>
      <c r="D50" s="1">
        <v>1</v>
      </c>
      <c r="E50" s="1" t="s">
        <v>16</v>
      </c>
      <c r="F50" s="1">
        <f>[1]Brazil!$B$22</f>
        <v>0</v>
      </c>
      <c r="G50" s="1">
        <f>[1]Brazil!$D$22</f>
        <v>0</v>
      </c>
      <c r="H50" s="1"/>
      <c r="I50" s="1">
        <f>[1]Brazil!$F$22</f>
        <v>0</v>
      </c>
      <c r="J50" s="1">
        <f>[1]Brazil!$H$22</f>
        <v>0</v>
      </c>
      <c r="K50" s="1">
        <f>[1]Brazil!$J$22</f>
        <v>0</v>
      </c>
      <c r="L50" s="1">
        <f>[1]Brazil!$L$22</f>
        <v>0</v>
      </c>
      <c r="M50" s="1"/>
      <c r="N50" s="1"/>
      <c r="O50" s="1"/>
      <c r="P50" s="1">
        <v>4</v>
      </c>
      <c r="Q50" s="2">
        <v>2016</v>
      </c>
      <c r="R50" s="2" t="s">
        <v>49</v>
      </c>
      <c r="S50" s="2">
        <v>4</v>
      </c>
      <c r="T50" s="2">
        <v>9</v>
      </c>
    </row>
    <row r="51" spans="1:20">
      <c r="A51" s="1" t="s">
        <v>36</v>
      </c>
      <c r="B51" s="1" t="s">
        <v>21</v>
      </c>
      <c r="C51" s="1" t="s">
        <v>15</v>
      </c>
      <c r="D51" s="1">
        <v>1</v>
      </c>
      <c r="E51" s="1" t="s">
        <v>16</v>
      </c>
      <c r="F51" s="1">
        <f>[1]Brazil!$B$23</f>
        <v>2.5130174999999992</v>
      </c>
      <c r="G51" s="1">
        <f>[1]Brazil!$D$23</f>
        <v>3.8245810185999982</v>
      </c>
      <c r="H51" s="1"/>
      <c r="I51" s="1">
        <f>[1]Brazil!$F$23</f>
        <v>-7.2374735999999884E-3</v>
      </c>
      <c r="J51" s="1">
        <f>[1]Brazil!$H$23</f>
        <v>10.052070000000001</v>
      </c>
      <c r="K51" s="1">
        <f>[1]Brazil!$J$23</f>
        <v>14.656990809</v>
      </c>
      <c r="L51" s="1">
        <f>[1]Brazil!$L$23</f>
        <v>0.41576208240000001</v>
      </c>
      <c r="M51" s="1"/>
      <c r="N51" s="1"/>
      <c r="O51" s="1"/>
      <c r="P51" s="1">
        <v>4</v>
      </c>
      <c r="Q51" s="2">
        <v>2016</v>
      </c>
      <c r="R51" s="2" t="s">
        <v>49</v>
      </c>
      <c r="S51" s="2">
        <v>4</v>
      </c>
      <c r="T51" s="2">
        <v>10</v>
      </c>
    </row>
    <row r="52" spans="1:20">
      <c r="A52" s="1" t="s">
        <v>36</v>
      </c>
      <c r="B52" s="1" t="s">
        <v>17</v>
      </c>
      <c r="C52" s="1" t="s">
        <v>15</v>
      </c>
      <c r="D52" s="1">
        <v>1</v>
      </c>
      <c r="E52" s="1" t="s">
        <v>16</v>
      </c>
      <c r="F52" s="1">
        <f>[1]Brazil!$B$24</f>
        <v>0</v>
      </c>
      <c r="G52" s="1">
        <f>[1]Brazil!$D$24</f>
        <v>0</v>
      </c>
      <c r="H52" s="1"/>
      <c r="I52" s="1">
        <f>[1]Brazil!$F$24</f>
        <v>0</v>
      </c>
      <c r="J52" s="1">
        <f>[1]Brazil!$H$24</f>
        <v>0</v>
      </c>
      <c r="K52" s="1">
        <f>[1]Brazil!$J$24</f>
        <v>0</v>
      </c>
      <c r="L52" s="1">
        <f>[1]Brazil!$L$24</f>
        <v>0</v>
      </c>
      <c r="M52" s="1"/>
      <c r="N52" s="1"/>
      <c r="O52" s="1"/>
      <c r="P52" s="1">
        <v>4</v>
      </c>
      <c r="Q52" s="2">
        <v>2016</v>
      </c>
      <c r="R52" s="2" t="s">
        <v>49</v>
      </c>
      <c r="S52" s="2">
        <v>4</v>
      </c>
      <c r="T52" s="2">
        <v>11</v>
      </c>
    </row>
    <row r="53" spans="1:20">
      <c r="A53" s="1" t="s">
        <v>36</v>
      </c>
      <c r="B53" s="1" t="s">
        <v>33</v>
      </c>
      <c r="C53" s="1" t="s">
        <v>15</v>
      </c>
      <c r="D53" s="1">
        <v>1</v>
      </c>
      <c r="E53" s="1" t="s">
        <v>16</v>
      </c>
      <c r="F53" s="1">
        <f>[1]Brazil!$B$25</f>
        <v>0</v>
      </c>
      <c r="G53" s="1">
        <f>[1]Brazil!$D$25</f>
        <v>2.3614148051337209</v>
      </c>
      <c r="H53" s="1"/>
      <c r="I53" s="1">
        <f>[1]Brazil!$F$25</f>
        <v>15.1321515254786</v>
      </c>
      <c r="J53" s="1">
        <f>[1]Brazil!$H$25</f>
        <v>0</v>
      </c>
      <c r="K53" s="1">
        <f>[1]Brazil!$J$25</f>
        <v>1.1758979304321608</v>
      </c>
      <c r="L53" s="1">
        <f>[1]Brazil!$L$25</f>
        <v>-6.7770828371501164</v>
      </c>
      <c r="M53" s="1"/>
      <c r="N53" s="1"/>
      <c r="O53" s="1"/>
      <c r="P53" s="1">
        <v>4</v>
      </c>
      <c r="Q53" s="2">
        <v>2016</v>
      </c>
      <c r="R53" s="2" t="s">
        <v>49</v>
      </c>
      <c r="S53" s="2">
        <v>4</v>
      </c>
      <c r="T53" s="2">
        <v>12</v>
      </c>
    </row>
    <row r="54" spans="1:20">
      <c r="A54" s="1" t="s">
        <v>36</v>
      </c>
      <c r="B54" s="1" t="s">
        <v>14</v>
      </c>
      <c r="C54" s="1" t="s">
        <v>15</v>
      </c>
      <c r="D54" s="1">
        <v>1</v>
      </c>
      <c r="E54" s="1" t="s">
        <v>16</v>
      </c>
      <c r="F54" s="1">
        <f>[1]Brazil!$B$26</f>
        <v>9.5020749999999932E-2</v>
      </c>
      <c r="G54" s="1">
        <f>[1]Brazil!$D$26</f>
        <v>0.15731230759999987</v>
      </c>
      <c r="H54" s="1"/>
      <c r="I54" s="1">
        <f>[1]Brazil!$F$26</f>
        <v>0.10514984060000004</v>
      </c>
      <c r="J54" s="1">
        <f>[1]Brazil!$H$26</f>
        <v>0.38008299999999995</v>
      </c>
      <c r="K54" s="1">
        <f>[1]Brazil!$J$26</f>
        <v>0.62716847279999999</v>
      </c>
      <c r="L54" s="1">
        <f>[1]Brazil!$L$26</f>
        <v>0.42080788959999998</v>
      </c>
      <c r="M54" s="1"/>
      <c r="N54" s="1"/>
      <c r="O54" s="1"/>
      <c r="P54" s="1">
        <v>4</v>
      </c>
      <c r="Q54" s="2">
        <v>2016</v>
      </c>
      <c r="R54" s="2" t="s">
        <v>49</v>
      </c>
      <c r="S54" s="2">
        <v>4</v>
      </c>
      <c r="T54" s="2">
        <v>13</v>
      </c>
    </row>
    <row r="55" spans="1:20">
      <c r="A55" s="1" t="s">
        <v>37</v>
      </c>
      <c r="B55" s="1" t="s">
        <v>26</v>
      </c>
      <c r="C55" s="1" t="s">
        <v>15</v>
      </c>
      <c r="D55" s="1">
        <v>1</v>
      </c>
      <c r="E55" s="1" t="s">
        <v>16</v>
      </c>
      <c r="F55" s="1">
        <f>'[1]Elgi-Italy'!$B$6</f>
        <v>115.2</v>
      </c>
      <c r="G55" s="1">
        <f>'[1]Elgi-Italy'!$D$6</f>
        <v>109.0848072605001</v>
      </c>
      <c r="H55" s="1"/>
      <c r="I55" s="1">
        <f>'[1]Elgi-Italy'!$F$6</f>
        <v>132.46245631586669</v>
      </c>
      <c r="J55" s="1">
        <f>'[1]Elgi-Italy'!$H$6</f>
        <v>440.85599999999999</v>
      </c>
      <c r="K55" s="1">
        <f>'[1]Elgi-Italy'!$J$6</f>
        <v>440.29478133000009</v>
      </c>
      <c r="L55" s="1">
        <f>'[1]Elgi-Italy'!$L$6</f>
        <v>527.15395462079994</v>
      </c>
      <c r="M55" s="1"/>
      <c r="N55" s="1"/>
      <c r="O55" s="1"/>
      <c r="P55" s="1">
        <v>4</v>
      </c>
      <c r="Q55" s="2">
        <v>2016</v>
      </c>
      <c r="R55" s="2" t="s">
        <v>49</v>
      </c>
      <c r="S55" s="2">
        <v>5</v>
      </c>
      <c r="T55" s="2">
        <v>1</v>
      </c>
    </row>
    <row r="56" spans="1:20">
      <c r="A56" s="1" t="s">
        <v>37</v>
      </c>
      <c r="B56" s="1" t="s">
        <v>23</v>
      </c>
      <c r="C56" s="1" t="s">
        <v>15</v>
      </c>
      <c r="D56" s="1">
        <v>1</v>
      </c>
      <c r="E56" s="1" t="s">
        <v>16</v>
      </c>
      <c r="F56" s="1">
        <f>'[1]Elgi-Italy'!$B$8</f>
        <v>74.496540257334701</v>
      </c>
      <c r="G56" s="1">
        <f>'[1]Elgi-Italy'!$D$8</f>
        <v>70.7339908439167</v>
      </c>
      <c r="H56" s="1"/>
      <c r="I56" s="1">
        <f>'[1]Elgi-Italy'!$F$8</f>
        <v>87.561127125283235</v>
      </c>
      <c r="J56" s="1">
        <f>'[1]Elgi-Italy'!$H$8</f>
        <v>285.28644786331114</v>
      </c>
      <c r="K56" s="1">
        <f>'[1]Elgi-Italy'!$J$8</f>
        <v>286.33604782125002</v>
      </c>
      <c r="L56" s="1">
        <f>'[1]Elgi-Italy'!$L$8</f>
        <v>352.87317026674998</v>
      </c>
      <c r="M56" s="1"/>
      <c r="N56" s="1"/>
      <c r="O56" s="1"/>
      <c r="P56" s="1">
        <v>4</v>
      </c>
      <c r="Q56" s="2">
        <v>2016</v>
      </c>
      <c r="R56" s="2" t="s">
        <v>49</v>
      </c>
      <c r="S56" s="2">
        <v>5</v>
      </c>
      <c r="T56" s="2">
        <v>2</v>
      </c>
    </row>
    <row r="57" spans="1:20">
      <c r="A57" s="1" t="s">
        <v>37</v>
      </c>
      <c r="B57" s="1" t="s">
        <v>25</v>
      </c>
      <c r="C57" s="1" t="s">
        <v>15</v>
      </c>
      <c r="D57" s="1">
        <v>1</v>
      </c>
      <c r="E57" s="1" t="s">
        <v>16</v>
      </c>
      <c r="F57" s="1">
        <f>'[1]Elgi-Italy'!$B$9</f>
        <v>3.3171391369305705</v>
      </c>
      <c r="G57" s="1">
        <f>'[1]Elgi-Italy'!$D$9</f>
        <v>2.9869932939166661</v>
      </c>
      <c r="H57" s="1"/>
      <c r="I57" s="1">
        <f>'[1]Elgi-Italy'!$F$9</f>
        <v>4.1547723003833337</v>
      </c>
      <c r="J57" s="1">
        <f>'[1]Elgi-Italy'!$H$9</f>
        <v>12.738093770715976</v>
      </c>
      <c r="K57" s="1">
        <f>'[1]Elgi-Italy'!$J$9</f>
        <v>10.350570843750001</v>
      </c>
      <c r="L57" s="1">
        <f>'[1]Elgi-Italy'!$L$9</f>
        <v>16.816001859050001</v>
      </c>
      <c r="M57" s="1"/>
      <c r="N57" s="1"/>
      <c r="O57" s="1"/>
      <c r="P57" s="1">
        <v>4</v>
      </c>
      <c r="Q57" s="2">
        <v>2016</v>
      </c>
      <c r="R57" s="2" t="s">
        <v>49</v>
      </c>
      <c r="S57" s="2">
        <v>5</v>
      </c>
      <c r="T57" s="2">
        <v>3</v>
      </c>
    </row>
    <row r="58" spans="1:20">
      <c r="A58" s="1" t="s">
        <v>37</v>
      </c>
      <c r="B58" s="1" t="s">
        <v>18</v>
      </c>
      <c r="C58" s="1" t="s">
        <v>15</v>
      </c>
      <c r="D58" s="1">
        <v>1</v>
      </c>
      <c r="E58" s="1" t="s">
        <v>16</v>
      </c>
      <c r="F58" s="1">
        <f>'[1]Elgi-Italy'!$B$14</f>
        <v>20.003999999999998</v>
      </c>
      <c r="G58" s="1">
        <f>'[1]Elgi-Italy'!$D$14</f>
        <v>20.050963259583312</v>
      </c>
      <c r="H58" s="1"/>
      <c r="I58" s="1">
        <f>'[1]Elgi-Italy'!$F$14</f>
        <v>18.958604973300005</v>
      </c>
      <c r="J58" s="1">
        <f>'[1]Elgi-Italy'!$H$14</f>
        <v>81.21791039999998</v>
      </c>
      <c r="K58" s="1">
        <f>'[1]Elgi-Italy'!$J$14</f>
        <v>86.71969426874999</v>
      </c>
      <c r="L58" s="1">
        <f>'[1]Elgi-Italy'!$L$14</f>
        <v>78.114150261700004</v>
      </c>
      <c r="M58" s="1"/>
      <c r="N58" s="1"/>
      <c r="O58" s="1"/>
      <c r="P58" s="1">
        <v>4</v>
      </c>
      <c r="Q58" s="2">
        <v>2016</v>
      </c>
      <c r="R58" s="2" t="s">
        <v>49</v>
      </c>
      <c r="S58" s="2">
        <v>5</v>
      </c>
      <c r="T58" s="2">
        <v>4</v>
      </c>
    </row>
    <row r="59" spans="1:20">
      <c r="A59" s="1" t="s">
        <v>37</v>
      </c>
      <c r="B59" s="1" t="s">
        <v>20</v>
      </c>
      <c r="C59" s="1" t="s">
        <v>15</v>
      </c>
      <c r="D59" s="1">
        <v>1</v>
      </c>
      <c r="E59" s="1" t="s">
        <v>16</v>
      </c>
      <c r="F59" s="1">
        <f>'[1]Elgi-Italy'!$B$15</f>
        <v>4.478423997084132</v>
      </c>
      <c r="G59" s="1">
        <f>'[1]Elgi-Italy'!$D$15</f>
        <v>5.6119754980000032</v>
      </c>
      <c r="H59" s="1"/>
      <c r="I59" s="1">
        <f>'[1]Elgi-Italy'!$F$15</f>
        <v>4.4188041759166676</v>
      </c>
      <c r="J59" s="1">
        <f>'[1]Elgi-Italy'!$H$15</f>
        <v>20.864710888425559</v>
      </c>
      <c r="K59" s="1">
        <f>'[1]Elgi-Italy'!$J$15</f>
        <v>20.287457940000003</v>
      </c>
      <c r="L59" s="1">
        <f>'[1]Elgi-Italy'!$L$15</f>
        <v>17.884177877649996</v>
      </c>
      <c r="M59" s="1"/>
      <c r="N59" s="1"/>
      <c r="O59" s="1"/>
      <c r="P59" s="1">
        <v>4</v>
      </c>
      <c r="Q59" s="2">
        <v>2016</v>
      </c>
      <c r="R59" s="2" t="s">
        <v>49</v>
      </c>
      <c r="S59" s="2">
        <v>5</v>
      </c>
      <c r="T59" s="2">
        <v>5</v>
      </c>
    </row>
    <row r="60" spans="1:20">
      <c r="A60" s="1" t="s">
        <v>37</v>
      </c>
      <c r="B60" s="1" t="s">
        <v>32</v>
      </c>
      <c r="C60" s="1" t="s">
        <v>15</v>
      </c>
      <c r="D60" s="1">
        <v>1</v>
      </c>
      <c r="E60" s="1" t="s">
        <v>16</v>
      </c>
      <c r="F60" s="1">
        <f>'[1]Elgi-Italy'!$B$16</f>
        <v>0</v>
      </c>
      <c r="G60" s="1">
        <f>'[1]Elgi-Italy'!$D$16</f>
        <v>-2.4117447916666673E-2</v>
      </c>
      <c r="H60" s="1"/>
      <c r="I60" s="1">
        <f>'[1]Elgi-Italy'!$F$16</f>
        <v>-5.8019646400000013E-2</v>
      </c>
      <c r="J60" s="1">
        <f>'[1]Elgi-Italy'!$H$16</f>
        <v>0</v>
      </c>
      <c r="K60" s="1">
        <f>'[1]Elgi-Italy'!$J$16</f>
        <v>-0.16339007624999999</v>
      </c>
      <c r="L60" s="1">
        <f>'[1]Elgi-Italy'!$L$16</f>
        <v>1.4132903660000002</v>
      </c>
      <c r="M60" s="1"/>
      <c r="N60" s="1"/>
      <c r="O60" s="1"/>
      <c r="P60" s="1">
        <v>4</v>
      </c>
      <c r="Q60" s="2">
        <v>2016</v>
      </c>
      <c r="R60" s="2" t="s">
        <v>49</v>
      </c>
      <c r="S60" s="2">
        <v>5</v>
      </c>
      <c r="T60" s="2">
        <v>6</v>
      </c>
    </row>
    <row r="61" spans="1:20">
      <c r="A61" s="1" t="s">
        <v>37</v>
      </c>
      <c r="B61" s="1" t="s">
        <v>24</v>
      </c>
      <c r="C61" s="1" t="s">
        <v>15</v>
      </c>
      <c r="D61" s="1">
        <v>1</v>
      </c>
      <c r="E61" s="1" t="s">
        <v>16</v>
      </c>
      <c r="F61" s="1">
        <f>'[1]Elgi-Italy'!$B$20</f>
        <v>3.947260482675162E-2</v>
      </c>
      <c r="G61" s="1">
        <f>'[1]Elgi-Italy'!$D$20</f>
        <v>2.7180429583333388E-2</v>
      </c>
      <c r="H61" s="1"/>
      <c r="I61" s="1">
        <f>'[1]Elgi-Italy'!$F$20</f>
        <v>3.7107428333332798E-4</v>
      </c>
      <c r="J61" s="1">
        <f>'[1]Elgi-Italy'!$H$20</f>
        <v>0.14750419016196745</v>
      </c>
      <c r="K61" s="1">
        <f>'[1]Elgi-Italy'!$J$20</f>
        <v>0.35084050124999999</v>
      </c>
      <c r="L61" s="1">
        <f>'[1]Elgi-Italy'!$L$20</f>
        <v>9.703003415E-2</v>
      </c>
      <c r="M61" s="1"/>
      <c r="N61" s="1"/>
      <c r="O61" s="1"/>
      <c r="P61" s="1">
        <v>4</v>
      </c>
      <c r="Q61" s="2">
        <v>2016</v>
      </c>
      <c r="R61" s="2" t="s">
        <v>49</v>
      </c>
      <c r="S61" s="2">
        <v>5</v>
      </c>
      <c r="T61" s="2">
        <v>7</v>
      </c>
    </row>
    <row r="62" spans="1:20">
      <c r="A62" s="1" t="s">
        <v>37</v>
      </c>
      <c r="B62" s="1" t="s">
        <v>22</v>
      </c>
      <c r="C62" s="1" t="s">
        <v>15</v>
      </c>
      <c r="D62" s="1">
        <v>1</v>
      </c>
      <c r="E62" s="1" t="s">
        <v>16</v>
      </c>
      <c r="F62" s="1">
        <f>'[1]Elgi-Italy'!$B$21</f>
        <v>0</v>
      </c>
      <c r="G62" s="1">
        <f>'[1]Elgi-Italy'!$D$21</f>
        <v>0</v>
      </c>
      <c r="H62" s="1"/>
      <c r="I62" s="1">
        <f>'[1]Elgi-Italy'!$F$21</f>
        <v>0</v>
      </c>
      <c r="J62" s="1">
        <f>'[1]Elgi-Italy'!$H$21</f>
        <v>0</v>
      </c>
      <c r="K62" s="1">
        <f>'[1]Elgi-Italy'!$J$21</f>
        <v>0</v>
      </c>
      <c r="L62" s="1">
        <f>'[1]Elgi-Italy'!$L$21</f>
        <v>0</v>
      </c>
      <c r="M62" s="1"/>
      <c r="N62" s="1"/>
      <c r="O62" s="1"/>
      <c r="P62" s="1">
        <v>4</v>
      </c>
      <c r="Q62" s="2">
        <v>2016</v>
      </c>
      <c r="R62" s="2" t="s">
        <v>49</v>
      </c>
      <c r="S62" s="2">
        <v>5</v>
      </c>
      <c r="T62" s="2">
        <v>8</v>
      </c>
    </row>
    <row r="63" spans="1:20">
      <c r="A63" s="1" t="s">
        <v>37</v>
      </c>
      <c r="B63" s="1" t="s">
        <v>19</v>
      </c>
      <c r="C63" s="1" t="s">
        <v>15</v>
      </c>
      <c r="D63" s="1">
        <v>1</v>
      </c>
      <c r="E63" s="1" t="s">
        <v>16</v>
      </c>
      <c r="F63" s="1">
        <f>'[1]Elgi-Italy'!$B$22</f>
        <v>6.57876747112527E-2</v>
      </c>
      <c r="G63" s="1">
        <f>'[1]Elgi-Italy'!$D$22</f>
        <v>4.167022083333527E-3</v>
      </c>
      <c r="H63" s="1"/>
      <c r="I63" s="1">
        <f>'[1]Elgi-Italy'!$F$22</f>
        <v>-0.13652022941666667</v>
      </c>
      <c r="J63" s="1">
        <f>'[1]Elgi-Italy'!$H$22</f>
        <v>0.24584031693661246</v>
      </c>
      <c r="K63" s="1">
        <f>'[1]Elgi-Italy'!$J$22</f>
        <v>-0.51164421374999991</v>
      </c>
      <c r="L63" s="1">
        <f>'[1]Elgi-Italy'!$L$22</f>
        <v>-0.13861642595000001</v>
      </c>
      <c r="M63" s="1"/>
      <c r="N63" s="1"/>
      <c r="O63" s="1"/>
      <c r="P63" s="1">
        <v>4</v>
      </c>
      <c r="Q63" s="2">
        <v>2016</v>
      </c>
      <c r="R63" s="2" t="s">
        <v>49</v>
      </c>
      <c r="S63" s="2">
        <v>5</v>
      </c>
      <c r="T63" s="2">
        <v>9</v>
      </c>
    </row>
    <row r="64" spans="1:20">
      <c r="A64" s="1" t="s">
        <v>37</v>
      </c>
      <c r="B64" s="1" t="s">
        <v>21</v>
      </c>
      <c r="C64" s="1" t="s">
        <v>15</v>
      </c>
      <c r="D64" s="1">
        <v>1</v>
      </c>
      <c r="E64" s="1" t="s">
        <v>16</v>
      </c>
      <c r="F64" s="1">
        <f>'[1]Elgi-Italy'!$B$23</f>
        <v>0.26750788486160526</v>
      </c>
      <c r="G64" s="1">
        <f>'[1]Elgi-Italy'!$D$23</f>
        <v>2.0845177809166664</v>
      </c>
      <c r="H64" s="1"/>
      <c r="I64" s="1">
        <f>'[1]Elgi-Italy'!$F$23</f>
        <v>1.7207630356666677</v>
      </c>
      <c r="J64" s="1">
        <f>'[1]Elgi-Italy'!$H$23</f>
        <v>1.070031539446421</v>
      </c>
      <c r="K64" s="1">
        <f>'[1]Elgi-Italy'!$J$23</f>
        <v>8.2130922787500005</v>
      </c>
      <c r="L64" s="1">
        <f>'[1]Elgi-Italy'!$L$23</f>
        <v>8.8394688074000012</v>
      </c>
      <c r="M64" s="1"/>
      <c r="N64" s="1"/>
      <c r="O64" s="1"/>
      <c r="P64" s="1">
        <v>4</v>
      </c>
      <c r="Q64" s="2">
        <v>2016</v>
      </c>
      <c r="R64" s="2" t="s">
        <v>49</v>
      </c>
      <c r="S64" s="2">
        <v>5</v>
      </c>
      <c r="T64" s="2">
        <v>10</v>
      </c>
    </row>
    <row r="65" spans="1:20">
      <c r="A65" s="1" t="s">
        <v>37</v>
      </c>
      <c r="B65" s="1" t="s">
        <v>17</v>
      </c>
      <c r="C65" s="1" t="s">
        <v>15</v>
      </c>
      <c r="D65" s="1">
        <v>1</v>
      </c>
      <c r="E65" s="1" t="s">
        <v>16</v>
      </c>
      <c r="F65" s="1">
        <f>'[1]Elgi-Italy'!$B$24</f>
        <v>0</v>
      </c>
      <c r="G65" s="1">
        <f>'[1]Elgi-Italy'!$D$24</f>
        <v>0</v>
      </c>
      <c r="H65" s="1"/>
      <c r="I65" s="1">
        <f>'[1]Elgi-Italy'!$F$24</f>
        <v>0</v>
      </c>
      <c r="J65" s="1">
        <f>'[1]Elgi-Italy'!$H$24</f>
        <v>0</v>
      </c>
      <c r="K65" s="1">
        <f>'[1]Elgi-Italy'!$J$24</f>
        <v>0</v>
      </c>
      <c r="L65" s="1">
        <f>'[1]Elgi-Italy'!$L$24</f>
        <v>0</v>
      </c>
      <c r="M65" s="1"/>
      <c r="N65" s="1"/>
      <c r="O65" s="1"/>
      <c r="P65" s="1">
        <v>4</v>
      </c>
      <c r="Q65" s="2">
        <v>2016</v>
      </c>
      <c r="R65" s="2" t="s">
        <v>49</v>
      </c>
      <c r="S65" s="2">
        <v>5</v>
      </c>
      <c r="T65" s="2">
        <v>11</v>
      </c>
    </row>
    <row r="66" spans="1:20">
      <c r="A66" s="1" t="s">
        <v>37</v>
      </c>
      <c r="B66" s="1" t="s">
        <v>33</v>
      </c>
      <c r="C66" s="1" t="s">
        <v>15</v>
      </c>
      <c r="D66" s="1">
        <v>1</v>
      </c>
      <c r="E66" s="1" t="s">
        <v>16</v>
      </c>
      <c r="F66" s="1">
        <f>'[1]Elgi-Italy'!$B$25</f>
        <v>0</v>
      </c>
      <c r="G66" s="1">
        <f>'[1]Elgi-Italy'!$D$25</f>
        <v>0</v>
      </c>
      <c r="H66" s="1"/>
      <c r="I66" s="1">
        <f>'[1]Elgi-Italy'!$F$25</f>
        <v>0</v>
      </c>
      <c r="J66" s="1">
        <f>'[1]Elgi-Italy'!$H$25</f>
        <v>0</v>
      </c>
      <c r="K66" s="1">
        <f>'[1]Elgi-Italy'!$J$25</f>
        <v>0</v>
      </c>
      <c r="L66" s="1">
        <f>'[1]Elgi-Italy'!$L$25</f>
        <v>0</v>
      </c>
      <c r="M66" s="1"/>
      <c r="N66" s="1"/>
      <c r="O66" s="1"/>
      <c r="P66" s="1">
        <v>4</v>
      </c>
      <c r="Q66" s="2">
        <v>2016</v>
      </c>
      <c r="R66" s="2" t="s">
        <v>49</v>
      </c>
      <c r="S66" s="2">
        <v>5</v>
      </c>
      <c r="T66" s="2">
        <v>12</v>
      </c>
    </row>
    <row r="67" spans="1:20">
      <c r="A67" s="1" t="s">
        <v>37</v>
      </c>
      <c r="B67" s="1" t="s">
        <v>14</v>
      </c>
      <c r="C67" s="1" t="s">
        <v>15</v>
      </c>
      <c r="D67" s="1">
        <v>1</v>
      </c>
      <c r="E67" s="1" t="s">
        <v>16</v>
      </c>
      <c r="F67" s="1">
        <f>'[1]Elgi-Italy'!$B$26</f>
        <v>0.99359999999999993</v>
      </c>
      <c r="G67" s="1">
        <f>'[1]Elgi-Italy'!$D$26</f>
        <v>0.85310499075000035</v>
      </c>
      <c r="H67" s="1"/>
      <c r="I67" s="1">
        <f>'[1]Elgi-Italy'!$F$26</f>
        <v>0.79351894898333342</v>
      </c>
      <c r="J67" s="1">
        <f>'[1]Elgi-Italy'!$H$26</f>
        <v>3.7008000000000001</v>
      </c>
      <c r="K67" s="1">
        <f>'[1]Elgi-Italy'!$J$26</f>
        <v>3.4320603712500004</v>
      </c>
      <c r="L67" s="1">
        <f>'[1]Elgi-Italy'!$L$26</f>
        <v>3.2492704456500006</v>
      </c>
      <c r="M67" s="1"/>
      <c r="N67" s="1"/>
      <c r="O67" s="1"/>
      <c r="P67" s="1">
        <v>4</v>
      </c>
      <c r="Q67" s="2">
        <v>2016</v>
      </c>
      <c r="R67" s="2" t="s">
        <v>49</v>
      </c>
      <c r="S67" s="2">
        <v>5</v>
      </c>
      <c r="T67" s="2">
        <v>13</v>
      </c>
    </row>
    <row r="68" spans="1:20">
      <c r="A68" s="1" t="s">
        <v>38</v>
      </c>
      <c r="B68" s="1" t="s">
        <v>26</v>
      </c>
      <c r="C68" s="1" t="s">
        <v>15</v>
      </c>
      <c r="D68" s="1">
        <v>1</v>
      </c>
      <c r="E68" s="1" t="s">
        <v>16</v>
      </c>
      <c r="F68" s="1">
        <f>[1]Gulf!$B$6</f>
        <v>50.47</v>
      </c>
      <c r="G68" s="1">
        <f>[1]Gulf!$D$6</f>
        <v>38.995394416890022</v>
      </c>
      <c r="H68" s="1"/>
      <c r="I68" s="1">
        <f>[1]Gulf!$F$6</f>
        <v>33.897660000000002</v>
      </c>
      <c r="J68" s="1">
        <f>[1]Gulf!$H$6</f>
        <v>199.09933988035468</v>
      </c>
      <c r="K68" s="1">
        <f>[1]Gulf!$J$6</f>
        <v>156.11701557570001</v>
      </c>
      <c r="L68" s="1">
        <f>[1]Gulf!$L$6</f>
        <v>135.83512500000001</v>
      </c>
      <c r="M68" s="1"/>
      <c r="N68" s="1"/>
      <c r="O68" s="1"/>
      <c r="P68" s="1">
        <v>4</v>
      </c>
      <c r="Q68" s="2">
        <v>2016</v>
      </c>
      <c r="R68" s="2" t="s">
        <v>49</v>
      </c>
      <c r="S68" s="2">
        <v>6</v>
      </c>
      <c r="T68" s="2">
        <v>1</v>
      </c>
    </row>
    <row r="69" spans="1:20">
      <c r="A69" s="1" t="s">
        <v>38</v>
      </c>
      <c r="B69" s="1" t="s">
        <v>23</v>
      </c>
      <c r="C69" s="1" t="s">
        <v>15</v>
      </c>
      <c r="D69" s="1">
        <v>1</v>
      </c>
      <c r="E69" s="1" t="s">
        <v>16</v>
      </c>
      <c r="F69" s="1">
        <f>[1]Gulf!$B$8</f>
        <v>37.590000000000003</v>
      </c>
      <c r="G69" s="1">
        <f>[1]Gulf!$D$8</f>
        <v>28.142354765249976</v>
      </c>
      <c r="H69" s="1"/>
      <c r="I69" s="1">
        <f>[1]Gulf!$F$8</f>
        <v>22.19248</v>
      </c>
      <c r="J69" s="1">
        <f>[1]Gulf!$H$8</f>
        <v>149.19873841158477</v>
      </c>
      <c r="K69" s="1">
        <f>[1]Gulf!$J$8</f>
        <v>115.50039998354998</v>
      </c>
      <c r="L69" s="1">
        <f>[1]Gulf!$L$8</f>
        <v>93.694971837400004</v>
      </c>
      <c r="M69" s="1"/>
      <c r="N69" s="1"/>
      <c r="O69" s="1"/>
      <c r="P69" s="1">
        <v>4</v>
      </c>
      <c r="Q69" s="2">
        <v>2016</v>
      </c>
      <c r="R69" s="2" t="s">
        <v>49</v>
      </c>
      <c r="S69" s="2">
        <v>6</v>
      </c>
      <c r="T69" s="2">
        <v>2</v>
      </c>
    </row>
    <row r="70" spans="1:20">
      <c r="A70" s="1" t="s">
        <v>38</v>
      </c>
      <c r="B70" s="1" t="s">
        <v>25</v>
      </c>
      <c r="C70" s="1" t="s">
        <v>15</v>
      </c>
      <c r="D70" s="1">
        <v>1</v>
      </c>
      <c r="E70" s="1" t="s">
        <v>16</v>
      </c>
      <c r="F70" s="1">
        <f>[1]Gulf!$B$9</f>
        <v>0.76</v>
      </c>
      <c r="G70" s="1">
        <f>[1]Gulf!$D$9</f>
        <v>0.40128604320000028</v>
      </c>
      <c r="H70" s="1"/>
      <c r="I70" s="1">
        <f>[1]Gulf!$F$9</f>
        <v>0.74425999999999992</v>
      </c>
      <c r="J70" s="1">
        <f>[1]Gulf!$H$9</f>
        <v>2.9894400982053195</v>
      </c>
      <c r="K70" s="1">
        <f>[1]Gulf!$J$9</f>
        <v>2.7328377792</v>
      </c>
      <c r="L70" s="1">
        <f>[1]Gulf!$L$9</f>
        <v>3.06426</v>
      </c>
      <c r="M70" s="1"/>
      <c r="N70" s="1"/>
      <c r="O70" s="1"/>
      <c r="P70" s="1">
        <v>4</v>
      </c>
      <c r="Q70" s="2">
        <v>2016</v>
      </c>
      <c r="R70" s="2" t="s">
        <v>49</v>
      </c>
      <c r="S70" s="2">
        <v>6</v>
      </c>
      <c r="T70" s="2">
        <v>3</v>
      </c>
    </row>
    <row r="71" spans="1:20">
      <c r="A71" s="1" t="s">
        <v>38</v>
      </c>
      <c r="B71" s="1" t="s">
        <v>18</v>
      </c>
      <c r="C71" s="1" t="s">
        <v>15</v>
      </c>
      <c r="D71" s="1">
        <v>1</v>
      </c>
      <c r="E71" s="1" t="s">
        <v>16</v>
      </c>
      <c r="F71" s="1">
        <f>[1]Gulf!$B$14</f>
        <v>4.3457188477643651</v>
      </c>
      <c r="G71" s="1">
        <f>[1]Gulf!$D$14</f>
        <v>5.0018085520499991</v>
      </c>
      <c r="H71" s="1"/>
      <c r="I71" s="1">
        <f>[1]Gulf!$F$14</f>
        <v>4.6586368812999996</v>
      </c>
      <c r="J71" s="1">
        <f>[1]Gulf!$H$14</f>
        <v>17.38287539105746</v>
      </c>
      <c r="K71" s="1">
        <f>[1]Gulf!$J$14</f>
        <v>20.474251729950002</v>
      </c>
      <c r="L71" s="1">
        <f>[1]Gulf!$L$14</f>
        <v>18.069074881299997</v>
      </c>
      <c r="M71" s="1"/>
      <c r="N71" s="1"/>
      <c r="O71" s="1"/>
      <c r="P71" s="1">
        <v>4</v>
      </c>
      <c r="Q71" s="2">
        <v>2016</v>
      </c>
      <c r="R71" s="2" t="s">
        <v>49</v>
      </c>
      <c r="S71" s="2">
        <v>6</v>
      </c>
      <c r="T71" s="2">
        <v>4</v>
      </c>
    </row>
    <row r="72" spans="1:20">
      <c r="A72" s="1" t="s">
        <v>38</v>
      </c>
      <c r="B72" s="1" t="s">
        <v>20</v>
      </c>
      <c r="C72" s="1" t="s">
        <v>15</v>
      </c>
      <c r="D72" s="1">
        <v>1</v>
      </c>
      <c r="E72" s="1" t="s">
        <v>16</v>
      </c>
      <c r="F72" s="1">
        <f>[1]Gulf!$B$15</f>
        <v>2.0920133490666668</v>
      </c>
      <c r="G72" s="1">
        <f>[1]Gulf!$D$15</f>
        <v>2.8689724593000001</v>
      </c>
      <c r="H72" s="1"/>
      <c r="I72" s="1">
        <f>[1]Gulf!$F$15</f>
        <v>1.7142686676999992</v>
      </c>
      <c r="J72" s="1">
        <f>[1]Gulf!$H$15</f>
        <v>8.3680533962666637</v>
      </c>
      <c r="K72" s="1">
        <f>[1]Gulf!$J$15</f>
        <v>10.004768396100003</v>
      </c>
      <c r="L72" s="1">
        <f>[1]Gulf!$L$15</f>
        <v>8.1742686676999998</v>
      </c>
      <c r="M72" s="1"/>
      <c r="N72" s="1"/>
      <c r="O72" s="1"/>
      <c r="P72" s="1">
        <v>4</v>
      </c>
      <c r="Q72" s="2">
        <v>2016</v>
      </c>
      <c r="R72" s="2" t="s">
        <v>49</v>
      </c>
      <c r="S72" s="2">
        <v>6</v>
      </c>
      <c r="T72" s="2">
        <v>5</v>
      </c>
    </row>
    <row r="73" spans="1:20">
      <c r="A73" s="1" t="s">
        <v>38</v>
      </c>
      <c r="B73" s="1" t="s">
        <v>32</v>
      </c>
      <c r="C73" s="1" t="s">
        <v>15</v>
      </c>
      <c r="D73" s="1">
        <v>1</v>
      </c>
      <c r="E73" s="1" t="s">
        <v>16</v>
      </c>
      <c r="F73" s="1">
        <f>[1]Gulf!$B$16</f>
        <v>0</v>
      </c>
      <c r="G73" s="1">
        <f>[1]Gulf!$D$16</f>
        <v>7.2965855850000039E-2</v>
      </c>
      <c r="H73" s="1"/>
      <c r="I73" s="1">
        <f>[1]Gulf!$F$16</f>
        <v>4.9987884599999997E-2</v>
      </c>
      <c r="J73" s="1">
        <f>[1]Gulf!$H$16</f>
        <v>0</v>
      </c>
      <c r="K73" s="1">
        <f>[1]Gulf!$J$16</f>
        <v>0.55091896215000002</v>
      </c>
      <c r="L73" s="1">
        <f>[1]Gulf!$L$16</f>
        <v>0.17851788460000001</v>
      </c>
      <c r="M73" s="1"/>
      <c r="N73" s="1"/>
      <c r="O73" s="1"/>
      <c r="P73" s="1">
        <v>4</v>
      </c>
      <c r="Q73" s="2">
        <v>2016</v>
      </c>
      <c r="R73" s="2" t="s">
        <v>49</v>
      </c>
      <c r="S73" s="2">
        <v>6</v>
      </c>
      <c r="T73" s="2">
        <v>6</v>
      </c>
    </row>
    <row r="74" spans="1:20">
      <c r="A74" s="1" t="s">
        <v>38</v>
      </c>
      <c r="B74" s="1" t="s">
        <v>24</v>
      </c>
      <c r="C74" s="1" t="s">
        <v>15</v>
      </c>
      <c r="D74" s="1">
        <v>1</v>
      </c>
      <c r="E74" s="1" t="s">
        <v>16</v>
      </c>
      <c r="F74" s="1">
        <f>[1]Gulf!$B$20</f>
        <v>0</v>
      </c>
      <c r="G74" s="1">
        <f>[1]Gulf!$D$20</f>
        <v>1.7159761200000068E-2</v>
      </c>
      <c r="H74" s="1"/>
      <c r="I74" s="1">
        <f>[1]Gulf!$F$20</f>
        <v>0</v>
      </c>
      <c r="J74" s="1">
        <f>[1]Gulf!$H$20</f>
        <v>0</v>
      </c>
      <c r="K74" s="1">
        <f>[1]Gulf!$J$20</f>
        <v>0.70904854380000004</v>
      </c>
      <c r="L74" s="1">
        <f>[1]Gulf!$L$20</f>
        <v>0</v>
      </c>
      <c r="M74" s="1"/>
      <c r="N74" s="1"/>
      <c r="O74" s="1"/>
      <c r="P74" s="1">
        <v>4</v>
      </c>
      <c r="Q74" s="2">
        <v>2016</v>
      </c>
      <c r="R74" s="2" t="s">
        <v>49</v>
      </c>
      <c r="S74" s="2">
        <v>6</v>
      </c>
      <c r="T74" s="2">
        <v>7</v>
      </c>
    </row>
    <row r="75" spans="1:20">
      <c r="A75" s="1" t="s">
        <v>38</v>
      </c>
      <c r="B75" s="1" t="s">
        <v>22</v>
      </c>
      <c r="C75" s="1" t="s">
        <v>15</v>
      </c>
      <c r="D75" s="1">
        <v>1</v>
      </c>
      <c r="E75" s="1" t="s">
        <v>16</v>
      </c>
      <c r="F75" s="1">
        <f>[1]Gulf!$B$21</f>
        <v>0</v>
      </c>
      <c r="G75" s="1">
        <f>[1]Gulf!$D$21</f>
        <v>0</v>
      </c>
      <c r="H75" s="1"/>
      <c r="I75" s="1">
        <f>[1]Gulf!$F$21</f>
        <v>0</v>
      </c>
      <c r="J75" s="1">
        <f>[1]Gulf!$H$21</f>
        <v>0</v>
      </c>
      <c r="K75" s="1">
        <f>[1]Gulf!$J$21</f>
        <v>0</v>
      </c>
      <c r="L75" s="1">
        <f>[1]Gulf!$L$21</f>
        <v>0</v>
      </c>
      <c r="M75" s="1"/>
      <c r="N75" s="1"/>
      <c r="O75" s="1"/>
      <c r="P75" s="1">
        <v>4</v>
      </c>
      <c r="Q75" s="2">
        <v>2016</v>
      </c>
      <c r="R75" s="2" t="s">
        <v>49</v>
      </c>
      <c r="S75" s="2">
        <v>6</v>
      </c>
      <c r="T75" s="2">
        <v>8</v>
      </c>
    </row>
    <row r="76" spans="1:20">
      <c r="A76" s="1" t="s">
        <v>38</v>
      </c>
      <c r="B76" s="1" t="s">
        <v>19</v>
      </c>
      <c r="C76" s="1" t="s">
        <v>15</v>
      </c>
      <c r="D76" s="1">
        <v>1</v>
      </c>
      <c r="E76" s="1" t="s">
        <v>16</v>
      </c>
      <c r="F76" s="1">
        <f>[1]Gulf!$B$22</f>
        <v>0</v>
      </c>
      <c r="G76" s="1">
        <f>[1]Gulf!$D$22</f>
        <v>0</v>
      </c>
      <c r="H76" s="1"/>
      <c r="I76" s="1">
        <f>[1]Gulf!$F$22</f>
        <v>0</v>
      </c>
      <c r="J76" s="1">
        <f>[1]Gulf!$H$22</f>
        <v>0</v>
      </c>
      <c r="K76" s="1">
        <f>[1]Gulf!$J$22</f>
        <v>0</v>
      </c>
      <c r="L76" s="1">
        <f>[1]Gulf!$L$22</f>
        <v>0</v>
      </c>
      <c r="M76" s="1"/>
      <c r="N76" s="1"/>
      <c r="O76" s="1"/>
      <c r="P76" s="1">
        <v>4</v>
      </c>
      <c r="Q76" s="2">
        <v>2016</v>
      </c>
      <c r="R76" s="2" t="s">
        <v>49</v>
      </c>
      <c r="S76" s="2">
        <v>6</v>
      </c>
      <c r="T76" s="2">
        <v>9</v>
      </c>
    </row>
    <row r="77" spans="1:20">
      <c r="A77" s="1" t="s">
        <v>38</v>
      </c>
      <c r="B77" s="1" t="s">
        <v>21</v>
      </c>
      <c r="C77" s="1" t="s">
        <v>15</v>
      </c>
      <c r="D77" s="1">
        <v>1</v>
      </c>
      <c r="E77" s="1" t="s">
        <v>16</v>
      </c>
      <c r="F77" s="1">
        <f>[1]Gulf!$B$23</f>
        <v>0</v>
      </c>
      <c r="G77" s="1">
        <f>[1]Gulf!$D$23</f>
        <v>0</v>
      </c>
      <c r="H77" s="1"/>
      <c r="I77" s="1">
        <f>[1]Gulf!$F$23</f>
        <v>0</v>
      </c>
      <c r="J77" s="1">
        <f>[1]Gulf!$H$23</f>
        <v>0</v>
      </c>
      <c r="K77" s="1">
        <f>[1]Gulf!$J$23</f>
        <v>0</v>
      </c>
      <c r="L77" s="1">
        <f>[1]Gulf!$L$23</f>
        <v>0</v>
      </c>
      <c r="M77" s="1"/>
      <c r="N77" s="1"/>
      <c r="O77" s="1"/>
      <c r="P77" s="1">
        <v>4</v>
      </c>
      <c r="Q77" s="2">
        <v>2016</v>
      </c>
      <c r="R77" s="2" t="s">
        <v>49</v>
      </c>
      <c r="S77" s="2">
        <v>6</v>
      </c>
      <c r="T77" s="2">
        <v>10</v>
      </c>
    </row>
    <row r="78" spans="1:20">
      <c r="A78" s="1" t="s">
        <v>38</v>
      </c>
      <c r="B78" s="1" t="s">
        <v>17</v>
      </c>
      <c r="C78" s="1" t="s">
        <v>15</v>
      </c>
      <c r="D78" s="1">
        <v>1</v>
      </c>
      <c r="E78" s="1" t="s">
        <v>16</v>
      </c>
      <c r="F78" s="1">
        <f>[1]Gulf!$B$24</f>
        <v>0</v>
      </c>
      <c r="G78" s="1">
        <f>[1]Gulf!$D$24</f>
        <v>0</v>
      </c>
      <c r="H78" s="1"/>
      <c r="I78" s="1">
        <f>[1]Gulf!$F$24</f>
        <v>0</v>
      </c>
      <c r="J78" s="1">
        <f>[1]Gulf!$H$24</f>
        <v>0</v>
      </c>
      <c r="K78" s="1">
        <f>[1]Gulf!$J$24</f>
        <v>0</v>
      </c>
      <c r="L78" s="1">
        <f>[1]Gulf!$L$24</f>
        <v>0</v>
      </c>
      <c r="M78" s="1"/>
      <c r="N78" s="1"/>
      <c r="O78" s="1"/>
      <c r="P78" s="1">
        <v>4</v>
      </c>
      <c r="Q78" s="2">
        <v>2016</v>
      </c>
      <c r="R78" s="2" t="s">
        <v>49</v>
      </c>
      <c r="S78" s="2">
        <v>6</v>
      </c>
      <c r="T78" s="2">
        <v>11</v>
      </c>
    </row>
    <row r="79" spans="1:20">
      <c r="A79" s="1" t="s">
        <v>38</v>
      </c>
      <c r="B79" s="1" t="s">
        <v>33</v>
      </c>
      <c r="C79" s="1" t="s">
        <v>15</v>
      </c>
      <c r="D79" s="1">
        <v>1</v>
      </c>
      <c r="E79" s="1" t="s">
        <v>16</v>
      </c>
      <c r="F79" s="1">
        <f>[1]Gulf!$B$25</f>
        <v>0</v>
      </c>
      <c r="G79" s="1">
        <f>[1]Gulf!$D$25</f>
        <v>0</v>
      </c>
      <c r="H79" s="1"/>
      <c r="I79" s="1">
        <f>[1]Gulf!$F$25</f>
        <v>0</v>
      </c>
      <c r="J79" s="1">
        <f>[1]Gulf!$H$25</f>
        <v>0</v>
      </c>
      <c r="K79" s="1">
        <f>[1]Gulf!$J$25</f>
        <v>0</v>
      </c>
      <c r="L79" s="1">
        <f>[1]Gulf!$L$25</f>
        <v>0</v>
      </c>
      <c r="M79" s="1"/>
      <c r="N79" s="1"/>
      <c r="O79" s="1"/>
      <c r="P79" s="1">
        <v>4</v>
      </c>
      <c r="Q79" s="2">
        <v>2016</v>
      </c>
      <c r="R79" s="2" t="s">
        <v>49</v>
      </c>
      <c r="S79" s="2">
        <v>6</v>
      </c>
      <c r="T79" s="2">
        <v>12</v>
      </c>
    </row>
    <row r="80" spans="1:20">
      <c r="A80" s="1" t="s">
        <v>38</v>
      </c>
      <c r="B80" s="1" t="s">
        <v>14</v>
      </c>
      <c r="C80" s="1" t="s">
        <v>15</v>
      </c>
      <c r="D80" s="1">
        <v>1</v>
      </c>
      <c r="E80" s="1" t="s">
        <v>16</v>
      </c>
      <c r="F80" s="1">
        <f>[1]Gulf!$B$26</f>
        <v>0.09</v>
      </c>
      <c r="G80" s="1">
        <f>[1]Gulf!$D$26</f>
        <v>9.9749422649999919E-2</v>
      </c>
      <c r="H80" s="1"/>
      <c r="I80" s="1">
        <f>[1]Gulf!$F$26</f>
        <v>8.4574999999999997E-2</v>
      </c>
      <c r="J80" s="1">
        <f>[1]Gulf!$H$26</f>
        <v>0.36</v>
      </c>
      <c r="K80" s="1">
        <f>[1]Gulf!$J$26</f>
        <v>0.40758087404999993</v>
      </c>
      <c r="L80" s="1">
        <f>[1]Gulf!$L$26</f>
        <v>0.31952773639999998</v>
      </c>
      <c r="M80" s="1"/>
      <c r="N80" s="1"/>
      <c r="O80" s="1"/>
      <c r="P80" s="1">
        <v>4</v>
      </c>
      <c r="Q80" s="2">
        <v>2016</v>
      </c>
      <c r="R80" s="2" t="s">
        <v>49</v>
      </c>
      <c r="S80" s="2">
        <v>6</v>
      </c>
      <c r="T80" s="2">
        <v>13</v>
      </c>
    </row>
    <row r="81" spans="1:20">
      <c r="A81" s="1" t="s">
        <v>39</v>
      </c>
      <c r="B81" s="1" t="s">
        <v>26</v>
      </c>
      <c r="C81" s="1" t="s">
        <v>15</v>
      </c>
      <c r="D81" s="1">
        <v>1</v>
      </c>
      <c r="E81" s="1" t="s">
        <v>16</v>
      </c>
      <c r="F81" s="1">
        <f>[1]Indonesia!$B$6</f>
        <v>7.4579244166666676</v>
      </c>
      <c r="G81" s="1">
        <f>[1]Indonesia!$D$6</f>
        <v>6.4958420505679797</v>
      </c>
      <c r="H81" s="1"/>
      <c r="I81" s="1">
        <f>[1]Indonesia!$F$6</f>
        <v>5.5474680000000038</v>
      </c>
      <c r="J81" s="1">
        <f>[1]Indonesia!$H$6</f>
        <v>31.526928426041664</v>
      </c>
      <c r="K81" s="1">
        <f>[1]Indonesia!$J$6</f>
        <v>30.778759818470693</v>
      </c>
      <c r="L81" s="1">
        <f>[1]Indonesia!$L$6</f>
        <v>16.983000000000004</v>
      </c>
      <c r="M81" s="1"/>
      <c r="N81" s="1"/>
      <c r="O81" s="1"/>
      <c r="P81" s="1">
        <v>4</v>
      </c>
      <c r="Q81" s="2">
        <v>2016</v>
      </c>
      <c r="R81" s="2" t="s">
        <v>49</v>
      </c>
      <c r="S81" s="2">
        <v>7</v>
      </c>
      <c r="T81" s="2">
        <v>1</v>
      </c>
    </row>
    <row r="82" spans="1:20">
      <c r="A82" s="1" t="s">
        <v>39</v>
      </c>
      <c r="B82" s="1" t="s">
        <v>23</v>
      </c>
      <c r="C82" s="1" t="s">
        <v>15</v>
      </c>
      <c r="D82" s="1">
        <v>1</v>
      </c>
      <c r="E82" s="1" t="s">
        <v>16</v>
      </c>
      <c r="F82" s="1">
        <f>[1]Indonesia!$B$8</f>
        <v>4.4914130817510998</v>
      </c>
      <c r="G82" s="1">
        <f>[1]Indonesia!$D$8</f>
        <v>2.9510010906334303</v>
      </c>
      <c r="H82" s="1"/>
      <c r="I82" s="1">
        <f>[1]Indonesia!$F$8</f>
        <v>2.8802241141790601</v>
      </c>
      <c r="J82" s="1">
        <f>[1]Indonesia!$H$8</f>
        <v>19.4660308448052</v>
      </c>
      <c r="K82" s="1">
        <f>[1]Indonesia!$J$8</f>
        <v>19.149067303307497</v>
      </c>
      <c r="L82" s="1">
        <f>[1]Indonesia!$L$8</f>
        <v>10.163589595121801</v>
      </c>
      <c r="M82" s="1"/>
      <c r="N82" s="1"/>
      <c r="O82" s="1"/>
      <c r="P82" s="1">
        <v>4</v>
      </c>
      <c r="Q82" s="2">
        <v>2016</v>
      </c>
      <c r="R82" s="2" t="s">
        <v>49</v>
      </c>
      <c r="S82" s="2">
        <v>7</v>
      </c>
      <c r="T82" s="2">
        <v>2</v>
      </c>
    </row>
    <row r="83" spans="1:20">
      <c r="A83" s="1" t="s">
        <v>39</v>
      </c>
      <c r="B83" s="1" t="s">
        <v>25</v>
      </c>
      <c r="C83" s="1" t="s">
        <v>15</v>
      </c>
      <c r="D83" s="1">
        <v>1</v>
      </c>
      <c r="E83" s="1" t="s">
        <v>16</v>
      </c>
      <c r="F83" s="1">
        <f>[1]Indonesia!$B$9</f>
        <v>3.8029055453582816E-2</v>
      </c>
      <c r="G83" s="1">
        <f>[1]Indonesia!$D$9</f>
        <v>1.4172688391329985E-2</v>
      </c>
      <c r="H83" s="1"/>
      <c r="I83" s="1">
        <f>[1]Indonesia!$F$9</f>
        <v>5.0621757600943007E-2</v>
      </c>
      <c r="J83" s="1">
        <f>[1]Indonesia!$H$9</f>
        <v>0.14382923398774983</v>
      </c>
      <c r="K83" s="1">
        <f>[1]Indonesia!$J$9</f>
        <v>4.6967136101349949E-2</v>
      </c>
      <c r="L83" s="1">
        <f>[1]Indonesia!$L$9</f>
        <v>4.1204900422948998E-2</v>
      </c>
      <c r="M83" s="1"/>
      <c r="N83" s="1"/>
      <c r="O83" s="1"/>
      <c r="P83" s="1">
        <v>4</v>
      </c>
      <c r="Q83" s="2">
        <v>2016</v>
      </c>
      <c r="R83" s="2" t="s">
        <v>49</v>
      </c>
      <c r="S83" s="2">
        <v>7</v>
      </c>
      <c r="T83" s="2">
        <v>3</v>
      </c>
    </row>
    <row r="84" spans="1:20">
      <c r="A84" s="1" t="s">
        <v>39</v>
      </c>
      <c r="B84" s="1" t="s">
        <v>18</v>
      </c>
      <c r="C84" s="1" t="s">
        <v>15</v>
      </c>
      <c r="D84" s="1">
        <v>1</v>
      </c>
      <c r="E84" s="1" t="s">
        <v>16</v>
      </c>
      <c r="F84" s="1">
        <f>[1]Indonesia!$B$14</f>
        <v>1.3081666666666663</v>
      </c>
      <c r="G84" s="1">
        <f>[1]Indonesia!$D$14</f>
        <v>1.1859657258468652</v>
      </c>
      <c r="H84" s="1"/>
      <c r="I84" s="1">
        <f>[1]Indonesia!$F$14</f>
        <v>1.9339939791420599</v>
      </c>
      <c r="J84" s="1">
        <f>[1]Indonesia!$H$14</f>
        <v>5.2326666666666659</v>
      </c>
      <c r="K84" s="1">
        <f>[1]Indonesia!$J$14</f>
        <v>4.5877261876180437</v>
      </c>
      <c r="L84" s="1">
        <f>[1]Indonesia!$L$14</f>
        <v>5.1919809791420599</v>
      </c>
      <c r="M84" s="1"/>
      <c r="N84" s="1"/>
      <c r="O84" s="1"/>
      <c r="P84" s="1">
        <v>4</v>
      </c>
      <c r="Q84" s="2">
        <v>2016</v>
      </c>
      <c r="R84" s="2" t="s">
        <v>49</v>
      </c>
      <c r="S84" s="2">
        <v>7</v>
      </c>
      <c r="T84" s="2">
        <v>4</v>
      </c>
    </row>
    <row r="85" spans="1:20">
      <c r="A85" s="1" t="s">
        <v>39</v>
      </c>
      <c r="B85" s="1" t="s">
        <v>20</v>
      </c>
      <c r="C85" s="1" t="s">
        <v>15</v>
      </c>
      <c r="D85" s="1">
        <v>1</v>
      </c>
      <c r="E85" s="1" t="s">
        <v>16</v>
      </c>
      <c r="F85" s="1">
        <f>[1]Indonesia!$B$15</f>
        <v>0.97678166666666799</v>
      </c>
      <c r="G85" s="1">
        <f>[1]Indonesia!$D$15</f>
        <v>0.55564884753883947</v>
      </c>
      <c r="H85" s="1"/>
      <c r="I85" s="1">
        <f>[1]Indonesia!$F$15</f>
        <v>0.72648630094403388</v>
      </c>
      <c r="J85" s="1">
        <f>[1]Indonesia!$H$15</f>
        <v>3.9071266666666675</v>
      </c>
      <c r="K85" s="1">
        <f>[1]Indonesia!$J$15</f>
        <v>1.7241415125161093</v>
      </c>
      <c r="L85" s="1">
        <f>[1]Indonesia!$L$15</f>
        <v>1.9034714288658519</v>
      </c>
      <c r="M85" s="1"/>
      <c r="N85" s="1"/>
      <c r="O85" s="1"/>
      <c r="P85" s="1">
        <v>4</v>
      </c>
      <c r="Q85" s="2">
        <v>2016</v>
      </c>
      <c r="R85" s="2" t="s">
        <v>49</v>
      </c>
      <c r="S85" s="2">
        <v>7</v>
      </c>
      <c r="T85" s="2">
        <v>5</v>
      </c>
    </row>
    <row r="86" spans="1:20">
      <c r="A86" s="1" t="s">
        <v>39</v>
      </c>
      <c r="B86" s="1" t="s">
        <v>32</v>
      </c>
      <c r="C86" s="1" t="s">
        <v>15</v>
      </c>
      <c r="D86" s="1">
        <v>1</v>
      </c>
      <c r="E86" s="1" t="s">
        <v>16</v>
      </c>
      <c r="F86" s="1">
        <f>[1]Indonesia!$B$16</f>
        <v>0</v>
      </c>
      <c r="G86" s="1">
        <f>[1]Indonesia!$D$16</f>
        <v>0</v>
      </c>
      <c r="H86" s="1"/>
      <c r="I86" s="1">
        <f>[1]Indonesia!$F$16</f>
        <v>-1.0000000000000009E-2</v>
      </c>
      <c r="J86" s="1">
        <f>[1]Indonesia!$H$16</f>
        <v>0</v>
      </c>
      <c r="K86" s="1">
        <f>[1]Indonesia!$J$16</f>
        <v>-0.17</v>
      </c>
      <c r="L86" s="1">
        <f>[1]Indonesia!$L$16</f>
        <v>-0.17</v>
      </c>
      <c r="M86" s="1"/>
      <c r="N86" s="1"/>
      <c r="O86" s="1"/>
      <c r="P86" s="1">
        <v>4</v>
      </c>
      <c r="Q86" s="2">
        <v>2016</v>
      </c>
      <c r="R86" s="2" t="s">
        <v>49</v>
      </c>
      <c r="S86" s="2">
        <v>7</v>
      </c>
      <c r="T86" s="2">
        <v>6</v>
      </c>
    </row>
    <row r="87" spans="1:20">
      <c r="A87" s="1" t="s">
        <v>39</v>
      </c>
      <c r="B87" s="1" t="s">
        <v>24</v>
      </c>
      <c r="C87" s="1" t="s">
        <v>15</v>
      </c>
      <c r="D87" s="1">
        <v>1</v>
      </c>
      <c r="E87" s="1" t="s">
        <v>16</v>
      </c>
      <c r="F87" s="1">
        <f>[1]Indonesia!$B$20</f>
        <v>0</v>
      </c>
      <c r="G87" s="1">
        <f>[1]Indonesia!$D$20</f>
        <v>5.0534999872433109E-3</v>
      </c>
      <c r="H87" s="1"/>
      <c r="I87" s="1">
        <f>[1]Indonesia!$F$20</f>
        <v>0</v>
      </c>
      <c r="J87" s="1">
        <f>[1]Indonesia!$H$20</f>
        <v>0</v>
      </c>
      <c r="K87" s="1">
        <f>[1]Indonesia!$J$20</f>
        <v>4.495009241596018E-2</v>
      </c>
      <c r="L87" s="1">
        <f>[1]Indonesia!$L$20</f>
        <v>3.2925000000000003E-2</v>
      </c>
      <c r="M87" s="1"/>
      <c r="N87" s="1"/>
      <c r="O87" s="1"/>
      <c r="P87" s="1">
        <v>4</v>
      </c>
      <c r="Q87" s="2">
        <v>2016</v>
      </c>
      <c r="R87" s="2" t="s">
        <v>49</v>
      </c>
      <c r="S87" s="2">
        <v>7</v>
      </c>
      <c r="T87" s="2">
        <v>7</v>
      </c>
    </row>
    <row r="88" spans="1:20">
      <c r="A88" s="1" t="s">
        <v>39</v>
      </c>
      <c r="B88" s="1" t="s">
        <v>22</v>
      </c>
      <c r="C88" s="1" t="s">
        <v>15</v>
      </c>
      <c r="D88" s="1">
        <v>1</v>
      </c>
      <c r="E88" s="1" t="s">
        <v>16</v>
      </c>
      <c r="F88" s="1">
        <f>[1]Indonesia!$B$21</f>
        <v>0</v>
      </c>
      <c r="G88" s="1">
        <f>[1]Indonesia!$D$21</f>
        <v>0</v>
      </c>
      <c r="H88" s="1"/>
      <c r="I88" s="1">
        <f>[1]Indonesia!$F$21</f>
        <v>0</v>
      </c>
      <c r="J88" s="1">
        <f>[1]Indonesia!$H$21</f>
        <v>0</v>
      </c>
      <c r="K88" s="1">
        <f>[1]Indonesia!$J$21</f>
        <v>0</v>
      </c>
      <c r="L88" s="1">
        <f>[1]Indonesia!$L$21</f>
        <v>0</v>
      </c>
      <c r="M88" s="1"/>
      <c r="N88" s="1"/>
      <c r="O88" s="1"/>
      <c r="P88" s="1">
        <v>4</v>
      </c>
      <c r="Q88" s="2">
        <v>2016</v>
      </c>
      <c r="R88" s="2" t="s">
        <v>49</v>
      </c>
      <c r="S88" s="2">
        <v>7</v>
      </c>
      <c r="T88" s="2">
        <v>8</v>
      </c>
    </row>
    <row r="89" spans="1:20">
      <c r="A89" s="1" t="s">
        <v>39</v>
      </c>
      <c r="B89" s="1" t="s">
        <v>19</v>
      </c>
      <c r="C89" s="1" t="s">
        <v>15</v>
      </c>
      <c r="D89" s="1">
        <v>1</v>
      </c>
      <c r="E89" s="1" t="s">
        <v>16</v>
      </c>
      <c r="F89" s="1">
        <f>[1]Indonesia!$B$22</f>
        <v>0</v>
      </c>
      <c r="G89" s="1">
        <f>[1]Indonesia!$D$22</f>
        <v>0</v>
      </c>
      <c r="H89" s="1"/>
      <c r="I89" s="1">
        <f>[1]Indonesia!$F$22</f>
        <v>0</v>
      </c>
      <c r="J89" s="1">
        <f>[1]Indonesia!$H$22</f>
        <v>0</v>
      </c>
      <c r="K89" s="1">
        <f>[1]Indonesia!$J$22</f>
        <v>0</v>
      </c>
      <c r="L89" s="1">
        <f>[1]Indonesia!$L$22</f>
        <v>0</v>
      </c>
      <c r="M89" s="1"/>
      <c r="N89" s="1"/>
      <c r="O89" s="1"/>
      <c r="P89" s="1">
        <v>4</v>
      </c>
      <c r="Q89" s="2">
        <v>2016</v>
      </c>
      <c r="R89" s="2" t="s">
        <v>49</v>
      </c>
      <c r="S89" s="2">
        <v>7</v>
      </c>
      <c r="T89" s="2">
        <v>9</v>
      </c>
    </row>
    <row r="90" spans="1:20">
      <c r="A90" s="1" t="s">
        <v>39</v>
      </c>
      <c r="B90" s="1" t="s">
        <v>21</v>
      </c>
      <c r="C90" s="1" t="s">
        <v>15</v>
      </c>
      <c r="D90" s="1">
        <v>1</v>
      </c>
      <c r="E90" s="1" t="s">
        <v>16</v>
      </c>
      <c r="F90" s="1">
        <f>[1]Indonesia!$B$23</f>
        <v>0</v>
      </c>
      <c r="G90" s="1">
        <f>[1]Indonesia!$D$23</f>
        <v>0</v>
      </c>
      <c r="H90" s="1"/>
      <c r="I90" s="1">
        <f>[1]Indonesia!$F$23</f>
        <v>0</v>
      </c>
      <c r="J90" s="1">
        <f>[1]Indonesia!$H$23</f>
        <v>0</v>
      </c>
      <c r="K90" s="1">
        <f>[1]Indonesia!$J$23</f>
        <v>0</v>
      </c>
      <c r="L90" s="1">
        <f>[1]Indonesia!$L$23</f>
        <v>0</v>
      </c>
      <c r="M90" s="1"/>
      <c r="N90" s="1"/>
      <c r="O90" s="1"/>
      <c r="P90" s="1">
        <v>4</v>
      </c>
      <c r="Q90" s="2">
        <v>2016</v>
      </c>
      <c r="R90" s="2" t="s">
        <v>49</v>
      </c>
      <c r="S90" s="2">
        <v>7</v>
      </c>
      <c r="T90" s="2">
        <v>10</v>
      </c>
    </row>
    <row r="91" spans="1:20">
      <c r="A91" s="1" t="s">
        <v>39</v>
      </c>
      <c r="B91" s="1" t="s">
        <v>17</v>
      </c>
      <c r="C91" s="1" t="s">
        <v>15</v>
      </c>
      <c r="D91" s="1">
        <v>1</v>
      </c>
      <c r="E91" s="1" t="s">
        <v>16</v>
      </c>
      <c r="F91" s="1">
        <f>[1]Indonesia!$B$24</f>
        <v>0</v>
      </c>
      <c r="G91" s="1">
        <f>[1]Indonesia!$D$24</f>
        <v>0</v>
      </c>
      <c r="H91" s="1"/>
      <c r="I91" s="1">
        <f>[1]Indonesia!$F$24</f>
        <v>0</v>
      </c>
      <c r="J91" s="1">
        <f>[1]Indonesia!$H$24</f>
        <v>0</v>
      </c>
      <c r="K91" s="1">
        <f>[1]Indonesia!$J$24</f>
        <v>0</v>
      </c>
      <c r="L91" s="1">
        <f>[1]Indonesia!$L$24</f>
        <v>0</v>
      </c>
      <c r="M91" s="1"/>
      <c r="N91" s="1"/>
      <c r="O91" s="1"/>
      <c r="P91" s="1">
        <v>4</v>
      </c>
      <c r="Q91" s="2">
        <v>2016</v>
      </c>
      <c r="R91" s="2" t="s">
        <v>49</v>
      </c>
      <c r="S91" s="2">
        <v>7</v>
      </c>
      <c r="T91" s="2">
        <v>11</v>
      </c>
    </row>
    <row r="92" spans="1:20">
      <c r="A92" s="1" t="s">
        <v>39</v>
      </c>
      <c r="B92" s="1" t="s">
        <v>33</v>
      </c>
      <c r="C92" s="1" t="s">
        <v>15</v>
      </c>
      <c r="D92" s="1">
        <v>1</v>
      </c>
      <c r="E92" s="1" t="s">
        <v>16</v>
      </c>
      <c r="F92" s="1">
        <f>[1]Indonesia!$B$25</f>
        <v>0</v>
      </c>
      <c r="G92" s="1">
        <f>[1]Indonesia!$D$25</f>
        <v>-6.2387591180929736E-2</v>
      </c>
      <c r="H92" s="1"/>
      <c r="I92" s="1">
        <f>[1]Indonesia!$F$25</f>
        <v>0</v>
      </c>
      <c r="J92" s="1">
        <f>[1]Indonesia!$H$25</f>
        <v>0</v>
      </c>
      <c r="K92" s="1">
        <f>[1]Indonesia!$J$25</f>
        <v>-0.53</v>
      </c>
      <c r="L92" s="1">
        <f>[1]Indonesia!$L$25</f>
        <v>0.37</v>
      </c>
      <c r="M92" s="1"/>
      <c r="N92" s="1"/>
      <c r="O92" s="1"/>
      <c r="P92" s="1">
        <v>4</v>
      </c>
      <c r="Q92" s="2">
        <v>2016</v>
      </c>
      <c r="R92" s="2" t="s">
        <v>49</v>
      </c>
      <c r="S92" s="2">
        <v>7</v>
      </c>
      <c r="T92" s="2">
        <v>12</v>
      </c>
    </row>
    <row r="93" spans="1:20">
      <c r="A93" s="1" t="s">
        <v>39</v>
      </c>
      <c r="B93" s="1" t="s">
        <v>14</v>
      </c>
      <c r="C93" s="1" t="s">
        <v>15</v>
      </c>
      <c r="D93" s="1">
        <v>1</v>
      </c>
      <c r="E93" s="1" t="s">
        <v>16</v>
      </c>
      <c r="F93" s="1">
        <f>[1]Indonesia!$B$26</f>
        <v>3.0930836742361113E-2</v>
      </c>
      <c r="G93" s="1">
        <f>[1]Indonesia!$D$26</f>
        <v>3.27761244066649E-2</v>
      </c>
      <c r="H93" s="1"/>
      <c r="I93" s="1">
        <f>[1]Indonesia!$F$26</f>
        <v>3.1E-2</v>
      </c>
      <c r="J93" s="1">
        <f>[1]Indonesia!$H$26</f>
        <v>0.12372334696944445</v>
      </c>
      <c r="K93" s="1">
        <f>[1]Indonesia!$J$26</f>
        <v>0.12960302340966706</v>
      </c>
      <c r="L93" s="1">
        <f>[1]Indonesia!$L$26</f>
        <v>0.11388176136325071</v>
      </c>
      <c r="M93" s="1"/>
      <c r="N93" s="1"/>
      <c r="O93" s="1"/>
      <c r="P93" s="1">
        <v>4</v>
      </c>
      <c r="Q93" s="2">
        <v>2016</v>
      </c>
      <c r="R93" s="2" t="s">
        <v>49</v>
      </c>
      <c r="S93" s="2">
        <v>7</v>
      </c>
      <c r="T93" s="2">
        <v>13</v>
      </c>
    </row>
    <row r="94" spans="1:20">
      <c r="A94" s="1" t="s">
        <v>40</v>
      </c>
      <c r="B94" s="1" t="s">
        <v>26</v>
      </c>
      <c r="C94" s="1" t="s">
        <v>15</v>
      </c>
      <c r="D94" s="1">
        <v>1</v>
      </c>
      <c r="E94" s="1" t="s">
        <v>16</v>
      </c>
      <c r="F94" s="1">
        <f>[1]China!$B$6</f>
        <v>2.5924999999999998</v>
      </c>
      <c r="G94" s="1">
        <f>[1]China!$D$6</f>
        <v>2.5747167646999998</v>
      </c>
      <c r="H94" s="1"/>
      <c r="I94" s="1">
        <f>[1]China!$F$6</f>
        <v>21.717204668084005</v>
      </c>
      <c r="J94" s="1">
        <f>[1]China!$H$6</f>
        <v>10.37</v>
      </c>
      <c r="K94" s="1">
        <f>[1]China!$J$6</f>
        <v>11.477073309</v>
      </c>
      <c r="L94" s="1">
        <f>[1]China!$L$6</f>
        <v>47.678661668084004</v>
      </c>
      <c r="M94" s="1"/>
      <c r="N94" s="1"/>
      <c r="O94" s="1"/>
      <c r="P94" s="1">
        <v>4</v>
      </c>
      <c r="Q94" s="2">
        <v>2016</v>
      </c>
      <c r="R94" s="2" t="s">
        <v>49</v>
      </c>
      <c r="S94" s="2">
        <v>8</v>
      </c>
      <c r="T94" s="2">
        <v>1</v>
      </c>
    </row>
    <row r="95" spans="1:20">
      <c r="A95" s="1" t="s">
        <v>40</v>
      </c>
      <c r="B95" s="1" t="s">
        <v>23</v>
      </c>
      <c r="C95" s="1" t="s">
        <v>15</v>
      </c>
      <c r="D95" s="1">
        <v>1</v>
      </c>
      <c r="E95" s="1" t="s">
        <v>16</v>
      </c>
      <c r="F95" s="1">
        <f>[1]China!$B$8</f>
        <v>1.2962499999999999</v>
      </c>
      <c r="G95" s="1">
        <f>[1]China!$D$8</f>
        <v>0.89510829582527318</v>
      </c>
      <c r="H95" s="1"/>
      <c r="I95" s="1">
        <f>[1]China!$F$8</f>
        <v>15.301573645977651</v>
      </c>
      <c r="J95" s="1">
        <f>[1]China!$H$8</f>
        <v>5.1849999999999996</v>
      </c>
      <c r="K95" s="1">
        <f>[1]China!$J$8</f>
        <v>5.9444229467747194</v>
      </c>
      <c r="L95" s="1">
        <f>[1]China!$L$8</f>
        <v>32.476667408892652</v>
      </c>
      <c r="M95" s="1"/>
      <c r="N95" s="1"/>
      <c r="O95" s="1"/>
      <c r="P95" s="1">
        <v>4</v>
      </c>
      <c r="Q95" s="2">
        <v>2016</v>
      </c>
      <c r="R95" s="2" t="s">
        <v>49</v>
      </c>
      <c r="S95" s="2">
        <v>8</v>
      </c>
      <c r="T95" s="2">
        <v>2</v>
      </c>
    </row>
    <row r="96" spans="1:20">
      <c r="A96" s="1" t="s">
        <v>40</v>
      </c>
      <c r="B96" s="1" t="s">
        <v>25</v>
      </c>
      <c r="C96" s="1" t="s">
        <v>15</v>
      </c>
      <c r="D96" s="1">
        <v>1</v>
      </c>
      <c r="E96" s="1" t="s">
        <v>16</v>
      </c>
      <c r="F96" s="1">
        <f>[1]China!$B$9</f>
        <v>0.10764689953271026</v>
      </c>
      <c r="G96" s="1">
        <f>[1]China!$D$9</f>
        <v>0.20526808752799997</v>
      </c>
      <c r="H96" s="1"/>
      <c r="I96" s="1">
        <f>[1]China!$F$9</f>
        <v>1.9657138048244753</v>
      </c>
      <c r="J96" s="1">
        <f>[1]China!$H$9</f>
        <v>0.43058759813084102</v>
      </c>
      <c r="K96" s="1">
        <f>[1]China!$J$9</f>
        <v>0.8207989165620001</v>
      </c>
      <c r="L96" s="1">
        <f>[1]China!$L$9</f>
        <v>3.6496047916000003</v>
      </c>
      <c r="M96" s="1"/>
      <c r="N96" s="1"/>
      <c r="O96" s="1"/>
      <c r="P96" s="1">
        <v>4</v>
      </c>
      <c r="Q96" s="2">
        <v>2016</v>
      </c>
      <c r="R96" s="2" t="s">
        <v>49</v>
      </c>
      <c r="S96" s="2">
        <v>8</v>
      </c>
      <c r="T96" s="2">
        <v>3</v>
      </c>
    </row>
    <row r="97" spans="1:20">
      <c r="A97" s="1" t="s">
        <v>40</v>
      </c>
      <c r="B97" s="1" t="s">
        <v>18</v>
      </c>
      <c r="C97" s="1" t="s">
        <v>15</v>
      </c>
      <c r="D97" s="1">
        <v>1</v>
      </c>
      <c r="E97" s="1" t="s">
        <v>16</v>
      </c>
      <c r="F97" s="1">
        <f>[1]China!$B$14</f>
        <v>1.6656827778466667</v>
      </c>
      <c r="G97" s="1">
        <f>[1]China!$D$14</f>
        <v>2.2272426876999987</v>
      </c>
      <c r="H97" s="1"/>
      <c r="I97" s="1">
        <f>[1]China!$F$14</f>
        <v>7.5433157404000006</v>
      </c>
      <c r="J97" s="1">
        <f>[1]China!$H$14</f>
        <v>6.662731111386667</v>
      </c>
      <c r="K97" s="1">
        <f>[1]China!$J$14</f>
        <v>12.705117119000001</v>
      </c>
      <c r="L97" s="1">
        <f>[1]China!$L$14</f>
        <v>30.5523217404</v>
      </c>
      <c r="M97" s="1"/>
      <c r="N97" s="1"/>
      <c r="O97" s="1"/>
      <c r="P97" s="1">
        <v>4</v>
      </c>
      <c r="Q97" s="2">
        <v>2016</v>
      </c>
      <c r="R97" s="2" t="s">
        <v>49</v>
      </c>
      <c r="S97" s="2">
        <v>8</v>
      </c>
      <c r="T97" s="2">
        <v>4</v>
      </c>
    </row>
    <row r="98" spans="1:20">
      <c r="A98" s="1" t="s">
        <v>40</v>
      </c>
      <c r="B98" s="1" t="s">
        <v>20</v>
      </c>
      <c r="C98" s="1" t="s">
        <v>15</v>
      </c>
      <c r="D98" s="1">
        <v>1</v>
      </c>
      <c r="E98" s="1" t="s">
        <v>16</v>
      </c>
      <c r="F98" s="1">
        <f>[1]China!$B$15</f>
        <v>0.65330999999999995</v>
      </c>
      <c r="G98" s="1">
        <f>[1]China!$D$15</f>
        <v>1.9654539191808382</v>
      </c>
      <c r="H98" s="1"/>
      <c r="I98" s="1">
        <f>[1]China!$F$15</f>
        <v>2.4847261897976454</v>
      </c>
      <c r="J98" s="1">
        <f>[1]China!$H$15</f>
        <v>2.6132399999999998</v>
      </c>
      <c r="K98" s="1">
        <f>[1]China!$J$15</f>
        <v>5.1179568681422065</v>
      </c>
      <c r="L98" s="1">
        <f>[1]China!$L$15</f>
        <v>8.8488789427674384</v>
      </c>
      <c r="M98" s="1"/>
      <c r="N98" s="1"/>
      <c r="O98" s="1"/>
      <c r="P98" s="1">
        <v>4</v>
      </c>
      <c r="Q98" s="2">
        <v>2016</v>
      </c>
      <c r="R98" s="2" t="s">
        <v>49</v>
      </c>
      <c r="S98" s="2">
        <v>8</v>
      </c>
      <c r="T98" s="2">
        <v>5</v>
      </c>
    </row>
    <row r="99" spans="1:20">
      <c r="A99" s="1" t="s">
        <v>40</v>
      </c>
      <c r="B99" s="1" t="s">
        <v>32</v>
      </c>
      <c r="C99" s="1" t="s">
        <v>15</v>
      </c>
      <c r="D99" s="1">
        <v>1</v>
      </c>
      <c r="E99" s="1" t="s">
        <v>16</v>
      </c>
      <c r="F99" s="1">
        <f>[1]China!$B$16</f>
        <v>0</v>
      </c>
      <c r="G99" s="1">
        <f>[1]China!$D$16</f>
        <v>0.28346378132181349</v>
      </c>
      <c r="H99" s="1"/>
      <c r="I99" s="1">
        <f>[1]China!$F$16</f>
        <v>1.8575435718138356E-3</v>
      </c>
      <c r="J99" s="1">
        <f>[1]China!$H$16</f>
        <v>0</v>
      </c>
      <c r="K99" s="1">
        <f>[1]China!$J$16</f>
        <v>0.27922864260000002</v>
      </c>
      <c r="L99" s="1">
        <f>[1]China!$L$16</f>
        <v>0.21</v>
      </c>
      <c r="M99" s="1"/>
      <c r="N99" s="1"/>
      <c r="O99" s="1"/>
      <c r="P99" s="1">
        <v>4</v>
      </c>
      <c r="Q99" s="2">
        <v>2016</v>
      </c>
      <c r="R99" s="2" t="s">
        <v>49</v>
      </c>
      <c r="S99" s="2">
        <v>8</v>
      </c>
      <c r="T99" s="2">
        <v>6</v>
      </c>
    </row>
    <row r="100" spans="1:20">
      <c r="A100" s="1" t="s">
        <v>40</v>
      </c>
      <c r="B100" s="1" t="s">
        <v>24</v>
      </c>
      <c r="C100" s="1" t="s">
        <v>15</v>
      </c>
      <c r="D100" s="1">
        <v>1</v>
      </c>
      <c r="E100" s="1" t="s">
        <v>16</v>
      </c>
      <c r="F100" s="1">
        <f>[1]China!$B$20</f>
        <v>0</v>
      </c>
      <c r="G100" s="1">
        <f>[1]China!$D$20</f>
        <v>4.17052594E-2</v>
      </c>
      <c r="H100" s="1"/>
      <c r="I100" s="1">
        <f>[1]China!$F$20</f>
        <v>0.13922583599999999</v>
      </c>
      <c r="J100" s="1">
        <f>[1]China!$H$20</f>
        <v>0</v>
      </c>
      <c r="K100" s="1">
        <f>[1]China!$J$20</f>
        <v>4.82825671E-2</v>
      </c>
      <c r="L100" s="1">
        <f>[1]China!$L$20</f>
        <v>0.146669836</v>
      </c>
      <c r="M100" s="1"/>
      <c r="N100" s="1"/>
      <c r="O100" s="1"/>
      <c r="P100" s="1">
        <v>4</v>
      </c>
      <c r="Q100" s="2">
        <v>2016</v>
      </c>
      <c r="R100" s="2" t="s">
        <v>49</v>
      </c>
      <c r="S100" s="2">
        <v>8</v>
      </c>
      <c r="T100" s="2">
        <v>7</v>
      </c>
    </row>
    <row r="101" spans="1:20">
      <c r="A101" s="1" t="s">
        <v>40</v>
      </c>
      <c r="B101" s="1" t="s">
        <v>22</v>
      </c>
      <c r="C101" s="1" t="s">
        <v>15</v>
      </c>
      <c r="D101" s="1">
        <v>1</v>
      </c>
      <c r="E101" s="1" t="s">
        <v>16</v>
      </c>
      <c r="F101" s="1">
        <f>[1]China!$B$21</f>
        <v>0</v>
      </c>
      <c r="G101" s="1">
        <f>[1]China!$D$21</f>
        <v>0</v>
      </c>
      <c r="H101" s="1"/>
      <c r="I101" s="1">
        <f>[1]China!$F$21</f>
        <v>0</v>
      </c>
      <c r="J101" s="1">
        <f>[1]China!$H$21</f>
        <v>0</v>
      </c>
      <c r="K101" s="1">
        <f>[1]China!$J$21</f>
        <v>0</v>
      </c>
      <c r="L101" s="1">
        <f>[1]China!$L$21</f>
        <v>0</v>
      </c>
      <c r="M101" s="1"/>
      <c r="N101" s="1"/>
      <c r="O101" s="1"/>
      <c r="P101" s="1">
        <v>4</v>
      </c>
      <c r="Q101" s="2">
        <v>2016</v>
      </c>
      <c r="R101" s="2" t="s">
        <v>49</v>
      </c>
      <c r="S101" s="2">
        <v>8</v>
      </c>
      <c r="T101" s="2">
        <v>8</v>
      </c>
    </row>
    <row r="102" spans="1:20">
      <c r="A102" s="1" t="s">
        <v>40</v>
      </c>
      <c r="B102" s="1" t="s">
        <v>19</v>
      </c>
      <c r="C102" s="1" t="s">
        <v>15</v>
      </c>
      <c r="D102" s="1">
        <v>1</v>
      </c>
      <c r="E102" s="1" t="s">
        <v>16</v>
      </c>
      <c r="F102" s="1">
        <f>[1]China!$B$22</f>
        <v>0</v>
      </c>
      <c r="G102" s="1">
        <f>[1]China!$D$22</f>
        <v>0</v>
      </c>
      <c r="H102" s="1"/>
      <c r="I102" s="1">
        <f>[1]China!$F$22</f>
        <v>0</v>
      </c>
      <c r="J102" s="1">
        <f>[1]China!$H$22</f>
        <v>0</v>
      </c>
      <c r="K102" s="1">
        <f>[1]China!$J$22</f>
        <v>0</v>
      </c>
      <c r="L102" s="1">
        <f>[1]China!$L$22</f>
        <v>0</v>
      </c>
      <c r="M102" s="1"/>
      <c r="N102" s="1"/>
      <c r="O102" s="1"/>
      <c r="P102" s="1">
        <v>4</v>
      </c>
      <c r="Q102" s="2">
        <v>2016</v>
      </c>
      <c r="R102" s="2" t="s">
        <v>49</v>
      </c>
      <c r="S102" s="2">
        <v>8</v>
      </c>
      <c r="T102" s="2">
        <v>9</v>
      </c>
    </row>
    <row r="103" spans="1:20">
      <c r="A103" s="1" t="s">
        <v>40</v>
      </c>
      <c r="B103" s="1" t="s">
        <v>21</v>
      </c>
      <c r="C103" s="1" t="s">
        <v>15</v>
      </c>
      <c r="D103" s="1">
        <v>1</v>
      </c>
      <c r="E103" s="1" t="s">
        <v>16</v>
      </c>
      <c r="F103" s="1">
        <f>[1]China!$B$23</f>
        <v>0.28949583333333334</v>
      </c>
      <c r="G103" s="1">
        <f>[1]China!$D$23</f>
        <v>0.43066182889999993</v>
      </c>
      <c r="H103" s="1"/>
      <c r="I103" s="1">
        <f>[1]China!$F$23</f>
        <v>0.72760510127853206</v>
      </c>
      <c r="J103" s="1">
        <f>[1]China!$H$23</f>
        <v>1.1579833333333334</v>
      </c>
      <c r="K103" s="1">
        <f>[1]China!$J$23</f>
        <v>1.6401469557000001</v>
      </c>
      <c r="L103" s="1">
        <f>[1]China!$L$23</f>
        <v>2.605</v>
      </c>
      <c r="M103" s="1"/>
      <c r="N103" s="1"/>
      <c r="O103" s="1"/>
      <c r="P103" s="1">
        <v>4</v>
      </c>
      <c r="Q103" s="2">
        <v>2016</v>
      </c>
      <c r="R103" s="2" t="s">
        <v>49</v>
      </c>
      <c r="S103" s="2">
        <v>8</v>
      </c>
      <c r="T103" s="2">
        <v>10</v>
      </c>
    </row>
    <row r="104" spans="1:20">
      <c r="A104" s="1" t="s">
        <v>40</v>
      </c>
      <c r="B104" s="1" t="s">
        <v>17</v>
      </c>
      <c r="C104" s="1" t="s">
        <v>15</v>
      </c>
      <c r="D104" s="1">
        <v>1</v>
      </c>
      <c r="E104" s="1" t="s">
        <v>16</v>
      </c>
      <c r="F104" s="1">
        <f>[1]China!$B$24</f>
        <v>0</v>
      </c>
      <c r="G104" s="1">
        <f>[1]China!$D$24</f>
        <v>0</v>
      </c>
      <c r="H104" s="1"/>
      <c r="I104" s="1">
        <f>[1]China!$F$24</f>
        <v>0</v>
      </c>
      <c r="J104" s="1">
        <f>[1]China!$H$24</f>
        <v>0</v>
      </c>
      <c r="K104" s="1">
        <f>[1]China!$J$24</f>
        <v>0</v>
      </c>
      <c r="L104" s="1">
        <f>[1]China!$L$24</f>
        <v>0</v>
      </c>
      <c r="M104" s="1"/>
      <c r="N104" s="1"/>
      <c r="O104" s="1"/>
      <c r="P104" s="1">
        <v>4</v>
      </c>
      <c r="Q104" s="2">
        <v>2016</v>
      </c>
      <c r="R104" s="2" t="s">
        <v>49</v>
      </c>
      <c r="S104" s="2">
        <v>8</v>
      </c>
      <c r="T104" s="2">
        <v>11</v>
      </c>
    </row>
    <row r="105" spans="1:20">
      <c r="A105" s="1" t="s">
        <v>40</v>
      </c>
      <c r="B105" s="1" t="s">
        <v>33</v>
      </c>
      <c r="C105" s="1" t="s">
        <v>15</v>
      </c>
      <c r="D105" s="1">
        <v>1</v>
      </c>
      <c r="E105" s="1" t="s">
        <v>16</v>
      </c>
      <c r="F105" s="1">
        <f>[1]China!$B$25</f>
        <v>0</v>
      </c>
      <c r="G105" s="1">
        <f>[1]China!$D$25</f>
        <v>0</v>
      </c>
      <c r="H105" s="1"/>
      <c r="I105" s="1">
        <f>[1]China!$F$25</f>
        <v>-0.17743017428725505</v>
      </c>
      <c r="J105" s="1">
        <f>[1]China!$H$25</f>
        <v>0</v>
      </c>
      <c r="K105" s="1">
        <f>[1]China!$J$25</f>
        <v>0</v>
      </c>
      <c r="L105" s="1">
        <f>[1]China!$L$25</f>
        <v>-1.38</v>
      </c>
      <c r="M105" s="1"/>
      <c r="N105" s="1"/>
      <c r="O105" s="1"/>
      <c r="P105" s="1">
        <v>4</v>
      </c>
      <c r="Q105" s="2">
        <v>2016</v>
      </c>
      <c r="R105" s="2" t="s">
        <v>49</v>
      </c>
      <c r="S105" s="2">
        <v>8</v>
      </c>
      <c r="T105" s="2">
        <v>12</v>
      </c>
    </row>
    <row r="106" spans="1:20">
      <c r="A106" s="1" t="s">
        <v>40</v>
      </c>
      <c r="B106" s="1" t="s">
        <v>14</v>
      </c>
      <c r="C106" s="1" t="s">
        <v>15</v>
      </c>
      <c r="D106" s="1">
        <v>1</v>
      </c>
      <c r="E106" s="1" t="s">
        <v>16</v>
      </c>
      <c r="F106" s="1">
        <f>[1]China!$B$26</f>
        <v>0.25924999999999998</v>
      </c>
      <c r="G106" s="1">
        <f>[1]China!$D$26</f>
        <v>0.13882217550000009</v>
      </c>
      <c r="H106" s="1"/>
      <c r="I106" s="1">
        <f>[1]China!$F$26</f>
        <v>0.19260693575965027</v>
      </c>
      <c r="J106" s="1">
        <f>[1]China!$H$26</f>
        <v>1.0369999999999999</v>
      </c>
      <c r="K106" s="1">
        <f>[1]China!$J$26</f>
        <v>0.578736166</v>
      </c>
      <c r="L106" s="1">
        <f>[1]China!$L$26</f>
        <v>0.78151354600000011</v>
      </c>
      <c r="M106" s="1"/>
      <c r="N106" s="1"/>
      <c r="O106" s="1"/>
      <c r="P106" s="1">
        <v>4</v>
      </c>
      <c r="Q106" s="2">
        <v>2016</v>
      </c>
      <c r="R106" s="2" t="s">
        <v>49</v>
      </c>
      <c r="S106" s="2">
        <v>8</v>
      </c>
      <c r="T106" s="2">
        <v>13</v>
      </c>
    </row>
    <row r="107" spans="1:20">
      <c r="A107" s="1" t="s">
        <v>41</v>
      </c>
      <c r="B107" s="1" t="s">
        <v>26</v>
      </c>
      <c r="C107" s="1" t="s">
        <v>15</v>
      </c>
      <c r="D107" s="1">
        <v>1</v>
      </c>
      <c r="E107" s="1" t="s">
        <v>16</v>
      </c>
      <c r="F107" s="6">
        <f>[1]Australia!$B$6</f>
        <v>12.423016892259259</v>
      </c>
      <c r="G107" s="6">
        <f>[1]Australia!$D$6</f>
        <v>4.1400000000000006</v>
      </c>
      <c r="H107" s="1"/>
      <c r="I107" s="6">
        <f>[1]Australia!$F$6</f>
        <v>9.0709000000000017</v>
      </c>
      <c r="J107" s="6">
        <f>[1]Australia!$H$6</f>
        <v>26.618920727333332</v>
      </c>
      <c r="K107" s="6">
        <f>[1]Australia!$J$6</f>
        <v>26.84</v>
      </c>
      <c r="L107" s="6">
        <f>[1]Australia!$L$6</f>
        <v>15.540900000000001</v>
      </c>
      <c r="M107" s="1"/>
      <c r="N107" s="1"/>
      <c r="O107" s="1"/>
      <c r="P107" s="1">
        <v>4</v>
      </c>
      <c r="Q107" s="2">
        <v>2016</v>
      </c>
      <c r="R107" s="2" t="s">
        <v>49</v>
      </c>
      <c r="S107" s="2">
        <v>9</v>
      </c>
      <c r="T107" s="2">
        <v>1</v>
      </c>
    </row>
    <row r="108" spans="1:20">
      <c r="A108" s="1" t="s">
        <v>41</v>
      </c>
      <c r="B108" s="1" t="s">
        <v>23</v>
      </c>
      <c r="C108" s="1" t="s">
        <v>15</v>
      </c>
      <c r="D108" s="1">
        <v>1</v>
      </c>
      <c r="E108" s="1" t="s">
        <v>16</v>
      </c>
      <c r="F108" s="6">
        <f>[1]Australia!$B$8</f>
        <v>8.2448617446794294</v>
      </c>
      <c r="G108" s="6">
        <f>[1]Australia!$D$8</f>
        <v>3.27</v>
      </c>
      <c r="H108" s="1"/>
      <c r="I108" s="6">
        <f>[1]Australia!$F$8</f>
        <v>7.5685999999999991</v>
      </c>
      <c r="J108" s="6">
        <f>[1]Australia!$H$8</f>
        <v>16.927414017393907</v>
      </c>
      <c r="K108" s="6">
        <f>[1]Australia!$J$8</f>
        <v>19.13</v>
      </c>
      <c r="L108" s="6">
        <f>[1]Australia!$L$8</f>
        <v>12.508599999999999</v>
      </c>
      <c r="M108" s="1"/>
      <c r="N108" s="1"/>
      <c r="O108" s="1"/>
      <c r="P108" s="1">
        <v>4</v>
      </c>
      <c r="Q108" s="2">
        <v>2016</v>
      </c>
      <c r="R108" s="2" t="s">
        <v>49</v>
      </c>
      <c r="S108" s="2">
        <v>9</v>
      </c>
      <c r="T108" s="2">
        <v>2</v>
      </c>
    </row>
    <row r="109" spans="1:20">
      <c r="A109" s="1" t="s">
        <v>41</v>
      </c>
      <c r="B109" s="1" t="s">
        <v>25</v>
      </c>
      <c r="C109" s="1" t="s">
        <v>15</v>
      </c>
      <c r="D109" s="1">
        <v>1</v>
      </c>
      <c r="E109" s="1" t="s">
        <v>16</v>
      </c>
      <c r="F109" s="6">
        <f>[1]Australia!$B$9</f>
        <v>0</v>
      </c>
      <c r="G109" s="6">
        <f>[1]Australia!$D$9</f>
        <v>-0.131935895333333</v>
      </c>
      <c r="H109" s="1"/>
      <c r="I109" s="6">
        <f>[1]Australia!$F$9</f>
        <v>-0.63162712666666654</v>
      </c>
      <c r="J109" s="6">
        <f>[1]Australia!$H$9</f>
        <v>0</v>
      </c>
      <c r="K109" s="6">
        <f>[1]Australia!$J$9</f>
        <v>-0.24</v>
      </c>
      <c r="L109" s="6">
        <f>[1]Australia!$L$9</f>
        <v>-0.50162712666666653</v>
      </c>
      <c r="M109" s="1"/>
      <c r="N109" s="1"/>
      <c r="O109" s="1"/>
      <c r="P109" s="1">
        <v>4</v>
      </c>
      <c r="Q109" s="2">
        <v>2016</v>
      </c>
      <c r="R109" s="2" t="s">
        <v>49</v>
      </c>
      <c r="S109" s="2">
        <v>9</v>
      </c>
      <c r="T109" s="2">
        <v>3</v>
      </c>
    </row>
    <row r="110" spans="1:20">
      <c r="A110" s="1" t="s">
        <v>41</v>
      </c>
      <c r="B110" s="1" t="s">
        <v>18</v>
      </c>
      <c r="C110" s="1" t="s">
        <v>15</v>
      </c>
      <c r="D110" s="1">
        <v>1</v>
      </c>
      <c r="E110" s="1" t="s">
        <v>16</v>
      </c>
      <c r="F110" s="6">
        <f>[1]Australia!$B$14</f>
        <v>0.88771859999999991</v>
      </c>
      <c r="G110" s="6">
        <f>[1]Australia!$D$14</f>
        <v>0.4</v>
      </c>
      <c r="H110" s="1"/>
      <c r="I110" s="6">
        <f>[1]Australia!$F$14</f>
        <v>1.6758042378000004</v>
      </c>
      <c r="J110" s="6">
        <f>[1]Australia!$H$14</f>
        <v>3.5508743999999997</v>
      </c>
      <c r="K110" s="6">
        <f>[1]Australia!$J$14</f>
        <v>2.2799999999999998</v>
      </c>
      <c r="L110" s="6">
        <f>[1]Australia!$L$14</f>
        <v>7.2958042378000005</v>
      </c>
      <c r="M110" s="1"/>
      <c r="N110" s="1"/>
      <c r="O110" s="1"/>
      <c r="P110" s="1">
        <v>4</v>
      </c>
      <c r="Q110" s="2">
        <v>2016</v>
      </c>
      <c r="R110" s="2" t="s">
        <v>49</v>
      </c>
      <c r="S110" s="2">
        <v>9</v>
      </c>
      <c r="T110" s="2">
        <v>4</v>
      </c>
    </row>
    <row r="111" spans="1:20">
      <c r="A111" s="1" t="s">
        <v>41</v>
      </c>
      <c r="B111" s="1" t="s">
        <v>20</v>
      </c>
      <c r="C111" s="1" t="s">
        <v>15</v>
      </c>
      <c r="D111" s="1">
        <v>1</v>
      </c>
      <c r="E111" s="1" t="s">
        <v>16</v>
      </c>
      <c r="F111" s="6">
        <f>[1]Australia!$B$15</f>
        <v>0.51057887733333329</v>
      </c>
      <c r="G111" s="6">
        <f>[1]Australia!$D$15</f>
        <v>0.5</v>
      </c>
      <c r="H111" s="1"/>
      <c r="I111" s="6">
        <f>[1]Australia!$F$15</f>
        <v>0.45000000000000018</v>
      </c>
      <c r="J111" s="6">
        <f>[1]Australia!$H$15</f>
        <v>2.000648842666668</v>
      </c>
      <c r="K111" s="6">
        <f>[1]Australia!$J$15</f>
        <v>3.12</v>
      </c>
      <c r="L111" s="6">
        <f>[1]Australia!$L$15</f>
        <v>2.5</v>
      </c>
      <c r="M111" s="1"/>
      <c r="N111" s="1"/>
      <c r="O111" s="1"/>
      <c r="P111" s="1">
        <v>4</v>
      </c>
      <c r="Q111" s="2">
        <v>2016</v>
      </c>
      <c r="R111" s="2" t="s">
        <v>49</v>
      </c>
      <c r="S111" s="2">
        <v>9</v>
      </c>
      <c r="T111" s="2">
        <v>5</v>
      </c>
    </row>
    <row r="112" spans="1:20">
      <c r="A112" s="1" t="s">
        <v>41</v>
      </c>
      <c r="B112" s="1" t="s">
        <v>32</v>
      </c>
      <c r="C112" s="1" t="s">
        <v>15</v>
      </c>
      <c r="D112" s="1">
        <v>1</v>
      </c>
      <c r="E112" s="1" t="s">
        <v>16</v>
      </c>
      <c r="F112" s="6">
        <f>[1]Australia!$B$16</f>
        <v>0</v>
      </c>
      <c r="G112" s="6">
        <f>[1]Australia!$D$16</f>
        <v>0</v>
      </c>
      <c r="H112" s="1"/>
      <c r="I112" s="6">
        <f>[1]Australia!$F$16</f>
        <v>0.04</v>
      </c>
      <c r="J112" s="6">
        <f>[1]Australia!$H$16</f>
        <v>0</v>
      </c>
      <c r="K112" s="6">
        <f>[1]Australia!$J$16</f>
        <v>0.15</v>
      </c>
      <c r="L112" s="6">
        <f>[1]Australia!$L$16</f>
        <v>0.04</v>
      </c>
      <c r="M112" s="1"/>
      <c r="N112" s="1"/>
      <c r="O112" s="1"/>
      <c r="P112" s="1">
        <v>4</v>
      </c>
      <c r="Q112" s="2">
        <v>2016</v>
      </c>
      <c r="R112" s="2" t="s">
        <v>49</v>
      </c>
      <c r="S112" s="2">
        <v>9</v>
      </c>
      <c r="T112" s="2">
        <v>6</v>
      </c>
    </row>
    <row r="113" spans="1:20">
      <c r="A113" s="1" t="s">
        <v>41</v>
      </c>
      <c r="B113" s="1" t="s">
        <v>24</v>
      </c>
      <c r="C113" s="1" t="s">
        <v>15</v>
      </c>
      <c r="D113" s="1">
        <v>1</v>
      </c>
      <c r="E113" s="1" t="s">
        <v>16</v>
      </c>
      <c r="F113" s="6">
        <f>[1]Australia!$B$20</f>
        <v>0</v>
      </c>
      <c r="G113" s="6">
        <f>[1]Australia!$D$20</f>
        <v>0</v>
      </c>
      <c r="H113" s="1"/>
      <c r="I113" s="6">
        <f>[1]Australia!$F$20</f>
        <v>0</v>
      </c>
      <c r="J113" s="6">
        <f>[1]Australia!$H$20</f>
        <v>0</v>
      </c>
      <c r="K113" s="6">
        <f>[1]Australia!$J$20</f>
        <v>0</v>
      </c>
      <c r="L113" s="6">
        <f>[1]Australia!$L$20</f>
        <v>-0.09</v>
      </c>
      <c r="M113" s="1"/>
      <c r="N113" s="1"/>
      <c r="O113" s="1"/>
      <c r="P113" s="1">
        <v>4</v>
      </c>
      <c r="Q113" s="2">
        <v>2016</v>
      </c>
      <c r="R113" s="2" t="s">
        <v>49</v>
      </c>
      <c r="S113" s="2">
        <v>9</v>
      </c>
      <c r="T113" s="2">
        <v>7</v>
      </c>
    </row>
    <row r="114" spans="1:20">
      <c r="A114" s="1" t="s">
        <v>41</v>
      </c>
      <c r="B114" s="1" t="s">
        <v>22</v>
      </c>
      <c r="C114" s="1" t="s">
        <v>15</v>
      </c>
      <c r="D114" s="1">
        <v>1</v>
      </c>
      <c r="E114" s="1" t="s">
        <v>16</v>
      </c>
      <c r="F114" s="6">
        <f>[1]Australia!$B$21</f>
        <v>0</v>
      </c>
      <c r="G114" s="6">
        <f>[1]Australia!$D$21</f>
        <v>0</v>
      </c>
      <c r="H114" s="1"/>
      <c r="I114" s="6">
        <f>[1]Australia!$F$21</f>
        <v>0</v>
      </c>
      <c r="J114" s="6">
        <f>[1]Australia!$H$21</f>
        <v>0</v>
      </c>
      <c r="K114" s="6">
        <f>[1]Australia!$J$21</f>
        <v>0</v>
      </c>
      <c r="L114" s="6">
        <f>[1]Australia!$L$21</f>
        <v>0</v>
      </c>
      <c r="M114" s="1"/>
      <c r="N114" s="1"/>
      <c r="O114" s="1"/>
      <c r="P114" s="1">
        <v>4</v>
      </c>
      <c r="Q114" s="2">
        <v>2016</v>
      </c>
      <c r="R114" s="2" t="s">
        <v>49</v>
      </c>
      <c r="S114" s="2">
        <v>9</v>
      </c>
      <c r="T114" s="2">
        <v>8</v>
      </c>
    </row>
    <row r="115" spans="1:20">
      <c r="A115" s="1" t="s">
        <v>41</v>
      </c>
      <c r="B115" s="1" t="s">
        <v>19</v>
      </c>
      <c r="C115" s="1" t="s">
        <v>15</v>
      </c>
      <c r="D115" s="1">
        <v>1</v>
      </c>
      <c r="E115" s="1" t="s">
        <v>16</v>
      </c>
      <c r="F115" s="6">
        <f>[1]Australia!$B$22</f>
        <v>0</v>
      </c>
      <c r="G115" s="6">
        <f>[1]Australia!$D$22</f>
        <v>0</v>
      </c>
      <c r="H115" s="1"/>
      <c r="I115" s="6">
        <f>[1]Australia!$F$22</f>
        <v>0</v>
      </c>
      <c r="J115" s="6">
        <f>[1]Australia!$H$22</f>
        <v>0</v>
      </c>
      <c r="K115" s="6">
        <f>[1]Australia!$J$22</f>
        <v>0</v>
      </c>
      <c r="L115" s="6">
        <f>[1]Australia!$L$22</f>
        <v>0</v>
      </c>
      <c r="M115" s="1"/>
      <c r="N115" s="1"/>
      <c r="O115" s="1"/>
      <c r="P115" s="1">
        <v>4</v>
      </c>
      <c r="Q115" s="2">
        <v>2016</v>
      </c>
      <c r="R115" s="2" t="s">
        <v>49</v>
      </c>
      <c r="S115" s="2">
        <v>9</v>
      </c>
      <c r="T115" s="2">
        <v>9</v>
      </c>
    </row>
    <row r="116" spans="1:20">
      <c r="A116" s="1" t="s">
        <v>41</v>
      </c>
      <c r="B116" s="1" t="s">
        <v>21</v>
      </c>
      <c r="C116" s="1" t="s">
        <v>15</v>
      </c>
      <c r="D116" s="1">
        <v>1</v>
      </c>
      <c r="E116" s="1" t="s">
        <v>16</v>
      </c>
      <c r="F116" s="6">
        <f>[1]Australia!$B$23</f>
        <v>0</v>
      </c>
      <c r="G116" s="6">
        <f>[1]Australia!$D$23</f>
        <v>0.42848189999999997</v>
      </c>
      <c r="H116" s="1"/>
      <c r="I116" s="6">
        <f>[1]Australia!$F$23</f>
        <v>0.42</v>
      </c>
      <c r="J116" s="6">
        <f>[1]Australia!$H$23</f>
        <v>0</v>
      </c>
      <c r="K116" s="6">
        <f>[1]Australia!$J$23</f>
        <v>1.69411095</v>
      </c>
      <c r="L116" s="6">
        <f>[1]Australia!$L$23</f>
        <v>1.6354719</v>
      </c>
      <c r="M116" s="1"/>
      <c r="N116" s="1"/>
      <c r="O116" s="1"/>
      <c r="P116" s="1">
        <v>4</v>
      </c>
      <c r="Q116" s="2">
        <v>2016</v>
      </c>
      <c r="R116" s="2" t="s">
        <v>49</v>
      </c>
      <c r="S116" s="2">
        <v>9</v>
      </c>
      <c r="T116" s="2">
        <v>10</v>
      </c>
    </row>
    <row r="117" spans="1:20">
      <c r="A117" s="1" t="s">
        <v>41</v>
      </c>
      <c r="B117" s="1" t="s">
        <v>17</v>
      </c>
      <c r="C117" s="1" t="s">
        <v>15</v>
      </c>
      <c r="D117" s="1">
        <v>1</v>
      </c>
      <c r="E117" s="1" t="s">
        <v>16</v>
      </c>
      <c r="F117" s="6">
        <f>[1]Australia!$B$24</f>
        <v>0</v>
      </c>
      <c r="G117" s="6">
        <f>[1]Australia!$D$24</f>
        <v>0</v>
      </c>
      <c r="H117" s="1"/>
      <c r="I117" s="6">
        <f>[1]Australia!$F$24</f>
        <v>0</v>
      </c>
      <c r="J117" s="6">
        <f>[1]Australia!$H$24</f>
        <v>0</v>
      </c>
      <c r="K117" s="6">
        <f>[1]Australia!$J$24</f>
        <v>0</v>
      </c>
      <c r="L117" s="6">
        <f>[1]Australia!$L$24</f>
        <v>0</v>
      </c>
      <c r="M117" s="1"/>
      <c r="N117" s="1"/>
      <c r="O117" s="1"/>
      <c r="P117" s="1">
        <v>4</v>
      </c>
      <c r="Q117" s="2">
        <v>2016</v>
      </c>
      <c r="R117" s="2" t="s">
        <v>49</v>
      </c>
      <c r="S117" s="2">
        <v>9</v>
      </c>
      <c r="T117" s="2">
        <v>11</v>
      </c>
    </row>
    <row r="118" spans="1:20">
      <c r="A118" s="1" t="s">
        <v>41</v>
      </c>
      <c r="B118" s="1" t="s">
        <v>33</v>
      </c>
      <c r="C118" s="1" t="s">
        <v>15</v>
      </c>
      <c r="D118" s="1">
        <v>1</v>
      </c>
      <c r="E118" s="1" t="s">
        <v>16</v>
      </c>
      <c r="F118" s="6">
        <f>[1]Australia!$B$25</f>
        <v>0</v>
      </c>
      <c r="G118" s="6">
        <f>[1]Australia!$D$25</f>
        <v>0.05</v>
      </c>
      <c r="H118" s="1"/>
      <c r="I118" s="6">
        <f>[1]Australia!$F$25</f>
        <v>-0.04</v>
      </c>
      <c r="J118" s="6">
        <f>[1]Australia!$H$25</f>
        <v>0</v>
      </c>
      <c r="K118" s="6">
        <f>[1]Australia!$J$25</f>
        <v>0.24</v>
      </c>
      <c r="L118" s="6">
        <f>[1]Australia!$L$25</f>
        <v>-0.04</v>
      </c>
      <c r="M118" s="1"/>
      <c r="N118" s="1"/>
      <c r="O118" s="1"/>
      <c r="P118" s="1">
        <v>4</v>
      </c>
      <c r="Q118" s="2">
        <v>2016</v>
      </c>
      <c r="R118" s="2" t="s">
        <v>49</v>
      </c>
      <c r="S118" s="2">
        <v>9</v>
      </c>
      <c r="T118" s="2">
        <v>12</v>
      </c>
    </row>
    <row r="119" spans="1:20">
      <c r="A119" s="1" t="s">
        <v>41</v>
      </c>
      <c r="B119" s="1" t="s">
        <v>14</v>
      </c>
      <c r="C119" s="1" t="s">
        <v>15</v>
      </c>
      <c r="D119" s="1">
        <v>1</v>
      </c>
      <c r="E119" s="1" t="s">
        <v>16</v>
      </c>
      <c r="F119" s="6">
        <f>[1]Australia!$B$26</f>
        <v>0</v>
      </c>
      <c r="G119" s="6">
        <f>[1]Australia!$D$26</f>
        <v>5.8542567599999984E-2</v>
      </c>
      <c r="H119" s="1"/>
      <c r="I119" s="6">
        <f>[1]Australia!$F$26</f>
        <v>0</v>
      </c>
      <c r="J119" s="6">
        <f>[1]Australia!$H$26</f>
        <v>0</v>
      </c>
      <c r="K119" s="6">
        <f>[1]Australia!$J$26</f>
        <v>0.2314627638</v>
      </c>
      <c r="L119" s="6">
        <f>[1]Australia!$L$26</f>
        <v>0.72</v>
      </c>
      <c r="M119" s="1"/>
      <c r="N119" s="1"/>
      <c r="O119" s="1"/>
      <c r="P119" s="1">
        <v>4</v>
      </c>
      <c r="Q119" s="2">
        <v>2016</v>
      </c>
      <c r="R119" s="2" t="s">
        <v>49</v>
      </c>
      <c r="S119" s="2">
        <v>9</v>
      </c>
      <c r="T119" s="2">
        <v>13</v>
      </c>
    </row>
    <row r="120" spans="1:20">
      <c r="A120" s="1" t="s">
        <v>13</v>
      </c>
      <c r="B120" s="1" t="s">
        <v>26</v>
      </c>
      <c r="C120" s="1" t="s">
        <v>15</v>
      </c>
      <c r="D120" s="1">
        <v>1</v>
      </c>
      <c r="E120" s="1" t="s">
        <v>16</v>
      </c>
      <c r="F120" s="1">
        <f>[1]ATS!$B$6</f>
        <v>135.36466877585264</v>
      </c>
      <c r="G120" s="1">
        <f>[1]ATS!$D$6</f>
        <v>127.04543966</v>
      </c>
      <c r="H120" s="1"/>
      <c r="I120" s="1">
        <f>[1]ATS!$F$6</f>
        <v>116.30954737999997</v>
      </c>
      <c r="J120" s="1">
        <f>[1]ATS!$H$6</f>
        <v>513.50215287964261</v>
      </c>
      <c r="K120" s="1">
        <f>[1]ATS!$J$6</f>
        <v>498.09667147000005</v>
      </c>
      <c r="L120" s="1">
        <f>[1]ATS!$L$6</f>
        <v>435.74535104999995</v>
      </c>
      <c r="M120" s="1"/>
      <c r="N120" s="1"/>
      <c r="O120" s="1"/>
      <c r="P120" s="1">
        <v>4</v>
      </c>
      <c r="Q120" s="2">
        <v>2016</v>
      </c>
      <c r="R120" s="2" t="s">
        <v>49</v>
      </c>
      <c r="S120" s="2">
        <v>10</v>
      </c>
      <c r="T120" s="2">
        <v>1</v>
      </c>
    </row>
    <row r="121" spans="1:20">
      <c r="A121" s="1" t="s">
        <v>13</v>
      </c>
      <c r="B121" s="1" t="s">
        <v>23</v>
      </c>
      <c r="C121" s="1" t="s">
        <v>15</v>
      </c>
      <c r="D121" s="1">
        <v>1</v>
      </c>
      <c r="E121" s="1" t="s">
        <v>16</v>
      </c>
      <c r="F121" s="1">
        <f>[1]ATS!$B$8</f>
        <v>80.53</v>
      </c>
      <c r="G121" s="1">
        <f>[1]ATS!$D$8</f>
        <v>75.682036210000035</v>
      </c>
      <c r="H121" s="1"/>
      <c r="I121" s="1">
        <f>[1]ATS!$F$8</f>
        <v>68.589981750000021</v>
      </c>
      <c r="J121" s="1">
        <f>[1]ATS!$H$8</f>
        <v>303.95676913576392</v>
      </c>
      <c r="K121" s="1">
        <f>[1]ATS!$J$8</f>
        <v>295.9670537400001</v>
      </c>
      <c r="L121" s="1">
        <f>[1]ATS!$L$8</f>
        <v>259.79043516999997</v>
      </c>
      <c r="M121" s="1"/>
      <c r="N121" s="1"/>
      <c r="O121" s="1"/>
      <c r="P121" s="1">
        <v>4</v>
      </c>
      <c r="Q121" s="2">
        <v>2016</v>
      </c>
      <c r="R121" s="2" t="s">
        <v>49</v>
      </c>
      <c r="S121" s="2">
        <v>10</v>
      </c>
      <c r="T121" s="2">
        <v>2</v>
      </c>
    </row>
    <row r="122" spans="1:20">
      <c r="A122" s="1" t="s">
        <v>13</v>
      </c>
      <c r="B122" s="1" t="s">
        <v>25</v>
      </c>
      <c r="C122" s="1" t="s">
        <v>15</v>
      </c>
      <c r="D122" s="1">
        <v>1</v>
      </c>
      <c r="E122" s="1" t="s">
        <v>16</v>
      </c>
      <c r="F122" s="1">
        <f>[1]ATS!$B$9</f>
        <v>11.839354157502745</v>
      </c>
      <c r="G122" s="1">
        <f>[1]ATS!$D$9</f>
        <v>10.538937860000001</v>
      </c>
      <c r="H122" s="1"/>
      <c r="I122" s="1">
        <f>[1]ATS!$F$9</f>
        <v>10.406109019999999</v>
      </c>
      <c r="J122" s="1">
        <f>[1]ATS!$H$9</f>
        <v>45.027915618310686</v>
      </c>
      <c r="K122" s="1">
        <f>[1]ATS!$J$9</f>
        <v>41.113356540000005</v>
      </c>
      <c r="L122" s="1">
        <f>[1]ATS!$L$9</f>
        <v>35.745318060000002</v>
      </c>
      <c r="M122" s="1"/>
      <c r="N122" s="1"/>
      <c r="O122" s="1"/>
      <c r="P122" s="1">
        <v>4</v>
      </c>
      <c r="Q122" s="2">
        <v>2016</v>
      </c>
      <c r="R122" s="2" t="s">
        <v>49</v>
      </c>
      <c r="S122" s="2">
        <v>10</v>
      </c>
      <c r="T122" s="2">
        <v>3</v>
      </c>
    </row>
    <row r="123" spans="1:20">
      <c r="A123" s="1" t="s">
        <v>13</v>
      </c>
      <c r="B123" s="1" t="s">
        <v>18</v>
      </c>
      <c r="C123" s="1" t="s">
        <v>15</v>
      </c>
      <c r="D123" s="1">
        <v>1</v>
      </c>
      <c r="E123" s="1" t="s">
        <v>16</v>
      </c>
      <c r="F123" s="1">
        <f>[1]ATS!$B$14</f>
        <v>21.674141519410135</v>
      </c>
      <c r="G123" s="1">
        <f>[1]ATS!$D$14</f>
        <v>20.70408484</v>
      </c>
      <c r="H123" s="1"/>
      <c r="I123" s="1">
        <f>[1]ATS!$F$14</f>
        <v>18.137026719999998</v>
      </c>
      <c r="J123" s="1">
        <f>[1]ATS!$H$14</f>
        <v>85.19850026751422</v>
      </c>
      <c r="K123" s="1">
        <f>[1]ATS!$J$14</f>
        <v>85.842185430000001</v>
      </c>
      <c r="L123" s="1">
        <f>[1]ATS!$L$14</f>
        <v>73.514150769999986</v>
      </c>
      <c r="M123" s="1"/>
      <c r="N123" s="1"/>
      <c r="O123" s="1"/>
      <c r="P123" s="1">
        <v>4</v>
      </c>
      <c r="Q123" s="2">
        <v>2016</v>
      </c>
      <c r="R123" s="2" t="s">
        <v>49</v>
      </c>
      <c r="S123" s="2">
        <v>10</v>
      </c>
      <c r="T123" s="2">
        <v>4</v>
      </c>
    </row>
    <row r="124" spans="1:20">
      <c r="A124" s="1" t="s">
        <v>13</v>
      </c>
      <c r="B124" s="1" t="s">
        <v>20</v>
      </c>
      <c r="C124" s="1" t="s">
        <v>15</v>
      </c>
      <c r="D124" s="1">
        <v>1</v>
      </c>
      <c r="E124" s="1" t="s">
        <v>16</v>
      </c>
      <c r="F124" s="1">
        <f>[1]ATS!$B$15</f>
        <v>9.0758390125540682</v>
      </c>
      <c r="G124" s="1">
        <f>[1]ATS!$D$15</f>
        <v>9.9999657000000042</v>
      </c>
      <c r="H124" s="1"/>
      <c r="I124" s="1">
        <f>[1]ATS!$F$15</f>
        <v>8.885042369999999</v>
      </c>
      <c r="J124" s="1">
        <f>[1]ATS!$H$15</f>
        <v>36.289094149005088</v>
      </c>
      <c r="K124" s="1">
        <f>[1]ATS!$J$15</f>
        <v>42.297114290000003</v>
      </c>
      <c r="L124" s="1">
        <f>[1]ATS!$L$15</f>
        <v>32.460793149999994</v>
      </c>
      <c r="M124" s="1"/>
      <c r="N124" s="1"/>
      <c r="O124" s="1"/>
      <c r="P124" s="1">
        <v>4</v>
      </c>
      <c r="Q124" s="2">
        <v>2016</v>
      </c>
      <c r="R124" s="2" t="s">
        <v>49</v>
      </c>
      <c r="S124" s="2">
        <v>10</v>
      </c>
      <c r="T124" s="2">
        <v>5</v>
      </c>
    </row>
    <row r="125" spans="1:20">
      <c r="A125" s="1" t="s">
        <v>13</v>
      </c>
      <c r="B125" s="1" t="s">
        <v>32</v>
      </c>
      <c r="C125" s="1" t="s">
        <v>15</v>
      </c>
      <c r="D125" s="1">
        <v>1</v>
      </c>
      <c r="E125" s="1" t="s">
        <v>16</v>
      </c>
      <c r="F125" s="1">
        <f>[1]ATS!$B$16</f>
        <v>0</v>
      </c>
      <c r="G125" s="1">
        <f>[1]ATS!$D$16</f>
        <v>0.324434</v>
      </c>
      <c r="H125" s="1"/>
      <c r="I125" s="1">
        <f>[1]ATS!$F$16</f>
        <v>2.6886999999999994E-2</v>
      </c>
      <c r="J125" s="1">
        <f>[1]ATS!$H$16</f>
        <v>0</v>
      </c>
      <c r="K125" s="1">
        <f>[1]ATS!$J$16</f>
        <v>0.91014012000000011</v>
      </c>
      <c r="L125" s="1">
        <f>[1]ATS!$L$16</f>
        <v>0.249029</v>
      </c>
      <c r="M125" s="1"/>
      <c r="N125" s="1"/>
      <c r="O125" s="1"/>
      <c r="P125" s="1">
        <v>4</v>
      </c>
      <c r="Q125" s="2">
        <v>2016</v>
      </c>
      <c r="R125" s="2" t="s">
        <v>49</v>
      </c>
      <c r="S125" s="2">
        <v>10</v>
      </c>
      <c r="T125" s="2">
        <v>6</v>
      </c>
    </row>
    <row r="126" spans="1:20">
      <c r="A126" s="1" t="s">
        <v>13</v>
      </c>
      <c r="B126" s="1" t="s">
        <v>24</v>
      </c>
      <c r="C126" s="1" t="s">
        <v>15</v>
      </c>
      <c r="D126" s="1">
        <v>1</v>
      </c>
      <c r="E126" s="1" t="s">
        <v>16</v>
      </c>
      <c r="F126" s="1">
        <f>[1]ATS!$B$20</f>
        <v>0.39566360070000073</v>
      </c>
      <c r="G126" s="1">
        <f>[1]ATS!$D$20</f>
        <v>0.31037262000000077</v>
      </c>
      <c r="H126" s="1"/>
      <c r="I126" s="1">
        <f>[1]ATS!$F$20</f>
        <v>0.1945668600000019</v>
      </c>
      <c r="J126" s="1">
        <f>[1]ATS!$H$20</f>
        <v>1.5826544028000029</v>
      </c>
      <c r="K126" s="1">
        <f>[1]ATS!$J$20</f>
        <v>0.72144229000000237</v>
      </c>
      <c r="L126" s="1">
        <f>[1]ATS!$L$20</f>
        <v>1.2271983200000012</v>
      </c>
      <c r="M126" s="1"/>
      <c r="N126" s="1"/>
      <c r="O126" s="1"/>
      <c r="P126" s="1">
        <v>4</v>
      </c>
      <c r="Q126" s="2">
        <v>2016</v>
      </c>
      <c r="R126" s="2" t="s">
        <v>49</v>
      </c>
      <c r="S126" s="2">
        <v>10</v>
      </c>
      <c r="T126" s="2">
        <v>7</v>
      </c>
    </row>
    <row r="127" spans="1:20">
      <c r="A127" s="1" t="s">
        <v>13</v>
      </c>
      <c r="B127" s="1" t="s">
        <v>22</v>
      </c>
      <c r="C127" s="1" t="s">
        <v>15</v>
      </c>
      <c r="D127" s="1">
        <v>1</v>
      </c>
      <c r="E127" s="1" t="s">
        <v>16</v>
      </c>
      <c r="F127" s="1">
        <f>[1]ATS!$B$21</f>
        <v>2.4</v>
      </c>
      <c r="G127" s="1">
        <f>[1]ATS!$D$21</f>
        <v>2.2501151100000003</v>
      </c>
      <c r="H127" s="1"/>
      <c r="I127" s="1">
        <f>[1]ATS!$F$21</f>
        <v>2.9645652500000006</v>
      </c>
      <c r="J127" s="1">
        <f>[1]ATS!$H$21</f>
        <v>10.297153729</v>
      </c>
      <c r="K127" s="1">
        <f>[1]ATS!$J$21</f>
        <v>9.3100461900000013</v>
      </c>
      <c r="L127" s="1">
        <f>[1]ATS!$L$21</f>
        <v>10.634874060000001</v>
      </c>
      <c r="M127" s="1"/>
      <c r="N127" s="1"/>
      <c r="O127" s="1"/>
      <c r="P127" s="1">
        <v>4</v>
      </c>
      <c r="Q127" s="2">
        <v>2016</v>
      </c>
      <c r="R127" s="2" t="s">
        <v>49</v>
      </c>
      <c r="S127" s="2">
        <v>10</v>
      </c>
      <c r="T127" s="2">
        <v>8</v>
      </c>
    </row>
    <row r="128" spans="1:20">
      <c r="A128" s="1" t="s">
        <v>13</v>
      </c>
      <c r="B128" s="1" t="s">
        <v>19</v>
      </c>
      <c r="C128" s="1" t="s">
        <v>15</v>
      </c>
      <c r="D128" s="1">
        <v>1</v>
      </c>
      <c r="E128" s="1" t="s">
        <v>16</v>
      </c>
      <c r="F128" s="1">
        <f>[1]ATS!$B$22</f>
        <v>0</v>
      </c>
      <c r="G128" s="1">
        <f>[1]ATS!$D$22</f>
        <v>0</v>
      </c>
      <c r="H128" s="1"/>
      <c r="I128" s="1">
        <f>[1]ATS!$F$22</f>
        <v>0</v>
      </c>
      <c r="J128" s="1">
        <f>[1]ATS!$H$22</f>
        <v>0</v>
      </c>
      <c r="K128" s="1">
        <f>[1]ATS!$J$22</f>
        <v>0</v>
      </c>
      <c r="L128" s="1">
        <f>[1]ATS!$L$22</f>
        <v>0</v>
      </c>
      <c r="M128" s="1"/>
      <c r="N128" s="1"/>
      <c r="O128" s="1"/>
      <c r="P128" s="1">
        <v>4</v>
      </c>
      <c r="Q128" s="2">
        <v>2016</v>
      </c>
      <c r="R128" s="2" t="s">
        <v>49</v>
      </c>
      <c r="S128" s="2">
        <v>10</v>
      </c>
      <c r="T128" s="2">
        <v>9</v>
      </c>
    </row>
    <row r="129" spans="1:20">
      <c r="A129" s="1" t="s">
        <v>13</v>
      </c>
      <c r="B129" s="1" t="s">
        <v>21</v>
      </c>
      <c r="C129" s="1" t="s">
        <v>15</v>
      </c>
      <c r="D129" s="1">
        <v>1</v>
      </c>
      <c r="E129" s="1" t="s">
        <v>16</v>
      </c>
      <c r="F129" s="1">
        <f>[1]ATS!$B$23</f>
        <v>0</v>
      </c>
      <c r="G129" s="1">
        <f>[1]ATS!$D$23</f>
        <v>0</v>
      </c>
      <c r="H129" s="1"/>
      <c r="I129" s="1">
        <f>[1]ATS!$F$23</f>
        <v>0</v>
      </c>
      <c r="J129" s="1">
        <f>[1]ATS!$H$23</f>
        <v>0</v>
      </c>
      <c r="K129" s="1">
        <f>[1]ATS!$J$23</f>
        <v>0</v>
      </c>
      <c r="L129" s="1">
        <f>[1]ATS!$L$23</f>
        <v>0</v>
      </c>
      <c r="M129" s="1"/>
      <c r="N129" s="1"/>
      <c r="O129" s="1"/>
      <c r="P129" s="1">
        <v>4</v>
      </c>
      <c r="Q129" s="2">
        <v>2016</v>
      </c>
      <c r="R129" s="2" t="s">
        <v>49</v>
      </c>
      <c r="S129" s="2">
        <v>10</v>
      </c>
      <c r="T129" s="2">
        <v>10</v>
      </c>
    </row>
    <row r="130" spans="1:20">
      <c r="A130" s="1" t="s">
        <v>13</v>
      </c>
      <c r="B130" s="1" t="s">
        <v>17</v>
      </c>
      <c r="C130" s="1" t="s">
        <v>15</v>
      </c>
      <c r="D130" s="1">
        <v>1</v>
      </c>
      <c r="E130" s="1" t="s">
        <v>16</v>
      </c>
      <c r="F130" s="1">
        <f>[1]ATS!$B$24</f>
        <v>0.26400000000000007</v>
      </c>
      <c r="G130" s="1">
        <f>[1]ATS!$D$24</f>
        <v>0.21299999999999997</v>
      </c>
      <c r="H130" s="1"/>
      <c r="I130" s="1">
        <f>[1]ATS!$F$24</f>
        <v>0.32</v>
      </c>
      <c r="J130" s="1">
        <f>[1]ATS!$H$24</f>
        <v>1.0560000000000003</v>
      </c>
      <c r="K130" s="1">
        <f>[1]ATS!$J$24</f>
        <v>0.85199999999999998</v>
      </c>
      <c r="L130" s="1">
        <f>[1]ATS!$L$24</f>
        <v>0.32</v>
      </c>
      <c r="M130" s="1"/>
      <c r="N130" s="1"/>
      <c r="O130" s="1"/>
      <c r="P130" s="1">
        <v>4</v>
      </c>
      <c r="Q130" s="2">
        <v>2016</v>
      </c>
      <c r="R130" s="2" t="s">
        <v>49</v>
      </c>
      <c r="S130" s="2">
        <v>10</v>
      </c>
      <c r="T130" s="2">
        <v>11</v>
      </c>
    </row>
    <row r="131" spans="1:20">
      <c r="A131" s="1" t="s">
        <v>13</v>
      </c>
      <c r="B131" s="1" t="s">
        <v>33</v>
      </c>
      <c r="C131" s="1" t="s">
        <v>15</v>
      </c>
      <c r="D131" s="1">
        <v>1</v>
      </c>
      <c r="E131" s="1" t="s">
        <v>16</v>
      </c>
      <c r="F131" s="1">
        <f>[1]ATS!$B$25</f>
        <v>0</v>
      </c>
      <c r="G131" s="1">
        <f>[1]ATS!$D$25</f>
        <v>0.27926499999999999</v>
      </c>
      <c r="H131" s="1"/>
      <c r="I131" s="1">
        <f>[1]ATS!$F$25</f>
        <v>0.14138400000000001</v>
      </c>
      <c r="J131" s="1">
        <f>[1]ATS!$H$25</f>
        <v>0</v>
      </c>
      <c r="K131" s="1">
        <f>[1]ATS!$J$25</f>
        <v>0.87201499999999998</v>
      </c>
      <c r="L131" s="1">
        <f>[1]ATS!$L$25</f>
        <v>0.20788400000000001</v>
      </c>
      <c r="M131" s="1"/>
      <c r="N131" s="1"/>
      <c r="O131" s="1"/>
      <c r="P131" s="1">
        <v>4</v>
      </c>
      <c r="Q131" s="2">
        <v>2016</v>
      </c>
      <c r="R131" s="2" t="s">
        <v>49</v>
      </c>
      <c r="S131" s="2">
        <v>10</v>
      </c>
      <c r="T131" s="2">
        <v>12</v>
      </c>
    </row>
    <row r="132" spans="1:20">
      <c r="A132" s="1" t="s">
        <v>13</v>
      </c>
      <c r="B132" s="1" t="s">
        <v>14</v>
      </c>
      <c r="C132" s="1" t="s">
        <v>15</v>
      </c>
      <c r="D132" s="1">
        <v>1</v>
      </c>
      <c r="E132" s="1" t="s">
        <v>16</v>
      </c>
      <c r="F132" s="1">
        <f>[1]ATS!$B$26</f>
        <v>1.3841666666666665</v>
      </c>
      <c r="G132" s="1">
        <f>[1]ATS!$D$26</f>
        <v>1.3521367900000008</v>
      </c>
      <c r="H132" s="1"/>
      <c r="I132" s="1">
        <f>[1]ATS!$F$26</f>
        <v>1.3005850000000003</v>
      </c>
      <c r="J132" s="1">
        <f>[1]ATS!$H$26</f>
        <v>5.5366666666666662</v>
      </c>
      <c r="K132" s="1">
        <f>[1]ATS!$J$26</f>
        <v>5.3783167199999999</v>
      </c>
      <c r="L132" s="1">
        <f>[1]ATS!$L$26</f>
        <v>5.0276630000000004</v>
      </c>
      <c r="M132" s="1"/>
      <c r="N132" s="1"/>
      <c r="O132" s="1"/>
      <c r="P132" s="1">
        <v>4</v>
      </c>
      <c r="Q132" s="2">
        <v>2016</v>
      </c>
      <c r="R132" s="2" t="s">
        <v>49</v>
      </c>
      <c r="S132" s="2">
        <v>10</v>
      </c>
      <c r="T132" s="2">
        <v>13</v>
      </c>
    </row>
    <row r="133" spans="1:20">
      <c r="A133" s="1" t="s">
        <v>44</v>
      </c>
      <c r="B133" s="1" t="s">
        <v>26</v>
      </c>
      <c r="C133" s="1" t="s">
        <v>15</v>
      </c>
      <c r="D133" s="1">
        <v>1</v>
      </c>
      <c r="E133" s="1" t="s">
        <v>16</v>
      </c>
      <c r="F133" s="1">
        <f>'[1]Elgi Sauer'!$B$6</f>
        <v>6.1723999999999997</v>
      </c>
      <c r="G133" s="1">
        <f>'[1]Elgi Sauer'!$D$6</f>
        <v>9.181325809999997</v>
      </c>
      <c r="H133" s="1"/>
      <c r="I133" s="1">
        <f>'[1]Elgi Sauer'!$F$6</f>
        <v>5.544556477200004</v>
      </c>
      <c r="J133" s="1">
        <f>'[1]Elgi Sauer'!$H$6</f>
        <v>26.648440000000001</v>
      </c>
      <c r="K133" s="1">
        <f>'[1]Elgi Sauer'!$J$6</f>
        <v>28.736270434999998</v>
      </c>
      <c r="L133" s="1">
        <f>'[1]Elgi Sauer'!$L$6</f>
        <v>29.375594955200004</v>
      </c>
      <c r="M133" s="1"/>
      <c r="N133" s="1"/>
      <c r="O133" s="1"/>
      <c r="P133" s="1">
        <v>4</v>
      </c>
      <c r="Q133" s="2">
        <v>2016</v>
      </c>
      <c r="R133" s="2"/>
      <c r="S133" s="2">
        <v>11</v>
      </c>
      <c r="T133" s="2">
        <v>1</v>
      </c>
    </row>
    <row r="134" spans="1:20">
      <c r="A134" s="1" t="s">
        <v>44</v>
      </c>
      <c r="B134" s="1" t="s">
        <v>23</v>
      </c>
      <c r="C134" s="1" t="s">
        <v>15</v>
      </c>
      <c r="D134" s="1">
        <v>1</v>
      </c>
      <c r="E134" s="1" t="s">
        <v>16</v>
      </c>
      <c r="F134" s="1">
        <f>'[1]Elgi Sauer'!$B$8</f>
        <v>3.518268</v>
      </c>
      <c r="G134" s="1">
        <f>'[1]Elgi Sauer'!$D$8</f>
        <v>5.1443536192000021</v>
      </c>
      <c r="H134" s="1"/>
      <c r="I134" s="1">
        <f>'[1]Elgi Sauer'!$F$8</f>
        <v>2.6657252310000001</v>
      </c>
      <c r="J134" s="1">
        <f>'[1]Elgi Sauer'!$H$8</f>
        <v>14.262341600000001</v>
      </c>
      <c r="K134" s="1">
        <f>'[1]Elgi Sauer'!$J$8</f>
        <v>15.498039676400001</v>
      </c>
      <c r="L134" s="1">
        <f>'[1]Elgi Sauer'!$L$8</f>
        <v>13.861023758400004</v>
      </c>
      <c r="M134" s="1"/>
      <c r="N134" s="1"/>
      <c r="O134" s="1"/>
      <c r="P134" s="1">
        <v>4</v>
      </c>
      <c r="Q134" s="2">
        <v>2016</v>
      </c>
      <c r="R134" s="2"/>
      <c r="S134" s="2">
        <v>11</v>
      </c>
      <c r="T134" s="2">
        <v>2</v>
      </c>
    </row>
    <row r="135" spans="1:20">
      <c r="A135" s="1" t="s">
        <v>44</v>
      </c>
      <c r="B135" s="1" t="s">
        <v>25</v>
      </c>
      <c r="C135" s="1" t="s">
        <v>15</v>
      </c>
      <c r="D135" s="1">
        <v>1</v>
      </c>
      <c r="E135" s="1" t="s">
        <v>16</v>
      </c>
      <c r="F135" s="1">
        <f>'[1]Elgi Sauer'!$B$9</f>
        <v>0.88529999999999998</v>
      </c>
      <c r="G135" s="1">
        <f>'[1]Elgi Sauer'!$D$9</f>
        <v>0.87037867020000026</v>
      </c>
      <c r="H135" s="1"/>
      <c r="I135" s="1">
        <f>'[1]Elgi Sauer'!$F$9</f>
        <v>0.72650053320000008</v>
      </c>
      <c r="J135" s="1">
        <f>'[1]Elgi Sauer'!$H$9</f>
        <v>1.955538</v>
      </c>
      <c r="K135" s="1">
        <f>'[1]Elgi Sauer'!$J$9</f>
        <v>1.9278566658000003</v>
      </c>
      <c r="L135" s="1">
        <f>'[1]Elgi Sauer'!$L$9</f>
        <v>1.8422725983999999</v>
      </c>
      <c r="M135" s="1"/>
      <c r="N135" s="1"/>
      <c r="O135" s="1"/>
      <c r="P135" s="1">
        <v>4</v>
      </c>
      <c r="Q135" s="2">
        <v>2016</v>
      </c>
      <c r="R135" s="2"/>
      <c r="S135" s="2">
        <v>11</v>
      </c>
      <c r="T135" s="2">
        <v>3</v>
      </c>
    </row>
    <row r="136" spans="1:20">
      <c r="A136" s="1" t="s">
        <v>44</v>
      </c>
      <c r="B136" s="1" t="s">
        <v>18</v>
      </c>
      <c r="C136" s="1" t="s">
        <v>15</v>
      </c>
      <c r="D136" s="1">
        <v>1</v>
      </c>
      <c r="E136" s="1" t="s">
        <v>16</v>
      </c>
      <c r="F136" s="1">
        <f>'[1]Elgi Sauer'!$B$14</f>
        <v>0.70199999999999996</v>
      </c>
      <c r="G136" s="1">
        <f>'[1]Elgi Sauer'!$D$14</f>
        <v>0.92053450000000003</v>
      </c>
      <c r="H136" s="1"/>
      <c r="I136" s="1">
        <f>'[1]Elgi Sauer'!$F$14</f>
        <v>0.62993769800000032</v>
      </c>
      <c r="J136" s="1">
        <f>'[1]Elgi Sauer'!$H$14</f>
        <v>2.5674999999999999</v>
      </c>
      <c r="K136" s="1">
        <f>'[1]Elgi Sauer'!$J$14</f>
        <v>2.7791763899999999</v>
      </c>
      <c r="L136" s="1">
        <f>'[1]Elgi Sauer'!$L$14</f>
        <v>2.5320975758000004</v>
      </c>
      <c r="M136" s="1"/>
      <c r="N136" s="1"/>
      <c r="O136" s="1"/>
      <c r="P136" s="1">
        <v>4</v>
      </c>
      <c r="Q136" s="2">
        <v>2016</v>
      </c>
      <c r="R136" s="2"/>
      <c r="S136" s="2">
        <v>11</v>
      </c>
      <c r="T136" s="2">
        <v>4</v>
      </c>
    </row>
    <row r="137" spans="1:20">
      <c r="A137" s="1" t="s">
        <v>44</v>
      </c>
      <c r="B137" s="1" t="s">
        <v>20</v>
      </c>
      <c r="C137" s="1" t="s">
        <v>15</v>
      </c>
      <c r="D137" s="1">
        <v>1</v>
      </c>
      <c r="E137" s="1" t="s">
        <v>16</v>
      </c>
      <c r="F137" s="1">
        <f>'[1]Elgi Sauer'!$B$15</f>
        <v>0.3321315218</v>
      </c>
      <c r="G137" s="1">
        <f>'[1]Elgi Sauer'!$D$15</f>
        <v>0.32415062979999942</v>
      </c>
      <c r="H137" s="1"/>
      <c r="I137" s="1">
        <f>'[1]Elgi Sauer'!$F$15</f>
        <v>0.13713675299999978</v>
      </c>
      <c r="J137" s="1">
        <f>'[1]Elgi Sauer'!$H$15</f>
        <v>1.2406534217999998</v>
      </c>
      <c r="K137" s="1">
        <f>'[1]Elgi Sauer'!$J$15</f>
        <v>1.8849715241999998</v>
      </c>
      <c r="L137" s="1">
        <f>'[1]Elgi Sauer'!$L$15</f>
        <v>0.85367534719999982</v>
      </c>
      <c r="M137" s="1"/>
      <c r="N137" s="1"/>
      <c r="O137" s="1"/>
      <c r="P137" s="1">
        <v>4</v>
      </c>
      <c r="Q137" s="2">
        <v>2016</v>
      </c>
      <c r="R137" s="2"/>
      <c r="S137" s="2">
        <v>11</v>
      </c>
      <c r="T137" s="2">
        <v>5</v>
      </c>
    </row>
    <row r="138" spans="1:20">
      <c r="A138" s="1" t="s">
        <v>44</v>
      </c>
      <c r="B138" s="1" t="s">
        <v>32</v>
      </c>
      <c r="C138" s="1" t="s">
        <v>15</v>
      </c>
      <c r="D138" s="1">
        <v>1</v>
      </c>
      <c r="E138" s="1" t="s">
        <v>16</v>
      </c>
      <c r="F138" s="1">
        <f>'[1]Elgi Sauer'!$B$16</f>
        <v>0</v>
      </c>
      <c r="G138" s="1">
        <f>'[1]Elgi Sauer'!$D$16</f>
        <v>2.2892999999998831E-4</v>
      </c>
      <c r="H138" s="1"/>
      <c r="I138" s="1">
        <f>'[1]Elgi Sauer'!$F$16</f>
        <v>-5.6159999999999951E-3</v>
      </c>
      <c r="J138" s="1">
        <f>'[1]Elgi Sauer'!$H$16</f>
        <v>0</v>
      </c>
      <c r="K138" s="1">
        <f>'[1]Elgi Sauer'!$J$16</f>
        <v>-0.11818226000000001</v>
      </c>
      <c r="L138" s="1">
        <f>'[1]Elgi Sauer'!$L$16</f>
        <v>6.1372573600000001E-2</v>
      </c>
      <c r="M138" s="1"/>
      <c r="N138" s="1"/>
      <c r="O138" s="1"/>
      <c r="P138" s="1">
        <v>4</v>
      </c>
      <c r="Q138" s="2">
        <v>2016</v>
      </c>
      <c r="R138" s="2"/>
      <c r="S138" s="2">
        <v>11</v>
      </c>
      <c r="T138" s="2">
        <v>6</v>
      </c>
    </row>
    <row r="139" spans="1:20">
      <c r="A139" s="1" t="s">
        <v>44</v>
      </c>
      <c r="B139" s="1" t="s">
        <v>24</v>
      </c>
      <c r="C139" s="1" t="s">
        <v>15</v>
      </c>
      <c r="D139" s="1">
        <v>1</v>
      </c>
      <c r="E139" s="1" t="s">
        <v>16</v>
      </c>
      <c r="F139" s="1">
        <f>'[1]Elgi Sauer'!$B$20</f>
        <v>0.11228213880000019</v>
      </c>
      <c r="G139" s="1">
        <f>'[1]Elgi Sauer'!$D$20</f>
        <v>0.11228213880000015</v>
      </c>
      <c r="H139" s="1"/>
      <c r="I139" s="1">
        <f>'[1]Elgi Sauer'!$F$20</f>
        <v>2.3415745599999989E-2</v>
      </c>
      <c r="J139" s="1">
        <f>'[1]Elgi Sauer'!$H$20</f>
        <v>1.1663221388000002</v>
      </c>
      <c r="K139" s="1">
        <f>'[1]Elgi Sauer'!$J$20</f>
        <v>1.1662667536000002</v>
      </c>
      <c r="L139" s="1">
        <f>'[1]Elgi Sauer'!$L$20</f>
        <v>0.27375475919999998</v>
      </c>
      <c r="M139" s="1"/>
      <c r="N139" s="1"/>
      <c r="O139" s="1"/>
      <c r="P139" s="1">
        <v>4</v>
      </c>
      <c r="Q139" s="2">
        <v>2016</v>
      </c>
      <c r="R139" s="2"/>
      <c r="S139" s="2">
        <v>11</v>
      </c>
      <c r="T139" s="2">
        <v>7</v>
      </c>
    </row>
    <row r="140" spans="1:20">
      <c r="A140" s="1" t="s">
        <v>44</v>
      </c>
      <c r="B140" s="1" t="s">
        <v>22</v>
      </c>
      <c r="C140" s="1" t="s">
        <v>15</v>
      </c>
      <c r="D140" s="1">
        <v>1</v>
      </c>
      <c r="E140" s="1" t="s">
        <v>16</v>
      </c>
      <c r="F140" s="1">
        <f>'[1]Elgi Sauer'!$B$21</f>
        <v>0.19850618579999998</v>
      </c>
      <c r="G140" s="1">
        <f>'[1]Elgi Sauer'!$D$21</f>
        <v>0.19844667119999992</v>
      </c>
      <c r="H140" s="1"/>
      <c r="I140" s="1">
        <f>'[1]Elgi Sauer'!$F$21</f>
        <v>5.4094128399999976E-2</v>
      </c>
      <c r="J140" s="1">
        <f>'[1]Elgi Sauer'!$H$21</f>
        <v>0.33864842700000003</v>
      </c>
      <c r="K140" s="1">
        <f>'[1]Elgi Sauer'!$J$21</f>
        <v>0.36948103639999985</v>
      </c>
      <c r="L140" s="1">
        <f>'[1]Elgi Sauer'!$L$21</f>
        <v>0.35883358159999995</v>
      </c>
      <c r="M140" s="1"/>
      <c r="N140" s="1"/>
      <c r="O140" s="1"/>
      <c r="P140" s="1">
        <v>4</v>
      </c>
      <c r="Q140" s="2">
        <v>2016</v>
      </c>
      <c r="R140" s="2"/>
      <c r="S140" s="2">
        <v>11</v>
      </c>
      <c r="T140" s="2">
        <v>8</v>
      </c>
    </row>
    <row r="141" spans="1:20">
      <c r="A141" s="1" t="s">
        <v>44</v>
      </c>
      <c r="B141" s="1" t="s">
        <v>19</v>
      </c>
      <c r="C141" s="1" t="s">
        <v>15</v>
      </c>
      <c r="D141" s="1">
        <v>1</v>
      </c>
      <c r="E141" s="1" t="s">
        <v>16</v>
      </c>
      <c r="F141" s="1">
        <f>'[1]Elgi Sauer'!$B$22</f>
        <v>0</v>
      </c>
      <c r="G141" s="1">
        <f>'[1]Elgi Sauer'!$D$22</f>
        <v>0</v>
      </c>
      <c r="H141" s="1"/>
      <c r="I141" s="1">
        <f>'[1]Elgi Sauer'!$F$22</f>
        <v>0</v>
      </c>
      <c r="J141" s="1">
        <f>'[1]Elgi Sauer'!$H$22</f>
        <v>0</v>
      </c>
      <c r="K141" s="1">
        <f>'[1]Elgi Sauer'!$J$22</f>
        <v>0</v>
      </c>
      <c r="L141" s="1">
        <f>'[1]Elgi Sauer'!$L$22</f>
        <v>0</v>
      </c>
      <c r="M141" s="1"/>
      <c r="N141" s="1"/>
      <c r="O141" s="1"/>
      <c r="P141" s="1">
        <v>4</v>
      </c>
      <c r="Q141" s="2">
        <v>2016</v>
      </c>
      <c r="R141" s="2"/>
      <c r="S141" s="2">
        <v>11</v>
      </c>
      <c r="T141" s="2">
        <v>9</v>
      </c>
    </row>
    <row r="142" spans="1:20">
      <c r="A142" s="1" t="s">
        <v>44</v>
      </c>
      <c r="B142" s="1" t="s">
        <v>21</v>
      </c>
      <c r="C142" s="1" t="s">
        <v>15</v>
      </c>
      <c r="D142" s="1">
        <v>1</v>
      </c>
      <c r="E142" s="1" t="s">
        <v>16</v>
      </c>
      <c r="F142" s="1">
        <f>'[1]Elgi Sauer'!$B$23</f>
        <v>0</v>
      </c>
      <c r="G142" s="1">
        <f>'[1]Elgi Sauer'!$D$23</f>
        <v>0</v>
      </c>
      <c r="H142" s="1"/>
      <c r="I142" s="1">
        <f>'[1]Elgi Sauer'!$F$23</f>
        <v>0</v>
      </c>
      <c r="J142" s="1">
        <f>'[1]Elgi Sauer'!$H$23</f>
        <v>0</v>
      </c>
      <c r="K142" s="1">
        <f>'[1]Elgi Sauer'!$J$23</f>
        <v>0</v>
      </c>
      <c r="L142" s="1">
        <f>'[1]Elgi Sauer'!$L$23</f>
        <v>0</v>
      </c>
      <c r="M142" s="1"/>
      <c r="N142" s="1"/>
      <c r="O142" s="1"/>
      <c r="P142" s="1">
        <v>4</v>
      </c>
      <c r="Q142" s="2">
        <v>2016</v>
      </c>
      <c r="R142" s="2"/>
      <c r="S142" s="2">
        <v>11</v>
      </c>
      <c r="T142" s="2">
        <v>10</v>
      </c>
    </row>
    <row r="143" spans="1:20">
      <c r="A143" s="1" t="s">
        <v>44</v>
      </c>
      <c r="B143" s="1" t="s">
        <v>17</v>
      </c>
      <c r="C143" s="1" t="s">
        <v>15</v>
      </c>
      <c r="D143" s="1">
        <v>1</v>
      </c>
      <c r="E143" s="1" t="s">
        <v>16</v>
      </c>
      <c r="F143" s="1">
        <f>'[1]Elgi Sauer'!$B$24</f>
        <v>0</v>
      </c>
      <c r="G143" s="1">
        <f>'[1]Elgi Sauer'!$D$24</f>
        <v>0</v>
      </c>
      <c r="H143" s="1"/>
      <c r="I143" s="1">
        <f>'[1]Elgi Sauer'!$F$24</f>
        <v>0</v>
      </c>
      <c r="J143" s="1">
        <f>'[1]Elgi Sauer'!$H$24</f>
        <v>0</v>
      </c>
      <c r="K143" s="1">
        <f>'[1]Elgi Sauer'!$J$24</f>
        <v>0</v>
      </c>
      <c r="L143" s="1">
        <f>'[1]Elgi Sauer'!$L$24</f>
        <v>0</v>
      </c>
      <c r="M143" s="1"/>
      <c r="N143" s="1"/>
      <c r="O143" s="1"/>
      <c r="P143" s="1">
        <v>4</v>
      </c>
      <c r="Q143" s="2">
        <v>2016</v>
      </c>
      <c r="R143" s="2"/>
      <c r="S143" s="2">
        <v>11</v>
      </c>
      <c r="T143" s="2">
        <v>11</v>
      </c>
    </row>
    <row r="144" spans="1:20">
      <c r="A144" s="1" t="s">
        <v>44</v>
      </c>
      <c r="B144" s="1" t="s">
        <v>33</v>
      </c>
      <c r="C144" s="1" t="s">
        <v>15</v>
      </c>
      <c r="D144" s="1">
        <v>1</v>
      </c>
      <c r="E144" s="1" t="s">
        <v>16</v>
      </c>
      <c r="F144" s="1">
        <f>'[1]Elgi Sauer'!$B$25</f>
        <v>0</v>
      </c>
      <c r="G144" s="1">
        <f>'[1]Elgi Sauer'!$D$25</f>
        <v>0</v>
      </c>
      <c r="H144" s="1"/>
      <c r="I144" s="1">
        <f>'[1]Elgi Sauer'!$F$25</f>
        <v>0</v>
      </c>
      <c r="J144" s="1">
        <f>'[1]Elgi Sauer'!$H$25</f>
        <v>0</v>
      </c>
      <c r="K144" s="1">
        <f>'[1]Elgi Sauer'!$J$25</f>
        <v>0</v>
      </c>
      <c r="L144" s="1">
        <f>'[1]Elgi Sauer'!$L$25</f>
        <v>0</v>
      </c>
      <c r="M144" s="1"/>
      <c r="N144" s="1"/>
      <c r="O144" s="1"/>
      <c r="P144" s="1">
        <v>4</v>
      </c>
      <c r="Q144" s="2">
        <v>2016</v>
      </c>
      <c r="R144" s="2"/>
      <c r="S144" s="2">
        <v>11</v>
      </c>
      <c r="T144" s="2">
        <v>12</v>
      </c>
    </row>
    <row r="145" spans="1:20">
      <c r="A145" s="1" t="s">
        <v>44</v>
      </c>
      <c r="B145" s="1" t="s">
        <v>14</v>
      </c>
      <c r="C145" s="1" t="s">
        <v>15</v>
      </c>
      <c r="D145" s="1">
        <v>1</v>
      </c>
      <c r="E145" s="1" t="s">
        <v>16</v>
      </c>
      <c r="F145" s="1">
        <f>'[1]Elgi Sauer'!$B$26</f>
        <v>2.86E-2</v>
      </c>
      <c r="G145" s="1">
        <f>'[1]Elgi Sauer'!$D$26</f>
        <v>2.8143440000000006E-2</v>
      </c>
      <c r="H145" s="1"/>
      <c r="I145" s="1">
        <f>'[1]Elgi Sauer'!$F$26</f>
        <v>3.7239020000000012E-2</v>
      </c>
      <c r="J145" s="1">
        <f>'[1]Elgi Sauer'!$H$26</f>
        <v>0.11310000000000001</v>
      </c>
      <c r="K145" s="1">
        <f>'[1]Elgi Sauer'!$J$26</f>
        <v>0.11002654000000001</v>
      </c>
      <c r="L145" s="1">
        <f>'[1]Elgi Sauer'!$L$26</f>
        <v>0.12095720000000001</v>
      </c>
      <c r="M145" s="1"/>
      <c r="N145" s="1"/>
      <c r="O145" s="1"/>
      <c r="P145" s="1">
        <v>4</v>
      </c>
      <c r="Q145" s="2">
        <v>2016</v>
      </c>
      <c r="R145" s="2"/>
      <c r="S145" s="2">
        <v>11</v>
      </c>
      <c r="T145" s="2">
        <v>13</v>
      </c>
    </row>
    <row r="146" spans="1:20">
      <c r="A146" s="1" t="s">
        <v>42</v>
      </c>
      <c r="B146" s="1" t="s">
        <v>26</v>
      </c>
      <c r="C146" s="1" t="s">
        <v>15</v>
      </c>
      <c r="D146" s="1">
        <v>1</v>
      </c>
      <c r="E146" s="1" t="s">
        <v>16</v>
      </c>
      <c r="F146" s="1">
        <f>[1]Ergo!$B$6</f>
        <v>1.22</v>
      </c>
      <c r="G146" s="1">
        <f>[1]Ergo!$D$6</f>
        <v>1.08</v>
      </c>
      <c r="H146" s="1"/>
      <c r="I146" s="1">
        <v>0</v>
      </c>
      <c r="J146" s="1">
        <f>[1]Ergo!$F$6</f>
        <v>4.9000000000000004</v>
      </c>
      <c r="K146" s="1">
        <f>[1]Ergo!$H$6</f>
        <v>4.3</v>
      </c>
      <c r="L146" s="1">
        <v>0</v>
      </c>
      <c r="M146" s="1"/>
      <c r="N146" s="1"/>
      <c r="O146" s="1"/>
      <c r="P146" s="1">
        <v>4</v>
      </c>
      <c r="Q146" s="2">
        <v>2016</v>
      </c>
      <c r="R146" s="2" t="s">
        <v>49</v>
      </c>
      <c r="S146" s="2">
        <v>12</v>
      </c>
      <c r="T146" s="2">
        <v>1</v>
      </c>
    </row>
    <row r="147" spans="1:20">
      <c r="A147" s="1" t="s">
        <v>42</v>
      </c>
      <c r="B147" s="1" t="s">
        <v>23</v>
      </c>
      <c r="C147" s="1" t="s">
        <v>15</v>
      </c>
      <c r="D147" s="1">
        <v>1</v>
      </c>
      <c r="E147" s="1" t="s">
        <v>16</v>
      </c>
      <c r="F147" s="1">
        <f>[1]Ergo!$B$8</f>
        <v>0</v>
      </c>
      <c r="G147" s="1">
        <f>[1]Ergo!$D$8</f>
        <v>0</v>
      </c>
      <c r="H147" s="1"/>
      <c r="I147" s="1">
        <v>0</v>
      </c>
      <c r="J147" s="1">
        <f>[1]Ergo!$F$8</f>
        <v>0</v>
      </c>
      <c r="K147" s="1">
        <f>[1]Ergo!$H$8</f>
        <v>0</v>
      </c>
      <c r="L147" s="1">
        <v>0</v>
      </c>
      <c r="M147" s="1"/>
      <c r="N147" s="1"/>
      <c r="O147" s="1"/>
      <c r="P147" s="1">
        <v>4</v>
      </c>
      <c r="Q147" s="2">
        <v>2016</v>
      </c>
      <c r="R147" s="2" t="s">
        <v>49</v>
      </c>
      <c r="S147" s="2">
        <v>12</v>
      </c>
      <c r="T147" s="2">
        <v>2</v>
      </c>
    </row>
    <row r="148" spans="1:20">
      <c r="A148" s="1" t="s">
        <v>42</v>
      </c>
      <c r="B148" s="1" t="s">
        <v>25</v>
      </c>
      <c r="C148" s="1" t="s">
        <v>15</v>
      </c>
      <c r="D148" s="1">
        <v>1</v>
      </c>
      <c r="E148" s="1" t="s">
        <v>16</v>
      </c>
      <c r="F148" s="1">
        <f>[1]Ergo!$B$9</f>
        <v>0.03</v>
      </c>
      <c r="G148" s="1">
        <f>[1]Ergo!$D$9</f>
        <v>0.01</v>
      </c>
      <c r="H148" s="1"/>
      <c r="I148" s="1">
        <v>0</v>
      </c>
      <c r="J148" s="1">
        <f>[1]Ergo!$F$9</f>
        <v>0.1</v>
      </c>
      <c r="K148" s="1">
        <f>[1]Ergo!$H$9</f>
        <v>0.1</v>
      </c>
      <c r="L148" s="1">
        <v>0</v>
      </c>
      <c r="M148" s="1"/>
      <c r="N148" s="1"/>
      <c r="O148" s="1"/>
      <c r="P148" s="1">
        <v>4</v>
      </c>
      <c r="Q148" s="2">
        <v>2016</v>
      </c>
      <c r="R148" s="2" t="s">
        <v>49</v>
      </c>
      <c r="S148" s="2">
        <v>12</v>
      </c>
      <c r="T148" s="2">
        <v>3</v>
      </c>
    </row>
    <row r="149" spans="1:20">
      <c r="A149" s="1" t="s">
        <v>42</v>
      </c>
      <c r="B149" s="1" t="s">
        <v>18</v>
      </c>
      <c r="C149" s="1" t="s">
        <v>15</v>
      </c>
      <c r="D149" s="1">
        <v>1</v>
      </c>
      <c r="E149" s="1" t="s">
        <v>16</v>
      </c>
      <c r="F149" s="1">
        <f>[1]Ergo!$B$14</f>
        <v>0.76</v>
      </c>
      <c r="G149" s="1">
        <f>[1]Ergo!$D$14</f>
        <v>0.49</v>
      </c>
      <c r="H149" s="1"/>
      <c r="I149" s="1">
        <v>0</v>
      </c>
      <c r="J149" s="1">
        <f>[1]Ergo!$F$14</f>
        <v>2.8</v>
      </c>
      <c r="K149" s="1">
        <f>[1]Ergo!$H$14</f>
        <v>1.86</v>
      </c>
      <c r="L149" s="1">
        <v>0</v>
      </c>
      <c r="M149" s="1"/>
      <c r="N149" s="1"/>
      <c r="O149" s="1"/>
      <c r="P149" s="1">
        <v>4</v>
      </c>
      <c r="Q149" s="2">
        <v>2016</v>
      </c>
      <c r="R149" s="2" t="s">
        <v>49</v>
      </c>
      <c r="S149" s="2">
        <v>12</v>
      </c>
      <c r="T149" s="2">
        <v>4</v>
      </c>
    </row>
    <row r="150" spans="1:20">
      <c r="A150" s="1" t="s">
        <v>42</v>
      </c>
      <c r="B150" s="1" t="s">
        <v>20</v>
      </c>
      <c r="C150" s="1" t="s">
        <v>15</v>
      </c>
      <c r="D150" s="1">
        <v>1</v>
      </c>
      <c r="E150" s="1" t="s">
        <v>16</v>
      </c>
      <c r="F150" s="1">
        <f>[1]Ergo!$B$15</f>
        <v>0.39</v>
      </c>
      <c r="G150" s="1">
        <f>[1]Ergo!$D$15</f>
        <v>0.36</v>
      </c>
      <c r="H150" s="1"/>
      <c r="I150" s="1">
        <v>0</v>
      </c>
      <c r="J150" s="1">
        <f>[1]Ergo!$F$15</f>
        <v>1.5</v>
      </c>
      <c r="K150" s="1">
        <f>[1]Ergo!$H$15</f>
        <v>1.44</v>
      </c>
      <c r="L150" s="1">
        <v>0</v>
      </c>
      <c r="M150" s="1"/>
      <c r="N150" s="1"/>
      <c r="O150" s="1"/>
      <c r="P150" s="1">
        <v>4</v>
      </c>
      <c r="Q150" s="2">
        <v>2016</v>
      </c>
      <c r="R150" s="2" t="s">
        <v>49</v>
      </c>
      <c r="S150" s="2">
        <v>12</v>
      </c>
      <c r="T150" s="2">
        <v>5</v>
      </c>
    </row>
    <row r="151" spans="1:20">
      <c r="A151" s="1" t="s">
        <v>42</v>
      </c>
      <c r="B151" s="1" t="s">
        <v>32</v>
      </c>
      <c r="C151" s="1" t="s">
        <v>15</v>
      </c>
      <c r="D151" s="1">
        <v>1</v>
      </c>
      <c r="E151" s="1" t="s">
        <v>16</v>
      </c>
      <c r="F151" s="1">
        <f>[1]Ergo!$B$16</f>
        <v>0</v>
      </c>
      <c r="G151" s="1">
        <f>[1]Ergo!$D$16</f>
        <v>0</v>
      </c>
      <c r="H151" s="1"/>
      <c r="I151" s="1">
        <v>0</v>
      </c>
      <c r="J151" s="1">
        <f>[1]Ergo!$F$16</f>
        <v>0</v>
      </c>
      <c r="K151" s="1">
        <f>[1]Ergo!$H$16</f>
        <v>0</v>
      </c>
      <c r="L151" s="1">
        <v>0</v>
      </c>
      <c r="M151" s="1"/>
      <c r="N151" s="1"/>
      <c r="O151" s="1"/>
      <c r="P151" s="1">
        <v>4</v>
      </c>
      <c r="Q151" s="2">
        <v>2016</v>
      </c>
      <c r="R151" s="2" t="s">
        <v>49</v>
      </c>
      <c r="S151" s="2">
        <v>12</v>
      </c>
      <c r="T151" s="2">
        <v>6</v>
      </c>
    </row>
    <row r="152" spans="1:20">
      <c r="A152" s="1" t="s">
        <v>42</v>
      </c>
      <c r="B152" s="1" t="s">
        <v>24</v>
      </c>
      <c r="C152" s="1" t="s">
        <v>15</v>
      </c>
      <c r="D152" s="1">
        <v>1</v>
      </c>
      <c r="E152" s="1" t="s">
        <v>16</v>
      </c>
      <c r="F152" s="1">
        <f>[1]Ergo!$B$20</f>
        <v>0</v>
      </c>
      <c r="G152" s="1">
        <f>[1]Ergo!$D$20</f>
        <v>0</v>
      </c>
      <c r="H152" s="1"/>
      <c r="I152" s="1">
        <v>0</v>
      </c>
      <c r="J152" s="1">
        <f>[1]Ergo!$F$20</f>
        <v>0</v>
      </c>
      <c r="K152" s="1">
        <f>[1]Ergo!$H$20</f>
        <v>7.0000000000000007E-2</v>
      </c>
      <c r="L152" s="1">
        <v>0</v>
      </c>
      <c r="M152" s="1"/>
      <c r="N152" s="1"/>
      <c r="O152" s="1"/>
      <c r="P152" s="1">
        <v>4</v>
      </c>
      <c r="Q152" s="2">
        <v>2016</v>
      </c>
      <c r="R152" s="2" t="s">
        <v>49</v>
      </c>
      <c r="S152" s="2">
        <v>12</v>
      </c>
      <c r="T152" s="2">
        <v>7</v>
      </c>
    </row>
    <row r="153" spans="1:20">
      <c r="A153" s="1" t="s">
        <v>42</v>
      </c>
      <c r="B153" s="1" t="s">
        <v>22</v>
      </c>
      <c r="C153" s="1" t="s">
        <v>15</v>
      </c>
      <c r="D153" s="1">
        <v>1</v>
      </c>
      <c r="E153" s="1" t="s">
        <v>16</v>
      </c>
      <c r="F153" s="1">
        <f>[1]Ergo!$B$21</f>
        <v>0</v>
      </c>
      <c r="G153" s="1">
        <f>[1]Ergo!$D$21</f>
        <v>0</v>
      </c>
      <c r="H153" s="1"/>
      <c r="I153" s="1">
        <v>0</v>
      </c>
      <c r="J153" s="1">
        <f>[1]Ergo!$F$21</f>
        <v>0</v>
      </c>
      <c r="K153" s="1">
        <f>[1]Ergo!$H$21</f>
        <v>0</v>
      </c>
      <c r="L153" s="1">
        <v>0</v>
      </c>
      <c r="M153" s="1"/>
      <c r="N153" s="1"/>
      <c r="O153" s="1"/>
      <c r="P153" s="1">
        <v>4</v>
      </c>
      <c r="Q153" s="2">
        <v>2016</v>
      </c>
      <c r="R153" s="2" t="s">
        <v>49</v>
      </c>
      <c r="S153" s="2">
        <v>12</v>
      </c>
      <c r="T153" s="2">
        <v>8</v>
      </c>
    </row>
    <row r="154" spans="1:20">
      <c r="A154" s="1" t="s">
        <v>42</v>
      </c>
      <c r="B154" s="1" t="s">
        <v>19</v>
      </c>
      <c r="C154" s="1" t="s">
        <v>15</v>
      </c>
      <c r="D154" s="1">
        <v>1</v>
      </c>
      <c r="E154" s="1" t="s">
        <v>16</v>
      </c>
      <c r="F154" s="1">
        <f>[1]Ergo!$B$22</f>
        <v>0</v>
      </c>
      <c r="G154" s="1">
        <f>[1]Ergo!$D$22</f>
        <v>0</v>
      </c>
      <c r="H154" s="1"/>
      <c r="I154" s="1">
        <v>0</v>
      </c>
      <c r="J154" s="1">
        <f>[1]Ergo!$F$22</f>
        <v>0</v>
      </c>
      <c r="K154" s="1">
        <f>[1]Ergo!$H$22</f>
        <v>0</v>
      </c>
      <c r="L154" s="1">
        <v>0</v>
      </c>
      <c r="M154" s="1"/>
      <c r="N154" s="1"/>
      <c r="O154" s="1"/>
      <c r="P154" s="1">
        <v>4</v>
      </c>
      <c r="Q154" s="2">
        <v>2016</v>
      </c>
      <c r="R154" s="2" t="s">
        <v>49</v>
      </c>
      <c r="S154" s="2">
        <v>12</v>
      </c>
      <c r="T154" s="2">
        <v>9</v>
      </c>
    </row>
    <row r="155" spans="1:20">
      <c r="A155" s="1" t="s">
        <v>42</v>
      </c>
      <c r="B155" s="1" t="s">
        <v>21</v>
      </c>
      <c r="C155" s="1" t="s">
        <v>15</v>
      </c>
      <c r="D155" s="1">
        <v>1</v>
      </c>
      <c r="E155" s="1" t="s">
        <v>16</v>
      </c>
      <c r="F155" s="1">
        <f>[1]Ergo!$B$23</f>
        <v>0</v>
      </c>
      <c r="G155" s="1">
        <f>[1]Ergo!$D$23</f>
        <v>0</v>
      </c>
      <c r="H155" s="1"/>
      <c r="I155" s="1">
        <v>0</v>
      </c>
      <c r="J155" s="1">
        <f>[1]Ergo!$F$23</f>
        <v>0</v>
      </c>
      <c r="K155" s="1">
        <f>[1]Ergo!$H$23</f>
        <v>0</v>
      </c>
      <c r="L155" s="1">
        <v>0</v>
      </c>
      <c r="M155" s="1"/>
      <c r="N155" s="1"/>
      <c r="O155" s="1"/>
      <c r="P155" s="1">
        <v>4</v>
      </c>
      <c r="Q155" s="2">
        <v>2016</v>
      </c>
      <c r="R155" s="2" t="s">
        <v>49</v>
      </c>
      <c r="S155" s="2">
        <v>12</v>
      </c>
      <c r="T155" s="2">
        <v>10</v>
      </c>
    </row>
    <row r="156" spans="1:20">
      <c r="A156" s="1" t="s">
        <v>42</v>
      </c>
      <c r="B156" s="1" t="s">
        <v>17</v>
      </c>
      <c r="C156" s="1" t="s">
        <v>15</v>
      </c>
      <c r="D156" s="1">
        <v>1</v>
      </c>
      <c r="E156" s="1" t="s">
        <v>16</v>
      </c>
      <c r="F156" s="1">
        <f>[1]Ergo!$B$24</f>
        <v>0</v>
      </c>
      <c r="G156" s="1">
        <f>[1]Ergo!$D$24</f>
        <v>0</v>
      </c>
      <c r="H156" s="1"/>
      <c r="I156" s="1">
        <v>0</v>
      </c>
      <c r="J156" s="1">
        <f>[1]Ergo!$F$24</f>
        <v>0</v>
      </c>
      <c r="K156" s="1">
        <f>[1]Ergo!$H$24</f>
        <v>0</v>
      </c>
      <c r="L156" s="1">
        <v>0</v>
      </c>
      <c r="M156" s="1"/>
      <c r="N156" s="1"/>
      <c r="O156" s="1"/>
      <c r="P156" s="1">
        <v>4</v>
      </c>
      <c r="Q156" s="2">
        <v>2016</v>
      </c>
      <c r="R156" s="2" t="s">
        <v>49</v>
      </c>
      <c r="S156" s="2">
        <v>12</v>
      </c>
      <c r="T156" s="2">
        <v>11</v>
      </c>
    </row>
    <row r="157" spans="1:20">
      <c r="A157" s="1" t="s">
        <v>42</v>
      </c>
      <c r="B157" s="1" t="s">
        <v>33</v>
      </c>
      <c r="C157" s="1" t="s">
        <v>15</v>
      </c>
      <c r="D157" s="1">
        <v>1</v>
      </c>
      <c r="E157" s="1" t="s">
        <v>16</v>
      </c>
      <c r="F157" s="1">
        <f>[1]Ergo!$B$25</f>
        <v>0</v>
      </c>
      <c r="G157" s="1">
        <f>[1]Ergo!$D$25</f>
        <v>0</v>
      </c>
      <c r="H157" s="1"/>
      <c r="I157" s="1">
        <v>0</v>
      </c>
      <c r="J157" s="1">
        <f>[1]Ergo!$F$25</f>
        <v>0</v>
      </c>
      <c r="K157" s="1">
        <f>[1]Ergo!$H$25</f>
        <v>0</v>
      </c>
      <c r="L157" s="1">
        <v>0</v>
      </c>
      <c r="M157" s="1"/>
      <c r="N157" s="1"/>
      <c r="O157" s="1"/>
      <c r="P157" s="1">
        <v>4</v>
      </c>
      <c r="Q157" s="2">
        <v>2016</v>
      </c>
      <c r="R157" s="2" t="s">
        <v>49</v>
      </c>
      <c r="S157" s="2">
        <v>12</v>
      </c>
      <c r="T157" s="2">
        <v>12</v>
      </c>
    </row>
    <row r="158" spans="1:20">
      <c r="A158" s="1" t="s">
        <v>42</v>
      </c>
      <c r="B158" s="1" t="s">
        <v>14</v>
      </c>
      <c r="C158" s="1" t="s">
        <v>15</v>
      </c>
      <c r="D158" s="1">
        <v>1</v>
      </c>
      <c r="E158" s="1" t="s">
        <v>16</v>
      </c>
      <c r="F158" s="1">
        <f>[1]Ergo!$B$26</f>
        <v>0.04</v>
      </c>
      <c r="G158" s="1">
        <f>[1]Ergo!$D$26</f>
        <v>0.01</v>
      </c>
      <c r="H158" s="1"/>
      <c r="I158" s="1">
        <v>0</v>
      </c>
      <c r="J158" s="1">
        <f>[1]Ergo!$F$26</f>
        <v>0.11</v>
      </c>
      <c r="K158" s="1">
        <f>[1]Ergo!$H$26</f>
        <v>0.11</v>
      </c>
      <c r="L158" s="1">
        <v>0</v>
      </c>
      <c r="M158" s="1"/>
      <c r="N158" s="1"/>
      <c r="O158" s="1"/>
      <c r="P158" s="1">
        <v>4</v>
      </c>
      <c r="Q158" s="2">
        <v>2016</v>
      </c>
      <c r="R158" s="2" t="s">
        <v>49</v>
      </c>
      <c r="S158" s="2">
        <v>12</v>
      </c>
      <c r="T158" s="2">
        <v>13</v>
      </c>
    </row>
    <row r="159" spans="1:20">
      <c r="A159" s="1" t="s">
        <v>43</v>
      </c>
      <c r="B159" s="1" t="s">
        <v>26</v>
      </c>
      <c r="C159" s="1" t="s">
        <v>15</v>
      </c>
      <c r="D159" s="1">
        <v>1</v>
      </c>
      <c r="E159" s="1" t="s">
        <v>16</v>
      </c>
      <c r="F159" s="1">
        <v>0</v>
      </c>
      <c r="G159" s="1">
        <v>0</v>
      </c>
      <c r="H159" s="1"/>
      <c r="I159" s="1">
        <f>[1]Belair!$B$6</f>
        <v>49.295939610933331</v>
      </c>
      <c r="J159" s="1">
        <v>0</v>
      </c>
      <c r="K159" s="1">
        <v>0</v>
      </c>
      <c r="L159" s="1">
        <f>[1]Belair!$D$6</f>
        <v>173.2371347696</v>
      </c>
      <c r="M159" s="1"/>
      <c r="N159" s="1"/>
      <c r="O159" s="1"/>
      <c r="P159" s="1">
        <v>4</v>
      </c>
      <c r="Q159" s="2">
        <v>2016</v>
      </c>
      <c r="R159" s="2" t="s">
        <v>49</v>
      </c>
      <c r="S159" s="2">
        <v>13</v>
      </c>
      <c r="T159" s="2">
        <v>1</v>
      </c>
    </row>
    <row r="160" spans="1:20">
      <c r="A160" s="1" t="s">
        <v>43</v>
      </c>
      <c r="B160" s="1" t="s">
        <v>23</v>
      </c>
      <c r="C160" s="1" t="s">
        <v>15</v>
      </c>
      <c r="D160" s="1">
        <v>1</v>
      </c>
      <c r="E160" s="1" t="s">
        <v>16</v>
      </c>
      <c r="F160" s="1">
        <v>0</v>
      </c>
      <c r="G160" s="1">
        <v>0</v>
      </c>
      <c r="H160" s="1"/>
      <c r="I160" s="1">
        <f>[1]Belair!$B$8</f>
        <v>26.616204822166665</v>
      </c>
      <c r="J160" s="1">
        <v>0</v>
      </c>
      <c r="K160" s="1">
        <v>0</v>
      </c>
      <c r="L160" s="1">
        <f>[1]Belair!$D$8</f>
        <v>94.676406949500006</v>
      </c>
      <c r="M160" s="1"/>
      <c r="N160" s="1"/>
      <c r="O160" s="1"/>
      <c r="P160" s="1">
        <v>4</v>
      </c>
      <c r="Q160" s="2">
        <v>2016</v>
      </c>
      <c r="R160" s="2" t="s">
        <v>49</v>
      </c>
      <c r="S160" s="2">
        <v>13</v>
      </c>
      <c r="T160" s="2">
        <v>2</v>
      </c>
    </row>
    <row r="161" spans="1:20">
      <c r="A161" s="1" t="s">
        <v>43</v>
      </c>
      <c r="B161" s="1" t="s">
        <v>25</v>
      </c>
      <c r="C161" s="1" t="s">
        <v>15</v>
      </c>
      <c r="D161" s="1">
        <v>1</v>
      </c>
      <c r="E161" s="1" t="s">
        <v>16</v>
      </c>
      <c r="F161" s="1">
        <v>0</v>
      </c>
      <c r="G161" s="1">
        <v>0</v>
      </c>
      <c r="H161" s="1"/>
      <c r="I161" s="1">
        <f>[1]Belair!$B$9</f>
        <v>6.3909897493499699</v>
      </c>
      <c r="J161" s="1">
        <v>0</v>
      </c>
      <c r="K161" s="1">
        <v>0</v>
      </c>
      <c r="L161" s="1">
        <f>[1]Belair!$D$9</f>
        <v>20.262774202549984</v>
      </c>
      <c r="M161" s="1"/>
      <c r="N161" s="1"/>
      <c r="O161" s="1"/>
      <c r="P161" s="1">
        <v>4</v>
      </c>
      <c r="Q161" s="2">
        <v>2016</v>
      </c>
      <c r="R161" s="2" t="s">
        <v>49</v>
      </c>
      <c r="S161" s="2">
        <v>13</v>
      </c>
      <c r="T161" s="2">
        <v>3</v>
      </c>
    </row>
    <row r="162" spans="1:20">
      <c r="A162" s="1" t="s">
        <v>43</v>
      </c>
      <c r="B162" s="1" t="s">
        <v>18</v>
      </c>
      <c r="C162" s="1" t="s">
        <v>15</v>
      </c>
      <c r="D162" s="1">
        <v>1</v>
      </c>
      <c r="E162" s="1" t="s">
        <v>16</v>
      </c>
      <c r="F162" s="1">
        <v>0</v>
      </c>
      <c r="G162" s="1">
        <v>0</v>
      </c>
      <c r="H162" s="1"/>
      <c r="I162" s="1">
        <f>[1]Belair!$B$14</f>
        <v>12.347659152883338</v>
      </c>
      <c r="J162" s="1">
        <v>0</v>
      </c>
      <c r="K162" s="1">
        <v>0</v>
      </c>
      <c r="L162" s="1">
        <f>[1]Belair!$D$14</f>
        <v>48.594233532350003</v>
      </c>
      <c r="M162" s="1"/>
      <c r="N162" s="1"/>
      <c r="O162" s="1"/>
      <c r="P162" s="1">
        <v>4</v>
      </c>
      <c r="Q162" s="2">
        <v>2016</v>
      </c>
      <c r="R162" s="2" t="s">
        <v>49</v>
      </c>
      <c r="S162" s="2">
        <v>13</v>
      </c>
      <c r="T162" s="2">
        <v>4</v>
      </c>
    </row>
    <row r="163" spans="1:20">
      <c r="A163" s="1" t="s">
        <v>43</v>
      </c>
      <c r="B163" s="1" t="s">
        <v>20</v>
      </c>
      <c r="C163" s="1" t="s">
        <v>15</v>
      </c>
      <c r="D163" s="1">
        <v>1</v>
      </c>
      <c r="E163" s="1" t="s">
        <v>16</v>
      </c>
      <c r="F163" s="1">
        <v>0</v>
      </c>
      <c r="G163" s="1">
        <v>0</v>
      </c>
      <c r="H163" s="1"/>
      <c r="I163" s="1">
        <f>[1]Belair!$B$15</f>
        <v>5.0682105687000139</v>
      </c>
      <c r="J163" s="1">
        <v>0</v>
      </c>
      <c r="K163" s="1">
        <v>0</v>
      </c>
      <c r="L163" s="1">
        <f>[1]Belair!$D$15</f>
        <v>20.04540631830001</v>
      </c>
      <c r="M163" s="1"/>
      <c r="N163" s="1"/>
      <c r="O163" s="1"/>
      <c r="P163" s="1">
        <v>4</v>
      </c>
      <c r="Q163" s="2">
        <v>2016</v>
      </c>
      <c r="R163" s="2" t="s">
        <v>49</v>
      </c>
      <c r="S163" s="2">
        <v>13</v>
      </c>
      <c r="T163" s="2">
        <v>5</v>
      </c>
    </row>
    <row r="164" spans="1:20">
      <c r="A164" s="1" t="s">
        <v>43</v>
      </c>
      <c r="B164" s="1" t="s">
        <v>32</v>
      </c>
      <c r="C164" s="1" t="s">
        <v>15</v>
      </c>
      <c r="D164" s="1">
        <v>1</v>
      </c>
      <c r="E164" s="1" t="s">
        <v>16</v>
      </c>
      <c r="F164" s="1">
        <v>0</v>
      </c>
      <c r="G164" s="1">
        <v>0</v>
      </c>
      <c r="H164" s="1"/>
      <c r="I164" s="1">
        <f>[1]Belair!$B$16</f>
        <v>0</v>
      </c>
      <c r="J164" s="1">
        <v>0</v>
      </c>
      <c r="K164" s="1">
        <v>0</v>
      </c>
      <c r="L164" s="1">
        <f>[1]Belair!$D$16</f>
        <v>0</v>
      </c>
      <c r="M164" s="1"/>
      <c r="N164" s="1"/>
      <c r="O164" s="1"/>
      <c r="P164" s="1">
        <v>4</v>
      </c>
      <c r="Q164" s="2">
        <v>2016</v>
      </c>
      <c r="R164" s="2" t="s">
        <v>49</v>
      </c>
      <c r="S164" s="2">
        <v>13</v>
      </c>
      <c r="T164" s="2">
        <v>6</v>
      </c>
    </row>
    <row r="165" spans="1:20">
      <c r="A165" s="1" t="s">
        <v>43</v>
      </c>
      <c r="B165" s="1" t="s">
        <v>24</v>
      </c>
      <c r="C165" s="1" t="s">
        <v>15</v>
      </c>
      <c r="D165" s="1">
        <v>1</v>
      </c>
      <c r="E165" s="1" t="s">
        <v>16</v>
      </c>
      <c r="F165" s="1">
        <v>0</v>
      </c>
      <c r="G165" s="1">
        <v>0</v>
      </c>
      <c r="H165" s="1"/>
      <c r="I165" s="1">
        <f>[1]Belair!$B$20</f>
        <v>0</v>
      </c>
      <c r="J165" s="1">
        <v>0</v>
      </c>
      <c r="K165" s="1">
        <v>0</v>
      </c>
      <c r="L165" s="1">
        <f>[1]Belair!$D$20</f>
        <v>0</v>
      </c>
      <c r="M165" s="1"/>
      <c r="N165" s="1"/>
      <c r="O165" s="1"/>
      <c r="P165" s="1">
        <v>4</v>
      </c>
      <c r="Q165" s="2">
        <v>2016</v>
      </c>
      <c r="R165" s="2" t="s">
        <v>49</v>
      </c>
      <c r="S165" s="2">
        <v>13</v>
      </c>
      <c r="T165" s="2">
        <v>7</v>
      </c>
    </row>
    <row r="166" spans="1:20">
      <c r="A166" s="1" t="s">
        <v>43</v>
      </c>
      <c r="B166" s="1" t="s">
        <v>22</v>
      </c>
      <c r="C166" s="1" t="s">
        <v>15</v>
      </c>
      <c r="D166" s="1">
        <v>1</v>
      </c>
      <c r="E166" s="1" t="s">
        <v>16</v>
      </c>
      <c r="F166" s="1">
        <v>0</v>
      </c>
      <c r="G166" s="1">
        <v>0</v>
      </c>
      <c r="H166" s="1"/>
      <c r="I166" s="1">
        <f>[1]Belair!$B$21</f>
        <v>0</v>
      </c>
      <c r="J166" s="1">
        <v>0</v>
      </c>
      <c r="K166" s="1">
        <v>0</v>
      </c>
      <c r="L166" s="1">
        <f>[1]Belair!$D$21</f>
        <v>0</v>
      </c>
      <c r="M166" s="1"/>
      <c r="N166" s="1"/>
      <c r="O166" s="1"/>
      <c r="P166" s="1">
        <v>4</v>
      </c>
      <c r="Q166" s="2">
        <v>2016</v>
      </c>
      <c r="R166" s="2" t="s">
        <v>49</v>
      </c>
      <c r="S166" s="2">
        <v>13</v>
      </c>
      <c r="T166" s="2">
        <v>8</v>
      </c>
    </row>
    <row r="167" spans="1:20">
      <c r="A167" s="1" t="s">
        <v>43</v>
      </c>
      <c r="B167" s="1" t="s">
        <v>19</v>
      </c>
      <c r="C167" s="1" t="s">
        <v>15</v>
      </c>
      <c r="D167" s="1">
        <v>1</v>
      </c>
      <c r="E167" s="1" t="s">
        <v>16</v>
      </c>
      <c r="F167" s="1">
        <v>0</v>
      </c>
      <c r="G167" s="1">
        <v>0</v>
      </c>
      <c r="H167" s="1"/>
      <c r="I167" s="1">
        <f>[1]Belair!$B$22</f>
        <v>-6.6999999999997834E-7</v>
      </c>
      <c r="J167" s="1">
        <v>0</v>
      </c>
      <c r="K167" s="1">
        <v>0</v>
      </c>
      <c r="L167" s="1">
        <f>[1]Belair!$D$22</f>
        <v>4.1829000000000004E-4</v>
      </c>
      <c r="M167" s="1"/>
      <c r="N167" s="1"/>
      <c r="O167" s="1"/>
      <c r="P167" s="1">
        <v>4</v>
      </c>
      <c r="Q167" s="2">
        <v>2016</v>
      </c>
      <c r="R167" s="2" t="s">
        <v>49</v>
      </c>
      <c r="S167" s="2">
        <v>13</v>
      </c>
      <c r="T167" s="2">
        <v>9</v>
      </c>
    </row>
    <row r="168" spans="1:20">
      <c r="A168" s="1" t="s">
        <v>43</v>
      </c>
      <c r="B168" s="1" t="s">
        <v>21</v>
      </c>
      <c r="C168" s="1" t="s">
        <v>15</v>
      </c>
      <c r="D168" s="1">
        <v>1</v>
      </c>
      <c r="E168" s="1" t="s">
        <v>16</v>
      </c>
      <c r="F168" s="1">
        <v>0</v>
      </c>
      <c r="G168" s="1">
        <v>0</v>
      </c>
      <c r="H168" s="1"/>
      <c r="I168" s="1">
        <f>[1]Belair!$B$23</f>
        <v>0.29383998803333344</v>
      </c>
      <c r="J168" s="1">
        <v>0</v>
      </c>
      <c r="K168" s="1">
        <v>0</v>
      </c>
      <c r="L168" s="1">
        <f>[1]Belair!$D$23</f>
        <v>0.75529370430000009</v>
      </c>
      <c r="M168" s="1"/>
      <c r="N168" s="1"/>
      <c r="O168" s="1"/>
      <c r="P168" s="1">
        <v>4</v>
      </c>
      <c r="Q168" s="2">
        <v>2016</v>
      </c>
      <c r="R168" s="2" t="s">
        <v>49</v>
      </c>
      <c r="S168" s="2">
        <v>13</v>
      </c>
      <c r="T168" s="2">
        <v>10</v>
      </c>
    </row>
    <row r="169" spans="1:20">
      <c r="A169" s="1" t="s">
        <v>43</v>
      </c>
      <c r="B169" s="1" t="s">
        <v>17</v>
      </c>
      <c r="C169" s="1" t="s">
        <v>15</v>
      </c>
      <c r="D169" s="1">
        <v>1</v>
      </c>
      <c r="E169" s="1" t="s">
        <v>16</v>
      </c>
      <c r="F169" s="1">
        <v>0</v>
      </c>
      <c r="G169" s="1">
        <v>0</v>
      </c>
      <c r="H169" s="1"/>
      <c r="I169" s="1">
        <f>[1]Belair!$B$24</f>
        <v>0</v>
      </c>
      <c r="J169" s="1">
        <v>0</v>
      </c>
      <c r="K169" s="1">
        <v>0</v>
      </c>
      <c r="L169" s="1">
        <f>[1]Belair!$D$24</f>
        <v>0</v>
      </c>
      <c r="M169" s="1"/>
      <c r="N169" s="1"/>
      <c r="O169" s="1"/>
      <c r="P169" s="1">
        <v>4</v>
      </c>
      <c r="Q169" s="2">
        <v>2016</v>
      </c>
      <c r="R169" s="2" t="s">
        <v>49</v>
      </c>
      <c r="S169" s="2">
        <v>13</v>
      </c>
      <c r="T169" s="2">
        <v>11</v>
      </c>
    </row>
    <row r="170" spans="1:20">
      <c r="A170" s="1" t="s">
        <v>43</v>
      </c>
      <c r="B170" s="1" t="s">
        <v>33</v>
      </c>
      <c r="C170" s="1" t="s">
        <v>15</v>
      </c>
      <c r="D170" s="1">
        <v>1</v>
      </c>
      <c r="E170" s="1" t="s">
        <v>16</v>
      </c>
      <c r="F170" s="1">
        <v>0</v>
      </c>
      <c r="G170" s="1">
        <v>0</v>
      </c>
      <c r="H170" s="1"/>
      <c r="I170" s="1">
        <f>[1]Belair!$B$25</f>
        <v>0</v>
      </c>
      <c r="J170" s="1">
        <v>0</v>
      </c>
      <c r="K170" s="1">
        <v>0</v>
      </c>
      <c r="L170" s="1">
        <f>[1]Belair!$D$25</f>
        <v>0</v>
      </c>
      <c r="M170" s="1"/>
      <c r="N170" s="1"/>
      <c r="O170" s="1"/>
      <c r="P170" s="1">
        <v>4</v>
      </c>
      <c r="Q170" s="2">
        <v>2016</v>
      </c>
      <c r="R170" s="2" t="s">
        <v>49</v>
      </c>
      <c r="S170" s="2">
        <v>13</v>
      </c>
      <c r="T170" s="2">
        <v>12</v>
      </c>
    </row>
    <row r="171" spans="1:20">
      <c r="A171" s="1" t="s">
        <v>43</v>
      </c>
      <c r="B171" s="1" t="s">
        <v>14</v>
      </c>
      <c r="C171" s="1" t="s">
        <v>15</v>
      </c>
      <c r="D171" s="1">
        <v>1</v>
      </c>
      <c r="E171" s="1" t="s">
        <v>16</v>
      </c>
      <c r="F171" s="1">
        <v>0</v>
      </c>
      <c r="G171" s="1">
        <v>0</v>
      </c>
      <c r="H171" s="1"/>
      <c r="I171" s="1">
        <f>[1]Belair!$B$26</f>
        <v>0.25906503166666683</v>
      </c>
      <c r="J171" s="1">
        <v>0</v>
      </c>
      <c r="K171" s="1">
        <v>0</v>
      </c>
      <c r="L171" s="1">
        <f>[1]Belair!$D$26</f>
        <v>1.0411935250000002</v>
      </c>
      <c r="M171" s="1"/>
      <c r="N171" s="1"/>
      <c r="O171" s="1"/>
      <c r="P171" s="1">
        <v>4</v>
      </c>
      <c r="Q171" s="2">
        <v>2016</v>
      </c>
      <c r="R171" s="2" t="s">
        <v>49</v>
      </c>
      <c r="S171" s="2">
        <v>13</v>
      </c>
      <c r="T171" s="2">
        <v>13</v>
      </c>
    </row>
    <row r="172" spans="1:20">
      <c r="A172" s="1" t="s">
        <v>45</v>
      </c>
      <c r="B172" s="1" t="s">
        <v>26</v>
      </c>
      <c r="C172" s="1" t="s">
        <v>15</v>
      </c>
      <c r="D172" s="1">
        <v>1</v>
      </c>
      <c r="E172" s="1" t="s">
        <v>16</v>
      </c>
      <c r="F172" s="1">
        <f>'[1]USA-Cons'!$O$6</f>
        <v>0</v>
      </c>
      <c r="G172" s="1">
        <f>'[1]USA-Cons'!$Q$6</f>
        <v>-24.772660579299838</v>
      </c>
      <c r="H172" s="1"/>
      <c r="I172" s="1">
        <f>'[1]USA-Cons'!$S$6</f>
        <v>11.541093133383299</v>
      </c>
      <c r="J172" s="1">
        <f>'[1]USA-Cons'!$U$6</f>
        <v>0</v>
      </c>
      <c r="K172" s="1">
        <f>'[1]USA-Cons'!$W$6</f>
        <v>-60.689137502899939</v>
      </c>
      <c r="L172" s="1">
        <f>'[1]USA-Cons'!$Y$6</f>
        <v>-24.619848924050075</v>
      </c>
      <c r="M172" s="1"/>
      <c r="N172" s="1"/>
      <c r="O172" s="1"/>
      <c r="P172" s="1">
        <v>4</v>
      </c>
      <c r="Q172" s="2">
        <v>2016</v>
      </c>
      <c r="R172" s="2" t="s">
        <v>50</v>
      </c>
      <c r="S172" s="2"/>
      <c r="T172" s="2">
        <v>1</v>
      </c>
    </row>
    <row r="173" spans="1:20">
      <c r="A173" s="1" t="s">
        <v>45</v>
      </c>
      <c r="B173" s="1" t="s">
        <v>23</v>
      </c>
      <c r="C173" s="1" t="s">
        <v>15</v>
      </c>
      <c r="D173" s="1">
        <v>1</v>
      </c>
      <c r="E173" s="1" t="s">
        <v>16</v>
      </c>
      <c r="F173" s="1">
        <f>'[1]USA-Cons'!$O$8</f>
        <v>0</v>
      </c>
      <c r="G173" s="1">
        <f>'[1]USA-Cons'!$Q$8</f>
        <v>-25.28774746899991</v>
      </c>
      <c r="H173" s="1"/>
      <c r="I173" s="1">
        <f>'[1]USA-Cons'!$S$8</f>
        <v>-11.122476267549985</v>
      </c>
      <c r="J173" s="1">
        <f>'[1]USA-Cons'!$U$8</f>
        <v>0</v>
      </c>
      <c r="K173" s="1">
        <f>'[1]USA-Cons'!$W$8</f>
        <v>-68.722302132499976</v>
      </c>
      <c r="L173" s="1">
        <f>'[1]USA-Cons'!$Y$8</f>
        <v>-43.386024776050078</v>
      </c>
      <c r="M173" s="1"/>
      <c r="N173" s="1"/>
      <c r="O173" s="1"/>
      <c r="P173" s="1">
        <v>4</v>
      </c>
      <c r="Q173" s="2">
        <v>2016</v>
      </c>
      <c r="R173" s="2" t="s">
        <v>50</v>
      </c>
      <c r="S173" s="2"/>
      <c r="T173" s="2">
        <v>2</v>
      </c>
    </row>
    <row r="174" spans="1:20">
      <c r="A174" s="1" t="s">
        <v>45</v>
      </c>
      <c r="B174" s="1" t="s">
        <v>25</v>
      </c>
      <c r="C174" s="1" t="s">
        <v>15</v>
      </c>
      <c r="D174" s="1">
        <v>1</v>
      </c>
      <c r="E174" s="1" t="s">
        <v>16</v>
      </c>
      <c r="F174" s="1">
        <f>'[1]USA-Cons'!$O$9</f>
        <v>0</v>
      </c>
      <c r="G174" s="1">
        <f>'[1]USA-Cons'!$Q$9</f>
        <v>0</v>
      </c>
      <c r="H174" s="1"/>
      <c r="I174" s="1">
        <f>'[1]USA-Cons'!$S$9</f>
        <v>-1.6395843849998926E-2</v>
      </c>
      <c r="J174" s="1">
        <f>'[1]USA-Cons'!$U$9</f>
        <v>0</v>
      </c>
      <c r="K174" s="1">
        <f>'[1]USA-Cons'!$W$9</f>
        <v>0</v>
      </c>
      <c r="L174" s="1">
        <f>'[1]USA-Cons'!$Y$9</f>
        <v>-1.7164838850000308E-2</v>
      </c>
      <c r="M174" s="1"/>
      <c r="N174" s="1"/>
      <c r="O174" s="1"/>
      <c r="P174" s="1">
        <v>4</v>
      </c>
      <c r="Q174" s="2">
        <v>2016</v>
      </c>
      <c r="R174" s="2" t="s">
        <v>50</v>
      </c>
      <c r="S174" s="2"/>
      <c r="T174" s="2">
        <v>3</v>
      </c>
    </row>
    <row r="175" spans="1:20">
      <c r="A175" s="1" t="s">
        <v>45</v>
      </c>
      <c r="B175" s="1" t="s">
        <v>18</v>
      </c>
      <c r="C175" s="1" t="s">
        <v>15</v>
      </c>
      <c r="D175" s="1">
        <v>1</v>
      </c>
      <c r="E175" s="1" t="s">
        <v>16</v>
      </c>
      <c r="F175" s="1">
        <f>'[1]USA-Cons'!$O$14</f>
        <v>0</v>
      </c>
      <c r="G175" s="1">
        <f>'[1]USA-Cons'!$Q$14</f>
        <v>1.2689967132999698</v>
      </c>
      <c r="H175" s="1"/>
      <c r="I175" s="1">
        <f>'[1]USA-Cons'!$S$14</f>
        <v>2.0997870916602324E-2</v>
      </c>
      <c r="J175" s="1">
        <f>'[1]USA-Cons'!$U$14</f>
        <v>0</v>
      </c>
      <c r="K175" s="1">
        <f>'[1]USA-Cons'!$W$14</f>
        <v>5.5894199021999498</v>
      </c>
      <c r="L175" s="1">
        <f>'[1]USA-Cons'!$Y$14</f>
        <v>1.400393304996328E-2</v>
      </c>
      <c r="M175" s="1"/>
      <c r="N175" s="1"/>
      <c r="O175" s="1"/>
      <c r="P175" s="1">
        <v>4</v>
      </c>
      <c r="Q175" s="2">
        <v>2016</v>
      </c>
      <c r="R175" s="2" t="s">
        <v>50</v>
      </c>
      <c r="S175" s="2"/>
      <c r="T175" s="2">
        <v>4</v>
      </c>
    </row>
    <row r="176" spans="1:20">
      <c r="A176" s="1" t="s">
        <v>45</v>
      </c>
      <c r="B176" s="1" t="s">
        <v>20</v>
      </c>
      <c r="C176" s="1" t="s">
        <v>15</v>
      </c>
      <c r="D176" s="1">
        <v>1</v>
      </c>
      <c r="E176" s="1" t="s">
        <v>16</v>
      </c>
      <c r="F176" s="1">
        <f>'[1]USA-Cons'!$O$15</f>
        <v>0</v>
      </c>
      <c r="G176" s="1">
        <f>'[1]USA-Cons'!$Q$15</f>
        <v>-1.2689967133000906</v>
      </c>
      <c r="H176" s="1"/>
      <c r="I176" s="1">
        <f>'[1]USA-Cons'!$S$15</f>
        <v>2.3013191683332934E-2</v>
      </c>
      <c r="J176" s="1">
        <f>'[1]USA-Cons'!$U$15</f>
        <v>0</v>
      </c>
      <c r="K176" s="1">
        <f>'[1]USA-Cons'!$W$15</f>
        <v>-5.5894199022000493</v>
      </c>
      <c r="L176" s="1">
        <f>'[1]USA-Cons'!$Y$15</f>
        <v>6.2454357500030255E-3</v>
      </c>
      <c r="M176" s="1"/>
      <c r="N176" s="1"/>
      <c r="O176" s="1"/>
      <c r="P176" s="1">
        <v>4</v>
      </c>
      <c r="Q176" s="2">
        <v>2016</v>
      </c>
      <c r="R176" s="2" t="s">
        <v>50</v>
      </c>
      <c r="S176" s="2"/>
      <c r="T176" s="2">
        <v>5</v>
      </c>
    </row>
    <row r="177" spans="1:20">
      <c r="A177" s="1" t="s">
        <v>45</v>
      </c>
      <c r="B177" s="1" t="s">
        <v>32</v>
      </c>
      <c r="C177" s="1" t="s">
        <v>15</v>
      </c>
      <c r="D177" s="1">
        <v>1</v>
      </c>
      <c r="E177" s="1" t="s">
        <v>16</v>
      </c>
      <c r="F177" s="1">
        <f>'[1]USA-Cons'!$O$16</f>
        <v>0</v>
      </c>
      <c r="G177" s="1">
        <f>'[1]USA-Cons'!$Q$16</f>
        <v>0</v>
      </c>
      <c r="H177" s="1"/>
      <c r="I177" s="1">
        <f>'[1]USA-Cons'!$S$16</f>
        <v>0</v>
      </c>
      <c r="J177" s="1">
        <f>'[1]USA-Cons'!$U$16</f>
        <v>0</v>
      </c>
      <c r="K177" s="1">
        <f>'[1]USA-Cons'!$W$16</f>
        <v>0</v>
      </c>
      <c r="L177" s="1">
        <f>'[1]USA-Cons'!$Y$16</f>
        <v>0</v>
      </c>
      <c r="M177" s="1"/>
      <c r="N177" s="1"/>
      <c r="O177" s="1"/>
      <c r="P177" s="1">
        <v>4</v>
      </c>
      <c r="Q177" s="2">
        <v>2016</v>
      </c>
      <c r="R177" s="2" t="s">
        <v>50</v>
      </c>
      <c r="S177" s="2"/>
      <c r="T177" s="2">
        <v>6</v>
      </c>
    </row>
    <row r="178" spans="1:20">
      <c r="A178" s="1" t="s">
        <v>45</v>
      </c>
      <c r="B178" s="1" t="s">
        <v>24</v>
      </c>
      <c r="C178" s="1" t="s">
        <v>15</v>
      </c>
      <c r="D178" s="1">
        <v>1</v>
      </c>
      <c r="E178" s="1" t="s">
        <v>16</v>
      </c>
      <c r="F178" s="1">
        <f>'[1]USA-Cons'!$O$20</f>
        <v>0</v>
      </c>
      <c r="G178" s="1">
        <f>'[1]USA-Cons'!$Q$20</f>
        <v>0</v>
      </c>
      <c r="H178" s="1"/>
      <c r="I178" s="1">
        <f>'[1]USA-Cons'!$S$20</f>
        <v>2.7309599999997269E-5</v>
      </c>
      <c r="J178" s="1">
        <f>'[1]USA-Cons'!$U$20</f>
        <v>0</v>
      </c>
      <c r="K178" s="1">
        <f>'[1]USA-Cons'!$W$20</f>
        <v>0</v>
      </c>
      <c r="L178" s="1">
        <f>'[1]USA-Cons'!$Y$20</f>
        <v>1.9213400000023251E-5</v>
      </c>
      <c r="M178" s="1"/>
      <c r="N178" s="1"/>
      <c r="O178" s="1"/>
      <c r="P178" s="1">
        <v>4</v>
      </c>
      <c r="Q178" s="2">
        <v>2016</v>
      </c>
      <c r="R178" s="2" t="s">
        <v>50</v>
      </c>
      <c r="S178" s="2"/>
      <c r="T178" s="2">
        <v>7</v>
      </c>
    </row>
    <row r="179" spans="1:20">
      <c r="A179" s="1" t="s">
        <v>45</v>
      </c>
      <c r="B179" s="1" t="s">
        <v>22</v>
      </c>
      <c r="C179" s="1" t="s">
        <v>15</v>
      </c>
      <c r="D179" s="1">
        <v>1</v>
      </c>
      <c r="E179" s="1" t="s">
        <v>16</v>
      </c>
      <c r="F179" s="1">
        <f>'[1]USA-Cons'!$O$21</f>
        <v>0</v>
      </c>
      <c r="G179" s="1">
        <f>'[1]USA-Cons'!$Q$21</f>
        <v>0</v>
      </c>
      <c r="H179" s="1"/>
      <c r="I179" s="1">
        <f>'[1]USA-Cons'!$S$21</f>
        <v>0</v>
      </c>
      <c r="J179" s="1">
        <f>'[1]USA-Cons'!$U$21</f>
        <v>0</v>
      </c>
      <c r="K179" s="1">
        <f>'[1]USA-Cons'!$W$21</f>
        <v>0</v>
      </c>
      <c r="L179" s="1">
        <f>'[1]USA-Cons'!$Y$21</f>
        <v>0</v>
      </c>
      <c r="M179" s="1"/>
      <c r="N179" s="1"/>
      <c r="O179" s="1"/>
      <c r="P179" s="1">
        <v>4</v>
      </c>
      <c r="Q179" s="2">
        <v>2016</v>
      </c>
      <c r="R179" s="2" t="s">
        <v>50</v>
      </c>
      <c r="S179" s="2"/>
      <c r="T179" s="2">
        <v>8</v>
      </c>
    </row>
    <row r="180" spans="1:20">
      <c r="A180" s="1" t="s">
        <v>45</v>
      </c>
      <c r="B180" s="1" t="s">
        <v>19</v>
      </c>
      <c r="C180" s="1" t="s">
        <v>15</v>
      </c>
      <c r="D180" s="1">
        <v>1</v>
      </c>
      <c r="E180" s="1" t="s">
        <v>16</v>
      </c>
      <c r="F180" s="1">
        <f>'[1]USA-Cons'!$O$22</f>
        <v>0</v>
      </c>
      <c r="G180" s="1">
        <f>'[1]USA-Cons'!$Q$22</f>
        <v>0</v>
      </c>
      <c r="H180" s="1"/>
      <c r="I180" s="1">
        <f>'[1]USA-Cons'!$S$22</f>
        <v>0</v>
      </c>
      <c r="J180" s="1">
        <f>'[1]USA-Cons'!$U$22</f>
        <v>0</v>
      </c>
      <c r="K180" s="1">
        <f>'[1]USA-Cons'!$W$22</f>
        <v>0</v>
      </c>
      <c r="L180" s="1">
        <f>'[1]USA-Cons'!$Y$22</f>
        <v>0</v>
      </c>
      <c r="M180" s="1"/>
      <c r="N180" s="1"/>
      <c r="O180" s="1"/>
      <c r="P180" s="1">
        <v>4</v>
      </c>
      <c r="Q180" s="2">
        <v>2016</v>
      </c>
      <c r="R180" s="2" t="s">
        <v>50</v>
      </c>
      <c r="S180" s="2"/>
      <c r="T180" s="2">
        <v>9</v>
      </c>
    </row>
    <row r="181" spans="1:20">
      <c r="A181" s="1" t="s">
        <v>45</v>
      </c>
      <c r="B181" s="1" t="s">
        <v>21</v>
      </c>
      <c r="C181" s="1" t="s">
        <v>15</v>
      </c>
      <c r="D181" s="1">
        <v>1</v>
      </c>
      <c r="E181" s="1" t="s">
        <v>16</v>
      </c>
      <c r="F181" s="1">
        <f>'[1]USA-Cons'!$O$23</f>
        <v>0</v>
      </c>
      <c r="G181" s="1">
        <f>'[1]USA-Cons'!$Q$23</f>
        <v>0</v>
      </c>
      <c r="H181" s="1"/>
      <c r="I181" s="1">
        <f>'[1]USA-Cons'!$S$23</f>
        <v>2.4682031666678483E-3</v>
      </c>
      <c r="J181" s="1">
        <f>'[1]USA-Cons'!$U$23</f>
        <v>0</v>
      </c>
      <c r="K181" s="1">
        <f>'[1]USA-Cons'!$W$23</f>
        <v>0</v>
      </c>
      <c r="L181" s="1">
        <f>'[1]USA-Cons'!$Y$23</f>
        <v>1.6437496000030194E-3</v>
      </c>
      <c r="M181" s="1"/>
      <c r="N181" s="1"/>
      <c r="O181" s="1"/>
      <c r="P181" s="1">
        <v>4</v>
      </c>
      <c r="Q181" s="2">
        <v>2016</v>
      </c>
      <c r="R181" s="2" t="s">
        <v>50</v>
      </c>
      <c r="S181" s="2"/>
      <c r="T181" s="2">
        <v>10</v>
      </c>
    </row>
    <row r="182" spans="1:20">
      <c r="A182" s="1" t="s">
        <v>45</v>
      </c>
      <c r="B182" s="1" t="s">
        <v>17</v>
      </c>
      <c r="C182" s="1" t="s">
        <v>15</v>
      </c>
      <c r="D182" s="1">
        <v>1</v>
      </c>
      <c r="E182" s="1" t="s">
        <v>16</v>
      </c>
      <c r="F182" s="1">
        <f>'[1]USA-Cons'!$O$24</f>
        <v>0</v>
      </c>
      <c r="G182" s="1">
        <f>'[1]USA-Cons'!$Q$24</f>
        <v>0</v>
      </c>
      <c r="H182" s="1"/>
      <c r="I182" s="1">
        <f>'[1]USA-Cons'!$S$24</f>
        <v>0</v>
      </c>
      <c r="J182" s="1">
        <f>'[1]USA-Cons'!$U$24</f>
        <v>0</v>
      </c>
      <c r="K182" s="1">
        <f>'[1]USA-Cons'!$W$24</f>
        <v>0</v>
      </c>
      <c r="L182" s="1">
        <f>'[1]USA-Cons'!$Y$24</f>
        <v>0</v>
      </c>
      <c r="M182" s="1"/>
      <c r="N182" s="1"/>
      <c r="O182" s="1"/>
      <c r="P182" s="1">
        <v>4</v>
      </c>
      <c r="Q182" s="2">
        <v>2016</v>
      </c>
      <c r="R182" s="2" t="s">
        <v>50</v>
      </c>
      <c r="S182" s="2"/>
      <c r="T182" s="2">
        <v>11</v>
      </c>
    </row>
    <row r="183" spans="1:20">
      <c r="A183" s="1" t="s">
        <v>45</v>
      </c>
      <c r="B183" s="1" t="s">
        <v>33</v>
      </c>
      <c r="C183" s="1" t="s">
        <v>15</v>
      </c>
      <c r="D183" s="1">
        <v>1</v>
      </c>
      <c r="E183" s="1" t="s">
        <v>16</v>
      </c>
      <c r="F183" s="1">
        <f>'[1]USA-Cons'!$O$25</f>
        <v>0</v>
      </c>
      <c r="G183" s="1">
        <f>'[1]USA-Cons'!$Q$25</f>
        <v>0</v>
      </c>
      <c r="H183" s="1"/>
      <c r="I183" s="1">
        <f>'[1]USA-Cons'!$S$25</f>
        <v>0</v>
      </c>
      <c r="J183" s="1">
        <f>'[1]USA-Cons'!$U$25</f>
        <v>0</v>
      </c>
      <c r="K183" s="1">
        <f>'[1]USA-Cons'!$W$25</f>
        <v>0</v>
      </c>
      <c r="L183" s="1">
        <f>'[1]USA-Cons'!$Y$25</f>
        <v>0</v>
      </c>
      <c r="M183" s="1"/>
      <c r="N183" s="1"/>
      <c r="O183" s="1"/>
      <c r="P183" s="1">
        <v>4</v>
      </c>
      <c r="Q183" s="2">
        <v>2016</v>
      </c>
      <c r="R183" s="2" t="s">
        <v>50</v>
      </c>
      <c r="S183" s="2"/>
      <c r="T183" s="2">
        <v>12</v>
      </c>
    </row>
    <row r="184" spans="1:20">
      <c r="A184" s="1" t="s">
        <v>45</v>
      </c>
      <c r="B184" s="1" t="s">
        <v>14</v>
      </c>
      <c r="C184" s="1" t="s">
        <v>15</v>
      </c>
      <c r="D184" s="1">
        <v>1</v>
      </c>
      <c r="E184" s="1" t="s">
        <v>16</v>
      </c>
      <c r="F184" s="1">
        <f>'[1]USA-Cons'!$O$26</f>
        <v>0</v>
      </c>
      <c r="G184" s="1">
        <f>'[1]USA-Cons'!$Q$26</f>
        <v>0</v>
      </c>
      <c r="H184" s="1"/>
      <c r="I184" s="1">
        <f>'[1]USA-Cons'!$S$26</f>
        <v>9.8434598333296819E-4</v>
      </c>
      <c r="J184" s="1">
        <f>'[1]USA-Cons'!$U$26</f>
        <v>0</v>
      </c>
      <c r="K184" s="1">
        <f>'[1]USA-Cons'!$W$26</f>
        <v>0</v>
      </c>
      <c r="L184" s="1">
        <f>'[1]USA-Cons'!$Y$26</f>
        <v>6.562391500004594E-4</v>
      </c>
      <c r="M184" s="1"/>
      <c r="N184" s="1"/>
      <c r="O184" s="1"/>
      <c r="P184" s="1">
        <v>4</v>
      </c>
      <c r="Q184" s="2">
        <v>2016</v>
      </c>
      <c r="R184" s="2" t="s">
        <v>50</v>
      </c>
      <c r="S184" s="2"/>
      <c r="T184" s="2">
        <v>13</v>
      </c>
    </row>
    <row r="185" spans="1:20">
      <c r="A185" s="1" t="s">
        <v>46</v>
      </c>
      <c r="B185" s="1" t="s">
        <v>26</v>
      </c>
      <c r="C185" s="1" t="s">
        <v>15</v>
      </c>
      <c r="D185" s="1">
        <v>1</v>
      </c>
      <c r="E185" s="1" t="s">
        <v>16</v>
      </c>
      <c r="F185" s="1">
        <f>-'[2]New Con-%'!$Y$9</f>
        <v>-95.233434092592603</v>
      </c>
      <c r="G185" s="6">
        <f>-('[2]New Con-%'!$Z$9+'[2]New Con-%'!$AA$62+'[2]New Con-%'!$Z$65)</f>
        <v>-94.884892170000001</v>
      </c>
      <c r="H185" s="1"/>
      <c r="I185" s="6">
        <f>-'[2]New Con-%'!$AD$9</f>
        <v>-87.016000000000005</v>
      </c>
      <c r="J185" s="6">
        <f>-'[2]New Con-%'!$AC$9</f>
        <v>-368.35064896311235</v>
      </c>
      <c r="K185" s="6">
        <f>-('[2]New Con-%'!$AA$9+'[2]New Con-%'!$AC$62+'[2]New Con-%'!$AA$65)</f>
        <v>-305.92670521999997</v>
      </c>
      <c r="L185" s="6">
        <f>-'[2]New Con-%'!$AE$9</f>
        <v>-307.37366572000002</v>
      </c>
      <c r="M185" s="1"/>
      <c r="N185" s="1"/>
      <c r="O185" s="1"/>
      <c r="P185" s="1">
        <v>4</v>
      </c>
      <c r="Q185" s="2">
        <v>2016</v>
      </c>
      <c r="R185" s="2" t="s">
        <v>49</v>
      </c>
      <c r="S185" s="2"/>
      <c r="T185" s="2">
        <v>1</v>
      </c>
    </row>
    <row r="186" spans="1:20">
      <c r="A186" s="1" t="s">
        <v>46</v>
      </c>
      <c r="B186" s="1" t="s">
        <v>23</v>
      </c>
      <c r="C186" s="1" t="s">
        <v>15</v>
      </c>
      <c r="D186" s="1">
        <v>1</v>
      </c>
      <c r="E186" s="1" t="s">
        <v>16</v>
      </c>
      <c r="F186" s="1">
        <f>-'[2]New Con-%'!$Y$9</f>
        <v>-95.233434092592603</v>
      </c>
      <c r="G186" s="6">
        <f>-('[2]New Con-%'!$Z$9+'[2]New Con-%'!$AA$62)</f>
        <v>-94.454892169999994</v>
      </c>
      <c r="H186" s="1"/>
      <c r="I186" s="6">
        <f>-'[2]New Con-%'!$AD$9</f>
        <v>-87.016000000000005</v>
      </c>
      <c r="J186" s="6">
        <f>-'[2]New Con-%'!$AC$9</f>
        <v>-368.35064896311235</v>
      </c>
      <c r="K186" s="6">
        <f>-('[2]New Con-%'!$AA$9+'[2]New Con-%'!$AA$11+'[2]New Con-%'!$AC$62)</f>
        <v>-330.67670521999997</v>
      </c>
      <c r="L186" s="6">
        <f>-('[2]New Con-%'!$AE$9+'[2]New Con-%'!$AE$11)</f>
        <v>-310.57366572000001</v>
      </c>
      <c r="M186" s="1"/>
      <c r="N186" s="1"/>
      <c r="O186" s="1"/>
      <c r="P186" s="1">
        <v>4</v>
      </c>
      <c r="Q186" s="2">
        <v>2016</v>
      </c>
      <c r="R186" s="2" t="s">
        <v>49</v>
      </c>
      <c r="S186" s="2"/>
      <c r="T186" s="2">
        <v>2</v>
      </c>
    </row>
    <row r="187" spans="1:20">
      <c r="A187" s="1" t="s">
        <v>46</v>
      </c>
      <c r="B187" s="1" t="s">
        <v>25</v>
      </c>
      <c r="C187" s="1" t="s">
        <v>15</v>
      </c>
      <c r="D187" s="1">
        <v>1</v>
      </c>
      <c r="E187" s="1" t="s">
        <v>16</v>
      </c>
      <c r="F187" s="1">
        <v>0</v>
      </c>
      <c r="G187" s="1">
        <v>0</v>
      </c>
      <c r="H187" s="1"/>
      <c r="I187" s="1">
        <v>0</v>
      </c>
      <c r="J187" s="1">
        <v>0</v>
      </c>
      <c r="K187" s="1">
        <v>0</v>
      </c>
      <c r="L187" s="1">
        <v>0</v>
      </c>
      <c r="M187" s="1"/>
      <c r="N187" s="1"/>
      <c r="O187" s="1"/>
      <c r="P187" s="1">
        <v>4</v>
      </c>
      <c r="Q187" s="2">
        <v>2016</v>
      </c>
      <c r="R187" s="2" t="s">
        <v>49</v>
      </c>
      <c r="S187" s="2"/>
      <c r="T187" s="2">
        <v>3</v>
      </c>
    </row>
    <row r="188" spans="1:20">
      <c r="A188" s="1" t="s">
        <v>46</v>
      </c>
      <c r="B188" s="1" t="s">
        <v>18</v>
      </c>
      <c r="C188" s="1" t="s">
        <v>15</v>
      </c>
      <c r="D188" s="1">
        <v>1</v>
      </c>
      <c r="E188" s="1" t="s">
        <v>16</v>
      </c>
      <c r="F188" s="1">
        <v>0</v>
      </c>
      <c r="G188" s="1">
        <v>0</v>
      </c>
      <c r="H188" s="1"/>
      <c r="I188" s="1">
        <v>0</v>
      </c>
      <c r="J188" s="1">
        <v>0</v>
      </c>
      <c r="K188" s="1">
        <v>0</v>
      </c>
      <c r="L188" s="1">
        <v>0</v>
      </c>
      <c r="M188" s="1"/>
      <c r="N188" s="1"/>
      <c r="O188" s="1"/>
      <c r="P188" s="1">
        <v>4</v>
      </c>
      <c r="Q188" s="2">
        <v>2016</v>
      </c>
      <c r="R188" s="2" t="s">
        <v>49</v>
      </c>
      <c r="S188" s="2"/>
      <c r="T188" s="2">
        <v>4</v>
      </c>
    </row>
    <row r="189" spans="1:20">
      <c r="A189" s="1" t="s">
        <v>46</v>
      </c>
      <c r="B189" s="1" t="s">
        <v>20</v>
      </c>
      <c r="C189" s="1" t="s">
        <v>15</v>
      </c>
      <c r="D189" s="1">
        <v>1</v>
      </c>
      <c r="E189" s="1" t="s">
        <v>16</v>
      </c>
      <c r="F189" s="1">
        <v>0</v>
      </c>
      <c r="G189" s="6">
        <f>-'[2]New Con-%'!$Z$65</f>
        <v>-0.43</v>
      </c>
      <c r="H189" s="1"/>
      <c r="I189" s="1">
        <v>0</v>
      </c>
      <c r="J189" s="1">
        <v>0</v>
      </c>
      <c r="K189" s="6">
        <f>-'[2]New Con-%'!$AA$65</f>
        <v>-1.65</v>
      </c>
      <c r="L189" s="1">
        <v>0</v>
      </c>
      <c r="M189" s="1"/>
      <c r="N189" s="1"/>
      <c r="O189" s="1"/>
      <c r="P189" s="1">
        <v>4</v>
      </c>
      <c r="Q189" s="2">
        <v>2016</v>
      </c>
      <c r="R189" s="2" t="s">
        <v>49</v>
      </c>
      <c r="S189" s="2"/>
      <c r="T189" s="2">
        <v>5</v>
      </c>
    </row>
    <row r="190" spans="1:20">
      <c r="A190" s="1" t="s">
        <v>46</v>
      </c>
      <c r="B190" s="1" t="s">
        <v>32</v>
      </c>
      <c r="C190" s="1" t="s">
        <v>15</v>
      </c>
      <c r="D190" s="1">
        <v>1</v>
      </c>
      <c r="E190" s="1" t="s">
        <v>16</v>
      </c>
      <c r="F190" s="1">
        <v>0</v>
      </c>
      <c r="G190" s="1">
        <v>0</v>
      </c>
      <c r="H190" s="1"/>
      <c r="I190" s="1">
        <v>0</v>
      </c>
      <c r="J190" s="1">
        <v>0</v>
      </c>
      <c r="K190" s="1">
        <v>0</v>
      </c>
      <c r="L190" s="1">
        <v>0</v>
      </c>
      <c r="M190" s="1"/>
      <c r="N190" s="1"/>
      <c r="O190" s="1"/>
      <c r="P190" s="1">
        <v>4</v>
      </c>
      <c r="Q190" s="2">
        <v>2016</v>
      </c>
      <c r="R190" s="2" t="s">
        <v>49</v>
      </c>
      <c r="S190" s="2"/>
      <c r="T190" s="2">
        <v>6</v>
      </c>
    </row>
    <row r="191" spans="1:20">
      <c r="A191" s="1" t="s">
        <v>46</v>
      </c>
      <c r="B191" s="1" t="s">
        <v>24</v>
      </c>
      <c r="C191" s="1" t="s">
        <v>15</v>
      </c>
      <c r="D191" s="1">
        <v>1</v>
      </c>
      <c r="E191" s="1" t="s">
        <v>16</v>
      </c>
      <c r="F191" s="1">
        <v>0</v>
      </c>
      <c r="G191" s="1">
        <v>0</v>
      </c>
      <c r="H191" s="1"/>
      <c r="I191" s="1">
        <f>-'[2]New Con-%'!$G$44</f>
        <v>-49.5</v>
      </c>
      <c r="J191" s="1">
        <v>0</v>
      </c>
      <c r="K191" s="1">
        <f>-'[2]New Con-%'!$K$44</f>
        <v>-49.5</v>
      </c>
      <c r="L191" s="1">
        <f>-'[2]New Con-%'!$M$44</f>
        <v>-49.5</v>
      </c>
      <c r="M191" s="1"/>
      <c r="N191" s="1"/>
      <c r="O191" s="1"/>
      <c r="P191" s="1">
        <v>4</v>
      </c>
      <c r="Q191" s="2">
        <v>2016</v>
      </c>
      <c r="R191" s="2" t="s">
        <v>49</v>
      </c>
      <c r="S191" s="2"/>
      <c r="T191" s="2">
        <v>7</v>
      </c>
    </row>
    <row r="192" spans="1:20">
      <c r="A192" s="1" t="s">
        <v>46</v>
      </c>
      <c r="B192" s="1" t="s">
        <v>22</v>
      </c>
      <c r="C192" s="1" t="s">
        <v>15</v>
      </c>
      <c r="D192" s="1">
        <v>1</v>
      </c>
      <c r="E192" s="1" t="s">
        <v>16</v>
      </c>
      <c r="F192" s="1">
        <v>0</v>
      </c>
      <c r="G192" s="1">
        <v>0</v>
      </c>
      <c r="H192" s="1"/>
      <c r="I192" s="1">
        <v>0</v>
      </c>
      <c r="J192" s="1">
        <v>0</v>
      </c>
      <c r="K192" s="1">
        <v>0</v>
      </c>
      <c r="L192" s="1">
        <v>0</v>
      </c>
      <c r="M192" s="1"/>
      <c r="N192" s="1"/>
      <c r="O192" s="1"/>
      <c r="P192" s="1">
        <v>4</v>
      </c>
      <c r="Q192" s="2">
        <v>2016</v>
      </c>
      <c r="R192" s="2" t="s">
        <v>49</v>
      </c>
      <c r="S192" s="2"/>
      <c r="T192" s="2">
        <v>8</v>
      </c>
    </row>
    <row r="193" spans="1:20">
      <c r="A193" s="1" t="s">
        <v>46</v>
      </c>
      <c r="B193" s="1" t="s">
        <v>19</v>
      </c>
      <c r="C193" s="1" t="s">
        <v>15</v>
      </c>
      <c r="D193" s="1">
        <v>1</v>
      </c>
      <c r="E193" s="1" t="s">
        <v>16</v>
      </c>
      <c r="F193" s="1">
        <v>0</v>
      </c>
      <c r="G193" s="1">
        <v>0</v>
      </c>
      <c r="H193" s="1"/>
      <c r="I193" s="1">
        <v>0</v>
      </c>
      <c r="J193" s="1">
        <v>0</v>
      </c>
      <c r="K193" s="1">
        <v>0</v>
      </c>
      <c r="L193" s="1">
        <v>0</v>
      </c>
      <c r="M193" s="1"/>
      <c r="N193" s="1"/>
      <c r="O193" s="1"/>
      <c r="P193" s="1">
        <v>4</v>
      </c>
      <c r="Q193" s="2">
        <v>2016</v>
      </c>
      <c r="R193" s="2" t="s">
        <v>49</v>
      </c>
      <c r="S193" s="2"/>
      <c r="T193" s="2">
        <v>9</v>
      </c>
    </row>
    <row r="194" spans="1:20">
      <c r="A194" s="1" t="s">
        <v>46</v>
      </c>
      <c r="B194" s="1" t="s">
        <v>21</v>
      </c>
      <c r="C194" s="1" t="s">
        <v>15</v>
      </c>
      <c r="D194" s="1">
        <v>1</v>
      </c>
      <c r="E194" s="1" t="s">
        <v>16</v>
      </c>
      <c r="F194" s="1">
        <v>0</v>
      </c>
      <c r="G194" s="1">
        <v>0</v>
      </c>
      <c r="H194" s="1"/>
      <c r="I194" s="1">
        <v>0</v>
      </c>
      <c r="J194" s="1">
        <v>0</v>
      </c>
      <c r="K194" s="1">
        <v>0</v>
      </c>
      <c r="L194" s="1">
        <v>0</v>
      </c>
      <c r="M194" s="1"/>
      <c r="N194" s="1"/>
      <c r="O194" s="1"/>
      <c r="P194" s="1">
        <v>4</v>
      </c>
      <c r="Q194" s="2">
        <v>2016</v>
      </c>
      <c r="R194" s="2" t="s">
        <v>49</v>
      </c>
      <c r="S194" s="2"/>
      <c r="T194" s="2">
        <v>10</v>
      </c>
    </row>
    <row r="195" spans="1:20">
      <c r="A195" s="1" t="s">
        <v>46</v>
      </c>
      <c r="B195" s="1" t="s">
        <v>17</v>
      </c>
      <c r="C195" s="1" t="s">
        <v>15</v>
      </c>
      <c r="D195" s="1">
        <v>1</v>
      </c>
      <c r="E195" s="1" t="s">
        <v>16</v>
      </c>
      <c r="F195" s="1">
        <v>0</v>
      </c>
      <c r="G195" s="1">
        <v>0</v>
      </c>
      <c r="H195" s="1"/>
      <c r="I195" s="1">
        <v>0</v>
      </c>
      <c r="J195" s="1">
        <v>0</v>
      </c>
      <c r="K195" s="1">
        <v>0</v>
      </c>
      <c r="L195" s="1">
        <v>0</v>
      </c>
      <c r="M195" s="1"/>
      <c r="N195" s="1"/>
      <c r="O195" s="1"/>
      <c r="P195" s="1">
        <v>4</v>
      </c>
      <c r="Q195" s="2">
        <v>2016</v>
      </c>
      <c r="R195" s="2" t="s">
        <v>49</v>
      </c>
      <c r="S195" s="2"/>
      <c r="T195" s="2">
        <v>11</v>
      </c>
    </row>
    <row r="196" spans="1:20">
      <c r="A196" s="1" t="s">
        <v>46</v>
      </c>
      <c r="B196" s="1" t="s">
        <v>33</v>
      </c>
      <c r="C196" s="1" t="s">
        <v>15</v>
      </c>
      <c r="D196" s="1">
        <v>1</v>
      </c>
      <c r="E196" s="1" t="s">
        <v>16</v>
      </c>
      <c r="F196" s="1">
        <v>0</v>
      </c>
      <c r="G196" s="1">
        <v>0</v>
      </c>
      <c r="H196" s="1"/>
      <c r="I196" s="1">
        <v>0</v>
      </c>
      <c r="J196" s="1">
        <v>0</v>
      </c>
      <c r="K196" s="1">
        <v>0</v>
      </c>
      <c r="L196" s="1">
        <v>0</v>
      </c>
      <c r="M196" s="1"/>
      <c r="N196" s="1"/>
      <c r="O196" s="1"/>
      <c r="P196" s="1">
        <v>4</v>
      </c>
      <c r="Q196" s="2">
        <v>2016</v>
      </c>
      <c r="R196" s="2" t="s">
        <v>49</v>
      </c>
      <c r="S196" s="2"/>
      <c r="T196" s="2">
        <v>12</v>
      </c>
    </row>
    <row r="197" spans="1:20">
      <c r="A197" s="1" t="s">
        <v>46</v>
      </c>
      <c r="B197" s="1" t="s">
        <v>14</v>
      </c>
      <c r="C197" s="1" t="s">
        <v>15</v>
      </c>
      <c r="D197" s="1">
        <v>1</v>
      </c>
      <c r="E197" s="1" t="s">
        <v>16</v>
      </c>
      <c r="F197" s="1">
        <v>0</v>
      </c>
      <c r="G197" s="1">
        <v>0</v>
      </c>
      <c r="H197" s="1"/>
      <c r="I197" s="1">
        <v>0</v>
      </c>
      <c r="J197" s="1">
        <v>0</v>
      </c>
      <c r="K197" s="1">
        <v>0</v>
      </c>
      <c r="L197" s="1">
        <v>0</v>
      </c>
      <c r="M197" s="1"/>
      <c r="N197" s="1"/>
      <c r="O197" s="1"/>
      <c r="P197" s="1">
        <v>4</v>
      </c>
      <c r="Q197" s="2">
        <v>2016</v>
      </c>
      <c r="R197" s="2" t="s">
        <v>49</v>
      </c>
      <c r="S197" s="2"/>
      <c r="T197" s="2">
        <v>13</v>
      </c>
    </row>
    <row r="198" spans="1:20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2"/>
      <c r="R198" s="2"/>
      <c r="S198" s="2"/>
      <c r="T198" s="2"/>
    </row>
    <row r="199" spans="1:20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2"/>
      <c r="R199" s="2"/>
      <c r="S199" s="2"/>
      <c r="T199" s="2"/>
    </row>
    <row r="200" spans="1:20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2"/>
      <c r="R200" s="2"/>
      <c r="S200" s="2"/>
      <c r="T200" s="2"/>
    </row>
    <row r="201" spans="1:20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2"/>
      <c r="R201" s="2"/>
      <c r="S201" s="2"/>
      <c r="T201" s="2"/>
    </row>
    <row r="202" spans="1:20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2"/>
      <c r="R202" s="2"/>
      <c r="S202" s="2"/>
      <c r="T202" s="2"/>
    </row>
    <row r="203" spans="1:20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2"/>
      <c r="R203" s="2"/>
      <c r="S203" s="2"/>
      <c r="T203" s="2"/>
    </row>
    <row r="204" spans="1:20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2"/>
      <c r="R204" s="2"/>
      <c r="S204" s="2"/>
      <c r="T204" s="2"/>
    </row>
    <row r="205" spans="1:20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2"/>
      <c r="R205" s="2"/>
      <c r="S205" s="2"/>
      <c r="T205" s="2"/>
    </row>
    <row r="206" spans="1:20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2"/>
      <c r="R206" s="2"/>
      <c r="S206" s="2"/>
      <c r="T206" s="2"/>
    </row>
    <row r="207" spans="1:20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2"/>
      <c r="R207" s="2"/>
      <c r="S207" s="2"/>
      <c r="T207" s="2"/>
    </row>
    <row r="208" spans="1:20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2"/>
      <c r="R208" s="2"/>
      <c r="S208" s="2"/>
      <c r="T208" s="2"/>
    </row>
    <row r="209" spans="1:20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2"/>
      <c r="R209" s="2"/>
      <c r="S209" s="2"/>
      <c r="T209" s="2"/>
    </row>
    <row r="210" spans="1:20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2"/>
      <c r="R210" s="2"/>
      <c r="S210" s="2"/>
      <c r="T210" s="2"/>
    </row>
    <row r="211" spans="1:20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2"/>
      <c r="R211" s="2"/>
      <c r="S211" s="2"/>
      <c r="T211" s="2"/>
    </row>
    <row r="212" spans="1:20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2"/>
      <c r="R212" s="2"/>
      <c r="S212" s="2"/>
      <c r="T212" s="2"/>
    </row>
    <row r="213" spans="1:20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2"/>
      <c r="R213" s="2"/>
      <c r="S213" s="2"/>
      <c r="T213" s="2"/>
    </row>
    <row r="214" spans="1:20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2"/>
      <c r="R214" s="2"/>
      <c r="S214" s="2"/>
      <c r="T214" s="2"/>
    </row>
    <row r="215" spans="1:20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2"/>
      <c r="R215" s="2"/>
      <c r="S215" s="2"/>
      <c r="T215" s="2"/>
    </row>
    <row r="216" spans="1:20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2"/>
      <c r="R216" s="2"/>
      <c r="S216" s="2"/>
      <c r="T216" s="2"/>
    </row>
    <row r="217" spans="1:20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2"/>
      <c r="R217" s="2"/>
      <c r="S217" s="2"/>
      <c r="T217" s="2"/>
    </row>
    <row r="218" spans="1:20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2"/>
      <c r="R218" s="2"/>
      <c r="S218" s="2"/>
      <c r="T218" s="2"/>
    </row>
    <row r="219" spans="1:20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2"/>
      <c r="R219" s="2"/>
      <c r="S219" s="2"/>
      <c r="T219" s="2"/>
    </row>
    <row r="220" spans="1:20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2"/>
      <c r="R220" s="2"/>
      <c r="S220" s="2"/>
      <c r="T220" s="2"/>
    </row>
    <row r="221" spans="1:20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2"/>
      <c r="R221" s="2"/>
      <c r="S221" s="2"/>
      <c r="T221" s="2"/>
    </row>
    <row r="222" spans="1:20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2"/>
      <c r="R222" s="2"/>
      <c r="S222" s="2"/>
      <c r="T222" s="2"/>
    </row>
    <row r="223" spans="1:20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2"/>
      <c r="R223" s="2"/>
      <c r="S223" s="2"/>
      <c r="T223" s="2"/>
    </row>
    <row r="224" spans="1:20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2"/>
      <c r="R224" s="2"/>
      <c r="S224" s="2"/>
      <c r="T224" s="2"/>
    </row>
    <row r="225" spans="1:20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2"/>
      <c r="R225" s="2"/>
      <c r="S225" s="2"/>
      <c r="T225" s="2"/>
    </row>
    <row r="226" spans="1:20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2"/>
      <c r="R226" s="2"/>
      <c r="S226" s="2"/>
      <c r="T226" s="2"/>
    </row>
    <row r="227" spans="1:20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2"/>
      <c r="R227" s="2"/>
      <c r="S227" s="2"/>
      <c r="T227" s="2"/>
    </row>
    <row r="228" spans="1:20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2"/>
      <c r="R228" s="2"/>
      <c r="S228" s="2"/>
      <c r="T228" s="2"/>
    </row>
    <row r="229" spans="1:20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2"/>
      <c r="R229" s="2"/>
      <c r="S229" s="2"/>
      <c r="T229" s="2"/>
    </row>
    <row r="230" spans="1:20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2"/>
      <c r="R230" s="2"/>
      <c r="S230" s="2"/>
      <c r="T230" s="2"/>
    </row>
    <row r="231" spans="1:20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2"/>
      <c r="R231" s="2"/>
      <c r="S231" s="2"/>
      <c r="T231" s="2"/>
    </row>
    <row r="232" spans="1:20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2"/>
      <c r="R232" s="2"/>
      <c r="S232" s="2"/>
      <c r="T232" s="2"/>
    </row>
    <row r="233" spans="1:20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2"/>
      <c r="R233" s="2"/>
      <c r="S233" s="2"/>
      <c r="T233" s="2"/>
    </row>
    <row r="234" spans="1:20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2"/>
      <c r="R234" s="2"/>
      <c r="S234" s="2"/>
      <c r="T234" s="2"/>
    </row>
    <row r="235" spans="1:20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2"/>
      <c r="R235" s="2"/>
      <c r="S235" s="2"/>
      <c r="T235" s="2"/>
    </row>
    <row r="236" spans="1:20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2"/>
      <c r="R236" s="2"/>
      <c r="S236" s="2"/>
      <c r="T236" s="2"/>
    </row>
    <row r="237" spans="1:20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2"/>
      <c r="R237" s="2"/>
      <c r="S237" s="2"/>
      <c r="T237" s="2"/>
    </row>
    <row r="238" spans="1:20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2"/>
      <c r="R238" s="2"/>
      <c r="S238" s="2"/>
      <c r="T238" s="2"/>
    </row>
    <row r="239" spans="1:20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2"/>
      <c r="R239" s="2"/>
      <c r="S239" s="2"/>
      <c r="T239" s="2"/>
    </row>
    <row r="240" spans="1:20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2"/>
      <c r="R240" s="2"/>
      <c r="S240" s="2"/>
      <c r="T240" s="2"/>
    </row>
    <row r="241" spans="1:20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2"/>
      <c r="R241" s="2"/>
      <c r="S241" s="2"/>
      <c r="T241" s="2"/>
    </row>
    <row r="242" spans="1:20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2"/>
      <c r="R242" s="2"/>
      <c r="S242" s="2"/>
      <c r="T242" s="2"/>
    </row>
    <row r="243" spans="1:20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2"/>
      <c r="R243" s="2"/>
      <c r="S243" s="2"/>
      <c r="T243" s="2"/>
    </row>
    <row r="244" spans="1:20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2"/>
      <c r="R244" s="2"/>
      <c r="S244" s="2"/>
      <c r="T244" s="2"/>
    </row>
    <row r="245" spans="1:20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2"/>
      <c r="R245" s="2"/>
      <c r="S245" s="2"/>
      <c r="T245" s="2"/>
    </row>
    <row r="246" spans="1:20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2"/>
      <c r="R246" s="2"/>
      <c r="S246" s="2"/>
      <c r="T246" s="2"/>
    </row>
    <row r="247" spans="1:20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2"/>
      <c r="R247" s="2"/>
      <c r="S247" s="2"/>
      <c r="T247" s="2"/>
    </row>
    <row r="248" spans="1:20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2"/>
      <c r="R248" s="2"/>
      <c r="S248" s="2"/>
      <c r="T248" s="2"/>
    </row>
    <row r="249" spans="1:20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2"/>
      <c r="R249" s="2"/>
      <c r="S249" s="2"/>
      <c r="T249" s="2"/>
    </row>
    <row r="250" spans="1:20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2"/>
      <c r="R250" s="2"/>
      <c r="S250" s="2"/>
      <c r="T250" s="2"/>
    </row>
    <row r="251" spans="1:20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2"/>
      <c r="R251" s="2"/>
      <c r="S251" s="2"/>
      <c r="T251" s="2"/>
    </row>
    <row r="252" spans="1:20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2"/>
      <c r="R252" s="2"/>
      <c r="S252" s="2"/>
      <c r="T252" s="2"/>
    </row>
    <row r="253" spans="1:20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2"/>
      <c r="R253" s="2"/>
      <c r="S253" s="2"/>
      <c r="T253" s="2"/>
    </row>
    <row r="254" spans="1:20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2"/>
      <c r="R254" s="2"/>
      <c r="S254" s="2"/>
      <c r="T254" s="2"/>
    </row>
    <row r="255" spans="1:20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2"/>
      <c r="R255" s="2"/>
      <c r="S255" s="2"/>
      <c r="T255" s="2"/>
    </row>
    <row r="256" spans="1:20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2"/>
      <c r="R256" s="2"/>
      <c r="S256" s="2"/>
      <c r="T256" s="2"/>
    </row>
    <row r="257" spans="1:20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2"/>
      <c r="R257" s="2"/>
      <c r="S257" s="2"/>
      <c r="T257" s="2"/>
    </row>
    <row r="258" spans="1:20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2"/>
      <c r="R258" s="2"/>
      <c r="S258" s="2"/>
      <c r="T258" s="2"/>
    </row>
    <row r="259" spans="1:20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2"/>
      <c r="R259" s="2"/>
      <c r="S259" s="2"/>
      <c r="T259" s="2"/>
    </row>
    <row r="260" spans="1:20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2"/>
      <c r="R260" s="2"/>
      <c r="S260" s="2"/>
      <c r="T260" s="2"/>
    </row>
    <row r="261" spans="1:20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2"/>
      <c r="R261" s="2"/>
      <c r="S261" s="2"/>
      <c r="T261" s="2"/>
    </row>
    <row r="262" spans="1:20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2"/>
      <c r="R262" s="2"/>
      <c r="S262" s="2"/>
      <c r="T262" s="2"/>
    </row>
    <row r="263" spans="1:20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2"/>
      <c r="R263" s="2"/>
      <c r="S263" s="2"/>
      <c r="T263" s="2"/>
    </row>
    <row r="264" spans="1:20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2"/>
      <c r="R264" s="2"/>
      <c r="S264" s="2"/>
      <c r="T264" s="2"/>
    </row>
    <row r="265" spans="1:20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2"/>
      <c r="R265" s="2"/>
      <c r="S265" s="2"/>
      <c r="T265" s="2"/>
    </row>
    <row r="266" spans="1:20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2"/>
      <c r="R266" s="2"/>
      <c r="S266" s="2"/>
      <c r="T266" s="2"/>
    </row>
    <row r="267" spans="1:20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2"/>
      <c r="R267" s="2"/>
      <c r="S267" s="2"/>
      <c r="T267" s="2"/>
    </row>
    <row r="268" spans="1:20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2"/>
      <c r="R268" s="2"/>
      <c r="S268" s="2"/>
      <c r="T268" s="2"/>
    </row>
    <row r="269" spans="1:20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2"/>
      <c r="R269" s="2"/>
      <c r="S269" s="2"/>
      <c r="T269" s="2"/>
    </row>
    <row r="270" spans="1:20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2"/>
      <c r="R270" s="2"/>
      <c r="S270" s="2"/>
      <c r="T270" s="2"/>
    </row>
    <row r="271" spans="1:20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2"/>
      <c r="R271" s="2"/>
      <c r="S271" s="2"/>
      <c r="T271" s="2"/>
    </row>
    <row r="272" spans="1:20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2"/>
      <c r="R272" s="2"/>
      <c r="S272" s="2"/>
      <c r="T272" s="2"/>
    </row>
    <row r="273" spans="1:20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2"/>
      <c r="R273" s="2"/>
      <c r="S273" s="2"/>
      <c r="T273" s="2"/>
    </row>
    <row r="274" spans="1:20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2"/>
      <c r="R274" s="2"/>
      <c r="S274" s="2"/>
      <c r="T274" s="2"/>
    </row>
    <row r="275" spans="1:20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2"/>
      <c r="R275" s="2"/>
      <c r="S275" s="2"/>
      <c r="T275" s="2"/>
    </row>
    <row r="276" spans="1:20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2"/>
      <c r="R276" s="2"/>
      <c r="S276" s="2"/>
      <c r="T276" s="2"/>
    </row>
    <row r="277" spans="1:20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2"/>
      <c r="R277" s="2"/>
      <c r="S277" s="2"/>
      <c r="T277" s="2"/>
    </row>
    <row r="278" spans="1:20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2"/>
      <c r="R278" s="2"/>
      <c r="S278" s="2"/>
      <c r="T278" s="2"/>
    </row>
    <row r="279" spans="1:20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2"/>
      <c r="R279" s="2"/>
      <c r="S279" s="2"/>
      <c r="T279" s="2"/>
    </row>
    <row r="280" spans="1:20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2"/>
      <c r="R280" s="2"/>
      <c r="S280" s="2"/>
      <c r="T280" s="2"/>
    </row>
    <row r="281" spans="1:20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2"/>
      <c r="R281" s="2"/>
      <c r="S281" s="2"/>
      <c r="T281" s="2"/>
    </row>
    <row r="282" spans="1:20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2"/>
      <c r="R282" s="2"/>
      <c r="S282" s="2"/>
      <c r="T282" s="2"/>
    </row>
    <row r="283" spans="1:20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2"/>
      <c r="R283" s="2"/>
      <c r="S283" s="2"/>
      <c r="T283" s="2"/>
    </row>
    <row r="284" spans="1:20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2"/>
      <c r="R284" s="2"/>
      <c r="S284" s="2"/>
      <c r="T284" s="2"/>
    </row>
    <row r="285" spans="1:20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2"/>
      <c r="R285" s="2"/>
      <c r="S285" s="2"/>
      <c r="T285" s="2"/>
    </row>
    <row r="286" spans="1:20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2"/>
      <c r="R286" s="2"/>
      <c r="S286" s="2"/>
      <c r="T286" s="2"/>
    </row>
    <row r="287" spans="1:20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2"/>
      <c r="R287" s="2"/>
      <c r="S287" s="2"/>
      <c r="T287" s="2"/>
    </row>
    <row r="288" spans="1:20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2"/>
      <c r="R288" s="2"/>
      <c r="S288" s="2"/>
      <c r="T288" s="2"/>
    </row>
    <row r="289" spans="1:20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2"/>
      <c r="R289" s="2"/>
      <c r="S289" s="2"/>
      <c r="T289" s="2"/>
    </row>
    <row r="290" spans="1:20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2"/>
      <c r="R290" s="2"/>
      <c r="S290" s="2"/>
      <c r="T290" s="2"/>
    </row>
    <row r="291" spans="1:20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2"/>
      <c r="R291" s="2"/>
      <c r="S291" s="2"/>
      <c r="T291" s="2"/>
    </row>
    <row r="292" spans="1:20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2"/>
      <c r="R292" s="2"/>
      <c r="S292" s="2"/>
      <c r="T292" s="2"/>
    </row>
    <row r="293" spans="1:20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3"/>
      <c r="M293" s="1"/>
      <c r="N293" s="3"/>
      <c r="O293" s="1"/>
      <c r="P293" s="1"/>
      <c r="Q293" s="2"/>
      <c r="R293" s="2"/>
      <c r="S293" s="2"/>
      <c r="T293" s="2"/>
    </row>
    <row r="294" spans="1:20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2"/>
      <c r="R294" s="2"/>
      <c r="S294" s="2"/>
      <c r="T294" s="2"/>
    </row>
    <row r="295" spans="1:20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2"/>
      <c r="R295" s="2"/>
      <c r="S295" s="2"/>
      <c r="T295" s="2"/>
    </row>
    <row r="296" spans="1:20">
      <c r="A296" s="1"/>
      <c r="B296" s="1"/>
      <c r="C296" s="1"/>
      <c r="D296" s="1"/>
      <c r="E296" s="1"/>
      <c r="F296" s="1"/>
      <c r="G296" s="1"/>
      <c r="H296" s="3"/>
      <c r="I296" s="1"/>
      <c r="J296" s="1"/>
      <c r="K296" s="1"/>
      <c r="L296" s="1"/>
      <c r="M296" s="1"/>
      <c r="N296" s="1"/>
      <c r="O296" s="3"/>
      <c r="P296" s="1"/>
      <c r="Q296" s="2"/>
      <c r="R296" s="2"/>
      <c r="S296" s="2"/>
      <c r="T296" s="2"/>
    </row>
    <row r="297" spans="1:20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2"/>
      <c r="R297" s="2"/>
      <c r="S297" s="2"/>
      <c r="T297" s="2"/>
    </row>
    <row r="298" spans="1:20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2"/>
      <c r="R298" s="2"/>
      <c r="S298" s="2"/>
      <c r="T298" s="2"/>
    </row>
    <row r="299" spans="1:20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2"/>
      <c r="R299" s="2"/>
      <c r="S299" s="2"/>
      <c r="T299" s="2"/>
    </row>
    <row r="300" spans="1:20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2"/>
      <c r="R300" s="2"/>
      <c r="S300" s="2"/>
      <c r="T300" s="2"/>
    </row>
    <row r="301" spans="1:20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2"/>
      <c r="R301" s="2"/>
      <c r="S301" s="2"/>
      <c r="T301" s="2"/>
    </row>
    <row r="302" spans="1:20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2"/>
      <c r="R302" s="2"/>
      <c r="S302" s="2"/>
      <c r="T302" s="2"/>
    </row>
    <row r="303" spans="1:20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2"/>
      <c r="R303" s="2"/>
      <c r="S303" s="2"/>
      <c r="T303" s="2"/>
    </row>
    <row r="304" spans="1:20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2"/>
      <c r="R304" s="2"/>
      <c r="S304" s="2"/>
      <c r="T304" s="2"/>
    </row>
    <row r="305" spans="1:20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2"/>
      <c r="R305" s="2"/>
      <c r="S305" s="2"/>
      <c r="T305" s="2"/>
    </row>
    <row r="306" spans="1:20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2"/>
      <c r="R306" s="2"/>
      <c r="S306" s="2"/>
      <c r="T306" s="2"/>
    </row>
    <row r="307" spans="1:20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2"/>
      <c r="R307" s="2"/>
      <c r="S307" s="2"/>
      <c r="T307" s="2"/>
    </row>
    <row r="308" spans="1:20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2"/>
      <c r="R308" s="2"/>
      <c r="S308" s="2"/>
      <c r="T308" s="2"/>
    </row>
    <row r="309" spans="1:20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2"/>
      <c r="R309" s="2"/>
      <c r="S309" s="2"/>
      <c r="T309" s="2"/>
    </row>
    <row r="310" spans="1:20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2"/>
      <c r="R310" s="2"/>
      <c r="S310" s="2"/>
      <c r="T310" s="2"/>
    </row>
    <row r="311" spans="1:20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2"/>
      <c r="R311" s="2"/>
      <c r="S311" s="2"/>
      <c r="T311" s="2"/>
    </row>
    <row r="312" spans="1:20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2"/>
      <c r="R312" s="2"/>
      <c r="S312" s="2"/>
      <c r="T312" s="2"/>
    </row>
    <row r="313" spans="1:20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2"/>
      <c r="R313" s="2"/>
      <c r="S313" s="2"/>
      <c r="T313" s="2"/>
    </row>
    <row r="314" spans="1:20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2"/>
      <c r="R314" s="2"/>
      <c r="S314" s="2"/>
      <c r="T314" s="2"/>
    </row>
    <row r="315" spans="1:20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2"/>
      <c r="R315" s="2"/>
      <c r="S315" s="2"/>
      <c r="T315" s="2"/>
    </row>
    <row r="316" spans="1:20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2"/>
      <c r="R316" s="2"/>
      <c r="S316" s="2"/>
      <c r="T316" s="2"/>
    </row>
    <row r="317" spans="1:20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2"/>
      <c r="R317" s="2"/>
      <c r="S317" s="2"/>
      <c r="T317" s="2"/>
    </row>
    <row r="318" spans="1:20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2"/>
      <c r="R318" s="2"/>
      <c r="S318" s="2"/>
      <c r="T318" s="2"/>
    </row>
    <row r="319" spans="1:20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2"/>
      <c r="R319" s="2"/>
      <c r="S319" s="2"/>
      <c r="T319" s="2"/>
    </row>
    <row r="320" spans="1:20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2"/>
      <c r="R320" s="2"/>
      <c r="S320" s="2"/>
      <c r="T320" s="2"/>
    </row>
    <row r="321" spans="1:20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2"/>
      <c r="R321" s="2"/>
      <c r="S321" s="2"/>
      <c r="T321" s="2"/>
    </row>
    <row r="322" spans="1:20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2"/>
      <c r="R322" s="2"/>
      <c r="S322" s="2"/>
      <c r="T322" s="2"/>
    </row>
    <row r="323" spans="1:20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2"/>
      <c r="R323" s="2"/>
      <c r="S323" s="2"/>
      <c r="T323" s="2"/>
    </row>
    <row r="324" spans="1:20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2"/>
      <c r="R324" s="2"/>
      <c r="S324" s="2"/>
      <c r="T324" s="2"/>
    </row>
    <row r="325" spans="1:20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2"/>
      <c r="R325" s="2"/>
      <c r="S325" s="2"/>
      <c r="T325" s="2"/>
    </row>
    <row r="326" spans="1:20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2"/>
      <c r="R326" s="2"/>
      <c r="S326" s="2"/>
      <c r="T326" s="2"/>
    </row>
    <row r="327" spans="1:20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2"/>
      <c r="R327" s="2"/>
      <c r="S327" s="2"/>
      <c r="T327" s="2"/>
    </row>
    <row r="328" spans="1:20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2"/>
      <c r="R328" s="2"/>
      <c r="S328" s="2"/>
      <c r="T328" s="2"/>
    </row>
    <row r="329" spans="1:20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2"/>
      <c r="R329" s="2"/>
      <c r="S329" s="2"/>
      <c r="T329" s="2"/>
    </row>
    <row r="330" spans="1:20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2"/>
      <c r="R330" s="2"/>
      <c r="S330" s="2"/>
      <c r="T330" s="2"/>
    </row>
    <row r="331" spans="1:20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2"/>
      <c r="R331" s="2"/>
      <c r="S331" s="2"/>
      <c r="T331" s="2"/>
    </row>
    <row r="332" spans="1:20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2"/>
      <c r="R332" s="2"/>
      <c r="S332" s="2"/>
      <c r="T332" s="2"/>
    </row>
    <row r="333" spans="1:20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2"/>
      <c r="R333" s="2"/>
      <c r="S333" s="2"/>
      <c r="T333" s="2"/>
    </row>
    <row r="334" spans="1:20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2"/>
      <c r="R334" s="2"/>
      <c r="S334" s="2"/>
      <c r="T334" s="2"/>
    </row>
    <row r="335" spans="1:20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2"/>
      <c r="R335" s="2"/>
      <c r="S335" s="2"/>
      <c r="T335" s="2"/>
    </row>
    <row r="336" spans="1:20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2"/>
      <c r="R336" s="2"/>
      <c r="S336" s="2"/>
      <c r="T336" s="2"/>
    </row>
    <row r="337" spans="1:20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2"/>
      <c r="R337" s="2"/>
      <c r="S337" s="2"/>
      <c r="T337" s="2"/>
    </row>
    <row r="338" spans="1:20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2"/>
      <c r="R338" s="2"/>
      <c r="S338" s="2"/>
      <c r="T338" s="2"/>
    </row>
    <row r="339" spans="1:20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2"/>
      <c r="R339" s="2"/>
      <c r="S339" s="2"/>
      <c r="T339" s="2"/>
    </row>
    <row r="340" spans="1:20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2"/>
      <c r="R340" s="2"/>
      <c r="S340" s="2"/>
      <c r="T340" s="2"/>
    </row>
    <row r="341" spans="1:20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2"/>
      <c r="R341" s="2"/>
      <c r="S341" s="2"/>
      <c r="T341" s="2"/>
    </row>
    <row r="342" spans="1:20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2"/>
      <c r="R342" s="2"/>
      <c r="S342" s="2"/>
      <c r="T342" s="2"/>
    </row>
    <row r="343" spans="1:20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2"/>
      <c r="R343" s="2"/>
      <c r="S343" s="2"/>
      <c r="T343" s="2"/>
    </row>
    <row r="344" spans="1:20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2"/>
      <c r="R344" s="2"/>
      <c r="S344" s="2"/>
      <c r="T344" s="2"/>
    </row>
    <row r="345" spans="1:20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2"/>
      <c r="R345" s="2"/>
      <c r="S345" s="2"/>
      <c r="T345" s="2"/>
    </row>
    <row r="346" spans="1:20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2"/>
      <c r="R346" s="2"/>
      <c r="S346" s="2"/>
      <c r="T346" s="2"/>
    </row>
    <row r="347" spans="1:20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2"/>
      <c r="R347" s="2"/>
      <c r="S347" s="2"/>
      <c r="T347" s="2"/>
    </row>
    <row r="348" spans="1:20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2"/>
      <c r="R348" s="2"/>
      <c r="S348" s="2"/>
      <c r="T348" s="2"/>
    </row>
    <row r="349" spans="1:20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2"/>
      <c r="R349" s="2"/>
      <c r="S349" s="2"/>
      <c r="T349" s="2"/>
    </row>
    <row r="350" spans="1:20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2"/>
      <c r="R350" s="2"/>
      <c r="S350" s="2"/>
      <c r="T350" s="2"/>
    </row>
    <row r="351" spans="1:20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2"/>
      <c r="R351" s="2"/>
      <c r="S351" s="2"/>
      <c r="T351" s="2"/>
    </row>
    <row r="352" spans="1:20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2"/>
      <c r="R352" s="2"/>
      <c r="S352" s="2"/>
      <c r="T352" s="2"/>
    </row>
    <row r="353" spans="1:20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2"/>
      <c r="R353" s="2"/>
      <c r="S353" s="2"/>
      <c r="T353" s="2"/>
    </row>
    <row r="354" spans="1:20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2"/>
      <c r="R354" s="2"/>
      <c r="S354" s="2"/>
      <c r="T354" s="2"/>
    </row>
    <row r="355" spans="1:20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2"/>
      <c r="R355" s="2"/>
      <c r="S355" s="2"/>
      <c r="T355" s="2"/>
    </row>
    <row r="356" spans="1:20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2"/>
      <c r="R356" s="2"/>
      <c r="S356" s="2"/>
      <c r="T356" s="2"/>
    </row>
    <row r="357" spans="1:20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2"/>
      <c r="R357" s="2"/>
      <c r="S357" s="2"/>
      <c r="T357" s="2"/>
    </row>
    <row r="358" spans="1:20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2"/>
      <c r="R358" s="2"/>
      <c r="S358" s="2"/>
      <c r="T358" s="2"/>
    </row>
    <row r="359" spans="1:20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2"/>
      <c r="R359" s="2"/>
      <c r="S359" s="2"/>
      <c r="T359" s="2"/>
    </row>
    <row r="360" spans="1:20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2"/>
      <c r="R360" s="2"/>
      <c r="S360" s="2"/>
      <c r="T360" s="2"/>
    </row>
    <row r="361" spans="1:20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2"/>
      <c r="R361" s="2"/>
      <c r="S361" s="2"/>
      <c r="T361" s="2"/>
    </row>
    <row r="362" spans="1:20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2"/>
      <c r="R362" s="2"/>
      <c r="S362" s="2"/>
      <c r="T362" s="2"/>
    </row>
    <row r="363" spans="1:20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2"/>
      <c r="R363" s="2"/>
      <c r="S363" s="2"/>
      <c r="T363" s="2"/>
    </row>
    <row r="364" spans="1:20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2"/>
      <c r="R364" s="2"/>
      <c r="S364" s="2"/>
      <c r="T364" s="2"/>
    </row>
    <row r="365" spans="1:20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2"/>
      <c r="R365" s="2"/>
      <c r="S365" s="2"/>
      <c r="T365" s="2"/>
    </row>
    <row r="366" spans="1:20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2"/>
      <c r="R366" s="2"/>
      <c r="S366" s="2"/>
      <c r="T366" s="2"/>
    </row>
    <row r="367" spans="1:20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2"/>
      <c r="R367" s="2"/>
      <c r="S367" s="2"/>
      <c r="T367" s="2"/>
    </row>
    <row r="368" spans="1:20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2"/>
      <c r="R368" s="2"/>
      <c r="S368" s="2"/>
      <c r="T368" s="2"/>
    </row>
    <row r="369" spans="1:20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2"/>
      <c r="R369" s="2"/>
      <c r="S369" s="2"/>
      <c r="T369" s="2"/>
    </row>
    <row r="370" spans="1:20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2"/>
      <c r="R370" s="2"/>
      <c r="S370" s="2"/>
      <c r="T370" s="2"/>
    </row>
    <row r="371" spans="1:20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2"/>
      <c r="R371" s="2"/>
      <c r="S371" s="2"/>
      <c r="T371" s="2"/>
    </row>
    <row r="372" spans="1:20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2"/>
      <c r="R372" s="2"/>
      <c r="S372" s="2"/>
      <c r="T372" s="2"/>
    </row>
    <row r="373" spans="1:20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2"/>
      <c r="R373" s="2"/>
      <c r="S373" s="2"/>
      <c r="T373" s="2"/>
    </row>
    <row r="374" spans="1:20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2"/>
      <c r="R374" s="2"/>
      <c r="S374" s="2"/>
      <c r="T374" s="2"/>
    </row>
    <row r="375" spans="1:20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2"/>
      <c r="R375" s="2"/>
      <c r="S375" s="2"/>
      <c r="T375" s="2"/>
    </row>
    <row r="376" spans="1:20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2"/>
      <c r="R376" s="2"/>
      <c r="S376" s="2"/>
      <c r="T376" s="2"/>
    </row>
    <row r="377" spans="1:20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2"/>
      <c r="R377" s="2"/>
      <c r="S377" s="2"/>
      <c r="T377" s="2"/>
    </row>
    <row r="378" spans="1:20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2"/>
      <c r="R378" s="2"/>
      <c r="S378" s="2"/>
      <c r="T378" s="2"/>
    </row>
    <row r="379" spans="1:20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2"/>
      <c r="R379" s="2"/>
      <c r="S379" s="2"/>
      <c r="T379" s="2"/>
    </row>
    <row r="380" spans="1:20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2"/>
      <c r="R380" s="2"/>
      <c r="S380" s="2"/>
      <c r="T380" s="2"/>
    </row>
    <row r="381" spans="1:20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2"/>
      <c r="R381" s="2"/>
      <c r="S381" s="2"/>
      <c r="T381" s="2"/>
    </row>
    <row r="382" spans="1:20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2"/>
      <c r="R382" s="2"/>
      <c r="S382" s="2"/>
      <c r="T382" s="2"/>
    </row>
    <row r="383" spans="1:20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2"/>
      <c r="R383" s="2"/>
      <c r="S383" s="2"/>
      <c r="T383" s="2"/>
    </row>
    <row r="384" spans="1:20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2"/>
      <c r="R384" s="2"/>
      <c r="S384" s="2"/>
      <c r="T384" s="2"/>
    </row>
    <row r="385" spans="1:20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2"/>
      <c r="R385" s="2"/>
      <c r="S385" s="2"/>
      <c r="T385" s="2"/>
    </row>
    <row r="386" spans="1:20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2"/>
      <c r="R386" s="2"/>
      <c r="S386" s="2"/>
      <c r="T386" s="2"/>
    </row>
    <row r="387" spans="1:20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2"/>
      <c r="R387" s="2"/>
      <c r="S387" s="2"/>
      <c r="T387" s="2"/>
    </row>
    <row r="388" spans="1:20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2"/>
      <c r="R388" s="2"/>
      <c r="S388" s="2"/>
      <c r="T388" s="2"/>
    </row>
    <row r="389" spans="1:20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2"/>
      <c r="R389" s="2"/>
      <c r="S389" s="2"/>
      <c r="T389" s="2"/>
    </row>
    <row r="390" spans="1:20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2"/>
      <c r="R390" s="2"/>
      <c r="S390" s="2"/>
      <c r="T390" s="2"/>
    </row>
    <row r="391" spans="1:20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2"/>
      <c r="R391" s="2"/>
      <c r="S391" s="2"/>
      <c r="T391" s="2"/>
    </row>
    <row r="392" spans="1:20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2"/>
      <c r="R392" s="2"/>
      <c r="S392" s="2"/>
      <c r="T392" s="2"/>
    </row>
    <row r="393" spans="1:20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2"/>
      <c r="R393" s="2"/>
      <c r="S393" s="2"/>
      <c r="T393" s="2"/>
    </row>
    <row r="394" spans="1:20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2"/>
      <c r="R394" s="2"/>
      <c r="S394" s="2"/>
      <c r="T394" s="2"/>
    </row>
    <row r="395" spans="1:20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2"/>
      <c r="R395" s="2"/>
      <c r="S395" s="2"/>
      <c r="T395" s="2"/>
    </row>
    <row r="396" spans="1:20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2"/>
      <c r="R396" s="2"/>
      <c r="S396" s="2"/>
      <c r="T396" s="2"/>
    </row>
    <row r="397" spans="1:20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2"/>
      <c r="R397" s="2"/>
      <c r="S397" s="2"/>
      <c r="T397" s="2"/>
    </row>
    <row r="398" spans="1:20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2"/>
      <c r="R398" s="2"/>
      <c r="S398" s="2"/>
      <c r="T398" s="2"/>
    </row>
    <row r="399" spans="1:20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2"/>
      <c r="R399" s="2"/>
      <c r="S399" s="2"/>
      <c r="T399" s="2"/>
    </row>
    <row r="400" spans="1:20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2"/>
      <c r="R400" s="2"/>
      <c r="S400" s="2"/>
      <c r="T400" s="2"/>
    </row>
    <row r="401" spans="1:20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2"/>
      <c r="R401" s="2"/>
      <c r="S401" s="2"/>
      <c r="T401" s="2"/>
    </row>
    <row r="402" spans="1:20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2"/>
      <c r="R402" s="2"/>
      <c r="S402" s="2"/>
      <c r="T402" s="2"/>
    </row>
    <row r="403" spans="1:20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2"/>
      <c r="R403" s="2"/>
      <c r="S403" s="2"/>
      <c r="T403" s="2"/>
    </row>
    <row r="404" spans="1:20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2"/>
      <c r="R404" s="2"/>
      <c r="S404" s="2"/>
      <c r="T404" s="2"/>
    </row>
    <row r="405" spans="1:20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2"/>
      <c r="R405" s="2"/>
      <c r="S405" s="2"/>
      <c r="T405" s="2"/>
    </row>
    <row r="406" spans="1:20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2"/>
      <c r="R406" s="2"/>
      <c r="S406" s="2"/>
      <c r="T406" s="2"/>
    </row>
    <row r="407" spans="1:20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2"/>
      <c r="R407" s="2"/>
      <c r="S407" s="2"/>
      <c r="T407" s="2"/>
    </row>
    <row r="408" spans="1:20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2"/>
      <c r="R408" s="2"/>
      <c r="S408" s="2"/>
      <c r="T408" s="2"/>
    </row>
    <row r="409" spans="1:20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2"/>
      <c r="R409" s="2"/>
      <c r="S409" s="2"/>
      <c r="T409" s="2"/>
    </row>
    <row r="410" spans="1:20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2"/>
      <c r="R410" s="2"/>
      <c r="S410" s="2"/>
      <c r="T410" s="2"/>
    </row>
    <row r="411" spans="1:20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2"/>
      <c r="R411" s="2"/>
      <c r="S411" s="2"/>
      <c r="T411" s="2"/>
    </row>
    <row r="412" spans="1:20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2"/>
      <c r="R412" s="2"/>
      <c r="S412" s="2"/>
      <c r="T412" s="2"/>
    </row>
    <row r="413" spans="1:20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2"/>
      <c r="R413" s="2"/>
      <c r="S413" s="2"/>
      <c r="T413" s="2"/>
    </row>
    <row r="414" spans="1:20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2"/>
      <c r="R414" s="2"/>
      <c r="S414" s="2"/>
      <c r="T414" s="2"/>
    </row>
    <row r="415" spans="1:20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2"/>
      <c r="R415" s="2"/>
      <c r="S415" s="2"/>
      <c r="T415" s="2"/>
    </row>
    <row r="416" spans="1:20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2"/>
      <c r="R416" s="2"/>
      <c r="S416" s="2"/>
      <c r="T416" s="2"/>
    </row>
    <row r="417" spans="1:20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2"/>
      <c r="R417" s="2"/>
      <c r="S417" s="2"/>
      <c r="T417" s="2"/>
    </row>
    <row r="418" spans="1:20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2"/>
      <c r="R418" s="2"/>
      <c r="S418" s="2"/>
      <c r="T418" s="2"/>
    </row>
    <row r="419" spans="1:20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2"/>
      <c r="R419" s="2"/>
      <c r="S419" s="2"/>
      <c r="T419" s="2"/>
    </row>
    <row r="420" spans="1:20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2"/>
      <c r="R420" s="2"/>
      <c r="S420" s="2"/>
      <c r="T420" s="2"/>
    </row>
    <row r="421" spans="1:20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2"/>
      <c r="R421" s="2"/>
      <c r="S421" s="2"/>
      <c r="T421" s="2"/>
    </row>
    <row r="422" spans="1:20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2"/>
      <c r="R422" s="2"/>
      <c r="S422" s="2"/>
      <c r="T422" s="2"/>
    </row>
    <row r="423" spans="1:20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2"/>
      <c r="R423" s="2"/>
      <c r="S423" s="2"/>
      <c r="T423" s="2"/>
    </row>
    <row r="424" spans="1:20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2"/>
      <c r="R424" s="2"/>
      <c r="S424" s="2"/>
      <c r="T424" s="2"/>
    </row>
    <row r="425" spans="1:20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2"/>
      <c r="R425" s="2"/>
      <c r="S425" s="2"/>
      <c r="T425" s="2"/>
    </row>
    <row r="426" spans="1:20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2"/>
      <c r="R426" s="2"/>
      <c r="S426" s="2"/>
      <c r="T426" s="2"/>
    </row>
    <row r="427" spans="1:20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2"/>
      <c r="R427" s="2"/>
      <c r="S427" s="2"/>
      <c r="T427" s="2"/>
    </row>
    <row r="428" spans="1:20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2"/>
      <c r="R428" s="2"/>
      <c r="S428" s="2"/>
      <c r="T428" s="2"/>
    </row>
    <row r="429" spans="1:20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2"/>
      <c r="R429" s="2"/>
      <c r="S429" s="2"/>
      <c r="T429" s="2"/>
    </row>
    <row r="430" spans="1:20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2"/>
      <c r="R430" s="2"/>
      <c r="S430" s="2"/>
      <c r="T430" s="2"/>
    </row>
    <row r="431" spans="1:20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2"/>
      <c r="R431" s="2"/>
      <c r="S431" s="2"/>
      <c r="T431" s="2"/>
    </row>
    <row r="432" spans="1:20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2"/>
      <c r="R432" s="2"/>
      <c r="S432" s="2"/>
      <c r="T432" s="2"/>
    </row>
    <row r="433" spans="1:20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2"/>
      <c r="R433" s="2"/>
      <c r="S433" s="2"/>
      <c r="T433" s="2"/>
    </row>
    <row r="434" spans="1:20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2"/>
      <c r="R434" s="2"/>
      <c r="S434" s="2"/>
      <c r="T434" s="2"/>
    </row>
    <row r="435" spans="1:20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2"/>
      <c r="R435" s="2"/>
      <c r="S435" s="2"/>
      <c r="T435" s="2"/>
    </row>
    <row r="436" spans="1:20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2"/>
      <c r="R436" s="2"/>
      <c r="S436" s="2"/>
      <c r="T436" s="2"/>
    </row>
    <row r="437" spans="1:20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2"/>
      <c r="R437" s="2"/>
      <c r="S437" s="2"/>
      <c r="T437" s="2"/>
    </row>
    <row r="438" spans="1:20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2"/>
      <c r="R438" s="2"/>
      <c r="S438" s="2"/>
      <c r="T438" s="2"/>
    </row>
    <row r="439" spans="1:20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2"/>
      <c r="R439" s="2"/>
      <c r="S439" s="2"/>
      <c r="T439" s="2"/>
    </row>
    <row r="440" spans="1:20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2"/>
      <c r="R440" s="2"/>
      <c r="S440" s="2"/>
      <c r="T440" s="2"/>
    </row>
    <row r="441" spans="1:20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2"/>
      <c r="R441" s="2"/>
      <c r="S441" s="2"/>
      <c r="T441" s="2"/>
    </row>
    <row r="442" spans="1:20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2"/>
      <c r="R442" s="2"/>
      <c r="S442" s="2"/>
      <c r="T442" s="2"/>
    </row>
    <row r="443" spans="1:20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2"/>
      <c r="R443" s="2"/>
      <c r="S443" s="2"/>
      <c r="T443" s="2"/>
    </row>
    <row r="444" spans="1:20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2"/>
      <c r="R444" s="2"/>
      <c r="S444" s="2"/>
      <c r="T444" s="2"/>
    </row>
    <row r="445" spans="1:20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2"/>
      <c r="R445" s="2"/>
      <c r="S445" s="2"/>
      <c r="T445" s="2"/>
    </row>
    <row r="446" spans="1:20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2"/>
      <c r="R446" s="2"/>
      <c r="S446" s="2"/>
      <c r="T446" s="2"/>
    </row>
    <row r="447" spans="1:20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2"/>
      <c r="R447" s="2"/>
      <c r="S447" s="2"/>
      <c r="T447" s="2"/>
    </row>
    <row r="448" spans="1:20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2"/>
      <c r="R448" s="2"/>
      <c r="S448" s="2"/>
      <c r="T448" s="2"/>
    </row>
    <row r="449" spans="1:20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2"/>
      <c r="R449" s="2"/>
      <c r="S449" s="2"/>
      <c r="T449" s="2"/>
    </row>
    <row r="450" spans="1:20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2"/>
      <c r="R450" s="2"/>
      <c r="S450" s="2"/>
      <c r="T450" s="2"/>
    </row>
    <row r="451" spans="1:20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2"/>
      <c r="R451" s="2"/>
      <c r="S451" s="2"/>
      <c r="T451" s="2"/>
    </row>
    <row r="452" spans="1:20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2"/>
      <c r="R452" s="2"/>
      <c r="S452" s="2"/>
      <c r="T452" s="2"/>
    </row>
    <row r="453" spans="1:20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2"/>
      <c r="R453" s="2"/>
      <c r="S453" s="2"/>
      <c r="T453" s="2"/>
    </row>
    <row r="454" spans="1:20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2"/>
      <c r="R454" s="2"/>
      <c r="S454" s="2"/>
      <c r="T454" s="2"/>
    </row>
    <row r="455" spans="1:20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2"/>
      <c r="R455" s="2"/>
      <c r="S455" s="2"/>
      <c r="T455" s="2"/>
    </row>
    <row r="456" spans="1:20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2"/>
      <c r="R456" s="2"/>
      <c r="S456" s="2"/>
      <c r="T456" s="2"/>
    </row>
    <row r="457" spans="1:20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2"/>
      <c r="R457" s="2"/>
      <c r="S457" s="2"/>
      <c r="T457" s="2"/>
    </row>
    <row r="458" spans="1:20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2"/>
      <c r="R458" s="2"/>
      <c r="S458" s="2"/>
      <c r="T458" s="2"/>
    </row>
    <row r="459" spans="1:20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2"/>
      <c r="R459" s="2"/>
      <c r="S459" s="2"/>
      <c r="T459" s="2"/>
    </row>
    <row r="460" spans="1:20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2"/>
      <c r="R460" s="2"/>
      <c r="S460" s="2"/>
      <c r="T460" s="2"/>
    </row>
    <row r="461" spans="1:20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2"/>
      <c r="R461" s="2"/>
      <c r="S461" s="2"/>
      <c r="T461" s="2"/>
    </row>
    <row r="462" spans="1:20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2"/>
      <c r="R462" s="2"/>
      <c r="S462" s="2"/>
      <c r="T462" s="2"/>
    </row>
    <row r="463" spans="1:20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2"/>
      <c r="R463" s="2"/>
      <c r="S463" s="2"/>
      <c r="T463" s="2"/>
    </row>
    <row r="464" spans="1:20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2"/>
      <c r="R464" s="2"/>
      <c r="S464" s="2"/>
      <c r="T464" s="2"/>
    </row>
    <row r="465" spans="1:20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2"/>
      <c r="R465" s="2"/>
      <c r="S465" s="2"/>
      <c r="T465" s="2"/>
    </row>
    <row r="466" spans="1:20">
      <c r="A466" s="1"/>
      <c r="B466" s="1"/>
      <c r="C466" s="1"/>
      <c r="D466" s="1"/>
      <c r="E466" s="1"/>
      <c r="F466" s="1"/>
      <c r="G466" s="3"/>
      <c r="H466" s="1"/>
      <c r="I466" s="1"/>
      <c r="J466" s="1"/>
      <c r="K466" s="1"/>
      <c r="L466" s="1"/>
      <c r="M466" s="1"/>
      <c r="N466" s="1"/>
      <c r="O466" s="1"/>
      <c r="P466" s="1"/>
      <c r="Q466" s="2"/>
      <c r="R466" s="2"/>
      <c r="S466" s="2"/>
      <c r="T466" s="2"/>
    </row>
    <row r="467" spans="1:20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2"/>
      <c r="R467" s="2"/>
      <c r="S467" s="2"/>
      <c r="T467" s="2"/>
    </row>
    <row r="468" spans="1:20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2"/>
      <c r="R468" s="2"/>
      <c r="S468" s="2"/>
      <c r="T468" s="2"/>
    </row>
    <row r="469" spans="1:20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2"/>
      <c r="R469" s="2"/>
      <c r="S469" s="2"/>
      <c r="T469" s="2"/>
    </row>
    <row r="470" spans="1:20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2"/>
      <c r="R470" s="2"/>
      <c r="S470" s="2"/>
      <c r="T470" s="2"/>
    </row>
    <row r="471" spans="1:20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2"/>
      <c r="R471" s="2"/>
      <c r="S471" s="2"/>
      <c r="T471" s="2"/>
    </row>
    <row r="472" spans="1:20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2"/>
      <c r="R472" s="2"/>
      <c r="S472" s="2"/>
      <c r="T472" s="2"/>
    </row>
    <row r="473" spans="1:20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3"/>
      <c r="M473" s="1"/>
      <c r="N473" s="3"/>
      <c r="O473" s="1"/>
      <c r="P473" s="1"/>
      <c r="Q473" s="2"/>
      <c r="R473" s="2"/>
      <c r="S473" s="2"/>
      <c r="T473" s="2"/>
    </row>
    <row r="474" spans="1:20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2"/>
      <c r="R474" s="2"/>
      <c r="S474" s="2"/>
      <c r="T474" s="2"/>
    </row>
    <row r="475" spans="1:20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2"/>
      <c r="R475" s="2"/>
      <c r="S475" s="2"/>
      <c r="T475" s="2"/>
    </row>
    <row r="476" spans="1:20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2"/>
      <c r="R476" s="2"/>
      <c r="S476" s="2"/>
      <c r="T476" s="2"/>
    </row>
    <row r="477" spans="1:20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2"/>
      <c r="R477" s="2"/>
      <c r="S477" s="2"/>
      <c r="T477" s="2"/>
    </row>
    <row r="478" spans="1:20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2"/>
      <c r="R478" s="2"/>
      <c r="S478" s="2"/>
      <c r="T478" s="2"/>
    </row>
    <row r="479" spans="1:20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2"/>
      <c r="R479" s="2"/>
      <c r="S479" s="2"/>
      <c r="T479" s="2"/>
    </row>
    <row r="480" spans="1:20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2"/>
      <c r="R480" s="2"/>
      <c r="S480" s="2"/>
      <c r="T480" s="2"/>
    </row>
    <row r="481" spans="1:20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2"/>
      <c r="R481" s="2"/>
      <c r="S481" s="2"/>
      <c r="T481" s="2"/>
    </row>
    <row r="482" spans="1:20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2"/>
      <c r="R482" s="2"/>
      <c r="S482" s="2"/>
      <c r="T482" s="2"/>
    </row>
    <row r="483" spans="1:20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2"/>
      <c r="R483" s="2"/>
      <c r="S483" s="2"/>
      <c r="T483" s="2"/>
    </row>
    <row r="484" spans="1:20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2"/>
      <c r="R484" s="2"/>
      <c r="S484" s="2"/>
      <c r="T484" s="2"/>
    </row>
    <row r="485" spans="1:20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2"/>
      <c r="R485" s="2"/>
      <c r="S485" s="2"/>
      <c r="T485" s="2"/>
    </row>
    <row r="486" spans="1:20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2"/>
      <c r="R486" s="2"/>
      <c r="S486" s="2"/>
      <c r="T486" s="2"/>
    </row>
    <row r="487" spans="1:20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2"/>
      <c r="R487" s="2"/>
      <c r="S487" s="2"/>
      <c r="T487" s="2"/>
    </row>
    <row r="488" spans="1:20">
      <c r="A488" s="1"/>
      <c r="B488" s="1"/>
      <c r="C488" s="1"/>
      <c r="D488" s="1"/>
      <c r="E488" s="1"/>
      <c r="F488" s="1"/>
      <c r="G488" s="1"/>
      <c r="H488" s="3"/>
      <c r="I488" s="1"/>
      <c r="J488" s="1"/>
      <c r="K488" s="1"/>
      <c r="L488" s="1"/>
      <c r="M488" s="1"/>
      <c r="N488" s="1"/>
      <c r="O488" s="3"/>
      <c r="P488" s="1"/>
      <c r="Q488" s="2"/>
      <c r="R488" s="2"/>
      <c r="S488" s="2"/>
      <c r="T488" s="2"/>
    </row>
    <row r="489" spans="1:20">
      <c r="A489" s="1"/>
      <c r="B489" s="1"/>
      <c r="C489" s="1"/>
      <c r="D489" s="1"/>
      <c r="E489" s="1"/>
      <c r="F489" s="1"/>
      <c r="G489" s="1"/>
      <c r="H489" s="3"/>
      <c r="I489" s="1"/>
      <c r="J489" s="1"/>
      <c r="K489" s="1"/>
      <c r="L489" s="1"/>
      <c r="M489" s="1"/>
      <c r="N489" s="1"/>
      <c r="O489" s="3"/>
      <c r="P489" s="1"/>
      <c r="Q489" s="2"/>
      <c r="R489" s="2"/>
      <c r="S489" s="2"/>
      <c r="T489" s="2"/>
    </row>
    <row r="490" spans="1:20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2"/>
      <c r="R490" s="2"/>
      <c r="S490" s="2"/>
      <c r="T490" s="2"/>
    </row>
    <row r="491" spans="1:20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2"/>
      <c r="R491" s="2"/>
      <c r="S491" s="2"/>
      <c r="T491" s="2"/>
    </row>
    <row r="492" spans="1:20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2"/>
      <c r="R492" s="2"/>
      <c r="S492" s="2"/>
      <c r="T492" s="2"/>
    </row>
    <row r="493" spans="1:20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2"/>
      <c r="R493" s="2"/>
      <c r="S493" s="2"/>
      <c r="T493" s="2"/>
    </row>
    <row r="494" spans="1:20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2"/>
      <c r="R494" s="2"/>
      <c r="S494" s="2"/>
      <c r="T494" s="2"/>
    </row>
    <row r="495" spans="1:20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2"/>
      <c r="R495" s="2"/>
      <c r="S495" s="2"/>
      <c r="T495" s="2"/>
    </row>
    <row r="496" spans="1:20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2"/>
      <c r="R496" s="2"/>
      <c r="S496" s="2"/>
      <c r="T496" s="2"/>
    </row>
    <row r="497" spans="1:20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2"/>
      <c r="R497" s="2"/>
      <c r="S497" s="2"/>
      <c r="T497" s="2"/>
    </row>
    <row r="498" spans="1:20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2"/>
      <c r="R498" s="2"/>
      <c r="S498" s="2"/>
      <c r="T498" s="2"/>
    </row>
    <row r="499" spans="1:20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2"/>
      <c r="R499" s="2"/>
      <c r="S499" s="2"/>
      <c r="T499" s="2"/>
    </row>
    <row r="500" spans="1:20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2"/>
      <c r="R500" s="2"/>
      <c r="S500" s="2"/>
      <c r="T500" s="2"/>
    </row>
    <row r="501" spans="1:20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3"/>
      <c r="P501" s="1"/>
      <c r="Q501" s="2"/>
      <c r="R501" s="2"/>
      <c r="S501" s="2"/>
      <c r="T501" s="2"/>
    </row>
    <row r="502" spans="1:20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2"/>
      <c r="R502" s="2"/>
      <c r="S502" s="2"/>
      <c r="T502" s="2"/>
    </row>
    <row r="503" spans="1:20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2"/>
      <c r="R503" s="2"/>
      <c r="S503" s="2"/>
      <c r="T503" s="2"/>
    </row>
    <row r="504" spans="1:20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2"/>
      <c r="R504" s="2"/>
      <c r="S504" s="2"/>
      <c r="T504" s="2"/>
    </row>
    <row r="505" spans="1:20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2"/>
      <c r="R505" s="2"/>
      <c r="S505" s="2"/>
      <c r="T505" s="2"/>
    </row>
    <row r="506" spans="1:20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2"/>
      <c r="R506" s="2"/>
      <c r="S506" s="2"/>
      <c r="T506" s="2"/>
    </row>
    <row r="507" spans="1:20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2"/>
      <c r="R507" s="2"/>
      <c r="S507" s="2"/>
      <c r="T507" s="2"/>
    </row>
    <row r="508" spans="1:20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2"/>
      <c r="R508" s="2"/>
      <c r="S508" s="2"/>
      <c r="T508" s="2"/>
    </row>
    <row r="509" spans="1:20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3"/>
      <c r="M509" s="1"/>
      <c r="N509" s="3"/>
      <c r="O509" s="1"/>
      <c r="P509" s="1"/>
      <c r="Q509" s="2"/>
      <c r="R509" s="2"/>
      <c r="S509" s="2"/>
      <c r="T509" s="2"/>
    </row>
    <row r="510" spans="1:20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2"/>
      <c r="R510" s="2"/>
      <c r="S510" s="2"/>
      <c r="T510" s="2"/>
    </row>
    <row r="511" spans="1:20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2"/>
      <c r="R511" s="2"/>
      <c r="S511" s="2"/>
      <c r="T511" s="2"/>
    </row>
    <row r="512" spans="1:20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2"/>
      <c r="R512" s="2"/>
      <c r="S512" s="2"/>
      <c r="T512" s="2"/>
    </row>
    <row r="513" spans="1:20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2"/>
      <c r="R513" s="2"/>
      <c r="S513" s="2"/>
      <c r="T513" s="2"/>
    </row>
    <row r="514" spans="1:20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2"/>
      <c r="R514" s="2"/>
      <c r="S514" s="2"/>
      <c r="T514" s="2"/>
    </row>
    <row r="515" spans="1:20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2"/>
      <c r="R515" s="2"/>
      <c r="S515" s="2"/>
      <c r="T515" s="2"/>
    </row>
    <row r="516" spans="1:20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2"/>
      <c r="R516" s="2"/>
      <c r="S516" s="2"/>
      <c r="T516" s="2"/>
    </row>
    <row r="517" spans="1:20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2"/>
      <c r="R517" s="2"/>
      <c r="S517" s="2"/>
      <c r="T517" s="2"/>
    </row>
    <row r="518" spans="1:20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2"/>
      <c r="R518" s="2"/>
      <c r="S518" s="2"/>
      <c r="T518" s="2"/>
    </row>
    <row r="519" spans="1:20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2"/>
      <c r="R519" s="2"/>
      <c r="S519" s="2"/>
      <c r="T519" s="2"/>
    </row>
    <row r="520" spans="1:20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2"/>
      <c r="R520" s="2"/>
      <c r="S520" s="2"/>
      <c r="T520" s="2"/>
    </row>
    <row r="521" spans="1:20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2"/>
      <c r="R521" s="2"/>
      <c r="S521" s="2"/>
      <c r="T521" s="2"/>
    </row>
    <row r="522" spans="1:20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2"/>
      <c r="R522" s="2"/>
      <c r="S522" s="2"/>
      <c r="T522" s="2"/>
    </row>
    <row r="523" spans="1:20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2"/>
      <c r="R523" s="2"/>
      <c r="S523" s="2"/>
      <c r="T523" s="2"/>
    </row>
    <row r="524" spans="1:20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2"/>
      <c r="R524" s="2"/>
      <c r="S524" s="2"/>
      <c r="T524" s="2"/>
    </row>
    <row r="525" spans="1:20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2"/>
      <c r="R525" s="2"/>
      <c r="S525" s="2"/>
      <c r="T525" s="2"/>
    </row>
    <row r="526" spans="1:20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2"/>
      <c r="R526" s="2"/>
      <c r="S526" s="2"/>
      <c r="T526" s="2"/>
    </row>
    <row r="527" spans="1:20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2"/>
      <c r="R527" s="2"/>
      <c r="S527" s="2"/>
      <c r="T527" s="2"/>
    </row>
    <row r="528" spans="1:20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2"/>
      <c r="R528" s="2"/>
      <c r="S528" s="2"/>
      <c r="T528" s="2"/>
    </row>
    <row r="529" spans="1:20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2"/>
      <c r="R529" s="2"/>
      <c r="S529" s="2"/>
      <c r="T529" s="2"/>
    </row>
    <row r="530" spans="1:20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2"/>
      <c r="R530" s="2"/>
      <c r="S530" s="2"/>
      <c r="T530" s="2"/>
    </row>
    <row r="531" spans="1:20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2"/>
      <c r="R531" s="2"/>
      <c r="S531" s="2"/>
      <c r="T531" s="2"/>
    </row>
    <row r="532" spans="1:20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2"/>
      <c r="R532" s="2"/>
      <c r="S532" s="2"/>
      <c r="T532" s="2"/>
    </row>
    <row r="533" spans="1:20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2"/>
      <c r="R533" s="2"/>
      <c r="S533" s="2"/>
      <c r="T533" s="2"/>
    </row>
    <row r="534" spans="1:20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2"/>
      <c r="R534" s="2"/>
      <c r="S534" s="2"/>
      <c r="T534" s="2"/>
    </row>
    <row r="535" spans="1:20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2"/>
      <c r="R535" s="2"/>
      <c r="S535" s="2"/>
      <c r="T535" s="2"/>
    </row>
    <row r="536" spans="1:20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2"/>
      <c r="R536" s="2"/>
      <c r="S536" s="2"/>
      <c r="T536" s="2"/>
    </row>
    <row r="537" spans="1:20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2"/>
      <c r="R537" s="2"/>
      <c r="S537" s="2"/>
      <c r="T537" s="2"/>
    </row>
    <row r="538" spans="1:20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2"/>
      <c r="R538" s="2"/>
      <c r="S538" s="2"/>
      <c r="T538" s="2"/>
    </row>
    <row r="539" spans="1:20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2"/>
      <c r="R539" s="2"/>
      <c r="S539" s="2"/>
      <c r="T539" s="2"/>
    </row>
    <row r="540" spans="1:20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2"/>
      <c r="R540" s="2"/>
      <c r="S540" s="2"/>
      <c r="T540" s="2"/>
    </row>
    <row r="541" spans="1:20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2"/>
      <c r="R541" s="2"/>
      <c r="S541" s="2"/>
      <c r="T541" s="2"/>
    </row>
    <row r="542" spans="1:20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2"/>
      <c r="R542" s="2"/>
      <c r="S542" s="2"/>
      <c r="T542" s="2"/>
    </row>
    <row r="543" spans="1:20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2"/>
      <c r="R543" s="2"/>
      <c r="S543" s="2"/>
      <c r="T543" s="2"/>
    </row>
    <row r="544" spans="1:20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2"/>
      <c r="R544" s="2"/>
      <c r="S544" s="2"/>
      <c r="T544" s="2"/>
    </row>
    <row r="545" spans="1:20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2"/>
      <c r="R545" s="2"/>
      <c r="S545" s="2"/>
      <c r="T545" s="2"/>
    </row>
    <row r="546" spans="1:20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2"/>
      <c r="R546" s="2"/>
      <c r="S546" s="2"/>
      <c r="T546" s="2"/>
    </row>
    <row r="547" spans="1:20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2"/>
      <c r="R547" s="2"/>
      <c r="S547" s="2"/>
      <c r="T547" s="2"/>
    </row>
    <row r="548" spans="1:20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2"/>
      <c r="R548" s="2"/>
      <c r="S548" s="2"/>
      <c r="T548" s="2"/>
    </row>
    <row r="549" spans="1:20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2"/>
      <c r="R549" s="2"/>
      <c r="S549" s="2"/>
      <c r="T549" s="2"/>
    </row>
    <row r="550" spans="1:20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2"/>
      <c r="R550" s="2"/>
      <c r="S550" s="2"/>
      <c r="T550" s="2"/>
    </row>
    <row r="551" spans="1:20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2"/>
      <c r="R551" s="2"/>
      <c r="S551" s="2"/>
      <c r="T551" s="2"/>
    </row>
    <row r="552" spans="1:20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2"/>
      <c r="R552" s="2"/>
      <c r="S552" s="2"/>
      <c r="T552" s="2"/>
    </row>
    <row r="553" spans="1:20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2"/>
      <c r="R553" s="2"/>
      <c r="S553" s="2"/>
      <c r="T553" s="2"/>
    </row>
    <row r="554" spans="1:20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2"/>
      <c r="R554" s="2"/>
      <c r="S554" s="2"/>
      <c r="T554" s="2"/>
    </row>
    <row r="555" spans="1:20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2"/>
      <c r="R555" s="2"/>
      <c r="S555" s="2"/>
      <c r="T555" s="2"/>
    </row>
    <row r="556" spans="1:20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2"/>
      <c r="R556" s="2"/>
      <c r="S556" s="2"/>
      <c r="T556" s="2"/>
    </row>
    <row r="557" spans="1:20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2"/>
      <c r="R557" s="2"/>
      <c r="S557" s="2"/>
      <c r="T557" s="2"/>
    </row>
    <row r="558" spans="1:20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2"/>
      <c r="R558" s="2"/>
      <c r="S558" s="2"/>
      <c r="T558" s="2"/>
    </row>
    <row r="559" spans="1:20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2"/>
      <c r="R559" s="2"/>
      <c r="S559" s="2"/>
      <c r="T559" s="2"/>
    </row>
    <row r="560" spans="1:20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2"/>
      <c r="R560" s="2"/>
      <c r="S560" s="2"/>
      <c r="T560" s="2"/>
    </row>
    <row r="561" spans="1:20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2"/>
      <c r="R561" s="2"/>
      <c r="S561" s="2"/>
      <c r="T561" s="2"/>
    </row>
    <row r="562" spans="1:20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2"/>
      <c r="R562" s="2"/>
      <c r="S562" s="2"/>
      <c r="T562" s="2"/>
    </row>
    <row r="563" spans="1:20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2"/>
      <c r="R563" s="2"/>
      <c r="S563" s="2"/>
      <c r="T563" s="2"/>
    </row>
    <row r="564" spans="1:20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2"/>
      <c r="R564" s="2"/>
      <c r="S564" s="2"/>
      <c r="T564" s="2"/>
    </row>
    <row r="565" spans="1:20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2"/>
      <c r="R565" s="2"/>
      <c r="S565" s="2"/>
      <c r="T565" s="2"/>
    </row>
    <row r="566" spans="1:20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2"/>
      <c r="R566" s="2"/>
      <c r="S566" s="2"/>
      <c r="T566" s="2"/>
    </row>
    <row r="567" spans="1:20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2"/>
      <c r="R567" s="2"/>
      <c r="S567" s="2"/>
      <c r="T567" s="2"/>
    </row>
    <row r="568" spans="1:20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2"/>
      <c r="R568" s="2"/>
      <c r="S568" s="2"/>
      <c r="T568" s="2"/>
    </row>
    <row r="569" spans="1:20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2"/>
      <c r="R569" s="2"/>
      <c r="S569" s="2"/>
      <c r="T569" s="2"/>
    </row>
    <row r="570" spans="1:20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2"/>
      <c r="R570" s="2"/>
      <c r="S570" s="2"/>
      <c r="T570" s="2"/>
    </row>
    <row r="571" spans="1:20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2"/>
      <c r="R571" s="2"/>
      <c r="S571" s="2"/>
      <c r="T571" s="2"/>
    </row>
    <row r="572" spans="1:20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2"/>
      <c r="R572" s="2"/>
      <c r="S572" s="2"/>
      <c r="T572" s="2"/>
    </row>
    <row r="573" spans="1:20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2"/>
      <c r="R573" s="2"/>
      <c r="S573" s="2"/>
      <c r="T573" s="2"/>
    </row>
    <row r="574" spans="1:20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2"/>
      <c r="R574" s="2"/>
      <c r="S574" s="2"/>
      <c r="T574" s="2"/>
    </row>
    <row r="575" spans="1:20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2"/>
      <c r="R575" s="2"/>
      <c r="S575" s="2"/>
      <c r="T575" s="2"/>
    </row>
    <row r="576" spans="1:20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2"/>
      <c r="R576" s="2"/>
      <c r="S576" s="2"/>
      <c r="T576" s="2"/>
    </row>
    <row r="577" spans="1:20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2"/>
      <c r="R577" s="2"/>
      <c r="S577" s="2"/>
      <c r="T577" s="2"/>
    </row>
    <row r="578" spans="1:20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2"/>
      <c r="R578" s="2"/>
      <c r="S578" s="2"/>
      <c r="T578" s="2"/>
    </row>
    <row r="579" spans="1:20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2"/>
      <c r="R579" s="2"/>
      <c r="S579" s="2"/>
      <c r="T579" s="2"/>
    </row>
    <row r="580" spans="1:20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2"/>
      <c r="R580" s="2"/>
      <c r="S580" s="2"/>
      <c r="T580" s="2"/>
    </row>
    <row r="581" spans="1:20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2"/>
      <c r="R581" s="2"/>
      <c r="S581" s="2"/>
      <c r="T581" s="2"/>
    </row>
    <row r="582" spans="1:20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2"/>
      <c r="R582" s="2"/>
      <c r="S582" s="2"/>
      <c r="T582" s="2"/>
    </row>
    <row r="583" spans="1:20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2"/>
      <c r="R583" s="2"/>
      <c r="S583" s="2"/>
      <c r="T583" s="2"/>
    </row>
    <row r="584" spans="1:20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2"/>
      <c r="R584" s="2"/>
      <c r="S584" s="2"/>
      <c r="T584" s="2"/>
    </row>
    <row r="585" spans="1:20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2"/>
      <c r="R585" s="2"/>
      <c r="S585" s="2"/>
      <c r="T585" s="2"/>
    </row>
    <row r="586" spans="1:20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2"/>
      <c r="R586" s="2"/>
      <c r="S586" s="2"/>
      <c r="T586" s="2"/>
    </row>
    <row r="587" spans="1:20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2"/>
      <c r="R587" s="2"/>
      <c r="S587" s="2"/>
      <c r="T587" s="2"/>
    </row>
    <row r="588" spans="1:20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2"/>
      <c r="R588" s="2"/>
      <c r="S588" s="2"/>
      <c r="T588" s="2"/>
    </row>
    <row r="589" spans="1:20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2"/>
      <c r="R589" s="2"/>
      <c r="S589" s="2"/>
      <c r="T589" s="2"/>
    </row>
    <row r="590" spans="1:20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2"/>
      <c r="R590" s="2"/>
      <c r="S590" s="2"/>
      <c r="T590" s="2"/>
    </row>
    <row r="591" spans="1:20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2"/>
      <c r="R591" s="2"/>
      <c r="S591" s="2"/>
      <c r="T591" s="2"/>
    </row>
    <row r="592" spans="1:20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2"/>
      <c r="R592" s="2"/>
      <c r="S592" s="2"/>
      <c r="T592" s="2"/>
    </row>
    <row r="593" spans="1:20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2"/>
      <c r="R593" s="2"/>
      <c r="S593" s="2"/>
      <c r="T593" s="2"/>
    </row>
    <row r="594" spans="1:20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2"/>
      <c r="R594" s="2"/>
      <c r="S594" s="2"/>
      <c r="T594" s="2"/>
    </row>
    <row r="595" spans="1:20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2"/>
      <c r="R595" s="2"/>
      <c r="S595" s="2"/>
      <c r="T595" s="2"/>
    </row>
    <row r="596" spans="1:20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2"/>
      <c r="R596" s="2"/>
      <c r="S596" s="2"/>
      <c r="T596" s="2"/>
    </row>
    <row r="597" spans="1:20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2"/>
      <c r="R597" s="2"/>
      <c r="S597" s="2"/>
      <c r="T597" s="2"/>
    </row>
    <row r="598" spans="1:20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2"/>
      <c r="R598" s="2"/>
      <c r="S598" s="2"/>
      <c r="T598" s="2"/>
    </row>
    <row r="599" spans="1:20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2"/>
      <c r="R599" s="2"/>
      <c r="S599" s="2"/>
      <c r="T599" s="2"/>
    </row>
    <row r="600" spans="1:20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2"/>
      <c r="R600" s="2"/>
      <c r="S600" s="2"/>
      <c r="T600" s="2"/>
    </row>
    <row r="601" spans="1:20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2"/>
      <c r="R601" s="2"/>
      <c r="S601" s="2"/>
      <c r="T601" s="2"/>
    </row>
    <row r="602" spans="1:20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2"/>
      <c r="R602" s="2"/>
      <c r="S602" s="2"/>
      <c r="T602" s="2"/>
    </row>
    <row r="603" spans="1:20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2"/>
      <c r="R603" s="2"/>
      <c r="S603" s="2"/>
      <c r="T603" s="2"/>
    </row>
    <row r="604" spans="1:20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2"/>
      <c r="R604" s="2"/>
      <c r="S604" s="2"/>
      <c r="T604" s="2"/>
    </row>
    <row r="605" spans="1:20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2"/>
      <c r="R605" s="2"/>
      <c r="S605" s="2"/>
      <c r="T605" s="2"/>
    </row>
    <row r="606" spans="1:20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2"/>
      <c r="R606" s="2"/>
      <c r="S606" s="2"/>
      <c r="T606" s="2"/>
    </row>
    <row r="607" spans="1:20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2"/>
      <c r="R607" s="2"/>
      <c r="S607" s="2"/>
      <c r="T607" s="2"/>
    </row>
    <row r="608" spans="1:20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2"/>
      <c r="R608" s="2"/>
      <c r="S608" s="2"/>
      <c r="T608" s="2"/>
    </row>
    <row r="609" spans="1:20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2"/>
      <c r="R609" s="2"/>
      <c r="S609" s="2"/>
      <c r="T609" s="2"/>
    </row>
    <row r="610" spans="1:20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2"/>
      <c r="R610" s="2"/>
      <c r="S610" s="2"/>
      <c r="T610" s="2"/>
    </row>
    <row r="611" spans="1:20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2"/>
      <c r="R611" s="2"/>
      <c r="S611" s="2"/>
      <c r="T611" s="2"/>
    </row>
    <row r="612" spans="1:20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2"/>
      <c r="R612" s="2"/>
      <c r="S612" s="2"/>
      <c r="T612" s="2"/>
    </row>
    <row r="613" spans="1:20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2"/>
      <c r="R613" s="2"/>
      <c r="S613" s="2"/>
      <c r="T613" s="2"/>
    </row>
    <row r="614" spans="1:20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2"/>
      <c r="R614" s="2"/>
      <c r="S614" s="2"/>
      <c r="T614" s="2"/>
    </row>
    <row r="615" spans="1:20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2"/>
      <c r="R615" s="2"/>
      <c r="S615" s="2"/>
      <c r="T615" s="2"/>
    </row>
    <row r="616" spans="1:20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2"/>
      <c r="R616" s="2"/>
      <c r="S616" s="2"/>
      <c r="T616" s="2"/>
    </row>
    <row r="617" spans="1:20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2"/>
      <c r="R617" s="2"/>
      <c r="S617" s="2"/>
      <c r="T617" s="2"/>
    </row>
    <row r="618" spans="1:20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2"/>
      <c r="R618" s="2"/>
      <c r="S618" s="2"/>
      <c r="T618" s="2"/>
    </row>
    <row r="619" spans="1:20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2"/>
      <c r="R619" s="2"/>
      <c r="S619" s="2"/>
      <c r="T619" s="2"/>
    </row>
    <row r="620" spans="1:20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2"/>
      <c r="R620" s="2"/>
      <c r="S620" s="2"/>
      <c r="T620" s="2"/>
    </row>
    <row r="621" spans="1:20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2"/>
      <c r="R621" s="2"/>
      <c r="S621" s="2"/>
      <c r="T621" s="2"/>
    </row>
    <row r="622" spans="1:20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2"/>
      <c r="R622" s="2"/>
      <c r="S622" s="2"/>
      <c r="T622" s="2"/>
    </row>
    <row r="623" spans="1:20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2"/>
      <c r="R623" s="2"/>
      <c r="S623" s="2"/>
      <c r="T623" s="2"/>
    </row>
    <row r="624" spans="1:20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2"/>
      <c r="R624" s="2"/>
      <c r="S624" s="2"/>
      <c r="T624" s="2"/>
    </row>
    <row r="625" spans="1:20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2"/>
      <c r="R625" s="2"/>
      <c r="S625" s="2"/>
      <c r="T625" s="2"/>
    </row>
    <row r="626" spans="1:20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2"/>
      <c r="R626" s="2"/>
      <c r="S626" s="2"/>
      <c r="T626" s="2"/>
    </row>
    <row r="627" spans="1:20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2"/>
      <c r="R627" s="2"/>
      <c r="S627" s="2"/>
      <c r="T627" s="2"/>
    </row>
    <row r="628" spans="1:20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2"/>
      <c r="R628" s="2"/>
      <c r="S628" s="2"/>
      <c r="T628" s="2"/>
    </row>
    <row r="629" spans="1:20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2"/>
      <c r="R629" s="2"/>
      <c r="S629" s="2"/>
      <c r="T629" s="2"/>
    </row>
    <row r="630" spans="1:20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2"/>
      <c r="R630" s="2"/>
      <c r="S630" s="2"/>
      <c r="T630" s="2"/>
    </row>
    <row r="631" spans="1:20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2"/>
      <c r="R631" s="2"/>
      <c r="S631" s="2"/>
      <c r="T631" s="2"/>
    </row>
    <row r="632" spans="1:20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2"/>
      <c r="R632" s="2"/>
      <c r="S632" s="2"/>
      <c r="T632" s="2"/>
    </row>
    <row r="633" spans="1:20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2"/>
      <c r="R633" s="2"/>
      <c r="S633" s="2"/>
      <c r="T633" s="2"/>
    </row>
    <row r="634" spans="1:20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2"/>
      <c r="R634" s="2"/>
      <c r="S634" s="2"/>
      <c r="T634" s="2"/>
    </row>
    <row r="635" spans="1:20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2"/>
      <c r="R635" s="2"/>
      <c r="S635" s="2"/>
      <c r="T635" s="2"/>
    </row>
    <row r="636" spans="1:20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2"/>
      <c r="R636" s="2"/>
      <c r="S636" s="2"/>
      <c r="T636" s="2"/>
    </row>
    <row r="637" spans="1:20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2"/>
      <c r="R637" s="2"/>
      <c r="S637" s="2"/>
      <c r="T637" s="2"/>
    </row>
    <row r="638" spans="1:20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2"/>
      <c r="R638" s="2"/>
      <c r="S638" s="2"/>
      <c r="T638" s="2"/>
    </row>
    <row r="639" spans="1:20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2"/>
      <c r="R639" s="2"/>
      <c r="S639" s="2"/>
      <c r="T639" s="2"/>
    </row>
    <row r="640" spans="1:20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2"/>
      <c r="R640" s="2"/>
      <c r="S640" s="2"/>
      <c r="T640" s="2"/>
    </row>
    <row r="641" spans="1:20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2"/>
      <c r="R641" s="2"/>
      <c r="S641" s="2"/>
      <c r="T641" s="2"/>
    </row>
    <row r="642" spans="1:20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2"/>
      <c r="R642" s="2"/>
      <c r="S642" s="2"/>
      <c r="T642" s="2"/>
    </row>
    <row r="643" spans="1:20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2"/>
      <c r="R643" s="2"/>
      <c r="S643" s="2"/>
      <c r="T643" s="2"/>
    </row>
    <row r="644" spans="1:20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2"/>
      <c r="R644" s="2"/>
      <c r="S644" s="2"/>
      <c r="T644" s="2"/>
    </row>
    <row r="645" spans="1:20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2"/>
      <c r="R645" s="2"/>
      <c r="S645" s="2"/>
      <c r="T645" s="2"/>
    </row>
    <row r="646" spans="1:20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2"/>
      <c r="R646" s="2"/>
      <c r="S646" s="2"/>
      <c r="T646" s="2"/>
    </row>
    <row r="647" spans="1:20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2"/>
      <c r="R647" s="2"/>
      <c r="S647" s="2"/>
      <c r="T647" s="2"/>
    </row>
    <row r="648" spans="1:20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2"/>
      <c r="R648" s="2"/>
      <c r="S648" s="2"/>
      <c r="T648" s="2"/>
    </row>
    <row r="649" spans="1:20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2"/>
      <c r="R649" s="2"/>
      <c r="S649" s="2"/>
      <c r="T649" s="2"/>
    </row>
    <row r="650" spans="1:20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2"/>
      <c r="R650" s="2"/>
      <c r="S650" s="2"/>
      <c r="T650" s="2"/>
    </row>
    <row r="651" spans="1:20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2"/>
      <c r="R651" s="2"/>
      <c r="S651" s="2"/>
      <c r="T651" s="2"/>
    </row>
    <row r="652" spans="1:20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2"/>
      <c r="R652" s="2"/>
      <c r="S652" s="2"/>
      <c r="T652" s="2"/>
    </row>
    <row r="653" spans="1:20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2"/>
      <c r="R653" s="2"/>
      <c r="S653" s="2"/>
      <c r="T653" s="2"/>
    </row>
    <row r="654" spans="1:20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2"/>
      <c r="R654" s="2"/>
      <c r="S654" s="2"/>
      <c r="T654" s="2"/>
    </row>
    <row r="655" spans="1:20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2"/>
      <c r="R655" s="2"/>
      <c r="S655" s="2"/>
      <c r="T655" s="2"/>
    </row>
    <row r="656" spans="1:20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2"/>
      <c r="R656" s="2"/>
      <c r="S656" s="2"/>
      <c r="T656" s="2"/>
    </row>
    <row r="657" spans="1:20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2"/>
      <c r="R657" s="2"/>
      <c r="S657" s="2"/>
      <c r="T657" s="2"/>
    </row>
    <row r="658" spans="1:20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2"/>
      <c r="R658" s="2"/>
      <c r="S658" s="2"/>
      <c r="T658" s="2"/>
    </row>
    <row r="659" spans="1:20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2"/>
      <c r="R659" s="2"/>
      <c r="S659" s="2"/>
      <c r="T659" s="2"/>
    </row>
    <row r="660" spans="1:20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2"/>
      <c r="R660" s="2"/>
      <c r="S660" s="2"/>
      <c r="T660" s="2"/>
    </row>
    <row r="661" spans="1:20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2"/>
      <c r="R661" s="2"/>
      <c r="S661" s="2"/>
      <c r="T661" s="2"/>
    </row>
    <row r="662" spans="1:20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2"/>
      <c r="R662" s="2"/>
      <c r="S662" s="2"/>
      <c r="T662" s="2"/>
    </row>
    <row r="663" spans="1:20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2"/>
      <c r="R663" s="2"/>
      <c r="S663" s="2"/>
      <c r="T663" s="2"/>
    </row>
    <row r="664" spans="1:20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2"/>
      <c r="R664" s="2"/>
      <c r="S664" s="2"/>
      <c r="T664" s="2"/>
    </row>
    <row r="665" spans="1:20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2"/>
      <c r="R665" s="2"/>
      <c r="S665" s="2"/>
      <c r="T665" s="2"/>
    </row>
    <row r="666" spans="1:20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2"/>
      <c r="R666" s="2"/>
      <c r="S666" s="2"/>
      <c r="T666" s="2"/>
    </row>
    <row r="667" spans="1:20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2"/>
      <c r="R667" s="2"/>
      <c r="S667" s="2"/>
      <c r="T667" s="2"/>
    </row>
    <row r="668" spans="1:20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2"/>
      <c r="R668" s="2"/>
      <c r="S668" s="2"/>
      <c r="T668" s="2"/>
    </row>
    <row r="669" spans="1:20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2"/>
      <c r="R669" s="2"/>
      <c r="S669" s="2"/>
      <c r="T669" s="2"/>
    </row>
    <row r="670" spans="1:20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2"/>
      <c r="R670" s="2"/>
      <c r="S670" s="2"/>
      <c r="T670" s="2"/>
    </row>
    <row r="671" spans="1:20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2"/>
      <c r="R671" s="2"/>
      <c r="S671" s="2"/>
      <c r="T671" s="2"/>
    </row>
    <row r="672" spans="1:20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2"/>
      <c r="R672" s="2"/>
      <c r="S672" s="2"/>
      <c r="T672" s="2"/>
    </row>
    <row r="673" spans="1:20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2"/>
      <c r="R673" s="2"/>
      <c r="S673" s="2"/>
      <c r="T673" s="2"/>
    </row>
    <row r="674" spans="1:20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2"/>
      <c r="R674" s="2"/>
      <c r="S674" s="2"/>
      <c r="T674" s="2"/>
    </row>
    <row r="675" spans="1:20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2"/>
      <c r="R675" s="2"/>
      <c r="S675" s="2"/>
      <c r="T675" s="2"/>
    </row>
    <row r="676" spans="1:20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2"/>
      <c r="R676" s="2"/>
      <c r="S676" s="2"/>
      <c r="T676" s="2"/>
    </row>
    <row r="677" spans="1:20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2"/>
      <c r="R677" s="2"/>
      <c r="S677" s="2"/>
      <c r="T677" s="2"/>
    </row>
    <row r="678" spans="1:20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2"/>
      <c r="R678" s="2"/>
      <c r="S678" s="2"/>
      <c r="T678" s="2"/>
    </row>
    <row r="679" spans="1:20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2"/>
      <c r="R679" s="2"/>
      <c r="S679" s="2"/>
      <c r="T679" s="2"/>
    </row>
    <row r="680" spans="1:20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2"/>
      <c r="R680" s="2"/>
      <c r="S680" s="2"/>
      <c r="T680" s="2"/>
    </row>
    <row r="681" spans="1:20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2"/>
      <c r="R681" s="2"/>
      <c r="S681" s="2"/>
      <c r="T681" s="2"/>
    </row>
    <row r="682" spans="1:20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2"/>
      <c r="R682" s="2"/>
      <c r="S682" s="2"/>
      <c r="T682" s="2"/>
    </row>
    <row r="683" spans="1:20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2"/>
      <c r="R683" s="2"/>
      <c r="S683" s="2"/>
      <c r="T683" s="2"/>
    </row>
    <row r="684" spans="1:20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2"/>
      <c r="R684" s="2"/>
      <c r="S684" s="2"/>
      <c r="T684" s="2"/>
    </row>
    <row r="685" spans="1:20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2"/>
      <c r="R685" s="2"/>
      <c r="S685" s="2"/>
      <c r="T685" s="2"/>
    </row>
  </sheetData>
  <autoFilter ref="A2:T197"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Kishore Purushothaman</dc:creator>
  <cp:lastModifiedBy>Bis Admin</cp:lastModifiedBy>
  <dcterms:created xsi:type="dcterms:W3CDTF">2006-09-16T00:00:00Z</dcterms:created>
  <dcterms:modified xsi:type="dcterms:W3CDTF">2016-08-30T07:15:06Z</dcterms:modified>
</cp:coreProperties>
</file>