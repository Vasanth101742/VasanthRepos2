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n\Zoho WorkDrive (southernautomation.in)\General\Enquires -SA\Reference Documents\Mohanapriya\"/>
    </mc:Choice>
  </mc:AlternateContent>
  <xr:revisionPtr revIDLastSave="0" documentId="13_ncr:1_{EBFDC452-27F6-4C25-9CD2-D7320822D1AC}" xr6:coauthVersionLast="47" xr6:coauthVersionMax="47" xr10:uidLastSave="{00000000-0000-0000-0000-000000000000}"/>
  <bookViews>
    <workbookView xWindow="-108" yWindow="-108" windowWidth="23256" windowHeight="12576" tabRatio="629" activeTab="1" xr2:uid="{00000000-000D-0000-FFFF-FFFF00000000}"/>
  </bookViews>
  <sheets>
    <sheet name="PO Register 2021" sheetId="19" r:id="rId1"/>
    <sheet name="PO Register 2022" sheetId="18" r:id="rId2"/>
    <sheet name="2022" sheetId="20" r:id="rId3"/>
    <sheet name="2021" sheetId="21" r:id="rId4"/>
  </sheets>
  <definedNames>
    <definedName name="_xlnm._FilterDatabase" localSheetId="0" hidden="1">'PO Register 2021'!$A$1:$J$53</definedName>
    <definedName name="_xlnm._FilterDatabase" localSheetId="1" hidden="1">'PO Register 2022'!$A$1:$O$167</definedName>
    <definedName name="_xlnm.Print_Area" localSheetId="3">'2021'!$A$1:$I$7</definedName>
    <definedName name="_xlnm.Print_Area" localSheetId="2">'2022'!$A$1:$J$25</definedName>
    <definedName name="_xlnm.Print_Area" localSheetId="0">'PO Register 2021'!$A$1:$L$57</definedName>
    <definedName name="_xlnm.Print_Area" localSheetId="1">'PO Register 2022'!$A$1:$J$174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8" l="1"/>
  <c r="G37" i="19"/>
  <c r="F55" i="19"/>
  <c r="G145" i="18"/>
  <c r="G129" i="18"/>
  <c r="G125" i="18"/>
  <c r="G114" i="18"/>
  <c r="G111" i="18"/>
  <c r="G106" i="18"/>
  <c r="G68" i="18"/>
  <c r="G57" i="18"/>
  <c r="G44" i="18"/>
  <c r="G18" i="18"/>
  <c r="G17" i="18"/>
  <c r="H117" i="18"/>
  <c r="G117" i="18" s="1"/>
  <c r="G32" i="18"/>
  <c r="G22" i="18"/>
  <c r="G47" i="18" l="1"/>
  <c r="H101" i="18" l="1"/>
  <c r="G101" i="18" s="1"/>
  <c r="H109" i="18"/>
  <c r="G109" i="18" s="1"/>
  <c r="N117" i="18"/>
  <c r="K117" i="18"/>
  <c r="Q135" i="18"/>
  <c r="Q126" i="18"/>
  <c r="Q125" i="18"/>
  <c r="Q124" i="18"/>
  <c r="Q123" i="18"/>
  <c r="Q122" i="18"/>
  <c r="Q121" i="18"/>
  <c r="Q120" i="18"/>
  <c r="Q119" i="18"/>
  <c r="Q118" i="18"/>
  <c r="F37" i="19"/>
  <c r="F7" i="19"/>
  <c r="F6" i="19"/>
  <c r="Q117" i="18" l="1"/>
  <c r="P173" i="18"/>
  <c r="Q113" i="18"/>
  <c r="Q138" i="18"/>
  <c r="Q116" i="18"/>
  <c r="Q115" i="18"/>
  <c r="Q114" i="18"/>
  <c r="Q112" i="18"/>
  <c r="Q111" i="18"/>
  <c r="Q110" i="18"/>
  <c r="Q109" i="18"/>
  <c r="Q107" i="18"/>
  <c r="Q6" i="18"/>
  <c r="Q3" i="18"/>
  <c r="M173" i="18"/>
  <c r="N173" i="18"/>
  <c r="G20" i="18"/>
  <c r="G19" i="18"/>
  <c r="Q106" i="18" l="1"/>
  <c r="L173" i="18"/>
  <c r="Q68" i="18"/>
  <c r="Q67" i="18"/>
  <c r="Q69" i="18"/>
  <c r="Q102" i="18"/>
  <c r="Q101" i="18"/>
  <c r="Q97" i="18"/>
  <c r="Q83" i="18"/>
  <c r="Q61" i="18"/>
  <c r="Q105" i="18"/>
  <c r="Q104" i="18"/>
  <c r="Q103" i="18"/>
  <c r="Q100" i="18"/>
  <c r="Q99" i="18"/>
  <c r="Q98" i="18"/>
  <c r="Q96" i="18"/>
  <c r="Q95" i="18"/>
  <c r="Q94" i="18"/>
  <c r="Q93" i="18"/>
  <c r="Q92" i="18"/>
  <c r="Q91" i="18"/>
  <c r="Q90" i="18"/>
  <c r="Q89" i="18"/>
  <c r="Q88" i="18"/>
  <c r="Q87" i="18"/>
  <c r="Q86" i="18"/>
  <c r="Q85" i="18"/>
  <c r="Q84" i="18"/>
  <c r="Q82" i="18"/>
  <c r="Q81" i="18"/>
  <c r="Q80" i="18"/>
  <c r="Q79" i="18"/>
  <c r="Q78" i="18"/>
  <c r="Q77" i="18"/>
  <c r="Q76" i="18"/>
  <c r="Q75" i="18"/>
  <c r="Q74" i="18"/>
  <c r="Q73" i="18"/>
  <c r="Q72" i="18"/>
  <c r="Q71" i="18"/>
  <c r="Q70" i="18"/>
  <c r="Q66" i="18"/>
  <c r="Q65" i="18"/>
  <c r="Q64" i="18"/>
  <c r="Q63" i="18"/>
  <c r="Q62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6" i="18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0" i="18"/>
  <c r="Q9" i="18"/>
  <c r="Q8" i="18"/>
  <c r="Q7" i="18"/>
  <c r="Q5" i="18"/>
  <c r="Q4" i="18"/>
  <c r="H97" i="18"/>
  <c r="G97" i="18" s="1"/>
  <c r="H83" i="18"/>
  <c r="G83" i="18" s="1"/>
  <c r="H72" i="18" l="1"/>
  <c r="G72" i="18" s="1"/>
  <c r="G96" i="18" l="1"/>
  <c r="G51" i="18" l="1"/>
  <c r="K47" i="18" l="1"/>
  <c r="K173" i="18" l="1"/>
  <c r="Q47" i="18"/>
  <c r="G4" i="18"/>
  <c r="G59" i="18"/>
  <c r="Q173" i="18" l="1"/>
  <c r="L57" i="19"/>
  <c r="F20" i="19" l="1"/>
  <c r="L20" i="19"/>
  <c r="F52" i="19" l="1"/>
  <c r="F34" i="19"/>
  <c r="F23" i="19"/>
  <c r="F22" i="19"/>
  <c r="F18" i="19"/>
  <c r="F17" i="19"/>
  <c r="F16" i="19"/>
  <c r="F11" i="19"/>
  <c r="F4" i="19"/>
  <c r="F3" i="19"/>
  <c r="G3" i="18" l="1"/>
  <c r="G173" i="18" s="1"/>
  <c r="O173" i="18" l="1"/>
</calcChain>
</file>

<file path=xl/sharedStrings.xml><?xml version="1.0" encoding="utf-8"?>
<sst xmlns="http://schemas.openxmlformats.org/spreadsheetml/2006/main" count="842" uniqueCount="541">
  <si>
    <t>Status</t>
  </si>
  <si>
    <t>S.No</t>
  </si>
  <si>
    <t>SUEZ WTS</t>
  </si>
  <si>
    <t>Petronash FZE</t>
  </si>
  <si>
    <t>Petrotechna</t>
  </si>
  <si>
    <t>Need to get PO</t>
  </si>
  <si>
    <t>Techtron</t>
  </si>
  <si>
    <t>-</t>
  </si>
  <si>
    <t>Date</t>
  </si>
  <si>
    <t>Petronash</t>
  </si>
  <si>
    <t>Project No</t>
  </si>
  <si>
    <t>Project Name</t>
  </si>
  <si>
    <t>PO No</t>
  </si>
  <si>
    <t xml:space="preserve">Customer </t>
  </si>
  <si>
    <t>PO Value</t>
  </si>
  <si>
    <t>PF</t>
  </si>
  <si>
    <t>TOTAL PO VALUE</t>
  </si>
  <si>
    <t>Total PO Value</t>
  </si>
  <si>
    <t>2021 Carry Frwd</t>
  </si>
  <si>
    <t>PRJ-22001</t>
  </si>
  <si>
    <t>BC</t>
  </si>
  <si>
    <t>SA</t>
  </si>
  <si>
    <t>AD</t>
  </si>
  <si>
    <t>PRJ-22002</t>
  </si>
  <si>
    <t>PRJ-22004</t>
  </si>
  <si>
    <t>PRJ-22005</t>
  </si>
  <si>
    <t>PRJ-22003</t>
  </si>
  <si>
    <t>PRJ-22008</t>
  </si>
  <si>
    <t>Flowserve</t>
  </si>
  <si>
    <t>PRJ-22010</t>
  </si>
  <si>
    <t>PRJ-22016</t>
  </si>
  <si>
    <t>PRJ-22018</t>
  </si>
  <si>
    <t>PRJ-21213</t>
  </si>
  <si>
    <t>Internal Component WP.20.019 - Archirodon/Adnoc</t>
  </si>
  <si>
    <t xml:space="preserve">Flowserve </t>
  </si>
  <si>
    <t>Cable Glands // RIL</t>
  </si>
  <si>
    <t xml:space="preserve"> SUEZ WTS </t>
  </si>
  <si>
    <t>ONGC Valve Tag Plates</t>
  </si>
  <si>
    <t>PC 122223200098</t>
  </si>
  <si>
    <t>HYDAC INDIA</t>
  </si>
  <si>
    <t>Supply of COMET CABLE GLAND</t>
  </si>
  <si>
    <t>Vinythai,  Flow Switches</t>
  </si>
  <si>
    <t>PR - 6000022138 - CABLE GLANDS</t>
  </si>
  <si>
    <t>PRJ-22006</t>
  </si>
  <si>
    <t>UL VFD  Panel</t>
  </si>
  <si>
    <t>PRJ-22007</t>
  </si>
  <si>
    <t>TT-PO-22006</t>
  </si>
  <si>
    <t>Inverter</t>
  </si>
  <si>
    <t>Cable Trays &amp; Safety Stock</t>
  </si>
  <si>
    <t>PRJ-22009</t>
  </si>
  <si>
    <t>Inhouse Wiring</t>
  </si>
  <si>
    <t>Cable HZL-Supply of Power Cable,JB</t>
  </si>
  <si>
    <t>PRJ-22011</t>
  </si>
  <si>
    <t>Supply of Delta PLC &amp; HMI</t>
  </si>
  <si>
    <t>PRJ-22012</t>
  </si>
  <si>
    <t>Supply of Delta PLC</t>
  </si>
  <si>
    <t>PRJ-22013</t>
  </si>
  <si>
    <t>PRJ-22014</t>
  </si>
  <si>
    <t>PRJ-22015</t>
  </si>
  <si>
    <t>PC 122213203100</t>
  </si>
  <si>
    <t>Supply of DELTA Cable</t>
  </si>
  <si>
    <t>PRJ-22017</t>
  </si>
  <si>
    <t xml:space="preserve"> PC 122223200229</t>
  </si>
  <si>
    <t>Supply of Cable Glands</t>
  </si>
  <si>
    <t xml:space="preserve"> PC 122223200319</t>
  </si>
  <si>
    <t>`</t>
  </si>
  <si>
    <t>PRJ-22019</t>
  </si>
  <si>
    <t>PRJ-22020</t>
  </si>
  <si>
    <t>PRJ-22021</t>
  </si>
  <si>
    <t>Marzoli</t>
  </si>
  <si>
    <t>Flowserve Site Service</t>
  </si>
  <si>
    <t>PRJ-21185</t>
  </si>
  <si>
    <t>Flowserve Inhouse Drawing</t>
  </si>
  <si>
    <t>Planned Delivery schedule</t>
  </si>
  <si>
    <t>PRJ-21016</t>
  </si>
  <si>
    <t>188193+188194+189168+189195+191281+189482</t>
  </si>
  <si>
    <t>TATA HRRL FRP CT_21016</t>
  </si>
  <si>
    <t>Dec-21</t>
  </si>
  <si>
    <t>Materials in SA facility, waiting for DC from FS.</t>
  </si>
  <si>
    <t>Takraf</t>
  </si>
  <si>
    <t>PRJ-21084</t>
  </si>
  <si>
    <t>691020214500424370</t>
  </si>
  <si>
    <t>Suez Projects</t>
  </si>
  <si>
    <t>DVG Site Installtion</t>
  </si>
  <si>
    <t>July-22</t>
  </si>
  <si>
    <t xml:space="preserve">Work on progress. </t>
  </si>
  <si>
    <t>PRJ-21101</t>
  </si>
  <si>
    <t>Turbine Governor Panel</t>
  </si>
  <si>
    <t>Feb-22</t>
  </si>
  <si>
    <t xml:space="preserve">Waiting for approval drawing from FS. </t>
  </si>
  <si>
    <t>Suez</t>
  </si>
  <si>
    <t>PRJ-21120</t>
  </si>
  <si>
    <t>3710031550 &amp; 3710031551 &amp; 3710031552</t>
  </si>
  <si>
    <t>POC 781 &amp; 782</t>
  </si>
  <si>
    <t xml:space="preserve">Waiting for Manufaturing schedule from cords. </t>
  </si>
  <si>
    <t>PRJ-21121</t>
  </si>
  <si>
    <t>3710031563 &amp; 3710031565 &amp; 3710031569 &amp; 3710031570 &amp; 3710031571 &amp; 3710031568</t>
  </si>
  <si>
    <t>POC 784, 785, 787, 781 &amp; 782</t>
  </si>
  <si>
    <t>PRJ-21124</t>
  </si>
  <si>
    <t>DWEIPL/PO/351-43</t>
  </si>
  <si>
    <t>GETP SKID PHASE2</t>
  </si>
  <si>
    <t xml:space="preserve">Wesmec item not yet approved from suez, JB not approval and availablity pending. Balance items are availabe in our office. Thermocable ready in factory. </t>
  </si>
  <si>
    <t>PRJ-21130</t>
  </si>
  <si>
    <t>TAKRAF</t>
  </si>
  <si>
    <t>TINDC779 - LNV TECHNOLOGY PVT</t>
  </si>
  <si>
    <t>Waiting for Manufaturing schedule from cords.</t>
  </si>
  <si>
    <t xml:space="preserve">Suez Projects </t>
  </si>
  <si>
    <t>PRJ-21133</t>
  </si>
  <si>
    <t>691020214500443000</t>
  </si>
  <si>
    <t>Udupi &amp; Puttur UPS</t>
  </si>
  <si>
    <t>Need to submit the docs to suez.</t>
  </si>
  <si>
    <t>PRJ-21139</t>
  </si>
  <si>
    <t>Copper Bus Bar</t>
  </si>
  <si>
    <t>PO sent to Accube Monday delivery. Partially Dispatch</t>
  </si>
  <si>
    <t>PRJ-21146</t>
  </si>
  <si>
    <t>PRJ-21154</t>
  </si>
  <si>
    <t xml:space="preserve"> Hawke Cable Glands</t>
  </si>
  <si>
    <t>PO sent to vendor. Need to clarify the technical points with sekar.</t>
  </si>
  <si>
    <t>PRJ-21156</t>
  </si>
  <si>
    <t>Petronash SIL2 PLC</t>
  </si>
  <si>
    <t>PRJ-21157</t>
  </si>
  <si>
    <t>4P Cable Thermocable</t>
  </si>
  <si>
    <t>PO need to  Send. Approval in FS side.Price revised need send ammented PO. Delivery April 2022.</t>
  </si>
  <si>
    <t>PRJ-21160</t>
  </si>
  <si>
    <t>691020214500442797</t>
  </si>
  <si>
    <t>Suez projects</t>
  </si>
  <si>
    <t>CBE Installation</t>
  </si>
  <si>
    <t>PRJ-21161</t>
  </si>
  <si>
    <t>Tata NF Cable Glands &amp; Lugs</t>
  </si>
  <si>
    <t xml:space="preserve">Lapp Gland PO done, Lugs PO need to done. </t>
  </si>
  <si>
    <t>PRJ-21162</t>
  </si>
  <si>
    <t>4400008612 Rev No.0</t>
  </si>
  <si>
    <t>Solar Robot</t>
  </si>
  <si>
    <t>PRJ-21166</t>
  </si>
  <si>
    <t>TECNICAS REUNIDAS 2T Cable</t>
  </si>
  <si>
    <t>Need to place the PO to vendor, approval in FS side.</t>
  </si>
  <si>
    <t>PRJ-21167</t>
  </si>
  <si>
    <t xml:space="preserve">Suez </t>
  </si>
  <si>
    <t>Besix cables</t>
  </si>
  <si>
    <t>PRJ-21172</t>
  </si>
  <si>
    <t xml:space="preserve"> WTS - TSK Skid E&amp;I BOM</t>
  </si>
  <si>
    <t>PRJ-21173</t>
  </si>
  <si>
    <t>Petronash Arabia</t>
  </si>
  <si>
    <t>Transformer</t>
  </si>
  <si>
    <t>PRJ-21174</t>
  </si>
  <si>
    <t xml:space="preserve"> Roving Pilot Project</t>
  </si>
  <si>
    <t>PRJ-21178</t>
  </si>
  <si>
    <t>Tata HRRL additional (IOCL)</t>
  </si>
  <si>
    <t>PRJ-21180</t>
  </si>
  <si>
    <t>Marzoli RWR Panel</t>
  </si>
  <si>
    <t>PO NO Yet to receive</t>
  </si>
  <si>
    <t>PRJ-21183</t>
  </si>
  <si>
    <t>Marzoli Roving Harness</t>
  </si>
  <si>
    <t>FS VDPL</t>
  </si>
  <si>
    <t>PRJ-21188</t>
  </si>
  <si>
    <t>FS Batt Cables</t>
  </si>
  <si>
    <t>PRJ-21189</t>
  </si>
  <si>
    <t>FS HPCL Cables</t>
  </si>
  <si>
    <t>PRJ-21190</t>
  </si>
  <si>
    <t>FS Earth Flat</t>
  </si>
  <si>
    <t>PRJ-21191</t>
  </si>
  <si>
    <t>Suez Japan Tabacco - Airheader</t>
  </si>
  <si>
    <t>PRJ-21192</t>
  </si>
  <si>
    <t>Suez Japan Tobacco Skid</t>
  </si>
  <si>
    <t>PRJ-21193</t>
  </si>
  <si>
    <t>FS Cable Gland - CMP 3 Nos</t>
  </si>
  <si>
    <t>PO Placed, OA Done Delivery schedule given by Stahl 14/01/21</t>
  </si>
  <si>
    <t>PRJ-21194</t>
  </si>
  <si>
    <t>FS US Blanking Plug</t>
  </si>
  <si>
    <t>Need to get approval from customer then need to place PO</t>
  </si>
  <si>
    <t>PRJ-21198</t>
  </si>
  <si>
    <t>FS Enserv Thermocables</t>
  </si>
  <si>
    <t>Need to get ammended PO from client and approved TDS from customer.</t>
  </si>
  <si>
    <t>PRJ-21199</t>
  </si>
  <si>
    <t>FS CMP Gland &amp; Copper Busbar</t>
  </si>
  <si>
    <t>Busbar delivered, Need to place the PO cable gland to Stahl.</t>
  </si>
  <si>
    <t>PRJ-21200</t>
  </si>
  <si>
    <t>Suez Saudisnacks Cables</t>
  </si>
  <si>
    <t>PO placed to cords and waiting for POD. Need to place the PO to DK for earthing cables.</t>
  </si>
  <si>
    <t>PRJ-21205</t>
  </si>
  <si>
    <t>PC 122213900748</t>
  </si>
  <si>
    <t>Cable Glands _ Bangalore</t>
  </si>
  <si>
    <t>PO need to place</t>
  </si>
  <si>
    <t>PRJ-21206</t>
  </si>
  <si>
    <t>PRJ-21207</t>
  </si>
  <si>
    <t xml:space="preserve"> R&amp;B AFR &amp; GI Fittings</t>
  </si>
  <si>
    <t>PRJ-21210</t>
  </si>
  <si>
    <t>Nandasan Cable Trays FRP</t>
  </si>
  <si>
    <t>PRJ-21211</t>
  </si>
  <si>
    <t>CTS BOP</t>
  </si>
  <si>
    <t>PRJ-21212</t>
  </si>
  <si>
    <t>TT-PO-21085</t>
  </si>
  <si>
    <t>Techtron Rsthal 8146/5 Control box comb</t>
  </si>
  <si>
    <t>PO Yet to receive</t>
  </si>
  <si>
    <t>Petronash Internal Components WP.20.019</t>
  </si>
  <si>
    <t>PRJ-21214</t>
  </si>
  <si>
    <t>FS Battery Charger Service - Naren</t>
  </si>
  <si>
    <t>Need to Invoice</t>
  </si>
  <si>
    <t>PRJ-21217</t>
  </si>
  <si>
    <t>Suez WTS Nandasan Ground Ring</t>
  </si>
  <si>
    <t>PRJ-21218</t>
  </si>
  <si>
    <t>Not yet Handoff</t>
  </si>
  <si>
    <t>Marzoli Carding</t>
  </si>
  <si>
    <t>PRJ-21219</t>
  </si>
  <si>
    <t>Marzoli MTT</t>
  </si>
  <si>
    <t>PRJ-21220</t>
  </si>
  <si>
    <t>19898-Z-0063-11 Rev: 1</t>
  </si>
  <si>
    <t>Petrotechna NPC _CDU</t>
  </si>
  <si>
    <t>PRJ-21221</t>
  </si>
  <si>
    <t>Japan Tabacco Tags &amp; Ferrules</t>
  </si>
  <si>
    <t>PRJ-21223</t>
  </si>
  <si>
    <t>CTS BOP // Fittings, Earthing &amp; Airheader</t>
  </si>
  <si>
    <t>PRJ-21224</t>
  </si>
  <si>
    <t>Saudisnacks BOP</t>
  </si>
  <si>
    <t>PRJ-21225</t>
  </si>
  <si>
    <t>Mail Confirmation, yet to receive the PO</t>
  </si>
  <si>
    <t>Alstom AC Drive</t>
  </si>
  <si>
    <t>Petrotechna 2020 bal</t>
  </si>
  <si>
    <t>PRJ-22022</t>
  </si>
  <si>
    <t>PRJ-22024</t>
  </si>
  <si>
    <t>PRJ-22031</t>
  </si>
  <si>
    <t>PRJ-22029</t>
  </si>
  <si>
    <t>PRJ-22030</t>
  </si>
  <si>
    <t>PRJ-22027</t>
  </si>
  <si>
    <t>PRJ-22028</t>
  </si>
  <si>
    <r>
      <rPr>
        <b/>
        <strike/>
        <sz val="12"/>
        <color rgb="FFFF0000"/>
        <rFont val="Calibri"/>
        <family val="2"/>
        <scheme val="minor"/>
      </rPr>
      <t xml:space="preserve">200836 </t>
    </r>
    <r>
      <rPr>
        <b/>
        <sz val="12"/>
        <color rgb="FFFF0000"/>
        <rFont val="Calibri"/>
        <family val="2"/>
        <scheme val="minor"/>
      </rPr>
      <t xml:space="preserve">205689 </t>
    </r>
  </si>
  <si>
    <t>IOCL Site Visit</t>
  </si>
  <si>
    <t>FS_Wiring</t>
  </si>
  <si>
    <t>Carding</t>
  </si>
  <si>
    <t>MTT</t>
  </si>
  <si>
    <t>Roving Harness</t>
  </si>
  <si>
    <t>FS Wiring</t>
  </si>
  <si>
    <t>RIL Cable Glands</t>
  </si>
  <si>
    <t>PC 122223200341</t>
  </si>
  <si>
    <t>Supply of Glands</t>
  </si>
  <si>
    <t>PRJ-22023</t>
  </si>
  <si>
    <t>PC 122223200349</t>
  </si>
  <si>
    <t>Sandoz RO Skid</t>
  </si>
  <si>
    <t>PRJ-22025</t>
  </si>
  <si>
    <t>Supply of Cable Trays</t>
  </si>
  <si>
    <t>PRJ-22026</t>
  </si>
  <si>
    <t>PC 122223200398</t>
  </si>
  <si>
    <t>Supply of Proximity Switches</t>
  </si>
  <si>
    <t>PC 122223600233</t>
  </si>
  <si>
    <t>Supply of Cables</t>
  </si>
  <si>
    <t>PC 122223200369</t>
  </si>
  <si>
    <t>Supply of Electrical Accessories</t>
  </si>
  <si>
    <t>BM2165015 // BM2165020 // BM21105003 //Earth Bus bar</t>
  </si>
  <si>
    <t xml:space="preserve">RFQ - WP.19.029 - PR - 6000022295 - CABLES </t>
  </si>
  <si>
    <t>PRJ-22032</t>
  </si>
  <si>
    <t>PC 122223200442</t>
  </si>
  <si>
    <t>Supply of Din Rail, glands, Surge arrester, On-OFF controllers</t>
  </si>
  <si>
    <t>PRJ-22033</t>
  </si>
  <si>
    <t>BM2165016 // Cable Glands // RIL</t>
  </si>
  <si>
    <t>PR - 6000020250 - CABLE GLANDS</t>
  </si>
  <si>
    <t xml:space="preserve"> Cable Tray // Flowserve Standard SS Cable Tray</t>
  </si>
  <si>
    <t>Cable Tray // Flowserve Standard SS Cable Tray</t>
  </si>
  <si>
    <t>Cable Tray //  Flowserve Standard</t>
  </si>
  <si>
    <t>Tecnicas 1T Cable</t>
  </si>
  <si>
    <t>Vantrunk Clamp - Cable Tray</t>
  </si>
  <si>
    <t>CGY</t>
  </si>
  <si>
    <t>OH</t>
  </si>
  <si>
    <r>
      <rPr>
        <strike/>
        <sz val="11"/>
        <color theme="1"/>
        <rFont val="Calibri"/>
        <family val="2"/>
        <scheme val="minor"/>
      </rPr>
      <t xml:space="preserve">200836 </t>
    </r>
    <r>
      <rPr>
        <sz val="11"/>
        <color theme="1"/>
        <rFont val="Calibri"/>
        <family val="2"/>
        <scheme val="minor"/>
      </rPr>
      <t xml:space="preserve">205689 </t>
    </r>
  </si>
  <si>
    <t>By Email</t>
  </si>
  <si>
    <t xml:space="preserve">PDB for OHT - 40 Nos </t>
  </si>
  <si>
    <t>FS Additional Service Accessories - Supply</t>
  </si>
  <si>
    <t>FS Site Works (Service) // Warranty</t>
  </si>
  <si>
    <t>PRJ-22034</t>
  </si>
  <si>
    <t>Roving Machine - 24 Nos</t>
  </si>
  <si>
    <t>Last Yr</t>
  </si>
  <si>
    <t>Grasim Vilayat Gland (Ex Protecta)</t>
  </si>
  <si>
    <t>PRJ-22036</t>
  </si>
  <si>
    <t>PRJ-22035</t>
  </si>
  <si>
    <t>PRJ-22037</t>
  </si>
  <si>
    <t>PC 122223200561</t>
  </si>
  <si>
    <t>Glands</t>
  </si>
  <si>
    <t>PC 122223600353</t>
  </si>
  <si>
    <t>Cables</t>
  </si>
  <si>
    <t>Earth Busbatr - 300mm (5 Nos)</t>
  </si>
  <si>
    <t>Cable Tray //  BM2165023 // RIL  // TR // 22027 - Indiana</t>
  </si>
  <si>
    <t>FRP Cable Tray 50mm</t>
  </si>
  <si>
    <t>SS Cable Trays 150mm - Local</t>
  </si>
  <si>
    <t>SS Cable Trays 100mm  Local</t>
  </si>
  <si>
    <t>SS Cable Trays 50mm  Local</t>
  </si>
  <si>
    <t>HDG Cable tray 50mm - Local</t>
  </si>
  <si>
    <t>Cable Trays 50, 75 &amp; 100mm - Indiana</t>
  </si>
  <si>
    <t>RWR Panel</t>
  </si>
  <si>
    <t>PRJ-22038</t>
  </si>
  <si>
    <t>PRJ-22039</t>
  </si>
  <si>
    <t>PRJ-22040</t>
  </si>
  <si>
    <t>PRJ-22041</t>
  </si>
  <si>
    <t>PRJ-22042</t>
  </si>
  <si>
    <t>PRJ-22043</t>
  </si>
  <si>
    <t>PRJ-22044</t>
  </si>
  <si>
    <t>PRJ-22045</t>
  </si>
  <si>
    <t>DL2165010//IOCL//1P*1.5 Cables</t>
  </si>
  <si>
    <t>PC 122223200582</t>
  </si>
  <si>
    <t>Proximty Switch</t>
  </si>
  <si>
    <t>PC 122223200595</t>
  </si>
  <si>
    <t>Supply Glands</t>
  </si>
  <si>
    <t>DVG LV Cables</t>
  </si>
  <si>
    <t>PRJ-22046</t>
  </si>
  <si>
    <t>PRJ-22047</t>
  </si>
  <si>
    <t>PRJ-22048</t>
  </si>
  <si>
    <t>PC 122223200602</t>
  </si>
  <si>
    <t>WP 21.026 - PR-6000022447</t>
  </si>
  <si>
    <t>PR-6000019414 - Archirodon Cables</t>
  </si>
  <si>
    <t>FlowServe</t>
  </si>
  <si>
    <t>Rework and LHP Motor</t>
  </si>
  <si>
    <t>Cable Trays &amp; Tata HRRL Additional Cable</t>
  </si>
  <si>
    <t>PRJ-22049</t>
  </si>
  <si>
    <t>PRJ-22050</t>
  </si>
  <si>
    <t>PRJ-22051</t>
  </si>
  <si>
    <t>PRJ-22052</t>
  </si>
  <si>
    <t>PRJ-22053</t>
  </si>
  <si>
    <t>PRJ-22054</t>
  </si>
  <si>
    <t>SUEZ WTS - Infosys Pune</t>
  </si>
  <si>
    <t>PRJ-22055</t>
  </si>
  <si>
    <t>PRJ-22056</t>
  </si>
  <si>
    <t>Suez WTS</t>
  </si>
  <si>
    <t>FT 60 - 8 Panels</t>
  </si>
  <si>
    <t>PC 122223600516</t>
  </si>
  <si>
    <t>PRJ-22057</t>
  </si>
  <si>
    <t>Hydac// Supply of cables</t>
  </si>
  <si>
    <t>Hydac// Supply of Gland</t>
  </si>
  <si>
    <t>18-03.2022</t>
  </si>
  <si>
    <t>14.03.2022</t>
  </si>
  <si>
    <t>PC122223200684</t>
  </si>
  <si>
    <t>17.03.2022</t>
  </si>
  <si>
    <t>GJ2085003 &amp; L&amp;T</t>
  </si>
  <si>
    <t>Oberoi Cables</t>
  </si>
  <si>
    <t>13.03.2022</t>
  </si>
  <si>
    <t>Oberoi Accessories</t>
  </si>
  <si>
    <t>15.03.2022</t>
  </si>
  <si>
    <t>Suez Service</t>
  </si>
  <si>
    <t>Supply of Switch Box</t>
  </si>
  <si>
    <t>691020224500462000</t>
  </si>
  <si>
    <t xml:space="preserve"> Pressure Switch</t>
  </si>
  <si>
    <t>Infosys Pune</t>
  </si>
  <si>
    <t>8.02.2022</t>
  </si>
  <si>
    <t>691020224500461000</t>
  </si>
  <si>
    <t>PRJ-22058</t>
  </si>
  <si>
    <t>PRJ-22059</t>
  </si>
  <si>
    <t>TECHTRON</t>
  </si>
  <si>
    <t>Emerson Light Metals</t>
  </si>
  <si>
    <t>CTS Short Fall Cables</t>
  </si>
  <si>
    <t>PRJ-22061</t>
  </si>
  <si>
    <t>PRJ-22060</t>
  </si>
  <si>
    <t>FRP Cable Tray - TATA NF</t>
  </si>
  <si>
    <t>PRJ-22062</t>
  </si>
  <si>
    <t xml:space="preserve">HDG Cable tray </t>
  </si>
  <si>
    <t>PRJ-22063</t>
  </si>
  <si>
    <t>PRJ-22064</t>
  </si>
  <si>
    <t>PRJ-22065</t>
  </si>
  <si>
    <t>PRJ-22066</t>
  </si>
  <si>
    <t>PRJ-22067</t>
  </si>
  <si>
    <t>PRJ-22068</t>
  </si>
  <si>
    <t>Eathing Cables</t>
  </si>
  <si>
    <t>PRJ-22069</t>
  </si>
  <si>
    <t>PRJ-22070</t>
  </si>
  <si>
    <t>Radix Loop Indicator</t>
  </si>
  <si>
    <t>PRJ-22071</t>
  </si>
  <si>
    <t>Gland Adapter</t>
  </si>
  <si>
    <t>PRJ-22072</t>
  </si>
  <si>
    <t>IOCL Earthing Cable 6 Sq mm</t>
  </si>
  <si>
    <t>IOCL 2T Cable</t>
  </si>
  <si>
    <t>PRJ-22073</t>
  </si>
  <si>
    <t>Hydac</t>
  </si>
  <si>
    <t>Gland</t>
  </si>
  <si>
    <t>PC 122223200769</t>
  </si>
  <si>
    <t>LINDE Earthing Cable</t>
  </si>
  <si>
    <t>BEKA Loop Indicator - 21 Nos</t>
  </si>
  <si>
    <t>DVG - UPS</t>
  </si>
  <si>
    <t>PRJ-22079</t>
  </si>
  <si>
    <t>PC 122223200733</t>
  </si>
  <si>
    <t>PRJ-22074</t>
  </si>
  <si>
    <t>PRJ-22075</t>
  </si>
  <si>
    <t>PRJ-22076</t>
  </si>
  <si>
    <t>PRJ-22077</t>
  </si>
  <si>
    <t>PRJ-22078</t>
  </si>
  <si>
    <t>Supply of Earthing lugs</t>
  </si>
  <si>
    <t>Alstom</t>
  </si>
  <si>
    <t>PO 691020224500464000</t>
  </si>
  <si>
    <t>Flowserve US</t>
  </si>
  <si>
    <t>JSPL JB</t>
  </si>
  <si>
    <t>PRJ-22080</t>
  </si>
  <si>
    <t>PRJ-22081</t>
  </si>
  <si>
    <t>PRJ-22082</t>
  </si>
  <si>
    <t>PRJ-22083</t>
  </si>
  <si>
    <t>PRJ-22084</t>
  </si>
  <si>
    <t>PRJ-22085</t>
  </si>
  <si>
    <t>PRJ-22086</t>
  </si>
  <si>
    <t>PRJ-22087</t>
  </si>
  <si>
    <t>PRJ-22088</t>
  </si>
  <si>
    <t>PRJ-22089</t>
  </si>
  <si>
    <t>PRJ-22090</t>
  </si>
  <si>
    <t xml:space="preserve">Earth Busbatr - 300mm </t>
  </si>
  <si>
    <t>Cable Tray</t>
  </si>
  <si>
    <t>Cable - 1P</t>
  </si>
  <si>
    <t>Supply and Installation of HV disconnecctor</t>
  </si>
  <si>
    <t>Sandoz JB</t>
  </si>
  <si>
    <t>Petroweld</t>
  </si>
  <si>
    <t>Service</t>
  </si>
  <si>
    <t>Cable Tray - Indiana</t>
  </si>
  <si>
    <t>Cable Tray- Indiana</t>
  </si>
  <si>
    <t>Supply of Instrument Fittings</t>
  </si>
  <si>
    <t>PO 691020224500463121</t>
  </si>
  <si>
    <t>PRJ-22091</t>
  </si>
  <si>
    <t>PRJ-22092</t>
  </si>
  <si>
    <t>IOCL Earthing Cable</t>
  </si>
  <si>
    <t>TT-PO-22025</t>
  </si>
  <si>
    <t>Schneider Accessories</t>
  </si>
  <si>
    <t>SA JB ROLLING STOCK</t>
  </si>
  <si>
    <t>PRJ-22093</t>
  </si>
  <si>
    <t>FRP Cable Tray 50mm, 100 mm</t>
  </si>
  <si>
    <t>FRP Cable Tray and 1P Cable</t>
  </si>
  <si>
    <t xml:space="preserve">Alstom </t>
  </si>
  <si>
    <t>TT-PO-22030</t>
  </si>
  <si>
    <t>Limit Switch</t>
  </si>
  <si>
    <t>VFD Repet order</t>
  </si>
  <si>
    <t>CD1 CD2 changes</t>
  </si>
  <si>
    <t>19885-0063-08</t>
  </si>
  <si>
    <t>PEPSICO - CABLES</t>
  </si>
  <si>
    <t>PRJ-22094</t>
  </si>
  <si>
    <t>PRJ-22095</t>
  </si>
  <si>
    <t>PRJ-22096</t>
  </si>
  <si>
    <t>PRJ-22097</t>
  </si>
  <si>
    <t>PRJ-22098</t>
  </si>
  <si>
    <t>PRJ-22099</t>
  </si>
  <si>
    <t>PRJ-22100</t>
  </si>
  <si>
    <t>PRJ-22101</t>
  </si>
  <si>
    <t>JSPL Earthing Material</t>
  </si>
  <si>
    <t>Supply of Tag Plate</t>
  </si>
  <si>
    <t>SS Cable Tray</t>
  </si>
  <si>
    <t>PRJ-22102</t>
  </si>
  <si>
    <t>PRJ-22103</t>
  </si>
  <si>
    <t>Cable Stock</t>
  </si>
  <si>
    <t>SA Internal Accessories</t>
  </si>
  <si>
    <t>Flow serve</t>
  </si>
  <si>
    <t>Phoenix TB</t>
  </si>
  <si>
    <t xml:space="preserve">Puthur DB </t>
  </si>
  <si>
    <t>PRJ-22105</t>
  </si>
  <si>
    <t>SARTA - 1 Onsite Commissioning</t>
  </si>
  <si>
    <t>SR 102-2</t>
  </si>
  <si>
    <t>PRJ-22104</t>
  </si>
  <si>
    <t>PRJ-22106</t>
  </si>
  <si>
    <t>PRJ-22107</t>
  </si>
  <si>
    <t>PRJ-22108</t>
  </si>
  <si>
    <t>PRJ-22109</t>
  </si>
  <si>
    <t>PRJ-22110</t>
  </si>
  <si>
    <t>PRJ-22111</t>
  </si>
  <si>
    <t>PRJ-22112</t>
  </si>
  <si>
    <t>PRJ-22113</t>
  </si>
  <si>
    <t>PO 691020224500466000</t>
  </si>
  <si>
    <t>Sypply of Cable Gland</t>
  </si>
  <si>
    <t>Sypply of Cable Tray</t>
  </si>
  <si>
    <t>Supply of TB</t>
  </si>
  <si>
    <t>Flow Serve</t>
  </si>
  <si>
    <t>Supply of Copper Bus bar</t>
  </si>
  <si>
    <t>Supply of katlax Cables</t>
  </si>
  <si>
    <t>PC 122223600859</t>
  </si>
  <si>
    <t>Supply of Heater and Thermostat</t>
  </si>
  <si>
    <t>Supply of Earthing Cables</t>
  </si>
  <si>
    <t>Solaar Robot FAT</t>
  </si>
  <si>
    <t>TSK-LS &amp; LI</t>
  </si>
  <si>
    <t>PRJ-22114</t>
  </si>
  <si>
    <t>PRJ-22115</t>
  </si>
  <si>
    <t>PRJ-22116</t>
  </si>
  <si>
    <t>PRJ-22117</t>
  </si>
  <si>
    <t>PRJ-22118</t>
  </si>
  <si>
    <t>Supply of ABB and Schneider Internal</t>
  </si>
  <si>
    <t>Barcode Scanner</t>
  </si>
  <si>
    <t>PC 4100738179</t>
  </si>
  <si>
    <t>PRJ-22119</t>
  </si>
  <si>
    <t>PRJ-22120</t>
  </si>
  <si>
    <t>Supply of Glue</t>
  </si>
  <si>
    <t>PRJ-22121</t>
  </si>
  <si>
    <t>Supply of Earthing Sandoz</t>
  </si>
  <si>
    <t>PC 122223201143</t>
  </si>
  <si>
    <t>Sandoz - Instrument Fittings &amp; Auto Accessories</t>
  </si>
  <si>
    <t>PRJ-22122</t>
  </si>
  <si>
    <t>PRJ-22123</t>
  </si>
  <si>
    <t>PRJ-21165</t>
  </si>
  <si>
    <t>Toyo PRV</t>
  </si>
  <si>
    <t>PRJ-22124</t>
  </si>
  <si>
    <t>PEPSICO - RO Skid E&amp;I BOM &amp; Instrument Fittings</t>
  </si>
  <si>
    <t xml:space="preserve">Supply of JSPL Instrument Fittings &amp; Auto Valve </t>
  </si>
  <si>
    <t>Supply of Indiana CE Marking Cable Tray</t>
  </si>
  <si>
    <t>Note</t>
  </si>
  <si>
    <t>PRJ-22125</t>
  </si>
  <si>
    <t>Supply of HDG Cable trays</t>
  </si>
  <si>
    <t>Supply of SS Cable trays</t>
  </si>
  <si>
    <t>Supply of Earth Busbar</t>
  </si>
  <si>
    <t>PRJ-22126</t>
  </si>
  <si>
    <t>PRJ-22127</t>
  </si>
  <si>
    <t>PRJ-22128</t>
  </si>
  <si>
    <t>PRJ-22129</t>
  </si>
  <si>
    <t>PRJ-22130</t>
  </si>
  <si>
    <t>PRJ-22131</t>
  </si>
  <si>
    <t>ALSTOM</t>
  </si>
  <si>
    <t>Milky Mist</t>
  </si>
  <si>
    <t>Hensel JB</t>
  </si>
  <si>
    <t>Bunge RO Skid</t>
  </si>
  <si>
    <t>PRJ-22132</t>
  </si>
  <si>
    <t>PRJ-22133</t>
  </si>
  <si>
    <t>PRJ-22134</t>
  </si>
  <si>
    <t>Supply of Pressure Transmitter</t>
  </si>
  <si>
    <t>Cable Gland</t>
  </si>
  <si>
    <t>PC 1222223201396</t>
  </si>
  <si>
    <t>PRJ-22135</t>
  </si>
  <si>
    <t>Offer for inspection / woodside</t>
  </si>
  <si>
    <t xml:space="preserve">Supply of Lemo Connector </t>
  </si>
  <si>
    <t>Supply of SFM Meeting Board</t>
  </si>
  <si>
    <t>USD PO VALUE</t>
  </si>
  <si>
    <t>USD CONVERTION RATE</t>
  </si>
  <si>
    <t>1. Need to Cancel 2 FS Trays and need to update the revised PO No</t>
  </si>
  <si>
    <t>PRJ-22136</t>
  </si>
  <si>
    <t>PRJ-22137</t>
  </si>
  <si>
    <t>PRJ-22138</t>
  </si>
  <si>
    <t>PRJ-22139</t>
  </si>
  <si>
    <t>PRJ-22140</t>
  </si>
  <si>
    <t>PRJ-22141</t>
  </si>
  <si>
    <t>PRJ-22142</t>
  </si>
  <si>
    <t>PRJ-22143</t>
  </si>
  <si>
    <t>PRJ-22144</t>
  </si>
  <si>
    <t>PRJ-22145</t>
  </si>
  <si>
    <t>PRJ-22146</t>
  </si>
  <si>
    <t>PRJ-22147</t>
  </si>
  <si>
    <t>PRJ-22148</t>
  </si>
  <si>
    <t>PRJ-22149</t>
  </si>
  <si>
    <t>PEPSICO MATHURA Pressure Switch</t>
  </si>
  <si>
    <t>Roving Machine FT 6 Harness – 16 Nos</t>
  </si>
  <si>
    <t>Techtron Siemens Items</t>
  </si>
  <si>
    <t>Roving Machine FT 6 Panel Cum Harness – 100 Nos</t>
  </si>
  <si>
    <t xml:space="preserve">Level Gauges for TSL - Jamshedpur Project </t>
  </si>
  <si>
    <t>Earth Flat</t>
  </si>
  <si>
    <t xml:space="preserve"> Cable Tray // 50 mm // Indiana</t>
  </si>
  <si>
    <t xml:space="preserve"> Cable Tray // 1000 mm // Indiana</t>
  </si>
  <si>
    <t xml:space="preserve"> Cable Tray // FS Standard</t>
  </si>
  <si>
    <t>Cable Tray // FS Standard</t>
  </si>
  <si>
    <t>Cable // DL21115001 // IOCL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</si>
</sst>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6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trike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8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</cellStyleXfs>
  <cellXfs count="304">
    <xf numFmtId="0" fontId="0" fillId="0" borderId="0" xfId="0"/>
    <xf numFmtId="0" fontId="52" fillId="3" borderId="1" xfId="5" applyFont="1" applyFill="1" applyBorder="1" applyAlignment="1">
      <alignment horizontal="center" vertical="center"/>
    </xf>
    <xf numFmtId="0" fontId="47" fillId="0" borderId="1" xfId="5" applyBorder="1" applyAlignment="1">
      <alignment horizontal="center" vertical="center"/>
    </xf>
    <xf numFmtId="14" fontId="47" fillId="0" borderId="1" xfId="5" applyNumberFormat="1" applyBorder="1" applyAlignment="1">
      <alignment horizontal="center" vertical="center"/>
    </xf>
    <xf numFmtId="2" fontId="47" fillId="0" borderId="1" xfId="5" applyNumberFormat="1" applyBorder="1" applyAlignment="1">
      <alignment horizontal="right" vertical="center"/>
    </xf>
    <xf numFmtId="2" fontId="47" fillId="0" borderId="0" xfId="5" applyNumberFormat="1" applyAlignment="1">
      <alignment horizontal="right" vertical="center"/>
    </xf>
    <xf numFmtId="0" fontId="53" fillId="0" borderId="0" xfId="5" applyFont="1"/>
    <xf numFmtId="43" fontId="53" fillId="0" borderId="0" xfId="5" applyNumberFormat="1" applyFont="1"/>
    <xf numFmtId="0" fontId="54" fillId="3" borderId="1" xfId="5" applyFont="1" applyFill="1" applyBorder="1" applyAlignment="1">
      <alignment horizontal="center" vertical="center"/>
    </xf>
    <xf numFmtId="0" fontId="54" fillId="3" borderId="1" xfId="5" applyFont="1" applyFill="1" applyBorder="1" applyAlignment="1">
      <alignment horizontal="center" vertical="center" wrapText="1"/>
    </xf>
    <xf numFmtId="0" fontId="54" fillId="0" borderId="1" xfId="5" applyFont="1" applyFill="1" applyBorder="1" applyAlignment="1">
      <alignment horizontal="center" vertical="center"/>
    </xf>
    <xf numFmtId="0" fontId="54" fillId="0" borderId="1" xfId="5" applyFont="1" applyFill="1" applyBorder="1" applyAlignment="1">
      <alignment horizontal="center" vertical="center" wrapText="1"/>
    </xf>
    <xf numFmtId="0" fontId="53" fillId="0" borderId="0" xfId="5" applyFont="1" applyFill="1"/>
    <xf numFmtId="0" fontId="53" fillId="0" borderId="1" xfId="5" applyFont="1" applyBorder="1" applyAlignment="1">
      <alignment horizontal="center" vertical="center"/>
    </xf>
    <xf numFmtId="0" fontId="53" fillId="0" borderId="1" xfId="5" applyFont="1" applyBorder="1" applyAlignment="1">
      <alignment horizontal="center" vertical="center" wrapText="1"/>
    </xf>
    <xf numFmtId="14" fontId="53" fillId="0" borderId="1" xfId="6" quotePrefix="1" applyNumberFormat="1" applyFont="1" applyBorder="1" applyAlignment="1">
      <alignment horizontal="center" vertical="center"/>
    </xf>
    <xf numFmtId="0" fontId="53" fillId="0" borderId="1" xfId="5" quotePrefix="1" applyFont="1" applyBorder="1" applyAlignment="1">
      <alignment horizontal="center" vertical="center"/>
    </xf>
    <xf numFmtId="0" fontId="53" fillId="0" borderId="1" xfId="5" applyFont="1" applyBorder="1"/>
    <xf numFmtId="17" fontId="53" fillId="0" borderId="1" xfId="6" quotePrefix="1" applyNumberFormat="1" applyFont="1" applyBorder="1" applyAlignment="1">
      <alignment horizontal="center" vertical="center"/>
    </xf>
    <xf numFmtId="0" fontId="53" fillId="0" borderId="1" xfId="5" quotePrefix="1" applyFont="1" applyBorder="1" applyAlignment="1">
      <alignment horizontal="center" vertical="center" wrapText="1"/>
    </xf>
    <xf numFmtId="17" fontId="53" fillId="0" borderId="1" xfId="6" applyNumberFormat="1" applyFont="1" applyBorder="1" applyAlignment="1">
      <alignment horizontal="center" vertical="center"/>
    </xf>
    <xf numFmtId="0" fontId="53" fillId="5" borderId="1" xfId="5" applyFont="1" applyFill="1" applyBorder="1" applyAlignment="1">
      <alignment horizontal="center" vertical="center"/>
    </xf>
    <xf numFmtId="0" fontId="53" fillId="0" borderId="0" xfId="5" applyFont="1" applyAlignment="1">
      <alignment horizontal="center" vertical="center"/>
    </xf>
    <xf numFmtId="43" fontId="54" fillId="4" borderId="3" xfId="5" applyNumberFormat="1" applyFont="1" applyFill="1" applyBorder="1" applyAlignment="1">
      <alignment vertical="center"/>
    </xf>
    <xf numFmtId="0" fontId="55" fillId="2" borderId="1" xfId="5" quotePrefix="1" applyFont="1" applyFill="1" applyBorder="1" applyAlignment="1">
      <alignment horizontal="center" vertical="center" wrapText="1"/>
    </xf>
    <xf numFmtId="0" fontId="53" fillId="0" borderId="0" xfId="5" applyFont="1" applyAlignment="1">
      <alignment horizontal="center" vertical="center" wrapText="1"/>
    </xf>
    <xf numFmtId="0" fontId="53" fillId="0" borderId="0" xfId="5" applyFont="1" applyAlignment="1">
      <alignment horizontal="center" wrapText="1"/>
    </xf>
    <xf numFmtId="0" fontId="53" fillId="0" borderId="2" xfId="5" quotePrefix="1" applyFont="1" applyBorder="1" applyAlignment="1">
      <alignment horizontal="center" vertical="center"/>
    </xf>
    <xf numFmtId="2" fontId="53" fillId="0" borderId="0" xfId="5" applyNumberFormat="1" applyFont="1" applyAlignment="1">
      <alignment horizontal="right"/>
    </xf>
    <xf numFmtId="2" fontId="54" fillId="3" borderId="1" xfId="5" applyNumberFormat="1" applyFont="1" applyFill="1" applyBorder="1" applyAlignment="1">
      <alignment horizontal="right" vertical="center"/>
    </xf>
    <xf numFmtId="2" fontId="54" fillId="0" borderId="1" xfId="5" applyNumberFormat="1" applyFont="1" applyFill="1" applyBorder="1" applyAlignment="1">
      <alignment horizontal="right" vertical="center"/>
    </xf>
    <xf numFmtId="2" fontId="53" fillId="5" borderId="1" xfId="6" applyNumberFormat="1" applyFont="1" applyFill="1" applyBorder="1" applyAlignment="1">
      <alignment horizontal="right" vertical="center"/>
    </xf>
    <xf numFmtId="2" fontId="53" fillId="0" borderId="1" xfId="6" applyNumberFormat="1" applyFont="1" applyBorder="1" applyAlignment="1">
      <alignment horizontal="right" vertical="center"/>
    </xf>
    <xf numFmtId="2" fontId="53" fillId="5" borderId="1" xfId="5" applyNumberFormat="1" applyFont="1" applyFill="1" applyBorder="1" applyAlignment="1">
      <alignment horizontal="right" vertical="center"/>
    </xf>
    <xf numFmtId="2" fontId="53" fillId="0" borderId="1" xfId="6" quotePrefix="1" applyNumberFormat="1" applyFont="1" applyBorder="1" applyAlignment="1">
      <alignment horizontal="right" vertical="center"/>
    </xf>
    <xf numFmtId="2" fontId="55" fillId="2" borderId="1" xfId="6" applyNumberFormat="1" applyFont="1" applyFill="1" applyBorder="1" applyAlignment="1">
      <alignment horizontal="right" vertical="center"/>
    </xf>
    <xf numFmtId="2" fontId="53" fillId="2" borderId="1" xfId="6" applyNumberFormat="1" applyFont="1" applyFill="1" applyBorder="1" applyAlignment="1">
      <alignment horizontal="right" vertical="center"/>
    </xf>
    <xf numFmtId="2" fontId="53" fillId="0" borderId="1" xfId="6" quotePrefix="1" applyNumberFormat="1" applyFont="1" applyFill="1" applyBorder="1" applyAlignment="1">
      <alignment horizontal="right" vertical="center"/>
    </xf>
    <xf numFmtId="2" fontId="53" fillId="0" borderId="0" xfId="5" applyNumberFormat="1" applyFont="1" applyAlignment="1">
      <alignment horizontal="right" vertical="center"/>
    </xf>
    <xf numFmtId="2" fontId="54" fillId="4" borderId="3" xfId="5" applyNumberFormat="1" applyFont="1" applyFill="1" applyBorder="1" applyAlignment="1">
      <alignment horizontal="right" vertical="center"/>
    </xf>
    <xf numFmtId="0" fontId="53" fillId="2" borderId="1" xfId="5" applyFont="1" applyFill="1" applyBorder="1" applyAlignment="1">
      <alignment horizontal="center" vertical="center"/>
    </xf>
    <xf numFmtId="0" fontId="53" fillId="2" borderId="1" xfId="5" applyFont="1" applyFill="1" applyBorder="1"/>
    <xf numFmtId="0" fontId="53" fillId="2" borderId="1" xfId="5" quotePrefix="1" applyFont="1" applyFill="1" applyBorder="1" applyAlignment="1">
      <alignment horizontal="center" vertical="center" wrapText="1"/>
    </xf>
    <xf numFmtId="0" fontId="53" fillId="2" borderId="1" xfId="5" quotePrefix="1" applyFont="1" applyFill="1" applyBorder="1" applyAlignment="1">
      <alignment horizontal="center" vertical="center"/>
    </xf>
    <xf numFmtId="17" fontId="53" fillId="2" borderId="1" xfId="6" applyNumberFormat="1" applyFont="1" applyFill="1" applyBorder="1" applyAlignment="1">
      <alignment horizontal="center" vertical="center"/>
    </xf>
    <xf numFmtId="0" fontId="53" fillId="2" borderId="0" xfId="5" applyFont="1" applyFill="1"/>
    <xf numFmtId="2" fontId="55" fillId="2" borderId="1" xfId="6" quotePrefix="1" applyNumberFormat="1" applyFont="1" applyFill="1" applyBorder="1" applyAlignment="1">
      <alignment horizontal="right" vertical="center"/>
    </xf>
    <xf numFmtId="0" fontId="57" fillId="2" borderId="0" xfId="5" applyFont="1" applyFill="1"/>
    <xf numFmtId="2" fontId="53" fillId="0" borderId="1" xfId="6" applyNumberFormat="1" applyFont="1" applyFill="1" applyBorder="1" applyAlignment="1">
      <alignment horizontal="right" vertical="center"/>
    </xf>
    <xf numFmtId="0" fontId="53" fillId="2" borderId="4" xfId="5" quotePrefix="1" applyFont="1" applyFill="1" applyBorder="1" applyAlignment="1">
      <alignment vertical="center"/>
    </xf>
    <xf numFmtId="0" fontId="53" fillId="2" borderId="5" xfId="5" quotePrefix="1" applyFont="1" applyFill="1" applyBorder="1" applyAlignment="1">
      <alignment horizontal="center" vertical="center"/>
    </xf>
    <xf numFmtId="2" fontId="53" fillId="2" borderId="5" xfId="5" quotePrefix="1" applyNumberFormat="1" applyFont="1" applyFill="1" applyBorder="1" applyAlignment="1">
      <alignment vertical="center"/>
    </xf>
    <xf numFmtId="0" fontId="53" fillId="2" borderId="5" xfId="5" quotePrefix="1" applyFont="1" applyFill="1" applyBorder="1" applyAlignment="1">
      <alignment vertical="center"/>
    </xf>
    <xf numFmtId="0" fontId="53" fillId="2" borderId="3" xfId="5" quotePrefix="1" applyFont="1" applyFill="1" applyBorder="1" applyAlignment="1">
      <alignment vertical="center"/>
    </xf>
    <xf numFmtId="0" fontId="53" fillId="0" borderId="1" xfId="5" applyFont="1" applyFill="1" applyBorder="1"/>
    <xf numFmtId="0" fontId="53" fillId="0" borderId="1" xfId="5" applyFont="1" applyFill="1" applyBorder="1" applyAlignment="1">
      <alignment horizontal="center" vertical="center"/>
    </xf>
    <xf numFmtId="0" fontId="53" fillId="0" borderId="1" xfId="5" quotePrefix="1" applyFont="1" applyFill="1" applyBorder="1" applyAlignment="1">
      <alignment horizontal="center" vertical="center" wrapText="1"/>
    </xf>
    <xf numFmtId="0" fontId="53" fillId="0" borderId="1" xfId="5" quotePrefix="1" applyFont="1" applyFill="1" applyBorder="1" applyAlignment="1">
      <alignment horizontal="center" vertical="center"/>
    </xf>
    <xf numFmtId="17" fontId="53" fillId="0" borderId="1" xfId="6" applyNumberFormat="1" applyFont="1" applyFill="1" applyBorder="1" applyAlignment="1">
      <alignment horizontal="center" vertical="center"/>
    </xf>
    <xf numFmtId="0" fontId="53" fillId="6" borderId="1" xfId="5" applyFont="1" applyFill="1" applyBorder="1" applyAlignment="1">
      <alignment horizontal="center" vertical="center"/>
    </xf>
    <xf numFmtId="0" fontId="53" fillId="6" borderId="1" xfId="5" quotePrefix="1" applyFont="1" applyFill="1" applyBorder="1" applyAlignment="1">
      <alignment horizontal="center" vertical="center" wrapText="1"/>
    </xf>
    <xf numFmtId="0" fontId="53" fillId="6" borderId="1" xfId="5" quotePrefix="1" applyFont="1" applyFill="1" applyBorder="1" applyAlignment="1">
      <alignment horizontal="center" vertical="center"/>
    </xf>
    <xf numFmtId="2" fontId="55" fillId="6" borderId="1" xfId="6" quotePrefix="1" applyNumberFormat="1" applyFont="1" applyFill="1" applyBorder="1" applyAlignment="1">
      <alignment horizontal="right" vertical="center"/>
    </xf>
    <xf numFmtId="17" fontId="53" fillId="6" borderId="1" xfId="6" applyNumberFormat="1" applyFont="1" applyFill="1" applyBorder="1" applyAlignment="1">
      <alignment horizontal="center" vertical="center"/>
    </xf>
    <xf numFmtId="0" fontId="53" fillId="6" borderId="0" xfId="5" applyFont="1" applyFill="1"/>
    <xf numFmtId="2" fontId="55" fillId="6" borderId="1" xfId="6" applyNumberFormat="1" applyFont="1" applyFill="1" applyBorder="1" applyAlignment="1">
      <alignment horizontal="right" vertical="center"/>
    </xf>
    <xf numFmtId="0" fontId="46" fillId="0" borderId="1" xfId="1" applyFont="1" applyBorder="1" applyAlignment="1">
      <alignment horizontal="center" vertical="center"/>
    </xf>
    <xf numFmtId="14" fontId="46" fillId="0" borderId="1" xfId="1" applyNumberFormat="1" applyFont="1" applyBorder="1" applyAlignment="1">
      <alignment horizontal="center" vertical="center"/>
    </xf>
    <xf numFmtId="2" fontId="46" fillId="0" borderId="1" xfId="1" applyNumberFormat="1" applyFont="1" applyBorder="1" applyAlignment="1">
      <alignment horizontal="right" vertical="center"/>
    </xf>
    <xf numFmtId="0" fontId="46" fillId="0" borderId="1" xfId="1" quotePrefix="1" applyFont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1" fontId="46" fillId="0" borderId="1" xfId="1" quotePrefix="1" applyNumberFormat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52" fillId="3" borderId="1" xfId="1" applyFont="1" applyFill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/>
    </xf>
    <xf numFmtId="0" fontId="46" fillId="6" borderId="1" xfId="5" applyNumberFormat="1" applyFont="1" applyFill="1" applyBorder="1" applyAlignment="1">
      <alignment horizontal="center" vertical="center"/>
    </xf>
    <xf numFmtId="0" fontId="46" fillId="6" borderId="1" xfId="5" applyFont="1" applyFill="1" applyBorder="1" applyAlignment="1">
      <alignment horizontal="center" vertical="center"/>
    </xf>
    <xf numFmtId="14" fontId="46" fillId="6" borderId="1" xfId="5" applyNumberFormat="1" applyFont="1" applyFill="1" applyBorder="1" applyAlignment="1">
      <alignment horizontal="center" vertical="center"/>
    </xf>
    <xf numFmtId="2" fontId="46" fillId="6" borderId="0" xfId="5" applyNumberFormat="1" applyFont="1" applyFill="1" applyAlignment="1">
      <alignment horizontal="right" vertical="center"/>
    </xf>
    <xf numFmtId="0" fontId="46" fillId="7" borderId="1" xfId="5" applyFont="1" applyFill="1" applyBorder="1" applyAlignment="1">
      <alignment horizontal="center" vertical="center"/>
    </xf>
    <xf numFmtId="14" fontId="46" fillId="7" borderId="1" xfId="5" applyNumberFormat="1" applyFont="1" applyFill="1" applyBorder="1" applyAlignment="1">
      <alignment horizontal="center" vertical="center"/>
    </xf>
    <xf numFmtId="2" fontId="46" fillId="7" borderId="0" xfId="5" applyNumberFormat="1" applyFont="1" applyFill="1" applyAlignment="1">
      <alignment horizontal="right" vertical="center"/>
    </xf>
    <xf numFmtId="0" fontId="46" fillId="0" borderId="1" xfId="5" applyFont="1" applyFill="1" applyBorder="1" applyAlignment="1">
      <alignment horizontal="center" vertical="center"/>
    </xf>
    <xf numFmtId="0" fontId="46" fillId="0" borderId="1" xfId="5" applyNumberFormat="1" applyFont="1" applyFill="1" applyBorder="1" applyAlignment="1">
      <alignment horizontal="center" vertical="center"/>
    </xf>
    <xf numFmtId="0" fontId="46" fillId="7" borderId="1" xfId="5" applyFont="1" applyFill="1" applyBorder="1" applyAlignment="1">
      <alignment horizontal="left" vertical="center"/>
    </xf>
    <xf numFmtId="0" fontId="46" fillId="6" borderId="1" xfId="5" applyFont="1" applyFill="1" applyBorder="1" applyAlignment="1">
      <alignment horizontal="left" vertical="center" wrapText="1"/>
    </xf>
    <xf numFmtId="0" fontId="46" fillId="0" borderId="1" xfId="1" applyFont="1" applyBorder="1" applyAlignment="1">
      <alignment horizontal="left" vertical="center"/>
    </xf>
    <xf numFmtId="0" fontId="46" fillId="2" borderId="1" xfId="1" applyFont="1" applyFill="1" applyBorder="1" applyAlignment="1">
      <alignment horizontal="left" vertical="center"/>
    </xf>
    <xf numFmtId="0" fontId="46" fillId="0" borderId="1" xfId="1" applyFont="1" applyBorder="1" applyAlignment="1">
      <alignment horizontal="left" vertical="center" wrapText="1"/>
    </xf>
    <xf numFmtId="0" fontId="47" fillId="0" borderId="1" xfId="5" applyBorder="1" applyAlignment="1">
      <alignment horizontal="left" vertical="center"/>
    </xf>
    <xf numFmtId="0" fontId="46" fillId="2" borderId="1" xfId="5" applyNumberFormat="1" applyFont="1" applyFill="1" applyBorder="1" applyAlignment="1">
      <alignment horizontal="center" vertical="center"/>
    </xf>
    <xf numFmtId="0" fontId="46" fillId="2" borderId="1" xfId="5" applyFont="1" applyFill="1" applyBorder="1" applyAlignment="1">
      <alignment horizontal="center" vertical="center"/>
    </xf>
    <xf numFmtId="14" fontId="46" fillId="2" borderId="1" xfId="5" applyNumberFormat="1" applyFont="1" applyFill="1" applyBorder="1" applyAlignment="1">
      <alignment horizontal="center" vertical="center"/>
    </xf>
    <xf numFmtId="0" fontId="46" fillId="2" borderId="1" xfId="5" applyFont="1" applyFill="1" applyBorder="1" applyAlignment="1">
      <alignment horizontal="left" vertical="center" wrapText="1"/>
    </xf>
    <xf numFmtId="2" fontId="46" fillId="2" borderId="0" xfId="5" applyNumberFormat="1" applyFont="1" applyFill="1" applyAlignment="1">
      <alignment horizontal="right" vertical="center"/>
    </xf>
    <xf numFmtId="14" fontId="46" fillId="2" borderId="1" xfId="1" applyNumberFormat="1" applyFont="1" applyFill="1" applyBorder="1" applyAlignment="1">
      <alignment horizontal="center" vertical="center"/>
    </xf>
    <xf numFmtId="2" fontId="46" fillId="7" borderId="1" xfId="5" applyNumberFormat="1" applyFont="1" applyFill="1" applyBorder="1" applyAlignment="1">
      <alignment vertical="center" wrapText="1"/>
    </xf>
    <xf numFmtId="2" fontId="46" fillId="7" borderId="1" xfId="5" applyNumberFormat="1" applyFont="1" applyFill="1" applyBorder="1" applyAlignment="1">
      <alignment vertical="center"/>
    </xf>
    <xf numFmtId="2" fontId="46" fillId="6" borderId="1" xfId="5" applyNumberFormat="1" applyFont="1" applyFill="1" applyBorder="1" applyAlignment="1">
      <alignment vertical="center" wrapText="1"/>
    </xf>
    <xf numFmtId="2" fontId="46" fillId="6" borderId="1" xfId="5" applyNumberFormat="1" applyFont="1" applyFill="1" applyBorder="1" applyAlignment="1">
      <alignment vertical="center"/>
    </xf>
    <xf numFmtId="2" fontId="46" fillId="2" borderId="1" xfId="5" applyNumberFormat="1" applyFont="1" applyFill="1" applyBorder="1" applyAlignment="1">
      <alignment vertical="center" wrapText="1"/>
    </xf>
    <xf numFmtId="2" fontId="46" fillId="2" borderId="1" xfId="5" applyNumberFormat="1" applyFont="1" applyFill="1" applyBorder="1" applyAlignment="1">
      <alignment vertical="center"/>
    </xf>
    <xf numFmtId="2" fontId="46" fillId="0" borderId="1" xfId="1" applyNumberFormat="1" applyFont="1" applyBorder="1" applyAlignment="1">
      <alignment vertical="center"/>
    </xf>
    <xf numFmtId="2" fontId="46" fillId="0" borderId="1" xfId="2" applyNumberFormat="1" applyFont="1" applyBorder="1" applyAlignment="1">
      <alignment vertical="center"/>
    </xf>
    <xf numFmtId="2" fontId="46" fillId="2" borderId="1" xfId="1" applyNumberFormat="1" applyFont="1" applyFill="1" applyBorder="1" applyAlignment="1">
      <alignment vertical="center"/>
    </xf>
    <xf numFmtId="2" fontId="47" fillId="0" borderId="1" xfId="5" applyNumberFormat="1" applyBorder="1" applyAlignment="1">
      <alignment vertical="center"/>
    </xf>
    <xf numFmtId="2" fontId="47" fillId="0" borderId="1" xfId="6" applyNumberFormat="1" applyFont="1" applyBorder="1" applyAlignment="1">
      <alignment vertical="center"/>
    </xf>
    <xf numFmtId="2" fontId="52" fillId="4" borderId="1" xfId="5" applyNumberFormat="1" applyFont="1" applyFill="1" applyBorder="1" applyAlignment="1">
      <alignment vertical="center"/>
    </xf>
    <xf numFmtId="2" fontId="53" fillId="0" borderId="0" xfId="5" applyNumberFormat="1" applyFont="1"/>
    <xf numFmtId="0" fontId="45" fillId="0" borderId="1" xfId="1" applyFont="1" applyBorder="1" applyAlignment="1">
      <alignment horizontal="left" vertical="center"/>
    </xf>
    <xf numFmtId="0" fontId="44" fillId="0" borderId="1" xfId="1" applyFont="1" applyBorder="1" applyAlignment="1">
      <alignment horizontal="center" vertical="center"/>
    </xf>
    <xf numFmtId="0" fontId="44" fillId="0" borderId="1" xfId="1" applyFont="1" applyBorder="1" applyAlignment="1">
      <alignment horizontal="left" vertical="center" wrapText="1"/>
    </xf>
    <xf numFmtId="0" fontId="44" fillId="0" borderId="1" xfId="1" applyFont="1" applyBorder="1" applyAlignment="1">
      <alignment horizontal="left" vertical="center"/>
    </xf>
    <xf numFmtId="0" fontId="43" fillId="0" borderId="1" xfId="5" applyFont="1" applyBorder="1" applyAlignment="1">
      <alignment horizontal="center" vertical="center"/>
    </xf>
    <xf numFmtId="0" fontId="43" fillId="0" borderId="1" xfId="5" applyFont="1" applyBorder="1" applyAlignment="1">
      <alignment horizontal="left" vertical="center"/>
    </xf>
    <xf numFmtId="0" fontId="43" fillId="0" borderId="1" xfId="1" applyFont="1" applyBorder="1" applyAlignment="1">
      <alignment horizontal="left" vertical="center"/>
    </xf>
    <xf numFmtId="0" fontId="42" fillId="0" borderId="1" xfId="5" applyFont="1" applyBorder="1" applyAlignment="1">
      <alignment horizontal="center" vertical="center"/>
    </xf>
    <xf numFmtId="0" fontId="42" fillId="0" borderId="1" xfId="1" applyFont="1" applyBorder="1" applyAlignment="1">
      <alignment horizontal="center" vertical="center"/>
    </xf>
    <xf numFmtId="0" fontId="41" fillId="0" borderId="1" xfId="1" applyFont="1" applyBorder="1" applyAlignment="1">
      <alignment horizontal="left" vertical="center"/>
    </xf>
    <xf numFmtId="0" fontId="40" fillId="0" borderId="1" xfId="1" applyFont="1" applyBorder="1" applyAlignment="1">
      <alignment horizontal="center" vertical="center"/>
    </xf>
    <xf numFmtId="0" fontId="40" fillId="0" borderId="1" xfId="5" applyFont="1" applyBorder="1" applyAlignment="1">
      <alignment horizontal="center" vertical="center"/>
    </xf>
    <xf numFmtId="0" fontId="40" fillId="0" borderId="1" xfId="5" applyFont="1" applyBorder="1" applyAlignment="1">
      <alignment horizontal="left" vertical="center"/>
    </xf>
    <xf numFmtId="14" fontId="40" fillId="0" borderId="1" xfId="5" applyNumberFormat="1" applyFont="1" applyBorder="1" applyAlignment="1">
      <alignment horizontal="center" vertical="center"/>
    </xf>
    <xf numFmtId="0" fontId="47" fillId="0" borderId="0" xfId="5" applyAlignment="1">
      <alignment vertical="center"/>
    </xf>
    <xf numFmtId="0" fontId="46" fillId="7" borderId="0" xfId="5" applyFont="1" applyFill="1" applyAlignment="1">
      <alignment vertical="center"/>
    </xf>
    <xf numFmtId="0" fontId="46" fillId="6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46" fillId="0" borderId="0" xfId="1" applyFont="1" applyAlignment="1">
      <alignment vertical="center"/>
    </xf>
    <xf numFmtId="0" fontId="46" fillId="2" borderId="0" xfId="1" applyFont="1" applyFill="1" applyAlignment="1">
      <alignment vertical="center"/>
    </xf>
    <xf numFmtId="0" fontId="47" fillId="0" borderId="0" xfId="5" applyAlignment="1">
      <alignment horizontal="left" vertical="center"/>
    </xf>
    <xf numFmtId="0" fontId="40" fillId="0" borderId="1" xfId="5" quotePrefix="1" applyFont="1" applyBorder="1" applyAlignment="1">
      <alignment horizontal="center" vertical="center"/>
    </xf>
    <xf numFmtId="0" fontId="47" fillId="8" borderId="0" xfId="5" applyFill="1" applyAlignment="1">
      <alignment vertical="center"/>
    </xf>
    <xf numFmtId="0" fontId="43" fillId="0" borderId="1" xfId="5" applyFont="1" applyFill="1" applyBorder="1" applyAlignment="1">
      <alignment horizontal="center" vertical="center"/>
    </xf>
    <xf numFmtId="14" fontId="47" fillId="0" borderId="1" xfId="5" applyNumberFormat="1" applyFill="1" applyBorder="1" applyAlignment="1">
      <alignment horizontal="center" vertical="center"/>
    </xf>
    <xf numFmtId="0" fontId="47" fillId="0" borderId="1" xfId="5" applyFill="1" applyBorder="1" applyAlignment="1">
      <alignment horizontal="center" vertical="center"/>
    </xf>
    <xf numFmtId="0" fontId="47" fillId="0" borderId="1" xfId="5" applyFill="1" applyBorder="1" applyAlignment="1">
      <alignment horizontal="left" vertical="center"/>
    </xf>
    <xf numFmtId="2" fontId="47" fillId="0" borderId="1" xfId="5" applyNumberFormat="1" applyFill="1" applyBorder="1" applyAlignment="1">
      <alignment vertical="center"/>
    </xf>
    <xf numFmtId="2" fontId="47" fillId="0" borderId="1" xfId="6" applyNumberFormat="1" applyFont="1" applyFill="1" applyBorder="1" applyAlignment="1">
      <alignment vertical="center"/>
    </xf>
    <xf numFmtId="0" fontId="39" fillId="0" borderId="1" xfId="1" applyFont="1" applyBorder="1" applyAlignment="1">
      <alignment horizontal="left" vertical="center"/>
    </xf>
    <xf numFmtId="0" fontId="38" fillId="0" borderId="1" xfId="5" applyFont="1" applyBorder="1" applyAlignment="1">
      <alignment horizontal="center" vertical="center"/>
    </xf>
    <xf numFmtId="0" fontId="38" fillId="0" borderId="1" xfId="5" applyFont="1" applyBorder="1" applyAlignment="1">
      <alignment horizontal="left" vertical="center"/>
    </xf>
    <xf numFmtId="0" fontId="38" fillId="0" borderId="1" xfId="1" applyFont="1" applyBorder="1" applyAlignment="1">
      <alignment horizontal="left" vertical="center"/>
    </xf>
    <xf numFmtId="0" fontId="38" fillId="0" borderId="1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2" fontId="46" fillId="0" borderId="1" xfId="2" applyNumberFormat="1" applyFont="1" applyBorder="1" applyAlignment="1">
      <alignment horizontal="right" vertical="center"/>
    </xf>
    <xf numFmtId="2" fontId="46" fillId="2" borderId="1" xfId="1" applyNumberFormat="1" applyFont="1" applyFill="1" applyBorder="1" applyAlignment="1">
      <alignment horizontal="right" vertical="center"/>
    </xf>
    <xf numFmtId="0" fontId="46" fillId="0" borderId="1" xfId="1" applyFont="1" applyBorder="1" applyAlignment="1">
      <alignment vertical="center"/>
    </xf>
    <xf numFmtId="2" fontId="42" fillId="0" borderId="1" xfId="5" applyNumberFormat="1" applyFont="1" applyBorder="1" applyAlignment="1">
      <alignment horizontal="right" vertical="center"/>
    </xf>
    <xf numFmtId="2" fontId="47" fillId="0" borderId="1" xfId="5" applyNumberFormat="1" applyFill="1" applyBorder="1" applyAlignment="1">
      <alignment horizontal="right" vertical="center"/>
    </xf>
    <xf numFmtId="0" fontId="36" fillId="0" borderId="1" xfId="1" applyFont="1" applyBorder="1" applyAlignment="1">
      <alignment horizontal="left" vertical="center"/>
    </xf>
    <xf numFmtId="0" fontId="36" fillId="0" borderId="1" xfId="1" quotePrefix="1" applyFont="1" applyBorder="1" applyAlignment="1">
      <alignment horizontal="left" vertical="center"/>
    </xf>
    <xf numFmtId="0" fontId="36" fillId="0" borderId="1" xfId="1" applyFont="1" applyBorder="1" applyAlignment="1">
      <alignment horizontal="left" vertical="center" wrapText="1"/>
    </xf>
    <xf numFmtId="0" fontId="36" fillId="0" borderId="1" xfId="5" applyFont="1" applyBorder="1" applyAlignment="1">
      <alignment horizontal="left" vertical="center"/>
    </xf>
    <xf numFmtId="0" fontId="36" fillId="0" borderId="1" xfId="5" applyFont="1" applyBorder="1" applyAlignment="1">
      <alignment horizontal="center" vertical="center"/>
    </xf>
    <xf numFmtId="0" fontId="43" fillId="2" borderId="1" xfId="5" applyFont="1" applyFill="1" applyBorder="1" applyAlignment="1">
      <alignment horizontal="center" vertical="center"/>
    </xf>
    <xf numFmtId="2" fontId="36" fillId="0" borderId="1" xfId="1" applyNumberFormat="1" applyFont="1" applyBorder="1" applyAlignment="1">
      <alignment horizontal="right" vertical="center"/>
    </xf>
    <xf numFmtId="2" fontId="52" fillId="3" borderId="1" xfId="5" applyNumberFormat="1" applyFont="1" applyFill="1" applyBorder="1" applyAlignment="1">
      <alignment vertical="center"/>
    </xf>
    <xf numFmtId="2" fontId="51" fillId="2" borderId="1" xfId="1" applyNumberFormat="1" applyFont="1" applyFill="1" applyBorder="1" applyAlignment="1">
      <alignment vertical="center"/>
    </xf>
    <xf numFmtId="2" fontId="47" fillId="0" borderId="0" xfId="5" applyNumberFormat="1" applyAlignment="1">
      <alignment vertical="center"/>
    </xf>
    <xf numFmtId="2" fontId="51" fillId="0" borderId="1" xfId="1" applyNumberFormat="1" applyFont="1" applyBorder="1" applyAlignment="1">
      <alignment vertical="center"/>
    </xf>
    <xf numFmtId="0" fontId="35" fillId="0" borderId="1" xfId="1" applyFont="1" applyBorder="1" applyAlignment="1">
      <alignment horizontal="left" vertical="center"/>
    </xf>
    <xf numFmtId="0" fontId="34" fillId="0" borderId="1" xfId="1" applyFont="1" applyBorder="1" applyAlignment="1">
      <alignment vertical="center"/>
    </xf>
    <xf numFmtId="0" fontId="47" fillId="0" borderId="0" xfId="5" applyAlignment="1">
      <alignment horizontal="center" vertical="center"/>
    </xf>
    <xf numFmtId="0" fontId="34" fillId="0" borderId="1" xfId="1" applyFont="1" applyBorder="1" applyAlignment="1">
      <alignment horizontal="left" vertical="center"/>
    </xf>
    <xf numFmtId="0" fontId="34" fillId="0" borderId="1" xfId="5" applyFont="1" applyBorder="1" applyAlignment="1">
      <alignment horizontal="center" vertical="center"/>
    </xf>
    <xf numFmtId="0" fontId="43" fillId="0" borderId="1" xfId="1" applyFont="1" applyBorder="1" applyAlignment="1">
      <alignment horizontal="center" vertical="center"/>
    </xf>
    <xf numFmtId="0" fontId="45" fillId="0" borderId="1" xfId="1" applyFont="1" applyBorder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40" fillId="0" borderId="1" xfId="5" applyFont="1" applyFill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2" fontId="34" fillId="0" borderId="1" xfId="1" applyNumberFormat="1" applyFont="1" applyBorder="1" applyAlignment="1">
      <alignment vertical="center"/>
    </xf>
    <xf numFmtId="0" fontId="34" fillId="0" borderId="1" xfId="5" applyFont="1" applyBorder="1" applyAlignment="1">
      <alignment horizontal="left" vertical="center"/>
    </xf>
    <xf numFmtId="0" fontId="33" fillId="0" borderId="1" xfId="5" applyFont="1" applyBorder="1" applyAlignment="1">
      <alignment horizontal="center" vertical="center"/>
    </xf>
    <xf numFmtId="14" fontId="46" fillId="0" borderId="2" xfId="1" applyNumberFormat="1" applyFont="1" applyBorder="1" applyAlignment="1">
      <alignment horizontal="center" vertical="center"/>
    </xf>
    <xf numFmtId="0" fontId="33" fillId="0" borderId="1" xfId="1" applyFont="1" applyBorder="1" applyAlignment="1">
      <alignment horizontal="center" vertical="center"/>
    </xf>
    <xf numFmtId="0" fontId="33" fillId="0" borderId="1" xfId="1" applyFont="1" applyBorder="1" applyAlignment="1">
      <alignment vertical="center"/>
    </xf>
    <xf numFmtId="2" fontId="33" fillId="0" borderId="1" xfId="1" applyNumberFormat="1" applyFont="1" applyBorder="1" applyAlignment="1">
      <alignment horizontal="right" vertical="center"/>
    </xf>
    <xf numFmtId="164" fontId="46" fillId="0" borderId="1" xfId="1" applyNumberFormat="1" applyFont="1" applyBorder="1" applyAlignment="1">
      <alignment horizontal="right" vertical="center"/>
    </xf>
    <xf numFmtId="164" fontId="47" fillId="0" borderId="1" xfId="5" applyNumberFormat="1" applyBorder="1" applyAlignment="1">
      <alignment horizontal="right" vertical="center"/>
    </xf>
    <xf numFmtId="164" fontId="46" fillId="0" borderId="1" xfId="2" applyNumberFormat="1" applyFont="1" applyBorder="1" applyAlignment="1">
      <alignment horizontal="right" vertical="center"/>
    </xf>
    <xf numFmtId="0" fontId="33" fillId="6" borderId="1" xfId="5" applyFont="1" applyFill="1" applyBorder="1" applyAlignment="1">
      <alignment horizontal="center" vertical="center"/>
    </xf>
    <xf numFmtId="14" fontId="46" fillId="6" borderId="1" xfId="1" applyNumberFormat="1" applyFont="1" applyFill="1" applyBorder="1" applyAlignment="1">
      <alignment horizontal="center" vertical="center"/>
    </xf>
    <xf numFmtId="0" fontId="46" fillId="6" borderId="1" xfId="1" applyFont="1" applyFill="1" applyBorder="1" applyAlignment="1">
      <alignment horizontal="center" vertical="center"/>
    </xf>
    <xf numFmtId="0" fontId="32" fillId="6" borderId="1" xfId="1" applyFont="1" applyFill="1" applyBorder="1" applyAlignment="1">
      <alignment vertical="center"/>
    </xf>
    <xf numFmtId="0" fontId="32" fillId="2" borderId="1" xfId="1" quotePrefix="1" applyFont="1" applyFill="1" applyBorder="1" applyAlignment="1">
      <alignment horizontal="center" vertical="center"/>
    </xf>
    <xf numFmtId="0" fontId="31" fillId="0" borderId="1" xfId="1" applyFont="1" applyBorder="1" applyAlignment="1">
      <alignment horizontal="left" vertical="center"/>
    </xf>
    <xf numFmtId="2" fontId="46" fillId="0" borderId="0" xfId="1" applyNumberFormat="1" applyFont="1" applyAlignment="1">
      <alignment vertical="center"/>
    </xf>
    <xf numFmtId="2" fontId="51" fillId="2" borderId="0" xfId="1" applyNumberFormat="1" applyFont="1" applyFill="1" applyAlignment="1">
      <alignment vertical="center"/>
    </xf>
    <xf numFmtId="2" fontId="51" fillId="0" borderId="0" xfId="1" applyNumberFormat="1" applyFont="1" applyAlignment="1">
      <alignment vertical="center"/>
    </xf>
    <xf numFmtId="2" fontId="30" fillId="7" borderId="1" xfId="5" applyNumberFormat="1" applyFont="1" applyFill="1" applyBorder="1" applyAlignment="1">
      <alignment vertical="center"/>
    </xf>
    <xf numFmtId="2" fontId="51" fillId="0" borderId="1" xfId="2" applyNumberFormat="1" applyFont="1" applyBorder="1" applyAlignment="1">
      <alignment vertical="center"/>
    </xf>
    <xf numFmtId="0" fontId="29" fillId="0" borderId="1" xfId="1" applyFont="1" applyBorder="1" applyAlignment="1">
      <alignment horizontal="center" vertical="center"/>
    </xf>
    <xf numFmtId="0" fontId="29" fillId="0" borderId="1" xfId="1" applyFont="1" applyBorder="1" applyAlignment="1">
      <alignment vertical="center"/>
    </xf>
    <xf numFmtId="0" fontId="29" fillId="0" borderId="1" xfId="1" applyFont="1" applyBorder="1" applyAlignment="1">
      <alignment horizontal="left" vertical="center"/>
    </xf>
    <xf numFmtId="2" fontId="46" fillId="6" borderId="1" xfId="5" applyNumberFormat="1" applyFont="1" applyFill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7" fillId="0" borderId="1" xfId="1" applyFont="1" applyBorder="1" applyAlignment="1">
      <alignment vertical="center"/>
    </xf>
    <xf numFmtId="0" fontId="27" fillId="0" borderId="1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6" fillId="0" borderId="2" xfId="1" applyFont="1" applyBorder="1" applyAlignment="1">
      <alignment vertical="center"/>
    </xf>
    <xf numFmtId="0" fontId="26" fillId="0" borderId="1" xfId="1" applyFont="1" applyBorder="1" applyAlignment="1">
      <alignment vertical="center"/>
    </xf>
    <xf numFmtId="0" fontId="26" fillId="0" borderId="1" xfId="1" applyFont="1" applyBorder="1" applyAlignment="1">
      <alignment horizontal="center" vertical="center"/>
    </xf>
    <xf numFmtId="164" fontId="46" fillId="0" borderId="1" xfId="1" applyNumberFormat="1" applyFont="1" applyBorder="1" applyAlignment="1">
      <alignment vertical="center"/>
    </xf>
    <xf numFmtId="0" fontId="25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vertical="center"/>
    </xf>
    <xf numFmtId="0" fontId="29" fillId="0" borderId="2" xfId="1" applyFont="1" applyBorder="1" applyAlignment="1">
      <alignment horizontal="center" vertical="center"/>
    </xf>
    <xf numFmtId="0" fontId="25" fillId="0" borderId="2" xfId="1" applyFont="1" applyBorder="1" applyAlignment="1">
      <alignment vertical="center"/>
    </xf>
    <xf numFmtId="0" fontId="25" fillId="0" borderId="2" xfId="1" applyFont="1" applyBorder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24" fillId="0" borderId="1" xfId="1" applyFont="1" applyBorder="1" applyAlignment="1">
      <alignment horizontal="center" vertical="center"/>
    </xf>
    <xf numFmtId="0" fontId="23" fillId="0" borderId="1" xfId="5" applyFont="1" applyBorder="1" applyAlignment="1">
      <alignment horizontal="center" vertical="center"/>
    </xf>
    <xf numFmtId="0" fontId="23" fillId="0" borderId="1" xfId="1" applyFont="1" applyBorder="1" applyAlignment="1">
      <alignment vertical="center"/>
    </xf>
    <xf numFmtId="0" fontId="23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left" vertical="center"/>
    </xf>
    <xf numFmtId="0" fontId="21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vertical="center"/>
    </xf>
    <xf numFmtId="14" fontId="46" fillId="0" borderId="0" xfId="1" applyNumberFormat="1" applyFont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vertical="center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vertical="center"/>
    </xf>
    <xf numFmtId="0" fontId="17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vertical="center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2" fontId="38" fillId="0" borderId="1" xfId="1" applyNumberFormat="1" applyFont="1" applyBorder="1" applyAlignment="1">
      <alignment vertical="center"/>
    </xf>
    <xf numFmtId="2" fontId="46" fillId="6" borderId="1" xfId="1" applyNumberFormat="1" applyFont="1" applyFill="1" applyBorder="1" applyAlignment="1">
      <alignment vertical="center"/>
    </xf>
    <xf numFmtId="2" fontId="46" fillId="0" borderId="2" xfId="1" applyNumberFormat="1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4" fillId="0" borderId="1" xfId="5" applyFont="1" applyBorder="1" applyAlignment="1">
      <alignment horizontal="center" vertical="center"/>
    </xf>
    <xf numFmtId="0" fontId="13" fillId="6" borderId="1" xfId="5" applyFont="1" applyFill="1" applyBorder="1" applyAlignment="1">
      <alignment horizontal="center" vertical="center"/>
    </xf>
    <xf numFmtId="0" fontId="13" fillId="6" borderId="1" xfId="5" applyFont="1" applyFill="1" applyBorder="1" applyAlignment="1">
      <alignment horizontal="left" vertical="center" wrapText="1"/>
    </xf>
    <xf numFmtId="0" fontId="13" fillId="0" borderId="1" xfId="1" applyFont="1" applyBorder="1" applyAlignment="1">
      <alignment vertical="center"/>
    </xf>
    <xf numFmtId="0" fontId="13" fillId="0" borderId="1" xfId="5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12" fillId="0" borderId="1" xfId="1" applyFont="1" applyBorder="1" applyAlignment="1">
      <alignment horizontal="center" vertical="center"/>
    </xf>
    <xf numFmtId="0" fontId="12" fillId="0" borderId="0" xfId="5" applyFont="1" applyAlignment="1">
      <alignment horizontal="left" vertical="center"/>
    </xf>
    <xf numFmtId="0" fontId="11" fillId="0" borderId="1" xfId="1" applyFont="1" applyBorder="1" applyAlignment="1">
      <alignment vertical="center"/>
    </xf>
    <xf numFmtId="0" fontId="11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9" fillId="0" borderId="1" xfId="5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2" fontId="46" fillId="0" borderId="3" xfId="1" applyNumberFormat="1" applyFont="1" applyBorder="1" applyAlignment="1">
      <alignment horizontal="right" vertical="center"/>
    </xf>
    <xf numFmtId="2" fontId="52" fillId="4" borderId="3" xfId="5" applyNumberFormat="1" applyFont="1" applyFill="1" applyBorder="1" applyAlignment="1">
      <alignment horizontal="right" vertical="center"/>
    </xf>
    <xf numFmtId="0" fontId="47" fillId="0" borderId="1" xfId="5" applyBorder="1" applyAlignment="1">
      <alignment vertical="center"/>
    </xf>
    <xf numFmtId="0" fontId="23" fillId="2" borderId="1" xfId="5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4" fontId="51" fillId="0" borderId="1" xfId="1" applyNumberFormat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40" fillId="0" borderId="1" xfId="5" quotePrefix="1" applyFont="1" applyFill="1" applyBorder="1" applyAlignment="1">
      <alignment horizontal="center" vertical="center"/>
    </xf>
    <xf numFmtId="0" fontId="43" fillId="0" borderId="1" xfId="5" applyFont="1" applyFill="1" applyBorder="1" applyAlignment="1">
      <alignment horizontal="left" vertical="center"/>
    </xf>
    <xf numFmtId="2" fontId="59" fillId="0" borderId="1" xfId="5" applyNumberFormat="1" applyFont="1" applyFill="1" applyBorder="1" applyAlignment="1">
      <alignment vertical="center"/>
    </xf>
    <xf numFmtId="0" fontId="6" fillId="0" borderId="1" xfId="5" applyFont="1" applyBorder="1" applyAlignment="1">
      <alignment horizontal="left" vertical="center"/>
    </xf>
    <xf numFmtId="0" fontId="36" fillId="0" borderId="1" xfId="1" applyFont="1" applyFill="1" applyBorder="1" applyAlignment="1">
      <alignment horizontal="center" vertical="center"/>
    </xf>
    <xf numFmtId="14" fontId="46" fillId="0" borderId="1" xfId="1" applyNumberFormat="1" applyFont="1" applyFill="1" applyBorder="1" applyAlignment="1">
      <alignment horizontal="center" vertical="center"/>
    </xf>
    <xf numFmtId="0" fontId="37" fillId="0" borderId="1" xfId="1" applyFont="1" applyFill="1" applyBorder="1" applyAlignment="1">
      <alignment horizontal="left" vertical="center"/>
    </xf>
    <xf numFmtId="2" fontId="37" fillId="0" borderId="1" xfId="1" applyNumberFormat="1" applyFont="1" applyFill="1" applyBorder="1" applyAlignment="1">
      <alignment horizontal="right" vertical="center"/>
    </xf>
    <xf numFmtId="0" fontId="52" fillId="3" borderId="0" xfId="1" applyFont="1" applyFill="1" applyBorder="1" applyAlignment="1">
      <alignment horizontal="center" vertical="center"/>
    </xf>
    <xf numFmtId="2" fontId="30" fillId="7" borderId="0" xfId="5" applyNumberFormat="1" applyFont="1" applyFill="1" applyBorder="1" applyAlignment="1">
      <alignment vertical="center"/>
    </xf>
    <xf numFmtId="2" fontId="46" fillId="6" borderId="0" xfId="5" applyNumberFormat="1" applyFont="1" applyFill="1" applyBorder="1" applyAlignment="1">
      <alignment vertical="center"/>
    </xf>
    <xf numFmtId="2" fontId="46" fillId="0" borderId="0" xfId="2" applyNumberFormat="1" applyFont="1" applyBorder="1" applyAlignment="1">
      <alignment vertical="center"/>
    </xf>
    <xf numFmtId="2" fontId="46" fillId="2" borderId="0" xfId="1" applyNumberFormat="1" applyFont="1" applyFill="1" applyBorder="1" applyAlignment="1">
      <alignment vertical="center"/>
    </xf>
    <xf numFmtId="2" fontId="51" fillId="0" borderId="0" xfId="2" applyNumberFormat="1" applyFont="1" applyBorder="1" applyAlignment="1">
      <alignment vertical="center"/>
    </xf>
    <xf numFmtId="2" fontId="52" fillId="4" borderId="0" xfId="5" applyNumberFormat="1" applyFont="1" applyFill="1" applyBorder="1" applyAlignment="1">
      <alignment vertical="center"/>
    </xf>
    <xf numFmtId="2" fontId="52" fillId="3" borderId="1" xfId="5" applyNumberFormat="1" applyFont="1" applyFill="1" applyBorder="1" applyAlignment="1">
      <alignment horizontal="right" vertical="center"/>
    </xf>
    <xf numFmtId="2" fontId="52" fillId="3" borderId="1" xfId="5" applyNumberFormat="1" applyFont="1" applyFill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/>
    </xf>
    <xf numFmtId="0" fontId="6" fillId="0" borderId="0" xfId="5" applyFont="1" applyAlignment="1">
      <alignment horizontal="left" vertical="center"/>
    </xf>
    <xf numFmtId="0" fontId="53" fillId="2" borderId="5" xfId="5" applyFont="1" applyFill="1" applyBorder="1"/>
    <xf numFmtId="2" fontId="52" fillId="3" borderId="1" xfId="5" applyNumberFormat="1" applyFont="1" applyFill="1" applyBorder="1" applyAlignment="1">
      <alignment horizontal="right" vertical="center" wrapText="1"/>
    </xf>
    <xf numFmtId="2" fontId="52" fillId="3" borderId="1" xfId="5" applyNumberFormat="1" applyFont="1" applyFill="1" applyBorder="1" applyAlignment="1">
      <alignment horizontal="center" vertical="center"/>
    </xf>
    <xf numFmtId="2" fontId="55" fillId="0" borderId="1" xfId="6" applyNumberFormat="1" applyFont="1" applyFill="1" applyBorder="1" applyAlignment="1">
      <alignment horizontal="right" vertical="center"/>
    </xf>
    <xf numFmtId="164" fontId="47" fillId="0" borderId="1" xfId="5" applyNumberFormat="1" applyFill="1" applyBorder="1" applyAlignment="1">
      <alignment horizontal="right" vertical="center"/>
    </xf>
    <xf numFmtId="2" fontId="46" fillId="0" borderId="3" xfId="2" applyNumberFormat="1" applyFont="1" applyBorder="1" applyAlignment="1">
      <alignment horizontal="right" vertical="center"/>
    </xf>
    <xf numFmtId="164" fontId="46" fillId="0" borderId="3" xfId="2" applyNumberFormat="1" applyFont="1" applyBorder="1" applyAlignment="1">
      <alignment horizontal="right" vertical="center"/>
    </xf>
    <xf numFmtId="2" fontId="46" fillId="2" borderId="3" xfId="1" applyNumberFormat="1" applyFont="1" applyFill="1" applyBorder="1" applyAlignment="1">
      <alignment horizontal="right" vertical="center"/>
    </xf>
    <xf numFmtId="2" fontId="46" fillId="7" borderId="1" xfId="5" applyNumberFormat="1" applyFont="1" applyFill="1" applyBorder="1" applyAlignment="1">
      <alignment horizontal="right" vertical="center"/>
    </xf>
    <xf numFmtId="2" fontId="46" fillId="6" borderId="1" xfId="5" applyNumberFormat="1" applyFont="1" applyFill="1" applyBorder="1" applyAlignment="1">
      <alignment horizontal="right" vertical="center"/>
    </xf>
    <xf numFmtId="2" fontId="46" fillId="2" borderId="1" xfId="5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2" fontId="53" fillId="0" borderId="1" xfId="6" applyNumberFormat="1" applyFont="1" applyBorder="1" applyAlignment="1">
      <alignment horizontal="center" vertical="center"/>
    </xf>
    <xf numFmtId="2" fontId="53" fillId="0" borderId="1" xfId="6" quotePrefix="1" applyNumberFormat="1" applyFont="1" applyBorder="1" applyAlignment="1">
      <alignment horizontal="center" vertical="center"/>
    </xf>
    <xf numFmtId="2" fontId="46" fillId="0" borderId="1" xfId="2" applyNumberFormat="1" applyFont="1" applyBorder="1" applyAlignment="1">
      <alignment horizontal="center" vertical="center"/>
    </xf>
    <xf numFmtId="2" fontId="46" fillId="0" borderId="1" xfId="1" applyNumberFormat="1" applyFont="1" applyBorder="1" applyAlignment="1">
      <alignment horizontal="center" vertical="center"/>
    </xf>
    <xf numFmtId="2" fontId="47" fillId="0" borderId="1" xfId="5" applyNumberForma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54" fillId="4" borderId="4" xfId="5" applyFont="1" applyFill="1" applyBorder="1" applyAlignment="1">
      <alignment horizontal="center" vertical="center"/>
    </xf>
    <xf numFmtId="0" fontId="54" fillId="4" borderId="5" xfId="5" applyFont="1" applyFill="1" applyBorder="1" applyAlignment="1">
      <alignment horizontal="center" vertical="center"/>
    </xf>
    <xf numFmtId="0" fontId="54" fillId="4" borderId="3" xfId="5" applyFont="1" applyFill="1" applyBorder="1" applyAlignment="1">
      <alignment horizontal="center" vertical="center"/>
    </xf>
    <xf numFmtId="0" fontId="52" fillId="4" borderId="1" xfId="5" applyFont="1" applyFill="1" applyBorder="1" applyAlignment="1">
      <alignment horizontal="center" vertical="center"/>
    </xf>
  </cellXfs>
  <cellStyles count="8">
    <cellStyle name="Comma 2" xfId="2" xr:uid="{D5654487-AA71-4CBE-B71C-6D4CB3A81566}"/>
    <cellStyle name="Comma 2 2" xfId="6" xr:uid="{04C5EB48-004C-4DF8-96C9-426EE3615ADD}"/>
    <cellStyle name="Normal" xfId="0" builtinId="0"/>
    <cellStyle name="Normal 2" xfId="1" xr:uid="{DE07AAF1-DED6-42AF-97FD-3D8B7FFB576F}"/>
    <cellStyle name="Normal 2 2" xfId="5" xr:uid="{2C0437D3-3CE8-4E50-BE0A-3ECFDA4C48BC}"/>
    <cellStyle name="Normal 3" xfId="4" xr:uid="{51F2E1D3-7873-4D46-9632-D5314C0D40BD}"/>
    <cellStyle name="Percent 2" xfId="3" xr:uid="{52D12050-95F1-4944-A68E-AC7CCA109998}"/>
    <cellStyle name="Percent 3" xfId="7" xr:uid="{D91FE72A-DDB5-49E8-A81A-B2F90C08857F}"/>
  </cellStyles>
  <dxfs count="0"/>
  <tableStyles count="0" defaultTableStyle="TableStyleMedium2" defaultPivotStyle="PivotStyleLight16"/>
  <colors>
    <mruColors>
      <color rgb="FF74FB4F"/>
      <color rgb="FFA4F99B"/>
      <color rgb="FFDF6D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779A-F84B-4166-AA16-07FF56D625C6}">
  <sheetPr>
    <pageSetUpPr fitToPage="1"/>
  </sheetPr>
  <dimension ref="A1:M59"/>
  <sheetViews>
    <sheetView view="pageBreakPreview" topLeftCell="A49" zoomScale="115" zoomScaleNormal="55" zoomScaleSheetLayoutView="115" workbookViewId="0">
      <selection activeCell="E8" sqref="E8"/>
    </sheetView>
  </sheetViews>
  <sheetFormatPr defaultColWidth="8.77734375" defaultRowHeight="15.6" x14ac:dyDescent="0.3"/>
  <cols>
    <col min="1" max="1" width="8.88671875" style="6" customWidth="1"/>
    <col min="2" max="2" width="17.21875" style="6" bestFit="1" customWidth="1"/>
    <col min="3" max="3" width="28" style="26" customWidth="1"/>
    <col min="4" max="4" width="23.6640625" style="6" customWidth="1"/>
    <col min="5" max="5" width="33.88671875" style="6" customWidth="1"/>
    <col min="6" max="6" width="23.44140625" style="28" customWidth="1"/>
    <col min="7" max="7" width="15.109375" style="28" customWidth="1"/>
    <col min="8" max="8" width="15.88671875" style="28" customWidth="1"/>
    <col min="9" max="9" width="34.44140625" style="6" hidden="1" customWidth="1"/>
    <col min="10" max="10" width="159.21875" style="6" hidden="1" customWidth="1"/>
    <col min="11" max="11" width="19" style="6" hidden="1" customWidth="1"/>
    <col min="12" max="12" width="18.109375" style="6" hidden="1" customWidth="1"/>
    <col min="13" max="13" width="20.5546875" style="6" hidden="1" customWidth="1"/>
    <col min="14" max="14" width="0" style="6" hidden="1" customWidth="1"/>
    <col min="15" max="16384" width="8.77734375" style="6"/>
  </cols>
  <sheetData>
    <row r="1" spans="1:12" ht="44.4" customHeight="1" x14ac:dyDescent="0.3">
      <c r="A1" s="8" t="s">
        <v>1</v>
      </c>
      <c r="B1" s="8" t="s">
        <v>10</v>
      </c>
      <c r="C1" s="9" t="s">
        <v>12</v>
      </c>
      <c r="D1" s="8" t="s">
        <v>13</v>
      </c>
      <c r="E1" s="8" t="s">
        <v>11</v>
      </c>
      <c r="F1" s="29" t="s">
        <v>14</v>
      </c>
      <c r="G1" s="278" t="s">
        <v>513</v>
      </c>
      <c r="H1" s="274" t="s">
        <v>514</v>
      </c>
      <c r="I1" s="9" t="s">
        <v>73</v>
      </c>
      <c r="J1" s="8" t="s">
        <v>0</v>
      </c>
    </row>
    <row r="2" spans="1:12" s="12" customFormat="1" x14ac:dyDescent="0.3">
      <c r="A2" s="55">
        <v>1</v>
      </c>
      <c r="B2" s="10"/>
      <c r="C2" s="11">
        <v>15335</v>
      </c>
      <c r="D2" s="10" t="s">
        <v>4</v>
      </c>
      <c r="E2" s="10" t="s">
        <v>217</v>
      </c>
      <c r="F2" s="30">
        <v>526124.16</v>
      </c>
      <c r="G2" s="30"/>
      <c r="H2" s="30"/>
      <c r="I2" s="11"/>
      <c r="J2" s="10"/>
    </row>
    <row r="3" spans="1:12" ht="31.2" x14ac:dyDescent="0.3">
      <c r="A3" s="13">
        <v>2</v>
      </c>
      <c r="B3" s="13" t="s">
        <v>74</v>
      </c>
      <c r="C3" s="14" t="s">
        <v>75</v>
      </c>
      <c r="D3" s="13" t="s">
        <v>28</v>
      </c>
      <c r="E3" s="13" t="s">
        <v>76</v>
      </c>
      <c r="F3" s="31">
        <f>491811.9-115618-52600</f>
        <v>323593.90000000002</v>
      </c>
      <c r="G3" s="31"/>
      <c r="H3" s="31"/>
      <c r="I3" s="15" t="s">
        <v>77</v>
      </c>
      <c r="J3" s="13" t="s">
        <v>78</v>
      </c>
    </row>
    <row r="4" spans="1:12" x14ac:dyDescent="0.3">
      <c r="A4" s="55">
        <v>3</v>
      </c>
      <c r="B4" s="13" t="s">
        <v>80</v>
      </c>
      <c r="C4" s="19" t="s">
        <v>81</v>
      </c>
      <c r="D4" s="13" t="s">
        <v>82</v>
      </c>
      <c r="E4" s="13" t="s">
        <v>83</v>
      </c>
      <c r="F4" s="33">
        <f>6200000-506958.5-320250-80518-875390-90842.44-60707.5-86167</f>
        <v>4179166.5599999996</v>
      </c>
      <c r="G4" s="33"/>
      <c r="H4" s="33"/>
      <c r="I4" s="15" t="s">
        <v>84</v>
      </c>
      <c r="J4" s="13" t="s">
        <v>85</v>
      </c>
    </row>
    <row r="5" spans="1:12" x14ac:dyDescent="0.3">
      <c r="A5" s="13">
        <v>4</v>
      </c>
      <c r="B5" s="13" t="s">
        <v>86</v>
      </c>
      <c r="C5" s="14">
        <v>194991</v>
      </c>
      <c r="D5" s="13" t="s">
        <v>28</v>
      </c>
      <c r="E5" s="13" t="s">
        <v>87</v>
      </c>
      <c r="F5" s="33">
        <v>3100000</v>
      </c>
      <c r="G5" s="33"/>
      <c r="H5" s="33"/>
      <c r="I5" s="15" t="s">
        <v>88</v>
      </c>
      <c r="J5" s="13" t="s">
        <v>89</v>
      </c>
    </row>
    <row r="6" spans="1:12" ht="31.2" x14ac:dyDescent="0.3">
      <c r="A6" s="55">
        <v>5</v>
      </c>
      <c r="B6" s="13" t="s">
        <v>91</v>
      </c>
      <c r="C6" s="19" t="s">
        <v>92</v>
      </c>
      <c r="D6" s="13" t="s">
        <v>79</v>
      </c>
      <c r="E6" s="13" t="s">
        <v>93</v>
      </c>
      <c r="F6" s="32">
        <f>1767518.94+607731.72+70764.2+5288.7+50476.7</f>
        <v>2501780.2600000007</v>
      </c>
      <c r="G6" s="32"/>
      <c r="H6" s="32"/>
      <c r="I6" s="18" t="s">
        <v>77</v>
      </c>
      <c r="J6" s="13" t="s">
        <v>94</v>
      </c>
      <c r="L6" s="6">
        <v>2400004.8199999998</v>
      </c>
    </row>
    <row r="7" spans="1:12" ht="62.4" x14ac:dyDescent="0.3">
      <c r="A7" s="13">
        <v>6</v>
      </c>
      <c r="B7" s="13" t="s">
        <v>95</v>
      </c>
      <c r="C7" s="19" t="s">
        <v>96</v>
      </c>
      <c r="D7" s="13" t="s">
        <v>79</v>
      </c>
      <c r="E7" s="13" t="s">
        <v>97</v>
      </c>
      <c r="F7" s="32">
        <f>519925.61+862960.86+605247.08+1023000.65</f>
        <v>3011134.1999999997</v>
      </c>
      <c r="G7" s="32"/>
      <c r="H7" s="32"/>
      <c r="I7" s="18" t="s">
        <v>77</v>
      </c>
      <c r="J7" s="13" t="s">
        <v>94</v>
      </c>
      <c r="L7" s="6">
        <v>3050002.4000000004</v>
      </c>
    </row>
    <row r="8" spans="1:12" x14ac:dyDescent="0.3">
      <c r="A8" s="55">
        <v>7</v>
      </c>
      <c r="B8" s="13" t="s">
        <v>98</v>
      </c>
      <c r="C8" s="19" t="s">
        <v>99</v>
      </c>
      <c r="D8" s="13" t="s">
        <v>90</v>
      </c>
      <c r="E8" s="13" t="s">
        <v>100</v>
      </c>
      <c r="F8" s="48">
        <v>375943</v>
      </c>
      <c r="G8" s="48"/>
      <c r="H8" s="48"/>
      <c r="I8" s="20">
        <v>44470</v>
      </c>
      <c r="J8" s="14" t="s">
        <v>101</v>
      </c>
    </row>
    <row r="9" spans="1:12" x14ac:dyDescent="0.3">
      <c r="A9" s="13">
        <v>8</v>
      </c>
      <c r="B9" s="13" t="s">
        <v>102</v>
      </c>
      <c r="C9" s="19">
        <v>3710032043</v>
      </c>
      <c r="D9" s="13" t="s">
        <v>103</v>
      </c>
      <c r="E9" s="13" t="s">
        <v>104</v>
      </c>
      <c r="F9" s="32">
        <v>750406</v>
      </c>
      <c r="G9" s="32"/>
      <c r="H9" s="32"/>
      <c r="I9" s="20">
        <v>44531</v>
      </c>
      <c r="J9" s="13" t="s">
        <v>105</v>
      </c>
    </row>
    <row r="10" spans="1:12" x14ac:dyDescent="0.3">
      <c r="A10" s="55">
        <v>9</v>
      </c>
      <c r="B10" s="13" t="s">
        <v>107</v>
      </c>
      <c r="C10" s="19" t="s">
        <v>108</v>
      </c>
      <c r="D10" s="13" t="s">
        <v>106</v>
      </c>
      <c r="E10" s="13" t="s">
        <v>109</v>
      </c>
      <c r="F10" s="32">
        <v>1750000</v>
      </c>
      <c r="G10" s="32"/>
      <c r="H10" s="32"/>
      <c r="I10" s="20"/>
      <c r="J10" s="13" t="s">
        <v>110</v>
      </c>
    </row>
    <row r="11" spans="1:12" x14ac:dyDescent="0.3">
      <c r="A11" s="13">
        <v>10</v>
      </c>
      <c r="B11" s="13" t="s">
        <v>111</v>
      </c>
      <c r="C11" s="19">
        <v>199085</v>
      </c>
      <c r="D11" s="13" t="s">
        <v>28</v>
      </c>
      <c r="E11" s="13" t="s">
        <v>112</v>
      </c>
      <c r="F11" s="31">
        <f>53300-28700</f>
        <v>24600</v>
      </c>
      <c r="G11" s="31"/>
      <c r="H11" s="31"/>
      <c r="I11" s="20">
        <v>44501</v>
      </c>
      <c r="J11" s="13" t="s">
        <v>113</v>
      </c>
    </row>
    <row r="12" spans="1:12" s="45" customFormat="1" x14ac:dyDescent="0.3">
      <c r="A12" s="55">
        <v>11</v>
      </c>
      <c r="B12" s="40" t="s">
        <v>114</v>
      </c>
      <c r="C12" s="42"/>
      <c r="D12" s="40" t="s">
        <v>28</v>
      </c>
      <c r="E12" s="40" t="s">
        <v>226</v>
      </c>
      <c r="F12" s="36"/>
      <c r="G12" s="36"/>
      <c r="H12" s="36"/>
      <c r="I12" s="44"/>
      <c r="J12" s="40"/>
    </row>
    <row r="13" spans="1:12" x14ac:dyDescent="0.3">
      <c r="A13" s="13">
        <v>12</v>
      </c>
      <c r="B13" s="13" t="s">
        <v>115</v>
      </c>
      <c r="C13" s="19">
        <v>199975</v>
      </c>
      <c r="D13" s="13" t="s">
        <v>28</v>
      </c>
      <c r="E13" s="13" t="s">
        <v>116</v>
      </c>
      <c r="F13" s="32">
        <v>119840</v>
      </c>
      <c r="G13" s="32"/>
      <c r="H13" s="32"/>
      <c r="I13" s="20"/>
      <c r="J13" s="14" t="s">
        <v>117</v>
      </c>
    </row>
    <row r="14" spans="1:12" x14ac:dyDescent="0.3">
      <c r="A14" s="55">
        <v>13</v>
      </c>
      <c r="B14" s="13" t="s">
        <v>118</v>
      </c>
      <c r="C14" s="19">
        <v>4400008616</v>
      </c>
      <c r="D14" s="13" t="s">
        <v>9</v>
      </c>
      <c r="E14" s="13" t="s">
        <v>119</v>
      </c>
      <c r="F14" s="32">
        <v>3949200</v>
      </c>
      <c r="G14" s="32"/>
      <c r="H14" s="32"/>
      <c r="I14" s="20"/>
      <c r="J14" s="13"/>
    </row>
    <row r="15" spans="1:12" x14ac:dyDescent="0.3">
      <c r="A15" s="13">
        <v>14</v>
      </c>
      <c r="B15" s="13" t="s">
        <v>120</v>
      </c>
      <c r="C15" s="19">
        <v>200243</v>
      </c>
      <c r="D15" s="13" t="s">
        <v>28</v>
      </c>
      <c r="E15" s="13" t="s">
        <v>121</v>
      </c>
      <c r="F15" s="32">
        <v>63660</v>
      </c>
      <c r="G15" s="32"/>
      <c r="H15" s="32"/>
      <c r="I15" s="20"/>
      <c r="J15" s="14" t="s">
        <v>122</v>
      </c>
    </row>
    <row r="16" spans="1:12" x14ac:dyDescent="0.3">
      <c r="A16" s="55">
        <v>15</v>
      </c>
      <c r="B16" s="13" t="s">
        <v>123</v>
      </c>
      <c r="C16" s="19" t="s">
        <v>124</v>
      </c>
      <c r="D16" s="13" t="s">
        <v>125</v>
      </c>
      <c r="E16" s="13" t="s">
        <v>126</v>
      </c>
      <c r="F16" s="34">
        <f>7579150-236721-2036806</f>
        <v>5305623</v>
      </c>
      <c r="G16" s="34"/>
      <c r="H16" s="34"/>
      <c r="I16" s="20"/>
      <c r="J16" s="13"/>
    </row>
    <row r="17" spans="1:12" x14ac:dyDescent="0.3">
      <c r="A17" s="13">
        <v>16</v>
      </c>
      <c r="B17" s="13" t="s">
        <v>127</v>
      </c>
      <c r="C17" s="19">
        <v>4503664193</v>
      </c>
      <c r="D17" s="13" t="s">
        <v>90</v>
      </c>
      <c r="E17" s="13" t="s">
        <v>128</v>
      </c>
      <c r="F17" s="32">
        <f>242990-185636</f>
        <v>57354</v>
      </c>
      <c r="G17" s="32"/>
      <c r="H17" s="32"/>
      <c r="I17" s="20"/>
      <c r="J17" s="13" t="s">
        <v>129</v>
      </c>
    </row>
    <row r="18" spans="1:12" x14ac:dyDescent="0.3">
      <c r="A18" s="55">
        <v>17</v>
      </c>
      <c r="B18" s="13" t="s">
        <v>130</v>
      </c>
      <c r="C18" s="19" t="s">
        <v>131</v>
      </c>
      <c r="D18" s="13" t="s">
        <v>9</v>
      </c>
      <c r="E18" s="13" t="s">
        <v>132</v>
      </c>
      <c r="F18" s="32">
        <f>7400*72</f>
        <v>532800</v>
      </c>
      <c r="G18" s="178">
        <v>7400</v>
      </c>
      <c r="H18" s="32">
        <v>72</v>
      </c>
      <c r="I18" s="20"/>
      <c r="J18" s="13"/>
    </row>
    <row r="19" spans="1:12" s="45" customFormat="1" x14ac:dyDescent="0.3">
      <c r="A19" s="13">
        <v>18</v>
      </c>
      <c r="B19" s="40" t="s">
        <v>133</v>
      </c>
      <c r="C19" s="24" t="s">
        <v>225</v>
      </c>
      <c r="D19" s="40" t="s">
        <v>28</v>
      </c>
      <c r="E19" s="40" t="s">
        <v>134</v>
      </c>
      <c r="F19" s="35"/>
      <c r="G19" s="280"/>
      <c r="H19" s="280"/>
      <c r="I19" s="44"/>
      <c r="J19" s="40" t="s">
        <v>135</v>
      </c>
      <c r="K19" s="47"/>
      <c r="L19" s="45">
        <v>339600</v>
      </c>
    </row>
    <row r="20" spans="1:12" s="12" customFormat="1" x14ac:dyDescent="0.3">
      <c r="A20" s="55">
        <v>19</v>
      </c>
      <c r="B20" s="55" t="s">
        <v>136</v>
      </c>
      <c r="C20" s="56">
        <v>4503677504</v>
      </c>
      <c r="D20" s="55" t="s">
        <v>137</v>
      </c>
      <c r="E20" s="55" t="s">
        <v>138</v>
      </c>
      <c r="F20" s="35">
        <f>63661.82*72.5</f>
        <v>4615481.95</v>
      </c>
      <c r="G20" s="281">
        <v>63661.82</v>
      </c>
      <c r="H20" s="32">
        <v>72.5</v>
      </c>
      <c r="I20" s="58"/>
      <c r="J20" s="55"/>
      <c r="L20" s="12">
        <f>63115.71*72</f>
        <v>4544331.12</v>
      </c>
    </row>
    <row r="21" spans="1:12" x14ac:dyDescent="0.3">
      <c r="A21" s="13">
        <v>20</v>
      </c>
      <c r="B21" s="13" t="s">
        <v>139</v>
      </c>
      <c r="C21" s="19">
        <v>4503682788</v>
      </c>
      <c r="D21" s="13" t="s">
        <v>90</v>
      </c>
      <c r="E21" s="16" t="s">
        <v>140</v>
      </c>
      <c r="F21" s="32">
        <v>1242979.46</v>
      </c>
      <c r="G21" s="32"/>
      <c r="H21" s="32"/>
      <c r="I21" s="20"/>
      <c r="J21" s="13"/>
    </row>
    <row r="22" spans="1:12" x14ac:dyDescent="0.3">
      <c r="A22" s="55">
        <v>21</v>
      </c>
      <c r="B22" s="13" t="s">
        <v>141</v>
      </c>
      <c r="C22" s="19"/>
      <c r="D22" s="14" t="s">
        <v>142</v>
      </c>
      <c r="E22" s="16" t="s">
        <v>143</v>
      </c>
      <c r="F22" s="32">
        <f>900*72</f>
        <v>64800</v>
      </c>
      <c r="G22" s="281">
        <v>900</v>
      </c>
      <c r="H22" s="32">
        <v>72</v>
      </c>
      <c r="I22" s="20"/>
      <c r="J22" s="13"/>
    </row>
    <row r="23" spans="1:12" x14ac:dyDescent="0.3">
      <c r="A23" s="13">
        <v>22</v>
      </c>
      <c r="B23" s="13" t="s">
        <v>144</v>
      </c>
      <c r="C23" s="19">
        <v>4600009331</v>
      </c>
      <c r="D23" s="13" t="s">
        <v>69</v>
      </c>
      <c r="E23" s="16" t="s">
        <v>145</v>
      </c>
      <c r="F23" s="32">
        <f>595000/2</f>
        <v>297500</v>
      </c>
      <c r="G23" s="32"/>
      <c r="H23" s="32"/>
      <c r="I23" s="20"/>
      <c r="J23" s="13"/>
    </row>
    <row r="24" spans="1:12" s="45" customFormat="1" x14ac:dyDescent="0.3">
      <c r="A24" s="55">
        <v>23</v>
      </c>
      <c r="B24" s="40" t="s">
        <v>146</v>
      </c>
      <c r="C24" s="42"/>
      <c r="D24" s="40" t="s">
        <v>28</v>
      </c>
      <c r="E24" s="43" t="s">
        <v>147</v>
      </c>
      <c r="F24" s="35"/>
      <c r="G24" s="35"/>
      <c r="H24" s="35"/>
      <c r="I24" s="44"/>
      <c r="J24" s="40"/>
    </row>
    <row r="25" spans="1:12" x14ac:dyDescent="0.3">
      <c r="A25" s="13">
        <v>24</v>
      </c>
      <c r="B25" s="13" t="s">
        <v>148</v>
      </c>
      <c r="C25" s="19"/>
      <c r="D25" s="13" t="s">
        <v>69</v>
      </c>
      <c r="E25" s="16" t="s">
        <v>149</v>
      </c>
      <c r="F25" s="37">
        <v>218800</v>
      </c>
      <c r="G25" s="37"/>
      <c r="H25" s="37"/>
      <c r="I25" s="20"/>
      <c r="J25" s="16" t="s">
        <v>150</v>
      </c>
    </row>
    <row r="26" spans="1:12" s="64" customFormat="1" x14ac:dyDescent="0.3">
      <c r="A26" s="55">
        <v>25</v>
      </c>
      <c r="B26" s="59" t="s">
        <v>151</v>
      </c>
      <c r="C26" s="60"/>
      <c r="D26" s="59" t="s">
        <v>69</v>
      </c>
      <c r="E26" s="61" t="s">
        <v>152</v>
      </c>
      <c r="F26" s="65"/>
      <c r="G26" s="65"/>
      <c r="H26" s="65"/>
      <c r="I26" s="63"/>
      <c r="J26" s="59"/>
    </row>
    <row r="27" spans="1:12" s="64" customFormat="1" x14ac:dyDescent="0.3">
      <c r="A27" s="13">
        <v>26</v>
      </c>
      <c r="B27" s="59" t="s">
        <v>71</v>
      </c>
      <c r="C27" s="60"/>
      <c r="D27" s="59" t="s">
        <v>28</v>
      </c>
      <c r="E27" s="61" t="s">
        <v>153</v>
      </c>
      <c r="F27" s="62"/>
      <c r="G27" s="62"/>
      <c r="H27" s="62"/>
      <c r="I27" s="63"/>
      <c r="J27" s="59"/>
    </row>
    <row r="28" spans="1:12" x14ac:dyDescent="0.3">
      <c r="A28" s="55">
        <v>27</v>
      </c>
      <c r="B28" s="13" t="s">
        <v>154</v>
      </c>
      <c r="C28" s="19"/>
      <c r="D28" s="13"/>
      <c r="E28" s="16" t="s">
        <v>155</v>
      </c>
      <c r="F28" s="34">
        <v>57394.259999999995</v>
      </c>
      <c r="G28" s="34"/>
      <c r="H28" s="34"/>
      <c r="I28" s="20"/>
      <c r="J28" s="16"/>
    </row>
    <row r="29" spans="1:12" x14ac:dyDescent="0.3">
      <c r="A29" s="13">
        <v>28</v>
      </c>
      <c r="B29" s="21" t="s">
        <v>156</v>
      </c>
      <c r="C29" s="19">
        <v>202611</v>
      </c>
      <c r="D29" s="13"/>
      <c r="E29" s="16" t="s">
        <v>157</v>
      </c>
      <c r="F29" s="34">
        <v>2059009.5</v>
      </c>
      <c r="G29" s="34"/>
      <c r="H29" s="34"/>
      <c r="I29" s="20"/>
      <c r="J29" s="16"/>
    </row>
    <row r="30" spans="1:12" x14ac:dyDescent="0.3">
      <c r="A30" s="55">
        <v>29</v>
      </c>
      <c r="B30" s="21" t="s">
        <v>158</v>
      </c>
      <c r="C30" s="19">
        <v>202852</v>
      </c>
      <c r="D30" s="13"/>
      <c r="E30" s="16" t="s">
        <v>159</v>
      </c>
      <c r="F30" s="34">
        <v>36498</v>
      </c>
      <c r="G30" s="34"/>
      <c r="H30" s="34"/>
      <c r="I30" s="20"/>
      <c r="J30" s="16"/>
    </row>
    <row r="31" spans="1:12" x14ac:dyDescent="0.3">
      <c r="A31" s="13">
        <v>30</v>
      </c>
      <c r="B31" s="21" t="s">
        <v>160</v>
      </c>
      <c r="C31" s="19">
        <v>4503697287</v>
      </c>
      <c r="D31" s="13"/>
      <c r="E31" s="16" t="s">
        <v>161</v>
      </c>
      <c r="F31" s="34">
        <v>22138.080000000002</v>
      </c>
      <c r="G31" s="34"/>
      <c r="H31" s="34"/>
      <c r="I31" s="20"/>
      <c r="J31" s="16"/>
    </row>
    <row r="32" spans="1:12" x14ac:dyDescent="0.3">
      <c r="A32" s="55">
        <v>31</v>
      </c>
      <c r="B32" s="21" t="s">
        <v>162</v>
      </c>
      <c r="C32" s="19">
        <v>4503696652</v>
      </c>
      <c r="D32" s="13"/>
      <c r="E32" s="16" t="s">
        <v>163</v>
      </c>
      <c r="F32" s="34">
        <v>26953.68</v>
      </c>
      <c r="G32" s="34"/>
      <c r="H32" s="34"/>
      <c r="I32" s="20"/>
      <c r="J32" s="16"/>
    </row>
    <row r="33" spans="1:12" x14ac:dyDescent="0.3">
      <c r="A33" s="13">
        <v>32</v>
      </c>
      <c r="B33" s="21" t="s">
        <v>164</v>
      </c>
      <c r="C33" s="19">
        <v>202853</v>
      </c>
      <c r="D33" s="13"/>
      <c r="E33" s="16" t="s">
        <v>165</v>
      </c>
      <c r="F33" s="34">
        <v>23070</v>
      </c>
      <c r="G33" s="34"/>
      <c r="H33" s="34"/>
      <c r="I33" s="20"/>
      <c r="J33" s="16" t="s">
        <v>166</v>
      </c>
    </row>
    <row r="34" spans="1:12" x14ac:dyDescent="0.3">
      <c r="A34" s="55">
        <v>33</v>
      </c>
      <c r="B34" s="21" t="s">
        <v>167</v>
      </c>
      <c r="C34" s="19">
        <v>857483</v>
      </c>
      <c r="D34" s="13"/>
      <c r="E34" s="16" t="s">
        <v>168</v>
      </c>
      <c r="F34" s="34">
        <f>251.75*72</f>
        <v>18126</v>
      </c>
      <c r="G34" s="281">
        <v>251.75</v>
      </c>
      <c r="H34" s="34">
        <v>72</v>
      </c>
      <c r="I34" s="20"/>
      <c r="J34" s="16" t="s">
        <v>169</v>
      </c>
    </row>
    <row r="35" spans="1:12" x14ac:dyDescent="0.3">
      <c r="A35" s="13">
        <v>34</v>
      </c>
      <c r="B35" s="21" t="s">
        <v>170</v>
      </c>
      <c r="C35" s="19">
        <v>201268</v>
      </c>
      <c r="D35" s="13"/>
      <c r="E35" s="16" t="s">
        <v>171</v>
      </c>
      <c r="F35" s="34">
        <v>248000</v>
      </c>
      <c r="G35" s="34"/>
      <c r="H35" s="34"/>
      <c r="I35" s="20"/>
      <c r="J35" s="16" t="s">
        <v>172</v>
      </c>
    </row>
    <row r="36" spans="1:12" x14ac:dyDescent="0.3">
      <c r="A36" s="55">
        <v>35</v>
      </c>
      <c r="B36" s="21" t="s">
        <v>173</v>
      </c>
      <c r="C36" s="19">
        <v>203185</v>
      </c>
      <c r="D36" s="13"/>
      <c r="E36" s="16" t="s">
        <v>174</v>
      </c>
      <c r="F36" s="34">
        <v>32642</v>
      </c>
      <c r="G36" s="34"/>
      <c r="H36" s="34"/>
      <c r="I36" s="20"/>
      <c r="J36" s="16" t="s">
        <v>175</v>
      </c>
    </row>
    <row r="37" spans="1:12" x14ac:dyDescent="0.3">
      <c r="A37" s="13">
        <v>36</v>
      </c>
      <c r="B37" s="21" t="s">
        <v>176</v>
      </c>
      <c r="C37" s="19">
        <v>4503700187</v>
      </c>
      <c r="D37" s="13"/>
      <c r="E37" s="16" t="s">
        <v>177</v>
      </c>
      <c r="F37" s="34">
        <f>(34607.01+6069.76)*72.5</f>
        <v>2949065.8250000002</v>
      </c>
      <c r="G37" s="281">
        <f>(34607.01+6069.76)</f>
        <v>40676.770000000004</v>
      </c>
      <c r="H37" s="34">
        <v>72.5</v>
      </c>
      <c r="I37" s="20"/>
      <c r="J37" s="16" t="s">
        <v>178</v>
      </c>
      <c r="L37" s="6">
        <v>2879979.12</v>
      </c>
    </row>
    <row r="38" spans="1:12" x14ac:dyDescent="0.3">
      <c r="A38" s="55">
        <v>37</v>
      </c>
      <c r="B38" s="21" t="s">
        <v>179</v>
      </c>
      <c r="C38" s="19" t="s">
        <v>180</v>
      </c>
      <c r="D38" s="13"/>
      <c r="E38" s="16" t="s">
        <v>181</v>
      </c>
      <c r="F38" s="34">
        <v>2326</v>
      </c>
      <c r="G38" s="34"/>
      <c r="H38" s="34"/>
      <c r="I38" s="20"/>
      <c r="J38" s="16" t="s">
        <v>182</v>
      </c>
    </row>
    <row r="39" spans="1:12" s="45" customFormat="1" x14ac:dyDescent="0.3">
      <c r="A39" s="13">
        <v>38</v>
      </c>
      <c r="B39" s="40" t="s">
        <v>183</v>
      </c>
      <c r="C39" s="49"/>
      <c r="D39" s="50" t="s">
        <v>28</v>
      </c>
      <c r="E39" s="50" t="s">
        <v>227</v>
      </c>
      <c r="F39" s="41"/>
      <c r="G39" s="277"/>
      <c r="H39" s="277"/>
      <c r="I39" s="52"/>
      <c r="J39" s="53"/>
      <c r="K39" s="51"/>
    </row>
    <row r="40" spans="1:12" x14ac:dyDescent="0.3">
      <c r="A40" s="55">
        <v>39</v>
      </c>
      <c r="B40" s="21" t="s">
        <v>184</v>
      </c>
      <c r="C40" s="19">
        <v>4503695854</v>
      </c>
      <c r="D40" s="13"/>
      <c r="E40" s="16" t="s">
        <v>185</v>
      </c>
      <c r="F40" s="34">
        <v>82227.14</v>
      </c>
      <c r="G40" s="34"/>
      <c r="H40" s="34"/>
      <c r="I40" s="20"/>
      <c r="J40" s="16"/>
    </row>
    <row r="41" spans="1:12" x14ac:dyDescent="0.3">
      <c r="A41" s="13">
        <v>40</v>
      </c>
      <c r="B41" s="21" t="s">
        <v>186</v>
      </c>
      <c r="C41" s="19">
        <v>4503705903</v>
      </c>
      <c r="D41" s="13"/>
      <c r="E41" s="16" t="s">
        <v>187</v>
      </c>
      <c r="F41" s="34">
        <v>55275.6</v>
      </c>
      <c r="G41" s="34"/>
      <c r="H41" s="34"/>
      <c r="I41" s="20"/>
      <c r="J41" s="16"/>
    </row>
    <row r="42" spans="1:12" x14ac:dyDescent="0.3">
      <c r="A42" s="55">
        <v>41</v>
      </c>
      <c r="B42" s="21" t="s">
        <v>188</v>
      </c>
      <c r="C42" s="19">
        <v>4503704538</v>
      </c>
      <c r="D42" s="13"/>
      <c r="E42" s="16" t="s">
        <v>189</v>
      </c>
      <c r="F42" s="34">
        <v>579023.52</v>
      </c>
      <c r="G42" s="34"/>
      <c r="H42" s="34"/>
      <c r="I42" s="20"/>
      <c r="J42" s="16"/>
    </row>
    <row r="43" spans="1:12" x14ac:dyDescent="0.3">
      <c r="A43" s="13">
        <v>42</v>
      </c>
      <c r="B43" s="21" t="s">
        <v>190</v>
      </c>
      <c r="C43" s="19" t="s">
        <v>191</v>
      </c>
      <c r="D43" s="13"/>
      <c r="E43" s="16" t="s">
        <v>192</v>
      </c>
      <c r="F43" s="34">
        <v>40000</v>
      </c>
      <c r="G43" s="34"/>
      <c r="H43" s="34"/>
      <c r="I43" s="20"/>
      <c r="J43" s="16"/>
    </row>
    <row r="44" spans="1:12" s="45" customFormat="1" x14ac:dyDescent="0.3">
      <c r="A44" s="55">
        <v>43</v>
      </c>
      <c r="B44" s="40" t="s">
        <v>32</v>
      </c>
      <c r="C44" s="42" t="s">
        <v>193</v>
      </c>
      <c r="D44" s="40"/>
      <c r="E44" s="43" t="s">
        <v>194</v>
      </c>
      <c r="F44" s="46"/>
      <c r="G44" s="46"/>
      <c r="H44" s="46"/>
      <c r="I44" s="44"/>
      <c r="J44" s="43"/>
    </row>
    <row r="45" spans="1:12" x14ac:dyDescent="0.3">
      <c r="A45" s="13">
        <v>44</v>
      </c>
      <c r="B45" s="21" t="s">
        <v>195</v>
      </c>
      <c r="C45" s="19">
        <v>203515</v>
      </c>
      <c r="D45" s="13"/>
      <c r="E45" s="16" t="s">
        <v>196</v>
      </c>
      <c r="F45" s="34">
        <v>9345</v>
      </c>
      <c r="G45" s="34"/>
      <c r="H45" s="34"/>
      <c r="I45" s="20"/>
      <c r="J45" s="16" t="s">
        <v>197</v>
      </c>
    </row>
    <row r="46" spans="1:12" x14ac:dyDescent="0.3">
      <c r="A46" s="55">
        <v>45</v>
      </c>
      <c r="B46" s="21" t="s">
        <v>198</v>
      </c>
      <c r="C46" s="19">
        <v>4503708108</v>
      </c>
      <c r="D46" s="13"/>
      <c r="E46" s="16" t="s">
        <v>199</v>
      </c>
      <c r="F46" s="34">
        <v>6705.1</v>
      </c>
      <c r="G46" s="34"/>
      <c r="H46" s="34"/>
      <c r="I46" s="20"/>
      <c r="J46" s="16"/>
    </row>
    <row r="47" spans="1:12" s="45" customFormat="1" x14ac:dyDescent="0.3">
      <c r="A47" s="13">
        <v>46</v>
      </c>
      <c r="B47" s="40" t="s">
        <v>200</v>
      </c>
      <c r="C47" s="42" t="s">
        <v>201</v>
      </c>
      <c r="D47" s="40"/>
      <c r="E47" s="43" t="s">
        <v>202</v>
      </c>
      <c r="F47" s="46"/>
      <c r="G47" s="46"/>
      <c r="H47" s="46"/>
      <c r="I47" s="44"/>
      <c r="J47" s="43"/>
    </row>
    <row r="48" spans="1:12" s="45" customFormat="1" x14ac:dyDescent="0.3">
      <c r="A48" s="55">
        <v>47</v>
      </c>
      <c r="B48" s="40" t="s">
        <v>203</v>
      </c>
      <c r="C48" s="42" t="s">
        <v>201</v>
      </c>
      <c r="D48" s="40"/>
      <c r="E48" s="43" t="s">
        <v>204</v>
      </c>
      <c r="F48" s="46"/>
      <c r="G48" s="46"/>
      <c r="H48" s="46"/>
      <c r="I48" s="44"/>
      <c r="J48" s="43"/>
    </row>
    <row r="49" spans="1:12" x14ac:dyDescent="0.3">
      <c r="A49" s="13">
        <v>48</v>
      </c>
      <c r="B49" s="21" t="s">
        <v>205</v>
      </c>
      <c r="C49" s="19" t="s">
        <v>206</v>
      </c>
      <c r="D49" s="13"/>
      <c r="E49" s="16" t="s">
        <v>207</v>
      </c>
      <c r="F49" s="34">
        <v>158400</v>
      </c>
      <c r="G49" s="34"/>
      <c r="H49" s="34"/>
      <c r="I49" s="20"/>
      <c r="J49" s="16"/>
    </row>
    <row r="50" spans="1:12" x14ac:dyDescent="0.3">
      <c r="A50" s="55">
        <v>49</v>
      </c>
      <c r="B50" s="21" t="s">
        <v>208</v>
      </c>
      <c r="C50" s="19">
        <v>4503708590</v>
      </c>
      <c r="D50" s="13"/>
      <c r="E50" s="16" t="s">
        <v>209</v>
      </c>
      <c r="F50" s="34">
        <v>41000</v>
      </c>
      <c r="G50" s="34"/>
      <c r="H50" s="34"/>
      <c r="I50" s="20"/>
      <c r="J50" s="16"/>
    </row>
    <row r="51" spans="1:12" x14ac:dyDescent="0.3">
      <c r="A51" s="13">
        <v>50</v>
      </c>
      <c r="B51" s="21" t="s">
        <v>210</v>
      </c>
      <c r="C51" s="19">
        <v>4503709366</v>
      </c>
      <c r="D51" s="13"/>
      <c r="E51" s="16" t="s">
        <v>211</v>
      </c>
      <c r="F51" s="34">
        <v>117110.85</v>
      </c>
      <c r="G51" s="34"/>
      <c r="H51" s="34"/>
      <c r="I51" s="20"/>
      <c r="J51" s="16"/>
    </row>
    <row r="52" spans="1:12" x14ac:dyDescent="0.3">
      <c r="A52" s="55">
        <v>51</v>
      </c>
      <c r="B52" s="21" t="s">
        <v>212</v>
      </c>
      <c r="C52" s="19">
        <v>4503709762</v>
      </c>
      <c r="D52" s="17"/>
      <c r="E52" s="16" t="s">
        <v>213</v>
      </c>
      <c r="F52" s="34">
        <f>2614.42*72</f>
        <v>188238.24</v>
      </c>
      <c r="G52" s="281">
        <v>2614.42</v>
      </c>
      <c r="H52" s="34">
        <v>72</v>
      </c>
      <c r="I52" s="17"/>
      <c r="J52" s="16"/>
    </row>
    <row r="53" spans="1:12" s="12" customFormat="1" ht="31.2" x14ac:dyDescent="0.3">
      <c r="A53" s="13">
        <v>52</v>
      </c>
      <c r="B53" s="55" t="s">
        <v>214</v>
      </c>
      <c r="C53" s="56" t="s">
        <v>215</v>
      </c>
      <c r="D53" s="54"/>
      <c r="E53" s="57" t="s">
        <v>216</v>
      </c>
      <c r="F53" s="37">
        <v>310000</v>
      </c>
      <c r="G53" s="37"/>
      <c r="H53" s="37"/>
      <c r="I53" s="54"/>
      <c r="J53" s="57"/>
    </row>
    <row r="54" spans="1:12" x14ac:dyDescent="0.3">
      <c r="A54" s="22"/>
      <c r="B54" s="22"/>
      <c r="C54" s="25"/>
      <c r="D54" s="22"/>
      <c r="E54" s="22"/>
      <c r="F54" s="38"/>
      <c r="G54" s="38"/>
      <c r="H54" s="38"/>
      <c r="J54" s="27"/>
    </row>
    <row r="55" spans="1:12" x14ac:dyDescent="0.3">
      <c r="A55" s="300" t="s">
        <v>16</v>
      </c>
      <c r="B55" s="301"/>
      <c r="C55" s="301"/>
      <c r="D55" s="301"/>
      <c r="E55" s="302"/>
      <c r="F55" s="39">
        <f>SUM(F2:F53)</f>
        <v>40073335.285000011</v>
      </c>
      <c r="G55" s="39"/>
      <c r="H55" s="39"/>
      <c r="I55" s="23"/>
      <c r="J55" s="17"/>
    </row>
    <row r="57" spans="1:12" x14ac:dyDescent="0.3">
      <c r="F57" s="28">
        <v>39941341.340000004</v>
      </c>
      <c r="L57" s="108">
        <f>F57+L19</f>
        <v>40280941.340000004</v>
      </c>
    </row>
    <row r="58" spans="1:12" x14ac:dyDescent="0.3">
      <c r="L58" s="6" t="s">
        <v>269</v>
      </c>
    </row>
    <row r="59" spans="1:12" x14ac:dyDescent="0.3">
      <c r="J59" s="7"/>
    </row>
  </sheetData>
  <autoFilter ref="A1:J53" xr:uid="{BCFA6378-E110-4C56-BDBF-4F773AD655BB}"/>
  <mergeCells count="1">
    <mergeCell ref="A55:E55"/>
  </mergeCells>
  <pageMargins left="0.7" right="0.7" top="0.75" bottom="0.75" header="0.3" footer="0.3"/>
  <pageSetup paperSize="9" scale="78" fitToHeight="0" orientation="landscape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5A4E-F2E0-493D-90DD-754B1F420E0F}">
  <sheetPr>
    <pageSetUpPr fitToPage="1"/>
  </sheetPr>
  <dimension ref="A1:S179"/>
  <sheetViews>
    <sheetView tabSelected="1" view="pageBreakPreview" zoomScaleNormal="70" zoomScaleSheetLayoutView="100" workbookViewId="0">
      <pane ySplit="1" topLeftCell="A152" activePane="bottomLeft" state="frozen"/>
      <selection activeCell="G35" sqref="G35"/>
      <selection pane="bottomLeft" activeCell="G155" sqref="G155:G160"/>
    </sheetView>
  </sheetViews>
  <sheetFormatPr defaultColWidth="8.77734375" defaultRowHeight="14.4" x14ac:dyDescent="0.3"/>
  <cols>
    <col min="1" max="1" width="7" style="123" customWidth="1"/>
    <col min="2" max="2" width="14.88671875" style="123" customWidth="1"/>
    <col min="3" max="3" width="14.21875" style="162" customWidth="1"/>
    <col min="4" max="4" width="24.44140625" style="162" customWidth="1"/>
    <col min="5" max="5" width="24.109375" style="162" customWidth="1"/>
    <col min="6" max="6" width="42.5546875" style="129" customWidth="1"/>
    <col min="7" max="7" width="19.6640625" style="158" customWidth="1"/>
    <col min="8" max="10" width="14.77734375" style="5" customWidth="1"/>
    <col min="11" max="11" width="16.44140625" style="123" hidden="1" customWidth="1"/>
    <col min="12" max="12" width="13" style="123" hidden="1" customWidth="1"/>
    <col min="13" max="13" width="14.44140625" style="123" hidden="1" customWidth="1"/>
    <col min="14" max="14" width="13.44140625" style="123" hidden="1" customWidth="1"/>
    <col min="15" max="15" width="14" style="123" hidden="1" customWidth="1"/>
    <col min="16" max="16" width="15.44140625" style="123" hidden="1" customWidth="1"/>
    <col min="17" max="17" width="23" style="123" hidden="1" customWidth="1"/>
    <col min="18" max="18" width="23" style="123" customWidth="1"/>
    <col min="19" max="19" width="12.5546875" style="123" customWidth="1"/>
    <col min="20" max="16384" width="8.77734375" style="123"/>
  </cols>
  <sheetData>
    <row r="1" spans="1:19" ht="38.549999999999997" customHeight="1" x14ac:dyDescent="0.3">
      <c r="A1" s="1" t="s">
        <v>1</v>
      </c>
      <c r="B1" s="1" t="s">
        <v>10</v>
      </c>
      <c r="C1" s="1" t="s">
        <v>8</v>
      </c>
      <c r="D1" s="1" t="s">
        <v>12</v>
      </c>
      <c r="E1" s="1" t="s">
        <v>13</v>
      </c>
      <c r="F1" s="1" t="s">
        <v>11</v>
      </c>
      <c r="G1" s="156" t="s">
        <v>14</v>
      </c>
      <c r="H1" s="273" t="s">
        <v>513</v>
      </c>
      <c r="I1" s="274" t="s">
        <v>514</v>
      </c>
      <c r="J1" s="273"/>
      <c r="K1" s="73" t="s">
        <v>20</v>
      </c>
      <c r="L1" s="73" t="s">
        <v>260</v>
      </c>
      <c r="M1" s="74" t="s">
        <v>15</v>
      </c>
      <c r="N1" s="74" t="s">
        <v>22</v>
      </c>
      <c r="O1" s="74" t="s">
        <v>261</v>
      </c>
      <c r="P1" s="74" t="s">
        <v>21</v>
      </c>
      <c r="Q1" s="74" t="s">
        <v>17</v>
      </c>
      <c r="R1" s="266"/>
    </row>
    <row r="2" spans="1:19" s="124" customFormat="1" ht="38.549999999999997" customHeight="1" x14ac:dyDescent="0.3">
      <c r="A2" s="79">
        <v>1</v>
      </c>
      <c r="B2" s="79" t="s">
        <v>18</v>
      </c>
      <c r="C2" s="80">
        <v>44562</v>
      </c>
      <c r="D2" s="79" t="s">
        <v>7</v>
      </c>
      <c r="E2" s="79" t="s">
        <v>7</v>
      </c>
      <c r="F2" s="84" t="s">
        <v>7</v>
      </c>
      <c r="G2" s="97">
        <f>'PO Register 2021'!F55</f>
        <v>40073335.285000011</v>
      </c>
      <c r="H2" s="285"/>
      <c r="I2" s="285"/>
      <c r="J2" s="81"/>
      <c r="K2" s="96"/>
      <c r="L2" s="97"/>
      <c r="M2" s="97"/>
      <c r="N2" s="97"/>
      <c r="O2" s="97"/>
      <c r="P2" s="97"/>
      <c r="Q2" s="189">
        <v>39941341.340000004</v>
      </c>
      <c r="R2" s="267"/>
    </row>
    <row r="3" spans="1:19" s="125" customFormat="1" ht="39" customHeight="1" x14ac:dyDescent="0.3">
      <c r="A3" s="75">
        <v>2</v>
      </c>
      <c r="B3" s="76" t="s">
        <v>32</v>
      </c>
      <c r="C3" s="77">
        <v>44207</v>
      </c>
      <c r="D3" s="76">
        <v>4400008785</v>
      </c>
      <c r="E3" s="76" t="s">
        <v>3</v>
      </c>
      <c r="F3" s="85" t="s">
        <v>33</v>
      </c>
      <c r="G3" s="99">
        <f>10308.52*72.5</f>
        <v>747367.70000000007</v>
      </c>
      <c r="H3" s="286">
        <v>10308.52</v>
      </c>
      <c r="I3" s="286">
        <v>72.5</v>
      </c>
      <c r="J3" s="78"/>
      <c r="K3" s="98">
        <v>653132</v>
      </c>
      <c r="L3" s="99" t="s">
        <v>7</v>
      </c>
      <c r="M3" s="99">
        <v>94236.93</v>
      </c>
      <c r="N3" s="99"/>
      <c r="O3" s="99">
        <v>0</v>
      </c>
      <c r="P3" s="194" t="s">
        <v>7</v>
      </c>
      <c r="Q3" s="99">
        <f>SUM(K3:P3)</f>
        <v>747368.92999999993</v>
      </c>
      <c r="R3" s="268"/>
    </row>
    <row r="4" spans="1:19" s="125" customFormat="1" ht="39" customHeight="1" x14ac:dyDescent="0.3">
      <c r="A4" s="75">
        <v>3</v>
      </c>
      <c r="B4" s="76" t="s">
        <v>71</v>
      </c>
      <c r="C4" s="77">
        <v>44220</v>
      </c>
      <c r="D4" s="76">
        <v>197707</v>
      </c>
      <c r="E4" s="76" t="s">
        <v>34</v>
      </c>
      <c r="F4" s="85" t="s">
        <v>70</v>
      </c>
      <c r="G4" s="99">
        <f>490350+16860</f>
        <v>507210</v>
      </c>
      <c r="H4" s="286"/>
      <c r="I4" s="286"/>
      <c r="J4" s="78"/>
      <c r="K4" s="98"/>
      <c r="L4" s="99"/>
      <c r="M4" s="99"/>
      <c r="N4" s="99"/>
      <c r="O4" s="99"/>
      <c r="P4" s="99"/>
      <c r="Q4" s="99">
        <f t="shared" ref="Q4:Q13" si="0">SUM(K4:P4)</f>
        <v>0</v>
      </c>
      <c r="R4" s="268"/>
    </row>
    <row r="5" spans="1:19" s="125" customFormat="1" ht="39" customHeight="1" x14ac:dyDescent="0.3">
      <c r="A5" s="75">
        <v>4</v>
      </c>
      <c r="B5" s="76" t="s">
        <v>7</v>
      </c>
      <c r="C5" s="77"/>
      <c r="D5" s="76">
        <v>204481</v>
      </c>
      <c r="E5" s="76" t="s">
        <v>34</v>
      </c>
      <c r="F5" s="85" t="s">
        <v>72</v>
      </c>
      <c r="G5" s="99">
        <v>125510</v>
      </c>
      <c r="H5" s="286"/>
      <c r="I5" s="286"/>
      <c r="J5" s="78"/>
      <c r="K5" s="98"/>
      <c r="L5" s="99"/>
      <c r="M5" s="99"/>
      <c r="N5" s="99"/>
      <c r="O5" s="99"/>
      <c r="P5" s="99"/>
      <c r="Q5" s="99">
        <f t="shared" si="0"/>
        <v>0</v>
      </c>
      <c r="R5" s="268"/>
    </row>
    <row r="6" spans="1:19" s="125" customFormat="1" ht="39" customHeight="1" x14ac:dyDescent="0.3">
      <c r="A6" s="75">
        <v>5</v>
      </c>
      <c r="B6" s="76" t="s">
        <v>151</v>
      </c>
      <c r="C6" s="77" t="s">
        <v>339</v>
      </c>
      <c r="D6" s="76">
        <v>4600010270</v>
      </c>
      <c r="E6" s="76" t="s">
        <v>69</v>
      </c>
      <c r="F6" s="85" t="s">
        <v>230</v>
      </c>
      <c r="G6" s="99">
        <v>560037.56000000006</v>
      </c>
      <c r="H6" s="286"/>
      <c r="I6" s="286"/>
      <c r="J6" s="78"/>
      <c r="K6" s="98">
        <v>230587.44</v>
      </c>
      <c r="L6" s="99">
        <v>0</v>
      </c>
      <c r="M6" s="99">
        <v>11529.37</v>
      </c>
      <c r="N6" s="99">
        <v>119905.47</v>
      </c>
      <c r="O6" s="99">
        <v>4611.75</v>
      </c>
      <c r="P6" s="99">
        <v>193416.74</v>
      </c>
      <c r="Q6" s="99">
        <f>SUM(K6:P6)</f>
        <v>560050.77</v>
      </c>
      <c r="R6" s="268"/>
    </row>
    <row r="7" spans="1:19" s="126" customFormat="1" ht="39" customHeight="1" x14ac:dyDescent="0.3">
      <c r="A7" s="90">
        <v>6</v>
      </c>
      <c r="B7" s="91" t="s">
        <v>183</v>
      </c>
      <c r="C7" s="92"/>
      <c r="D7" s="91" t="s">
        <v>7</v>
      </c>
      <c r="E7" s="91" t="s">
        <v>34</v>
      </c>
      <c r="F7" s="93" t="s">
        <v>231</v>
      </c>
      <c r="G7" s="101">
        <v>5120</v>
      </c>
      <c r="H7" s="287"/>
      <c r="I7" s="287"/>
      <c r="J7" s="94"/>
      <c r="K7" s="100"/>
      <c r="L7" s="101"/>
      <c r="M7" s="101"/>
      <c r="N7" s="101"/>
      <c r="O7" s="101"/>
      <c r="P7" s="101"/>
      <c r="Q7" s="99">
        <f t="shared" si="0"/>
        <v>0</v>
      </c>
      <c r="R7" s="268"/>
    </row>
    <row r="8" spans="1:19" s="125" customFormat="1" ht="39" customHeight="1" x14ac:dyDescent="0.3">
      <c r="A8" s="75">
        <v>7</v>
      </c>
      <c r="B8" s="76" t="s">
        <v>200</v>
      </c>
      <c r="C8" s="77">
        <v>44620</v>
      </c>
      <c r="D8" s="76">
        <v>4600010479</v>
      </c>
      <c r="E8" s="76" t="s">
        <v>69</v>
      </c>
      <c r="F8" s="85" t="s">
        <v>228</v>
      </c>
      <c r="G8" s="99">
        <v>1989580.9</v>
      </c>
      <c r="H8" s="286"/>
      <c r="I8" s="286"/>
      <c r="J8" s="78"/>
      <c r="K8" s="98">
        <v>1594120.68</v>
      </c>
      <c r="L8" s="99">
        <v>30656.17</v>
      </c>
      <c r="M8" s="99">
        <v>15328.08</v>
      </c>
      <c r="N8" s="99">
        <v>82005.25</v>
      </c>
      <c r="O8" s="99">
        <v>153280.82999999999</v>
      </c>
      <c r="P8" s="99">
        <v>114194.22</v>
      </c>
      <c r="Q8" s="99">
        <f t="shared" si="0"/>
        <v>1989585.23</v>
      </c>
      <c r="R8" s="268"/>
    </row>
    <row r="9" spans="1:19" s="125" customFormat="1" ht="39" customHeight="1" x14ac:dyDescent="0.3">
      <c r="A9" s="75">
        <v>8</v>
      </c>
      <c r="B9" s="76" t="s">
        <v>203</v>
      </c>
      <c r="C9" s="77">
        <v>44636</v>
      </c>
      <c r="D9" s="76">
        <v>4600010883</v>
      </c>
      <c r="E9" s="76" t="s">
        <v>69</v>
      </c>
      <c r="F9" s="85" t="s">
        <v>229</v>
      </c>
      <c r="G9" s="99">
        <v>606699</v>
      </c>
      <c r="H9" s="286"/>
      <c r="I9" s="286"/>
      <c r="J9" s="78"/>
      <c r="K9" s="98">
        <v>474156.76</v>
      </c>
      <c r="L9" s="99">
        <v>9031.56</v>
      </c>
      <c r="M9" s="99">
        <v>9031.56</v>
      </c>
      <c r="N9" s="99">
        <v>10160.5</v>
      </c>
      <c r="O9" s="99">
        <v>45157.79</v>
      </c>
      <c r="P9" s="99">
        <v>59156.7</v>
      </c>
      <c r="Q9" s="99">
        <f t="shared" si="0"/>
        <v>606694.87</v>
      </c>
      <c r="R9" s="268"/>
    </row>
    <row r="10" spans="1:19" s="125" customFormat="1" ht="39" customHeight="1" x14ac:dyDescent="0.3">
      <c r="A10" s="75">
        <v>9</v>
      </c>
      <c r="B10" s="76" t="s">
        <v>146</v>
      </c>
      <c r="C10" s="77">
        <v>44629</v>
      </c>
      <c r="D10" s="76" t="s">
        <v>5</v>
      </c>
      <c r="E10" s="76" t="s">
        <v>34</v>
      </c>
      <c r="F10" s="85" t="s">
        <v>309</v>
      </c>
      <c r="G10" s="99">
        <v>205741.5</v>
      </c>
      <c r="H10" s="286"/>
      <c r="I10" s="286"/>
      <c r="J10" s="78"/>
      <c r="K10" s="98">
        <v>111930</v>
      </c>
      <c r="L10" s="99">
        <v>2238</v>
      </c>
      <c r="M10" s="99">
        <v>1119.3</v>
      </c>
      <c r="N10" s="99">
        <v>0</v>
      </c>
      <c r="O10" s="99">
        <v>2238</v>
      </c>
      <c r="P10" s="99">
        <v>88212.03</v>
      </c>
      <c r="Q10" s="99">
        <f t="shared" si="0"/>
        <v>205737.33000000002</v>
      </c>
      <c r="R10" s="268"/>
    </row>
    <row r="11" spans="1:19" s="125" customFormat="1" ht="39" customHeight="1" x14ac:dyDescent="0.3">
      <c r="A11" s="75">
        <v>10</v>
      </c>
      <c r="B11" s="230" t="s">
        <v>482</v>
      </c>
      <c r="C11" s="77"/>
      <c r="D11" s="76"/>
      <c r="E11" s="76" t="s">
        <v>34</v>
      </c>
      <c r="F11" s="231" t="s">
        <v>483</v>
      </c>
      <c r="G11" s="99">
        <v>60783</v>
      </c>
      <c r="H11" s="286"/>
      <c r="I11" s="286"/>
      <c r="J11" s="78"/>
      <c r="K11" s="98"/>
      <c r="L11" s="99"/>
      <c r="M11" s="99"/>
      <c r="N11" s="99"/>
      <c r="O11" s="99"/>
      <c r="P11" s="99"/>
      <c r="Q11" s="99"/>
      <c r="R11" s="268"/>
    </row>
    <row r="12" spans="1:19" s="125" customFormat="1" ht="39" customHeight="1" x14ac:dyDescent="0.3">
      <c r="A12" s="75">
        <v>10</v>
      </c>
      <c r="B12" s="76" t="s">
        <v>133</v>
      </c>
      <c r="C12" s="77"/>
      <c r="D12" s="76" t="s">
        <v>262</v>
      </c>
      <c r="E12" s="76" t="s">
        <v>34</v>
      </c>
      <c r="F12" s="85" t="s">
        <v>258</v>
      </c>
      <c r="G12" s="99">
        <v>851400</v>
      </c>
      <c r="H12" s="286"/>
      <c r="I12" s="286"/>
      <c r="J12" s="78"/>
      <c r="K12" s="98"/>
      <c r="L12" s="99"/>
      <c r="M12" s="99"/>
      <c r="N12" s="99"/>
      <c r="O12" s="99"/>
      <c r="P12" s="99"/>
      <c r="Q12" s="99">
        <f t="shared" si="0"/>
        <v>0</v>
      </c>
      <c r="R12" s="268"/>
    </row>
    <row r="13" spans="1:19" s="125" customFormat="1" ht="39" customHeight="1" x14ac:dyDescent="0.3">
      <c r="A13" s="75">
        <v>11</v>
      </c>
      <c r="B13" s="76" t="s">
        <v>148</v>
      </c>
      <c r="C13" s="77">
        <v>44562</v>
      </c>
      <c r="D13" s="76">
        <v>46000098942</v>
      </c>
      <c r="E13" s="76" t="s">
        <v>69</v>
      </c>
      <c r="F13" s="85" t="s">
        <v>286</v>
      </c>
      <c r="G13" s="99">
        <v>218800</v>
      </c>
      <c r="H13" s="286"/>
      <c r="I13" s="286"/>
      <c r="J13" s="78"/>
      <c r="K13" s="98">
        <v>158346.16</v>
      </c>
      <c r="L13" s="99">
        <v>0</v>
      </c>
      <c r="M13" s="99">
        <v>7540.3</v>
      </c>
      <c r="N13" s="99">
        <v>22620.880000000001</v>
      </c>
      <c r="O13" s="99">
        <v>12064.46</v>
      </c>
      <c r="P13" s="99">
        <v>18247.5</v>
      </c>
      <c r="Q13" s="99">
        <f t="shared" si="0"/>
        <v>218819.3</v>
      </c>
      <c r="R13" s="268"/>
    </row>
    <row r="14" spans="1:19" s="127" customFormat="1" ht="28.5" customHeight="1" x14ac:dyDescent="0.3">
      <c r="A14" s="82">
        <v>11</v>
      </c>
      <c r="B14" s="66" t="s">
        <v>19</v>
      </c>
      <c r="C14" s="67">
        <v>44561</v>
      </c>
      <c r="D14" s="66">
        <v>204390</v>
      </c>
      <c r="E14" s="66" t="s">
        <v>34</v>
      </c>
      <c r="F14" s="149" t="s">
        <v>35</v>
      </c>
      <c r="G14" s="103">
        <v>2495.36</v>
      </c>
      <c r="H14" s="144"/>
      <c r="I14" s="144"/>
      <c r="J14" s="282"/>
      <c r="K14" s="102">
        <v>1530.9</v>
      </c>
      <c r="L14" s="102">
        <v>0</v>
      </c>
      <c r="M14" s="102">
        <v>76.55</v>
      </c>
      <c r="N14" s="102">
        <v>76.55</v>
      </c>
      <c r="O14" s="102">
        <v>0</v>
      </c>
      <c r="P14" s="102">
        <v>811.38</v>
      </c>
      <c r="Q14" s="103">
        <f>SUM(K14:P14)</f>
        <v>2495.38</v>
      </c>
      <c r="R14" s="269"/>
      <c r="S14" s="186"/>
    </row>
    <row r="15" spans="1:19" s="127" customFormat="1" ht="32.549999999999997" customHeight="1" x14ac:dyDescent="0.3">
      <c r="A15" s="83">
        <v>12</v>
      </c>
      <c r="B15" s="66" t="s">
        <v>23</v>
      </c>
      <c r="C15" s="67">
        <v>44566</v>
      </c>
      <c r="D15" s="69">
        <v>4503712519</v>
      </c>
      <c r="E15" s="69" t="s">
        <v>36</v>
      </c>
      <c r="F15" s="150" t="s">
        <v>37</v>
      </c>
      <c r="G15" s="103">
        <v>3750</v>
      </c>
      <c r="H15" s="144"/>
      <c r="I15" s="144"/>
      <c r="J15" s="282"/>
      <c r="K15" s="102">
        <v>1170</v>
      </c>
      <c r="L15" s="102">
        <v>0</v>
      </c>
      <c r="M15" s="102">
        <v>117</v>
      </c>
      <c r="N15" s="102">
        <v>117</v>
      </c>
      <c r="O15" s="102">
        <v>0</v>
      </c>
      <c r="P15" s="102">
        <v>2340</v>
      </c>
      <c r="Q15" s="103">
        <f t="shared" ref="Q15:Q78" si="1">SUM(K15:P15)</f>
        <v>3744</v>
      </c>
      <c r="R15" s="269"/>
      <c r="S15" s="186"/>
    </row>
    <row r="16" spans="1:19" s="127" customFormat="1" ht="32.549999999999997" customHeight="1" x14ac:dyDescent="0.3">
      <c r="A16" s="82">
        <v>13</v>
      </c>
      <c r="B16" s="66" t="s">
        <v>26</v>
      </c>
      <c r="C16" s="67">
        <v>44572</v>
      </c>
      <c r="D16" s="69" t="s">
        <v>38</v>
      </c>
      <c r="E16" s="69" t="s">
        <v>39</v>
      </c>
      <c r="F16" s="150" t="s">
        <v>40</v>
      </c>
      <c r="G16" s="103">
        <v>41562.879999999997</v>
      </c>
      <c r="H16" s="144"/>
      <c r="I16" s="144"/>
      <c r="J16" s="282"/>
      <c r="K16" s="102">
        <v>31132.92</v>
      </c>
      <c r="L16" s="102">
        <v>0</v>
      </c>
      <c r="M16" s="102">
        <v>622.66</v>
      </c>
      <c r="N16" s="102">
        <v>1556.65</v>
      </c>
      <c r="O16" s="102">
        <v>0</v>
      </c>
      <c r="P16" s="102">
        <v>8250.2199999999993</v>
      </c>
      <c r="Q16" s="103">
        <f t="shared" si="1"/>
        <v>41562.449999999997</v>
      </c>
      <c r="R16" s="269"/>
      <c r="S16" s="186"/>
    </row>
    <row r="17" spans="1:19" s="127" customFormat="1" ht="32.549999999999997" customHeight="1" x14ac:dyDescent="0.3">
      <c r="A17" s="83">
        <v>14</v>
      </c>
      <c r="B17" s="66" t="s">
        <v>24</v>
      </c>
      <c r="C17" s="67">
        <v>44570</v>
      </c>
      <c r="D17" s="69">
        <v>4503713204</v>
      </c>
      <c r="E17" s="69" t="s">
        <v>2</v>
      </c>
      <c r="F17" s="150" t="s">
        <v>41</v>
      </c>
      <c r="G17" s="103">
        <f>H17*I17</f>
        <v>73278.649999999994</v>
      </c>
      <c r="H17" s="179">
        <v>1010.74</v>
      </c>
      <c r="I17" s="144">
        <v>72.5</v>
      </c>
      <c r="J17" s="283"/>
      <c r="K17" s="102">
        <v>57700</v>
      </c>
      <c r="L17" s="102">
        <v>0</v>
      </c>
      <c r="M17" s="102">
        <v>2885</v>
      </c>
      <c r="N17" s="102">
        <v>1154</v>
      </c>
      <c r="O17" s="102">
        <v>0</v>
      </c>
      <c r="P17" s="102">
        <v>11540</v>
      </c>
      <c r="Q17" s="103">
        <f t="shared" si="1"/>
        <v>73279</v>
      </c>
      <c r="R17" s="269"/>
      <c r="S17" s="186"/>
    </row>
    <row r="18" spans="1:19" s="127" customFormat="1" ht="32.549999999999997" customHeight="1" x14ac:dyDescent="0.3">
      <c r="A18" s="82">
        <v>15</v>
      </c>
      <c r="B18" s="66" t="s">
        <v>25</v>
      </c>
      <c r="C18" s="67">
        <v>44567</v>
      </c>
      <c r="D18" s="69">
        <v>4400008886</v>
      </c>
      <c r="E18" s="69" t="s">
        <v>3</v>
      </c>
      <c r="F18" s="150" t="s">
        <v>42</v>
      </c>
      <c r="G18" s="103">
        <f>H18*I18</f>
        <v>168925.72500000001</v>
      </c>
      <c r="H18" s="179">
        <v>2330.0100000000002</v>
      </c>
      <c r="I18" s="144">
        <v>72.5</v>
      </c>
      <c r="J18" s="283"/>
      <c r="K18" s="102">
        <v>131994.51999999999</v>
      </c>
      <c r="L18" s="102">
        <v>0</v>
      </c>
      <c r="M18" s="102">
        <v>2639.89</v>
      </c>
      <c r="N18" s="102">
        <v>1319.95</v>
      </c>
      <c r="O18" s="102">
        <v>0</v>
      </c>
      <c r="P18" s="102">
        <v>32998.629999999997</v>
      </c>
      <c r="Q18" s="103">
        <f t="shared" si="1"/>
        <v>168952.99000000002</v>
      </c>
      <c r="R18" s="269"/>
      <c r="S18" s="186"/>
    </row>
    <row r="19" spans="1:19" s="127" customFormat="1" ht="32.549999999999997" customHeight="1" x14ac:dyDescent="0.3">
      <c r="A19" s="90">
        <v>16</v>
      </c>
      <c r="B19" s="66" t="s">
        <v>43</v>
      </c>
      <c r="C19" s="67">
        <v>44556</v>
      </c>
      <c r="D19" s="69">
        <v>4400008847</v>
      </c>
      <c r="E19" s="69" t="s">
        <v>3</v>
      </c>
      <c r="F19" s="149" t="s">
        <v>44</v>
      </c>
      <c r="G19" s="103">
        <f>11900*72.5</f>
        <v>862750</v>
      </c>
      <c r="H19" s="179">
        <v>11900</v>
      </c>
      <c r="I19" s="144">
        <v>72.5</v>
      </c>
      <c r="J19" s="282"/>
      <c r="K19" s="102"/>
      <c r="L19" s="102"/>
      <c r="M19" s="102"/>
      <c r="N19" s="102"/>
      <c r="O19" s="102"/>
      <c r="P19" s="102"/>
      <c r="Q19" s="103">
        <f t="shared" si="1"/>
        <v>0</v>
      </c>
      <c r="R19" s="269"/>
      <c r="S19" s="187"/>
    </row>
    <row r="20" spans="1:19" s="127" customFormat="1" ht="32.549999999999997" customHeight="1" x14ac:dyDescent="0.3">
      <c r="A20" s="91">
        <v>17</v>
      </c>
      <c r="B20" s="66" t="s">
        <v>45</v>
      </c>
      <c r="C20" s="67">
        <v>44581</v>
      </c>
      <c r="D20" s="69" t="s">
        <v>46</v>
      </c>
      <c r="E20" s="66" t="s">
        <v>6</v>
      </c>
      <c r="F20" s="86" t="s">
        <v>47</v>
      </c>
      <c r="G20" s="103">
        <f>830*72.5</f>
        <v>60175</v>
      </c>
      <c r="H20" s="179">
        <v>830</v>
      </c>
      <c r="I20" s="144">
        <v>72.5</v>
      </c>
      <c r="J20" s="282"/>
      <c r="K20" s="102"/>
      <c r="L20" s="102"/>
      <c r="M20" s="102"/>
      <c r="N20" s="102"/>
      <c r="O20" s="102"/>
      <c r="P20" s="102"/>
      <c r="Q20" s="103">
        <f t="shared" si="1"/>
        <v>0</v>
      </c>
      <c r="R20" s="269"/>
      <c r="S20" s="187"/>
    </row>
    <row r="21" spans="1:19" s="127" customFormat="1" ht="32.549999999999997" customHeight="1" x14ac:dyDescent="0.3">
      <c r="A21" s="83">
        <v>18</v>
      </c>
      <c r="B21" s="66" t="s">
        <v>27</v>
      </c>
      <c r="C21" s="67">
        <v>44628</v>
      </c>
      <c r="D21" s="69">
        <v>206501</v>
      </c>
      <c r="E21" s="165" t="s">
        <v>28</v>
      </c>
      <c r="F21" s="86" t="s">
        <v>48</v>
      </c>
      <c r="G21" s="103">
        <v>372880.92</v>
      </c>
      <c r="H21" s="144"/>
      <c r="I21" s="144"/>
      <c r="J21" s="282"/>
      <c r="K21" s="102">
        <v>221360</v>
      </c>
      <c r="L21" s="102">
        <v>0</v>
      </c>
      <c r="M21" s="102">
        <v>5423.32</v>
      </c>
      <c r="N21" s="102">
        <v>2213.6</v>
      </c>
      <c r="O21" s="102">
        <v>4427.2</v>
      </c>
      <c r="P21" s="102">
        <v>139456.79999999999</v>
      </c>
      <c r="Q21" s="103">
        <f t="shared" si="1"/>
        <v>372880.92000000004</v>
      </c>
      <c r="R21" s="269"/>
      <c r="S21" s="186"/>
    </row>
    <row r="22" spans="1:19" s="127" customFormat="1" ht="32.549999999999997" customHeight="1" x14ac:dyDescent="0.3">
      <c r="A22" s="91">
        <v>19</v>
      </c>
      <c r="B22" s="70" t="s">
        <v>49</v>
      </c>
      <c r="C22" s="95">
        <v>44571</v>
      </c>
      <c r="D22" s="184" t="s">
        <v>7</v>
      </c>
      <c r="E22" s="70" t="s">
        <v>34</v>
      </c>
      <c r="F22" s="87" t="s">
        <v>50</v>
      </c>
      <c r="G22" s="104">
        <f>414766+361571.5+329773+187119</f>
        <v>1293229.5</v>
      </c>
      <c r="H22" s="145"/>
      <c r="I22" s="145"/>
      <c r="J22" s="284"/>
      <c r="K22" s="104"/>
      <c r="L22" s="104"/>
      <c r="M22" s="104"/>
      <c r="N22" s="104"/>
      <c r="O22" s="104"/>
      <c r="P22" s="104"/>
      <c r="Q22" s="104">
        <f t="shared" si="1"/>
        <v>0</v>
      </c>
      <c r="R22" s="270"/>
      <c r="S22" s="188"/>
    </row>
    <row r="23" spans="1:19" s="127" customFormat="1" ht="32.549999999999997" customHeight="1" x14ac:dyDescent="0.3">
      <c r="A23" s="83">
        <v>20</v>
      </c>
      <c r="B23" s="66" t="s">
        <v>29</v>
      </c>
      <c r="C23" s="67">
        <v>44209</v>
      </c>
      <c r="D23" s="69">
        <v>4503717917</v>
      </c>
      <c r="E23" s="66" t="s">
        <v>2</v>
      </c>
      <c r="F23" s="86" t="s">
        <v>51</v>
      </c>
      <c r="G23" s="102">
        <v>159302.88</v>
      </c>
      <c r="H23" s="68"/>
      <c r="I23" s="68"/>
      <c r="J23" s="248"/>
      <c r="K23" s="102">
        <v>108211.43</v>
      </c>
      <c r="L23" s="102">
        <v>0</v>
      </c>
      <c r="M23" s="102">
        <v>5410.57</v>
      </c>
      <c r="N23" s="102">
        <v>2164.23</v>
      </c>
      <c r="O23" s="102">
        <v>0</v>
      </c>
      <c r="P23" s="102">
        <v>43284.57</v>
      </c>
      <c r="Q23" s="103">
        <f t="shared" si="1"/>
        <v>159070.79999999999</v>
      </c>
      <c r="R23" s="269"/>
      <c r="S23" s="186"/>
    </row>
    <row r="24" spans="1:19" s="127" customFormat="1" ht="32.549999999999997" customHeight="1" x14ac:dyDescent="0.3">
      <c r="A24" s="82">
        <v>21</v>
      </c>
      <c r="B24" s="66" t="s">
        <v>52</v>
      </c>
      <c r="C24" s="67">
        <v>44581</v>
      </c>
      <c r="D24" s="71">
        <v>122223200183</v>
      </c>
      <c r="E24" s="66" t="s">
        <v>39</v>
      </c>
      <c r="F24" s="86" t="s">
        <v>53</v>
      </c>
      <c r="G24" s="102">
        <v>35286</v>
      </c>
      <c r="H24" s="68"/>
      <c r="I24" s="68"/>
      <c r="J24" s="248"/>
      <c r="K24" s="102">
        <v>23371</v>
      </c>
      <c r="L24" s="102">
        <v>0</v>
      </c>
      <c r="M24" s="102">
        <v>233.71</v>
      </c>
      <c r="N24" s="102">
        <v>1168.55</v>
      </c>
      <c r="O24" s="102">
        <v>0</v>
      </c>
      <c r="P24" s="102">
        <v>10516.95</v>
      </c>
      <c r="Q24" s="103">
        <f t="shared" si="1"/>
        <v>35290.21</v>
      </c>
      <c r="R24" s="269"/>
      <c r="S24" s="186"/>
    </row>
    <row r="25" spans="1:19" s="127" customFormat="1" ht="32.549999999999997" customHeight="1" x14ac:dyDescent="0.3">
      <c r="A25" s="83">
        <v>22</v>
      </c>
      <c r="B25" s="66" t="s">
        <v>54</v>
      </c>
      <c r="C25" s="67">
        <v>44581</v>
      </c>
      <c r="D25" s="71">
        <v>122223200184</v>
      </c>
      <c r="E25" s="66" t="s">
        <v>39</v>
      </c>
      <c r="F25" s="86" t="s">
        <v>55</v>
      </c>
      <c r="G25" s="102">
        <v>16152</v>
      </c>
      <c r="H25" s="68"/>
      <c r="I25" s="68"/>
      <c r="J25" s="248"/>
      <c r="K25" s="102">
        <v>10768</v>
      </c>
      <c r="L25" s="102">
        <v>0</v>
      </c>
      <c r="M25" s="102">
        <v>215.36</v>
      </c>
      <c r="N25" s="102">
        <v>538.4</v>
      </c>
      <c r="O25" s="102">
        <v>0</v>
      </c>
      <c r="P25" s="102">
        <v>4630.24</v>
      </c>
      <c r="Q25" s="103">
        <f t="shared" si="1"/>
        <v>16152</v>
      </c>
      <c r="R25" s="269"/>
      <c r="S25" s="186"/>
    </row>
    <row r="26" spans="1:19" s="127" customFormat="1" ht="32.549999999999997" customHeight="1" x14ac:dyDescent="0.3">
      <c r="A26" s="82">
        <v>23</v>
      </c>
      <c r="B26" s="66" t="s">
        <v>56</v>
      </c>
      <c r="C26" s="67">
        <v>44609</v>
      </c>
      <c r="D26" s="71">
        <v>205973</v>
      </c>
      <c r="E26" s="66" t="s">
        <v>34</v>
      </c>
      <c r="F26" s="86" t="s">
        <v>259</v>
      </c>
      <c r="G26" s="102">
        <v>53460</v>
      </c>
      <c r="H26" s="68"/>
      <c r="I26" s="68"/>
      <c r="J26" s="248"/>
      <c r="K26" s="102">
        <v>12276</v>
      </c>
      <c r="L26" s="102">
        <v>0</v>
      </c>
      <c r="M26" s="102">
        <v>19641.599999999999</v>
      </c>
      <c r="N26" s="102">
        <v>1227.5999999999999</v>
      </c>
      <c r="O26" s="102">
        <v>1227.5999999999999</v>
      </c>
      <c r="P26" s="102">
        <v>19150.560000000001</v>
      </c>
      <c r="Q26" s="103">
        <f t="shared" si="1"/>
        <v>53523.360000000001</v>
      </c>
      <c r="R26" s="269"/>
      <c r="S26" s="186"/>
    </row>
    <row r="27" spans="1:19" s="127" customFormat="1" ht="32.549999999999997" customHeight="1" x14ac:dyDescent="0.3">
      <c r="A27" s="90">
        <v>24</v>
      </c>
      <c r="B27" s="72" t="s">
        <v>57</v>
      </c>
      <c r="C27" s="67">
        <v>44592</v>
      </c>
      <c r="D27" s="71" t="s">
        <v>263</v>
      </c>
      <c r="E27" s="166" t="s">
        <v>82</v>
      </c>
      <c r="F27" s="88" t="s">
        <v>264</v>
      </c>
      <c r="G27" s="102">
        <v>1012000</v>
      </c>
      <c r="H27" s="68"/>
      <c r="I27" s="68"/>
      <c r="J27" s="248"/>
      <c r="K27" s="102"/>
      <c r="L27" s="102"/>
      <c r="M27" s="102"/>
      <c r="N27" s="102"/>
      <c r="O27" s="102"/>
      <c r="P27" s="102"/>
      <c r="Q27" s="103">
        <f t="shared" si="1"/>
        <v>0</v>
      </c>
      <c r="R27" s="269"/>
      <c r="S27" s="188"/>
    </row>
    <row r="28" spans="1:19" s="127" customFormat="1" ht="32.549999999999997" customHeight="1" x14ac:dyDescent="0.3">
      <c r="A28" s="82">
        <v>25</v>
      </c>
      <c r="B28" s="66" t="s">
        <v>58</v>
      </c>
      <c r="C28" s="67">
        <v>44594</v>
      </c>
      <c r="D28" s="66" t="s">
        <v>59</v>
      </c>
      <c r="E28" s="66" t="s">
        <v>39</v>
      </c>
      <c r="F28" s="86" t="s">
        <v>60</v>
      </c>
      <c r="G28" s="102">
        <v>1148</v>
      </c>
      <c r="H28" s="68"/>
      <c r="I28" s="68"/>
      <c r="J28" s="248"/>
      <c r="K28" s="102">
        <v>950</v>
      </c>
      <c r="L28" s="102">
        <v>0</v>
      </c>
      <c r="M28" s="102">
        <v>66.5</v>
      </c>
      <c r="N28" s="102">
        <v>28.5</v>
      </c>
      <c r="O28" s="102">
        <v>0</v>
      </c>
      <c r="P28" s="102">
        <v>104.5</v>
      </c>
      <c r="Q28" s="103">
        <f t="shared" si="1"/>
        <v>1149.5</v>
      </c>
      <c r="R28" s="269"/>
      <c r="S28" s="186"/>
    </row>
    <row r="29" spans="1:19" s="127" customFormat="1" ht="32.549999999999997" customHeight="1" x14ac:dyDescent="0.3">
      <c r="A29" s="83">
        <v>26</v>
      </c>
      <c r="B29" s="66" t="s">
        <v>30</v>
      </c>
      <c r="C29" s="67">
        <v>44596</v>
      </c>
      <c r="D29" s="69">
        <v>4503729397</v>
      </c>
      <c r="E29" s="166" t="s">
        <v>2</v>
      </c>
      <c r="F29" s="109" t="s">
        <v>270</v>
      </c>
      <c r="G29" s="102">
        <v>43080</v>
      </c>
      <c r="H29" s="68"/>
      <c r="I29" s="68"/>
      <c r="J29" s="248"/>
      <c r="K29" s="102">
        <v>37140.480000000003</v>
      </c>
      <c r="L29" s="102">
        <v>0</v>
      </c>
      <c r="M29" s="102">
        <v>742.8</v>
      </c>
      <c r="N29" s="102">
        <v>742.8</v>
      </c>
      <c r="O29" s="102">
        <v>0</v>
      </c>
      <c r="P29" s="102">
        <v>4456.8500000000004</v>
      </c>
      <c r="Q29" s="103">
        <f t="shared" si="1"/>
        <v>43082.930000000008</v>
      </c>
      <c r="R29" s="269"/>
      <c r="S29" s="186"/>
    </row>
    <row r="30" spans="1:19" s="127" customFormat="1" ht="32.549999999999997" customHeight="1" x14ac:dyDescent="0.3">
      <c r="A30" s="82">
        <v>27</v>
      </c>
      <c r="B30" s="66" t="s">
        <v>61</v>
      </c>
      <c r="C30" s="67">
        <v>44597</v>
      </c>
      <c r="D30" s="66" t="s">
        <v>62</v>
      </c>
      <c r="E30" s="66" t="s">
        <v>39</v>
      </c>
      <c r="F30" s="86" t="s">
        <v>63</v>
      </c>
      <c r="G30" s="102">
        <v>18806.22</v>
      </c>
      <c r="H30" s="68"/>
      <c r="I30" s="68"/>
      <c r="J30" s="248"/>
      <c r="K30" s="102">
        <v>13808.88</v>
      </c>
      <c r="L30" s="102">
        <v>0</v>
      </c>
      <c r="M30" s="102">
        <v>303.8</v>
      </c>
      <c r="N30" s="102">
        <v>690.44</v>
      </c>
      <c r="O30" s="102">
        <v>0</v>
      </c>
      <c r="P30" s="102">
        <v>4004.58</v>
      </c>
      <c r="Q30" s="103">
        <f t="shared" si="1"/>
        <v>18807.699999999997</v>
      </c>
      <c r="R30" s="269"/>
      <c r="S30" s="186"/>
    </row>
    <row r="31" spans="1:19" s="127" customFormat="1" ht="32.549999999999997" customHeight="1" x14ac:dyDescent="0.3">
      <c r="A31" s="83">
        <v>28</v>
      </c>
      <c r="B31" s="66" t="s">
        <v>31</v>
      </c>
      <c r="C31" s="67">
        <v>44599</v>
      </c>
      <c r="D31" s="66" t="s">
        <v>64</v>
      </c>
      <c r="E31" s="66" t="s">
        <v>39</v>
      </c>
      <c r="F31" s="86" t="s">
        <v>63</v>
      </c>
      <c r="G31" s="102">
        <v>29109.78</v>
      </c>
      <c r="H31" s="68"/>
      <c r="I31" s="68"/>
      <c r="J31" s="248"/>
      <c r="K31" s="102">
        <v>20366.64</v>
      </c>
      <c r="L31" s="102">
        <v>0</v>
      </c>
      <c r="M31" s="102">
        <v>594.71</v>
      </c>
      <c r="N31" s="102">
        <v>1018.33</v>
      </c>
      <c r="O31" s="102">
        <v>0</v>
      </c>
      <c r="P31" s="102">
        <v>7128.32</v>
      </c>
      <c r="Q31" s="103">
        <f t="shared" si="1"/>
        <v>29108</v>
      </c>
      <c r="R31" s="269"/>
      <c r="S31" s="186"/>
    </row>
    <row r="32" spans="1:19" s="128" customFormat="1" ht="32.549999999999997" customHeight="1" x14ac:dyDescent="0.3">
      <c r="A32" s="91">
        <v>29</v>
      </c>
      <c r="B32" s="70" t="s">
        <v>66</v>
      </c>
      <c r="C32" s="95" t="s">
        <v>7</v>
      </c>
      <c r="D32" s="70" t="s">
        <v>7</v>
      </c>
      <c r="E32" s="70" t="s">
        <v>34</v>
      </c>
      <c r="F32" s="87" t="s">
        <v>265</v>
      </c>
      <c r="G32" s="104">
        <f>23125+27500+7825+18330+23125+3960+3800+17410+3000+10000+11800</f>
        <v>149875</v>
      </c>
      <c r="H32" s="145"/>
      <c r="I32" s="145"/>
      <c r="J32" s="284"/>
      <c r="K32" s="104"/>
      <c r="L32" s="104"/>
      <c r="M32" s="104"/>
      <c r="N32" s="104"/>
      <c r="O32" s="104"/>
      <c r="P32" s="104"/>
      <c r="Q32" s="103">
        <f t="shared" si="1"/>
        <v>0</v>
      </c>
      <c r="R32" s="269"/>
      <c r="S32" s="188"/>
    </row>
    <row r="33" spans="1:19" s="128" customFormat="1" ht="32.549999999999997" customHeight="1" x14ac:dyDescent="0.3">
      <c r="A33" s="90">
        <v>30</v>
      </c>
      <c r="B33" s="70" t="s">
        <v>67</v>
      </c>
      <c r="C33" s="95" t="s">
        <v>7</v>
      </c>
      <c r="D33" s="70" t="s">
        <v>7</v>
      </c>
      <c r="E33" s="70" t="s">
        <v>34</v>
      </c>
      <c r="F33" s="87" t="s">
        <v>266</v>
      </c>
      <c r="G33" s="104">
        <v>0</v>
      </c>
      <c r="H33" s="145"/>
      <c r="I33" s="145"/>
      <c r="J33" s="284"/>
      <c r="K33" s="104"/>
      <c r="L33" s="104"/>
      <c r="M33" s="104"/>
      <c r="N33" s="104"/>
      <c r="O33" s="104"/>
      <c r="P33" s="104"/>
      <c r="Q33" s="103">
        <f t="shared" si="1"/>
        <v>0</v>
      </c>
      <c r="R33" s="269"/>
      <c r="S33" s="188"/>
    </row>
    <row r="34" spans="1:19" s="127" customFormat="1" ht="32.549999999999997" customHeight="1" x14ac:dyDescent="0.3">
      <c r="A34" s="82">
        <v>31</v>
      </c>
      <c r="B34" s="66" t="s">
        <v>68</v>
      </c>
      <c r="C34" s="67">
        <v>44601</v>
      </c>
      <c r="D34" s="66">
        <v>205487</v>
      </c>
      <c r="E34" s="66" t="s">
        <v>34</v>
      </c>
      <c r="F34" s="86" t="s">
        <v>232</v>
      </c>
      <c r="G34" s="102">
        <v>114786.56</v>
      </c>
      <c r="H34" s="68"/>
      <c r="I34" s="68"/>
      <c r="J34" s="248"/>
      <c r="K34" s="102">
        <v>72135.360000000001</v>
      </c>
      <c r="L34" s="102">
        <v>0</v>
      </c>
      <c r="M34" s="102">
        <v>1529.27</v>
      </c>
      <c r="N34" s="102">
        <v>1442.71</v>
      </c>
      <c r="O34" s="102">
        <v>0</v>
      </c>
      <c r="P34" s="102">
        <v>39674.449999999997</v>
      </c>
      <c r="Q34" s="103">
        <f t="shared" si="1"/>
        <v>114781.79000000001</v>
      </c>
      <c r="R34" s="269"/>
      <c r="S34" s="186"/>
    </row>
    <row r="35" spans="1:19" s="127" customFormat="1" ht="32.549999999999997" customHeight="1" x14ac:dyDescent="0.3">
      <c r="A35" s="83">
        <v>32</v>
      </c>
      <c r="B35" s="66" t="s">
        <v>218</v>
      </c>
      <c r="C35" s="67">
        <v>44601</v>
      </c>
      <c r="D35" s="66" t="s">
        <v>233</v>
      </c>
      <c r="E35" s="66" t="s">
        <v>39</v>
      </c>
      <c r="F35" s="86" t="s">
        <v>234</v>
      </c>
      <c r="G35" s="102">
        <v>34155.300000000003</v>
      </c>
      <c r="H35" s="68"/>
      <c r="I35" s="68"/>
      <c r="J35" s="248"/>
      <c r="K35" s="102">
        <v>24572.16</v>
      </c>
      <c r="L35" s="102">
        <v>0</v>
      </c>
      <c r="M35" s="102">
        <v>1228.6099999999999</v>
      </c>
      <c r="N35" s="102">
        <v>1228.6099999999999</v>
      </c>
      <c r="O35" s="102">
        <v>0</v>
      </c>
      <c r="P35" s="102">
        <v>7125.93</v>
      </c>
      <c r="Q35" s="103">
        <f t="shared" si="1"/>
        <v>34155.31</v>
      </c>
      <c r="R35" s="269"/>
      <c r="S35" s="186"/>
    </row>
    <row r="36" spans="1:19" s="127" customFormat="1" ht="32.549999999999997" customHeight="1" x14ac:dyDescent="0.3">
      <c r="A36" s="82">
        <v>33</v>
      </c>
      <c r="B36" s="66" t="s">
        <v>235</v>
      </c>
      <c r="C36" s="67">
        <v>44241</v>
      </c>
      <c r="D36" s="66" t="s">
        <v>236</v>
      </c>
      <c r="E36" s="66" t="s">
        <v>39</v>
      </c>
      <c r="F36" s="86" t="s">
        <v>234</v>
      </c>
      <c r="G36" s="102">
        <v>1310</v>
      </c>
      <c r="H36" s="68"/>
      <c r="I36" s="68"/>
      <c r="J36" s="248"/>
      <c r="K36" s="102">
        <v>942.84</v>
      </c>
      <c r="L36" s="102">
        <v>0</v>
      </c>
      <c r="M36" s="102">
        <v>47.14</v>
      </c>
      <c r="N36" s="102">
        <v>47.14</v>
      </c>
      <c r="O36" s="102">
        <v>0</v>
      </c>
      <c r="P36" s="102">
        <v>273.42</v>
      </c>
      <c r="Q36" s="103">
        <f t="shared" si="1"/>
        <v>1310.5400000000002</v>
      </c>
      <c r="R36" s="269"/>
      <c r="S36" s="186"/>
    </row>
    <row r="37" spans="1:19" s="127" customFormat="1" ht="32.549999999999997" customHeight="1" x14ac:dyDescent="0.3">
      <c r="A37" s="83">
        <v>34</v>
      </c>
      <c r="B37" s="66" t="s">
        <v>219</v>
      </c>
      <c r="C37" s="67">
        <v>44603</v>
      </c>
      <c r="D37" s="66">
        <v>4503733396</v>
      </c>
      <c r="E37" s="66" t="s">
        <v>2</v>
      </c>
      <c r="F37" s="86" t="s">
        <v>237</v>
      </c>
      <c r="G37" s="102">
        <v>67968.83</v>
      </c>
      <c r="H37" s="68"/>
      <c r="I37" s="68"/>
      <c r="J37" s="248"/>
      <c r="K37" s="102">
        <v>44608.12</v>
      </c>
      <c r="L37" s="102">
        <v>1338.24</v>
      </c>
      <c r="M37" s="102">
        <v>3122.57</v>
      </c>
      <c r="N37" s="102">
        <v>1338.24</v>
      </c>
      <c r="O37" s="102">
        <v>892.16</v>
      </c>
      <c r="P37" s="102">
        <v>16661.13</v>
      </c>
      <c r="Q37" s="103">
        <f t="shared" si="1"/>
        <v>67960.460000000006</v>
      </c>
      <c r="R37" s="269"/>
      <c r="S37" s="186"/>
    </row>
    <row r="38" spans="1:19" s="127" customFormat="1" ht="32.549999999999997" customHeight="1" x14ac:dyDescent="0.3">
      <c r="A38" s="82">
        <v>35</v>
      </c>
      <c r="B38" s="119" t="s">
        <v>238</v>
      </c>
      <c r="C38" s="67">
        <v>44607</v>
      </c>
      <c r="D38" s="66">
        <v>194960</v>
      </c>
      <c r="E38" s="66" t="s">
        <v>34</v>
      </c>
      <c r="F38" s="86" t="s">
        <v>239</v>
      </c>
      <c r="G38" s="102">
        <v>151020</v>
      </c>
      <c r="H38" s="68"/>
      <c r="I38" s="68"/>
      <c r="J38" s="248"/>
      <c r="K38" s="102">
        <v>71550</v>
      </c>
      <c r="L38" s="102">
        <v>0</v>
      </c>
      <c r="M38" s="102">
        <v>3577.5</v>
      </c>
      <c r="N38" s="102">
        <v>1431</v>
      </c>
      <c r="O38" s="102">
        <v>1431</v>
      </c>
      <c r="P38" s="102">
        <v>72086.63</v>
      </c>
      <c r="Q38" s="103">
        <f t="shared" si="1"/>
        <v>150076.13</v>
      </c>
      <c r="R38" s="269"/>
      <c r="S38" s="186"/>
    </row>
    <row r="39" spans="1:19" s="127" customFormat="1" ht="32.549999999999997" customHeight="1" x14ac:dyDescent="0.3">
      <c r="A39" s="83">
        <v>36</v>
      </c>
      <c r="B39" s="66" t="s">
        <v>240</v>
      </c>
      <c r="C39" s="67">
        <v>44613</v>
      </c>
      <c r="D39" s="66" t="s">
        <v>241</v>
      </c>
      <c r="E39" s="66" t="s">
        <v>39</v>
      </c>
      <c r="F39" s="86" t="s">
        <v>242</v>
      </c>
      <c r="G39" s="102">
        <v>162788.5</v>
      </c>
      <c r="H39" s="68"/>
      <c r="I39" s="68"/>
      <c r="J39" s="248"/>
      <c r="K39" s="102">
        <v>122818.52</v>
      </c>
      <c r="L39" s="102">
        <v>1228.19</v>
      </c>
      <c r="M39" s="102">
        <v>1228.19</v>
      </c>
      <c r="N39" s="102">
        <v>4912.74</v>
      </c>
      <c r="O39" s="102">
        <v>2456.37</v>
      </c>
      <c r="P39" s="102">
        <v>30090.54</v>
      </c>
      <c r="Q39" s="103">
        <f t="shared" si="1"/>
        <v>162734.55000000002</v>
      </c>
      <c r="R39" s="269"/>
      <c r="S39" s="186"/>
    </row>
    <row r="40" spans="1:19" s="127" customFormat="1" ht="32.549999999999997" customHeight="1" x14ac:dyDescent="0.3">
      <c r="A40" s="82">
        <v>37</v>
      </c>
      <c r="B40" s="66" t="s">
        <v>223</v>
      </c>
      <c r="C40" s="67">
        <v>44614</v>
      </c>
      <c r="D40" s="66" t="s">
        <v>243</v>
      </c>
      <c r="E40" s="66" t="s">
        <v>39</v>
      </c>
      <c r="F40" s="86" t="s">
        <v>244</v>
      </c>
      <c r="G40" s="102">
        <v>7034</v>
      </c>
      <c r="H40" s="68"/>
      <c r="I40" s="68"/>
      <c r="J40" s="68"/>
      <c r="K40" s="102">
        <v>4889.25</v>
      </c>
      <c r="L40" s="102">
        <v>0</v>
      </c>
      <c r="M40" s="102">
        <v>488.93</v>
      </c>
      <c r="N40" s="102">
        <v>1320.1</v>
      </c>
      <c r="O40" s="102">
        <v>97.79</v>
      </c>
      <c r="P40" s="102">
        <v>244.46</v>
      </c>
      <c r="Q40" s="103">
        <f t="shared" si="1"/>
        <v>7040.5300000000007</v>
      </c>
      <c r="R40" s="269"/>
      <c r="S40" s="186"/>
    </row>
    <row r="41" spans="1:19" s="127" customFormat="1" ht="32.549999999999997" customHeight="1" x14ac:dyDescent="0.3">
      <c r="A41" s="83">
        <v>38</v>
      </c>
      <c r="B41" s="66" t="s">
        <v>224</v>
      </c>
      <c r="C41" s="67">
        <v>44614</v>
      </c>
      <c r="D41" s="66" t="s">
        <v>245</v>
      </c>
      <c r="E41" s="66" t="s">
        <v>39</v>
      </c>
      <c r="F41" s="138" t="s">
        <v>246</v>
      </c>
      <c r="G41" s="102">
        <v>46529.25</v>
      </c>
      <c r="H41" s="155"/>
      <c r="I41" s="155"/>
      <c r="J41" s="155"/>
      <c r="K41" s="102">
        <v>33354.300000000003</v>
      </c>
      <c r="L41" s="102">
        <v>0</v>
      </c>
      <c r="M41" s="102">
        <v>1667.72</v>
      </c>
      <c r="N41" s="102">
        <v>1667.72</v>
      </c>
      <c r="O41" s="102">
        <v>667.09</v>
      </c>
      <c r="P41" s="102">
        <v>9172.43</v>
      </c>
      <c r="Q41" s="103">
        <f t="shared" si="1"/>
        <v>46529.26</v>
      </c>
      <c r="R41" s="269"/>
      <c r="S41" s="186"/>
    </row>
    <row r="42" spans="1:19" s="127" customFormat="1" ht="39.6" customHeight="1" x14ac:dyDescent="0.3">
      <c r="A42" s="82">
        <v>39</v>
      </c>
      <c r="B42" s="66" t="s">
        <v>221</v>
      </c>
      <c r="C42" s="67">
        <v>44615</v>
      </c>
      <c r="D42" s="66">
        <v>205975</v>
      </c>
      <c r="E42" s="66" t="s">
        <v>34</v>
      </c>
      <c r="F42" s="88" t="s">
        <v>247</v>
      </c>
      <c r="G42" s="102">
        <v>34904</v>
      </c>
      <c r="H42" s="68"/>
      <c r="I42" s="68"/>
      <c r="J42" s="68"/>
      <c r="K42" s="102">
        <v>17040</v>
      </c>
      <c r="L42" s="102">
        <v>0</v>
      </c>
      <c r="M42" s="102">
        <v>656.04</v>
      </c>
      <c r="N42" s="102">
        <v>0</v>
      </c>
      <c r="O42" s="102">
        <v>340.8</v>
      </c>
      <c r="P42" s="102">
        <v>16869</v>
      </c>
      <c r="Q42" s="103">
        <f t="shared" si="1"/>
        <v>34905.839999999997</v>
      </c>
      <c r="R42" s="269"/>
      <c r="S42" s="186"/>
    </row>
    <row r="43" spans="1:19" s="127" customFormat="1" ht="32.549999999999997" customHeight="1" x14ac:dyDescent="0.3">
      <c r="A43" s="83">
        <v>40</v>
      </c>
      <c r="B43" s="66" t="s">
        <v>222</v>
      </c>
      <c r="C43" s="67">
        <v>44615</v>
      </c>
      <c r="D43" s="66">
        <v>206114</v>
      </c>
      <c r="E43" s="82" t="s">
        <v>34</v>
      </c>
      <c r="F43" s="88" t="s">
        <v>247</v>
      </c>
      <c r="G43" s="102">
        <v>117803</v>
      </c>
      <c r="H43" s="68"/>
      <c r="I43" s="68"/>
      <c r="J43" s="68"/>
      <c r="K43" s="102">
        <v>57510</v>
      </c>
      <c r="L43" s="102">
        <v>0</v>
      </c>
      <c r="M43" s="102">
        <v>1150</v>
      </c>
      <c r="N43" s="102">
        <v>0</v>
      </c>
      <c r="O43" s="102">
        <v>1150</v>
      </c>
      <c r="P43" s="102">
        <v>57990</v>
      </c>
      <c r="Q43" s="103">
        <f t="shared" si="1"/>
        <v>117800</v>
      </c>
      <c r="R43" s="269"/>
      <c r="S43" s="186"/>
    </row>
    <row r="44" spans="1:19" s="127" customFormat="1" ht="32.549999999999997" customHeight="1" x14ac:dyDescent="0.3">
      <c r="A44" s="82">
        <v>41</v>
      </c>
      <c r="B44" s="66" t="s">
        <v>220</v>
      </c>
      <c r="C44" s="67">
        <v>44615</v>
      </c>
      <c r="D44" s="66">
        <v>4400009053</v>
      </c>
      <c r="E44" s="69" t="s">
        <v>3</v>
      </c>
      <c r="F44" s="88" t="s">
        <v>248</v>
      </c>
      <c r="G44" s="103">
        <f>H44*I44</f>
        <v>922055</v>
      </c>
      <c r="H44" s="177">
        <v>12718</v>
      </c>
      <c r="I44" s="144">
        <v>72.5</v>
      </c>
      <c r="J44" s="177"/>
      <c r="K44" s="102">
        <v>629904</v>
      </c>
      <c r="L44" s="102">
        <v>0</v>
      </c>
      <c r="M44" s="102">
        <v>12598.08</v>
      </c>
      <c r="N44" s="102">
        <v>0</v>
      </c>
      <c r="O44" s="102">
        <v>12598.08</v>
      </c>
      <c r="P44" s="102">
        <v>267079</v>
      </c>
      <c r="Q44" s="103">
        <f t="shared" si="1"/>
        <v>922179.15999999992</v>
      </c>
      <c r="R44" s="269"/>
      <c r="S44" s="186"/>
    </row>
    <row r="45" spans="1:19" s="127" customFormat="1" ht="32.549999999999997" customHeight="1" x14ac:dyDescent="0.3">
      <c r="A45" s="83">
        <v>42</v>
      </c>
      <c r="B45" s="66" t="s">
        <v>249</v>
      </c>
      <c r="C45" s="67">
        <v>44617</v>
      </c>
      <c r="D45" s="66" t="s">
        <v>250</v>
      </c>
      <c r="E45" s="66" t="s">
        <v>39</v>
      </c>
      <c r="F45" s="88" t="s">
        <v>251</v>
      </c>
      <c r="G45" s="102">
        <v>244351.06</v>
      </c>
      <c r="H45" s="68"/>
      <c r="I45" s="68"/>
      <c r="J45" s="68"/>
      <c r="K45" s="102">
        <v>144074.92000000001</v>
      </c>
      <c r="L45" s="102">
        <v>0</v>
      </c>
      <c r="M45" s="102">
        <v>3745.95</v>
      </c>
      <c r="N45" s="102">
        <v>7203.75</v>
      </c>
      <c r="O45" s="102">
        <v>2881.5</v>
      </c>
      <c r="P45" s="102">
        <v>86444.95</v>
      </c>
      <c r="Q45" s="103">
        <f t="shared" si="1"/>
        <v>244351.07</v>
      </c>
      <c r="R45" s="269"/>
      <c r="S45" s="186"/>
    </row>
    <row r="46" spans="1:19" s="127" customFormat="1" ht="32.549999999999997" customHeight="1" x14ac:dyDescent="0.3">
      <c r="A46" s="82">
        <v>43</v>
      </c>
      <c r="B46" s="66" t="s">
        <v>252</v>
      </c>
      <c r="C46" s="67">
        <v>44617</v>
      </c>
      <c r="D46" s="66">
        <v>206754</v>
      </c>
      <c r="E46" s="166" t="s">
        <v>28</v>
      </c>
      <c r="F46" s="88" t="s">
        <v>253</v>
      </c>
      <c r="G46" s="102">
        <v>36183.49</v>
      </c>
      <c r="H46" s="146"/>
      <c r="I46" s="146"/>
      <c r="J46" s="146"/>
      <c r="K46" s="102">
        <v>22738.22</v>
      </c>
      <c r="L46" s="102">
        <v>0</v>
      </c>
      <c r="M46" s="102">
        <v>454.77</v>
      </c>
      <c r="N46" s="102">
        <v>0</v>
      </c>
      <c r="O46" s="102">
        <v>454.77</v>
      </c>
      <c r="P46" s="102">
        <v>12535.64</v>
      </c>
      <c r="Q46" s="103">
        <f t="shared" si="1"/>
        <v>36183.4</v>
      </c>
      <c r="R46" s="269"/>
      <c r="S46" s="186"/>
    </row>
    <row r="47" spans="1:19" s="127" customFormat="1" ht="32.549999999999997" customHeight="1" x14ac:dyDescent="0.3">
      <c r="A47" s="83">
        <v>44</v>
      </c>
      <c r="B47" s="66" t="s">
        <v>267</v>
      </c>
      <c r="C47" s="67">
        <v>44620</v>
      </c>
      <c r="D47" s="66">
        <v>4600010480</v>
      </c>
      <c r="E47" s="66" t="s">
        <v>69</v>
      </c>
      <c r="F47" s="88" t="s">
        <v>268</v>
      </c>
      <c r="G47" s="105">
        <f>4967109.22</f>
        <v>4967109.22</v>
      </c>
      <c r="H47" s="68"/>
      <c r="I47" s="68"/>
      <c r="J47" s="68"/>
      <c r="K47" s="159">
        <f>5458089.84+300429.99</f>
        <v>5758519.8300000001</v>
      </c>
      <c r="L47" s="159">
        <v>125179.16</v>
      </c>
      <c r="M47" s="159">
        <v>200286.66</v>
      </c>
      <c r="N47" s="159">
        <v>281653.12</v>
      </c>
      <c r="O47" s="159">
        <v>244099.37</v>
      </c>
      <c r="P47" s="159">
        <v>1311877.6399999999</v>
      </c>
      <c r="Q47" s="190">
        <f t="shared" si="1"/>
        <v>7921615.7800000003</v>
      </c>
      <c r="R47" s="271"/>
      <c r="S47" s="188"/>
    </row>
    <row r="48" spans="1:19" s="127" customFormat="1" ht="32.549999999999997" customHeight="1" x14ac:dyDescent="0.3">
      <c r="A48" s="82">
        <v>45</v>
      </c>
      <c r="B48" s="66" t="s">
        <v>272</v>
      </c>
      <c r="C48" s="67">
        <v>44620</v>
      </c>
      <c r="D48" s="110" t="s">
        <v>274</v>
      </c>
      <c r="E48" s="110" t="s">
        <v>39</v>
      </c>
      <c r="F48" s="111" t="s">
        <v>275</v>
      </c>
      <c r="G48" s="102">
        <v>85152.58</v>
      </c>
      <c r="H48" s="68"/>
      <c r="I48" s="68"/>
      <c r="J48" s="68"/>
      <c r="K48" s="102">
        <v>63570.42</v>
      </c>
      <c r="L48" s="102">
        <v>0</v>
      </c>
      <c r="M48" s="102">
        <v>603.91</v>
      </c>
      <c r="N48" s="102">
        <v>3178.5210000000002</v>
      </c>
      <c r="O48" s="102">
        <v>1271.4000000000001</v>
      </c>
      <c r="P48" s="102">
        <v>16528.310000000001</v>
      </c>
      <c r="Q48" s="103">
        <f t="shared" si="1"/>
        <v>85152.560999999987</v>
      </c>
      <c r="R48" s="269"/>
      <c r="S48" s="186"/>
    </row>
    <row r="49" spans="1:19" s="127" customFormat="1" ht="32.549999999999997" customHeight="1" x14ac:dyDescent="0.3">
      <c r="A49" s="83">
        <v>46</v>
      </c>
      <c r="B49" s="66" t="s">
        <v>271</v>
      </c>
      <c r="C49" s="67">
        <v>44620</v>
      </c>
      <c r="D49" s="110" t="s">
        <v>276</v>
      </c>
      <c r="E49" s="110" t="s">
        <v>39</v>
      </c>
      <c r="F49" s="111" t="s">
        <v>277</v>
      </c>
      <c r="G49" s="102">
        <v>4246.45</v>
      </c>
      <c r="H49" s="68"/>
      <c r="I49" s="68"/>
      <c r="J49" s="68"/>
      <c r="K49" s="102">
        <v>2952</v>
      </c>
      <c r="L49" s="102">
        <v>0</v>
      </c>
      <c r="M49" s="102">
        <v>147.6</v>
      </c>
      <c r="N49" s="102">
        <v>147.6</v>
      </c>
      <c r="O49" s="102">
        <v>59.04</v>
      </c>
      <c r="P49" s="102">
        <v>940.21</v>
      </c>
      <c r="Q49" s="103">
        <f t="shared" si="1"/>
        <v>4246.45</v>
      </c>
      <c r="R49" s="269"/>
      <c r="S49" s="186"/>
    </row>
    <row r="50" spans="1:19" s="127" customFormat="1" ht="32.549999999999997" customHeight="1" x14ac:dyDescent="0.3">
      <c r="A50" s="82">
        <v>47</v>
      </c>
      <c r="B50" s="66" t="s">
        <v>273</v>
      </c>
      <c r="C50" s="67">
        <v>44620</v>
      </c>
      <c r="D50" s="66">
        <v>206721</v>
      </c>
      <c r="E50" s="66" t="s">
        <v>34</v>
      </c>
      <c r="F50" s="111" t="s">
        <v>278</v>
      </c>
      <c r="G50" s="102">
        <v>21811</v>
      </c>
      <c r="H50" s="68"/>
      <c r="I50" s="68"/>
      <c r="J50" s="68"/>
      <c r="K50" s="102">
        <v>10650</v>
      </c>
      <c r="L50" s="102">
        <v>213</v>
      </c>
      <c r="M50" s="102">
        <v>426</v>
      </c>
      <c r="N50" s="102">
        <v>0</v>
      </c>
      <c r="O50" s="102">
        <v>213</v>
      </c>
      <c r="P50" s="102">
        <v>10309</v>
      </c>
      <c r="Q50" s="103">
        <f t="shared" si="1"/>
        <v>21811</v>
      </c>
      <c r="R50" s="269"/>
      <c r="S50" s="186"/>
    </row>
    <row r="51" spans="1:19" s="127" customFormat="1" ht="32.549999999999997" customHeight="1" x14ac:dyDescent="0.3">
      <c r="A51" s="83">
        <v>48</v>
      </c>
      <c r="B51" s="66" t="s">
        <v>287</v>
      </c>
      <c r="C51" s="67">
        <v>44615</v>
      </c>
      <c r="D51" s="66">
        <v>4400009064</v>
      </c>
      <c r="E51" s="69" t="s">
        <v>3</v>
      </c>
      <c r="F51" s="86" t="s">
        <v>254</v>
      </c>
      <c r="G51" s="102">
        <f>1418.69*72.5</f>
        <v>102855.02500000001</v>
      </c>
      <c r="H51" s="177">
        <v>1418.69</v>
      </c>
      <c r="I51" s="68">
        <v>72.5</v>
      </c>
      <c r="J51" s="68"/>
      <c r="K51" s="102">
        <v>78276.350000000006</v>
      </c>
      <c r="L51" s="102">
        <v>0</v>
      </c>
      <c r="M51" s="102">
        <v>0</v>
      </c>
      <c r="N51" s="102">
        <v>0</v>
      </c>
      <c r="O51" s="102">
        <v>1565.53</v>
      </c>
      <c r="P51" s="102">
        <v>23013.25</v>
      </c>
      <c r="Q51" s="103">
        <f t="shared" si="1"/>
        <v>102855.13</v>
      </c>
      <c r="R51" s="269"/>
      <c r="S51" s="186"/>
    </row>
    <row r="52" spans="1:19" ht="32.549999999999997" customHeight="1" x14ac:dyDescent="0.3">
      <c r="A52" s="82">
        <v>49</v>
      </c>
      <c r="B52" s="113" t="s">
        <v>288</v>
      </c>
      <c r="C52" s="3">
        <v>44624</v>
      </c>
      <c r="D52" s="2">
        <v>206765</v>
      </c>
      <c r="E52" s="113" t="s">
        <v>28</v>
      </c>
      <c r="F52" s="114" t="s">
        <v>295</v>
      </c>
      <c r="G52" s="105">
        <v>22952</v>
      </c>
      <c r="H52" s="4"/>
      <c r="I52" s="4"/>
      <c r="J52" s="4"/>
      <c r="K52" s="105">
        <v>11552</v>
      </c>
      <c r="L52" s="105">
        <v>0</v>
      </c>
      <c r="M52" s="105">
        <v>577.6</v>
      </c>
      <c r="N52" s="105">
        <v>0</v>
      </c>
      <c r="O52" s="106">
        <v>924.16</v>
      </c>
      <c r="P52" s="105">
        <v>9900.06</v>
      </c>
      <c r="Q52" s="103">
        <f t="shared" si="1"/>
        <v>22953.82</v>
      </c>
      <c r="R52" s="269"/>
      <c r="S52" s="186"/>
    </row>
    <row r="53" spans="1:19" ht="32.549999999999997" customHeight="1" x14ac:dyDescent="0.3">
      <c r="A53" s="83">
        <v>50</v>
      </c>
      <c r="B53" s="113" t="s">
        <v>289</v>
      </c>
      <c r="C53" s="3">
        <v>44624</v>
      </c>
      <c r="D53" s="113" t="s">
        <v>296</v>
      </c>
      <c r="E53" s="113" t="s">
        <v>39</v>
      </c>
      <c r="F53" s="114" t="s">
        <v>297</v>
      </c>
      <c r="G53" s="105">
        <v>9400</v>
      </c>
      <c r="H53" s="4"/>
      <c r="I53" s="4"/>
      <c r="J53" s="4"/>
      <c r="K53" s="105">
        <v>7100</v>
      </c>
      <c r="L53" s="105">
        <v>0</v>
      </c>
      <c r="M53" s="105">
        <v>284</v>
      </c>
      <c r="N53" s="105">
        <v>0</v>
      </c>
      <c r="O53" s="106">
        <v>568</v>
      </c>
      <c r="P53" s="105">
        <v>1448.4</v>
      </c>
      <c r="Q53" s="103">
        <f t="shared" si="1"/>
        <v>9400.4</v>
      </c>
      <c r="R53" s="269"/>
      <c r="S53" s="186"/>
    </row>
    <row r="54" spans="1:19" ht="32.549999999999997" customHeight="1" x14ac:dyDescent="0.3">
      <c r="A54" s="82">
        <v>51</v>
      </c>
      <c r="B54" s="113" t="s">
        <v>290</v>
      </c>
      <c r="C54" s="3">
        <v>44624</v>
      </c>
      <c r="D54" s="113" t="s">
        <v>298</v>
      </c>
      <c r="E54" s="113" t="s">
        <v>39</v>
      </c>
      <c r="F54" s="114" t="s">
        <v>299</v>
      </c>
      <c r="G54" s="105">
        <v>112081</v>
      </c>
      <c r="H54" s="4"/>
      <c r="I54" s="4"/>
      <c r="J54" s="4"/>
      <c r="K54" s="105">
        <v>82403.73</v>
      </c>
      <c r="L54" s="105">
        <v>0</v>
      </c>
      <c r="M54" s="105">
        <v>824.03</v>
      </c>
      <c r="N54" s="105">
        <v>4120.1899999999996</v>
      </c>
      <c r="O54" s="106">
        <v>1648.07</v>
      </c>
      <c r="P54" s="105">
        <v>23073.040000000001</v>
      </c>
      <c r="Q54" s="103">
        <f t="shared" si="1"/>
        <v>112069.06</v>
      </c>
      <c r="R54" s="269"/>
      <c r="S54" s="186"/>
    </row>
    <row r="55" spans="1:19" ht="32.549999999999997" customHeight="1" x14ac:dyDescent="0.3">
      <c r="A55" s="83">
        <v>52</v>
      </c>
      <c r="B55" s="132" t="s">
        <v>291</v>
      </c>
      <c r="C55" s="133">
        <v>44625</v>
      </c>
      <c r="D55" s="258" t="s">
        <v>340</v>
      </c>
      <c r="E55" s="132" t="s">
        <v>79</v>
      </c>
      <c r="F55" s="259" t="s">
        <v>300</v>
      </c>
      <c r="G55" s="260">
        <v>703250</v>
      </c>
      <c r="H55" s="147"/>
      <c r="I55" s="147"/>
      <c r="J55" s="147"/>
      <c r="K55" s="105">
        <v>640000</v>
      </c>
      <c r="L55" s="105">
        <v>0</v>
      </c>
      <c r="M55" s="105">
        <v>32000</v>
      </c>
      <c r="N55" s="105">
        <v>0</v>
      </c>
      <c r="O55" s="106">
        <v>12800</v>
      </c>
      <c r="P55" s="105">
        <v>50200.33</v>
      </c>
      <c r="Q55" s="103">
        <f t="shared" si="1"/>
        <v>735000.33</v>
      </c>
      <c r="R55" s="269"/>
      <c r="S55" s="186"/>
    </row>
    <row r="56" spans="1:19" ht="32.549999999999997" customHeight="1" x14ac:dyDescent="0.3">
      <c r="A56" s="82">
        <v>53</v>
      </c>
      <c r="B56" s="113" t="s">
        <v>292</v>
      </c>
      <c r="C56" s="3">
        <v>44627</v>
      </c>
      <c r="D56" s="113" t="s">
        <v>304</v>
      </c>
      <c r="E56" s="113" t="s">
        <v>39</v>
      </c>
      <c r="F56" s="114" t="s">
        <v>234</v>
      </c>
      <c r="G56" s="105">
        <v>193632.3</v>
      </c>
      <c r="H56" s="4"/>
      <c r="I56" s="4"/>
      <c r="J56" s="4"/>
      <c r="K56" s="105">
        <v>142555.95000000001</v>
      </c>
      <c r="L56" s="105">
        <v>0</v>
      </c>
      <c r="M56" s="105">
        <v>1425.56</v>
      </c>
      <c r="N56" s="105">
        <v>7127.8</v>
      </c>
      <c r="O56" s="106">
        <v>2851.2</v>
      </c>
      <c r="P56" s="105">
        <v>39701.83</v>
      </c>
      <c r="Q56" s="103">
        <f t="shared" si="1"/>
        <v>193662.34000000003</v>
      </c>
      <c r="R56" s="269"/>
      <c r="S56" s="186"/>
    </row>
    <row r="57" spans="1:19" ht="32.549999999999997" customHeight="1" x14ac:dyDescent="0.3">
      <c r="A57" s="83">
        <v>54</v>
      </c>
      <c r="B57" s="113" t="s">
        <v>293</v>
      </c>
      <c r="C57" s="3">
        <v>44628</v>
      </c>
      <c r="D57" s="2">
        <v>4400009102</v>
      </c>
      <c r="E57" s="113" t="s">
        <v>3</v>
      </c>
      <c r="F57" s="114" t="s">
        <v>305</v>
      </c>
      <c r="G57" s="103">
        <f>H57*I57</f>
        <v>192353.375</v>
      </c>
      <c r="H57" s="178">
        <v>2653.15</v>
      </c>
      <c r="I57" s="144">
        <v>72.5</v>
      </c>
      <c r="J57" s="178"/>
      <c r="K57" s="105">
        <v>123690</v>
      </c>
      <c r="L57" s="105">
        <v>0</v>
      </c>
      <c r="M57" s="105">
        <v>0</v>
      </c>
      <c r="N57" s="105">
        <v>0</v>
      </c>
      <c r="O57" s="106">
        <v>2473.81</v>
      </c>
      <c r="P57" s="105">
        <v>68648.22</v>
      </c>
      <c r="Q57" s="103">
        <f t="shared" si="1"/>
        <v>194812.03</v>
      </c>
      <c r="R57" s="269"/>
      <c r="S57" s="186"/>
    </row>
    <row r="58" spans="1:19" ht="36.6" customHeight="1" x14ac:dyDescent="0.3">
      <c r="A58" s="82">
        <v>55</v>
      </c>
      <c r="B58" s="154" t="s">
        <v>294</v>
      </c>
      <c r="C58" s="3">
        <v>44609</v>
      </c>
      <c r="D58" s="2">
        <v>193949</v>
      </c>
      <c r="E58" s="113" t="s">
        <v>28</v>
      </c>
      <c r="F58" s="261" t="s">
        <v>415</v>
      </c>
      <c r="G58" s="105">
        <v>36441</v>
      </c>
      <c r="H58" s="4"/>
      <c r="I58" s="4"/>
      <c r="J58" s="4"/>
      <c r="K58" s="105"/>
      <c r="L58" s="105"/>
      <c r="M58" s="105"/>
      <c r="N58" s="105"/>
      <c r="O58" s="106"/>
      <c r="P58" s="105"/>
      <c r="Q58" s="103">
        <f t="shared" si="1"/>
        <v>0</v>
      </c>
      <c r="R58" s="269"/>
      <c r="S58" s="188"/>
    </row>
    <row r="59" spans="1:19" ht="32.549999999999997" customHeight="1" x14ac:dyDescent="0.3">
      <c r="A59" s="83">
        <v>56</v>
      </c>
      <c r="B59" s="113" t="s">
        <v>301</v>
      </c>
      <c r="C59" s="3">
        <v>44629</v>
      </c>
      <c r="D59" s="2">
        <v>4400009085</v>
      </c>
      <c r="E59" s="167" t="s">
        <v>3</v>
      </c>
      <c r="F59" s="114" t="s">
        <v>306</v>
      </c>
      <c r="G59" s="158">
        <f>34332.8*72.5</f>
        <v>2489128</v>
      </c>
      <c r="H59" s="178">
        <v>34332.800000000003</v>
      </c>
      <c r="I59" s="4">
        <v>72.5</v>
      </c>
      <c r="J59" s="4"/>
      <c r="K59" s="105">
        <v>1911770</v>
      </c>
      <c r="L59" s="105">
        <v>0</v>
      </c>
      <c r="M59" s="105">
        <v>0</v>
      </c>
      <c r="N59" s="105">
        <v>0</v>
      </c>
      <c r="O59" s="106">
        <v>38235.4</v>
      </c>
      <c r="P59" s="105">
        <v>539119.14</v>
      </c>
      <c r="Q59" s="103">
        <f t="shared" si="1"/>
        <v>2489124.54</v>
      </c>
      <c r="R59" s="269"/>
      <c r="S59" s="186"/>
    </row>
    <row r="60" spans="1:19" ht="32.549999999999997" customHeight="1" x14ac:dyDescent="0.3">
      <c r="A60" s="82">
        <v>57</v>
      </c>
      <c r="B60" s="113" t="s">
        <v>302</v>
      </c>
      <c r="C60" s="3">
        <v>44631</v>
      </c>
      <c r="D60" s="2">
        <v>207603</v>
      </c>
      <c r="E60" s="113" t="s">
        <v>307</v>
      </c>
      <c r="F60" s="114" t="s">
        <v>308</v>
      </c>
      <c r="G60" s="105">
        <v>900</v>
      </c>
      <c r="H60" s="4"/>
      <c r="I60" s="4"/>
      <c r="J60" s="4"/>
      <c r="K60" s="105"/>
      <c r="L60" s="105"/>
      <c r="M60" s="105"/>
      <c r="N60" s="105"/>
      <c r="O60" s="106"/>
      <c r="P60" s="105"/>
      <c r="Q60" s="103">
        <f t="shared" si="1"/>
        <v>0</v>
      </c>
      <c r="R60" s="269"/>
      <c r="S60" s="186"/>
    </row>
    <row r="61" spans="1:19" s="131" customFormat="1" ht="32.549999999999997" customHeight="1" x14ac:dyDescent="0.3">
      <c r="A61" s="83">
        <v>58</v>
      </c>
      <c r="B61" s="132" t="s">
        <v>303</v>
      </c>
      <c r="C61" s="133">
        <v>44634</v>
      </c>
      <c r="D61" s="134">
        <v>4503754792</v>
      </c>
      <c r="E61" s="168" t="s">
        <v>316</v>
      </c>
      <c r="F61" s="135" t="s">
        <v>338</v>
      </c>
      <c r="G61" s="136">
        <v>223463.81</v>
      </c>
      <c r="H61" s="148"/>
      <c r="I61" s="148"/>
      <c r="J61" s="148"/>
      <c r="K61" s="136">
        <v>171954</v>
      </c>
      <c r="L61" s="136">
        <v>960.54</v>
      </c>
      <c r="M61" s="136">
        <v>7760.1279999999997</v>
      </c>
      <c r="N61" s="136">
        <v>0</v>
      </c>
      <c r="O61" s="137">
        <v>5370.7</v>
      </c>
      <c r="P61" s="136">
        <v>37847.129999999997</v>
      </c>
      <c r="Q61" s="103">
        <f>SUM(K61:P61)</f>
        <v>223892.49800000002</v>
      </c>
      <c r="R61" s="269"/>
      <c r="S61" s="186"/>
    </row>
    <row r="62" spans="1:19" ht="32.549999999999997" customHeight="1" x14ac:dyDescent="0.3">
      <c r="A62" s="82">
        <v>59</v>
      </c>
      <c r="B62" s="113" t="s">
        <v>310</v>
      </c>
      <c r="C62" s="122" t="s">
        <v>333</v>
      </c>
      <c r="D62" s="2">
        <v>4503755812</v>
      </c>
      <c r="E62" s="120" t="s">
        <v>319</v>
      </c>
      <c r="F62" s="89" t="s">
        <v>337</v>
      </c>
      <c r="G62" s="105">
        <v>27242.799999999999</v>
      </c>
      <c r="H62" s="4"/>
      <c r="I62" s="4"/>
      <c r="J62" s="4"/>
      <c r="K62" s="105">
        <v>21970</v>
      </c>
      <c r="L62" s="105">
        <v>0</v>
      </c>
      <c r="M62" s="105">
        <v>1098.5</v>
      </c>
      <c r="N62" s="105">
        <v>0</v>
      </c>
      <c r="O62" s="106">
        <v>439.4</v>
      </c>
      <c r="P62" s="105">
        <v>3734.9</v>
      </c>
      <c r="Q62" s="103">
        <f t="shared" si="1"/>
        <v>27242.800000000003</v>
      </c>
      <c r="R62" s="269"/>
      <c r="S62" s="186"/>
    </row>
    <row r="63" spans="1:19" ht="32.549999999999997" customHeight="1" x14ac:dyDescent="0.3">
      <c r="A63" s="83">
        <v>60</v>
      </c>
      <c r="B63" s="113" t="s">
        <v>311</v>
      </c>
      <c r="C63" s="122" t="s">
        <v>333</v>
      </c>
      <c r="D63" s="130" t="s">
        <v>336</v>
      </c>
      <c r="E63" s="120" t="s">
        <v>334</v>
      </c>
      <c r="F63" s="121" t="s">
        <v>335</v>
      </c>
      <c r="G63" s="105">
        <v>15960</v>
      </c>
      <c r="H63" s="4"/>
      <c r="I63" s="4"/>
      <c r="J63" s="4"/>
      <c r="K63" s="105">
        <v>10500</v>
      </c>
      <c r="L63" s="105">
        <v>0</v>
      </c>
      <c r="M63" s="105">
        <v>210</v>
      </c>
      <c r="N63" s="105">
        <v>210</v>
      </c>
      <c r="O63" s="106">
        <v>1050</v>
      </c>
      <c r="P63" s="105">
        <v>3990</v>
      </c>
      <c r="Q63" s="103">
        <f t="shared" si="1"/>
        <v>15960</v>
      </c>
      <c r="R63" s="269"/>
      <c r="S63" s="186"/>
    </row>
    <row r="64" spans="1:19" ht="32.549999999999997" customHeight="1" x14ac:dyDescent="0.3">
      <c r="A64" s="82">
        <v>61</v>
      </c>
      <c r="B64" s="113" t="s">
        <v>312</v>
      </c>
      <c r="C64" s="122" t="s">
        <v>331</v>
      </c>
      <c r="D64" s="2"/>
      <c r="E64" s="120" t="s">
        <v>319</v>
      </c>
      <c r="F64" s="121" t="s">
        <v>332</v>
      </c>
      <c r="G64" s="105">
        <v>882408.6</v>
      </c>
      <c r="H64" s="4"/>
      <c r="I64" s="4"/>
      <c r="J64" s="4"/>
      <c r="K64" s="105">
        <v>692620</v>
      </c>
      <c r="L64" s="105">
        <v>0</v>
      </c>
      <c r="M64" s="105">
        <v>16058.34</v>
      </c>
      <c r="N64" s="105">
        <v>2635.11</v>
      </c>
      <c r="O64" s="106">
        <v>14652.32</v>
      </c>
      <c r="P64" s="105">
        <v>156433.34</v>
      </c>
      <c r="Q64" s="103">
        <f t="shared" si="1"/>
        <v>882399.10999999987</v>
      </c>
      <c r="R64" s="269"/>
      <c r="S64" s="186"/>
    </row>
    <row r="65" spans="1:19" ht="32.549999999999997" customHeight="1" x14ac:dyDescent="0.3">
      <c r="A65" s="83">
        <v>62</v>
      </c>
      <c r="B65" s="113" t="s">
        <v>313</v>
      </c>
      <c r="C65" s="122" t="s">
        <v>328</v>
      </c>
      <c r="D65" s="2"/>
      <c r="E65" s="120" t="s">
        <v>319</v>
      </c>
      <c r="F65" s="121" t="s">
        <v>330</v>
      </c>
      <c r="G65" s="105">
        <v>2401034.54</v>
      </c>
      <c r="H65" s="4"/>
      <c r="I65" s="4"/>
      <c r="J65" s="4"/>
      <c r="K65" s="105">
        <v>2087483.01</v>
      </c>
      <c r="L65" s="105">
        <v>10437.42</v>
      </c>
      <c r="M65" s="105">
        <v>10437.42</v>
      </c>
      <c r="N65" s="105">
        <v>0</v>
      </c>
      <c r="O65" s="106">
        <v>41749.660000000003</v>
      </c>
      <c r="P65" s="105">
        <v>250915.46</v>
      </c>
      <c r="Q65" s="103">
        <f t="shared" si="1"/>
        <v>2401022.9700000002</v>
      </c>
      <c r="R65" s="269"/>
      <c r="S65" s="186"/>
    </row>
    <row r="66" spans="1:19" ht="32.549999999999997" customHeight="1" x14ac:dyDescent="0.3">
      <c r="A66" s="82">
        <v>63</v>
      </c>
      <c r="B66" s="116" t="s">
        <v>314</v>
      </c>
      <c r="C66" s="122" t="s">
        <v>328</v>
      </c>
      <c r="D66" s="2">
        <v>207896</v>
      </c>
      <c r="E66" s="66" t="s">
        <v>34</v>
      </c>
      <c r="F66" s="121" t="s">
        <v>329</v>
      </c>
      <c r="G66" s="105">
        <v>28690</v>
      </c>
      <c r="H66" s="4"/>
      <c r="I66" s="4"/>
      <c r="J66" s="4"/>
      <c r="K66" s="105">
        <v>14440</v>
      </c>
      <c r="L66" s="105">
        <v>0</v>
      </c>
      <c r="M66" s="105">
        <v>1444</v>
      </c>
      <c r="N66" s="105">
        <v>0</v>
      </c>
      <c r="O66" s="106">
        <v>1155.2</v>
      </c>
      <c r="P66" s="105">
        <v>11650.19</v>
      </c>
      <c r="Q66" s="103">
        <f t="shared" si="1"/>
        <v>28689.39</v>
      </c>
      <c r="R66" s="269"/>
      <c r="S66" s="186"/>
    </row>
    <row r="67" spans="1:19" ht="32.549999999999997" customHeight="1" x14ac:dyDescent="0.3">
      <c r="A67" s="83">
        <v>64</v>
      </c>
      <c r="B67" s="113" t="s">
        <v>315</v>
      </c>
      <c r="C67" s="122" t="s">
        <v>326</v>
      </c>
      <c r="D67" s="120" t="s">
        <v>327</v>
      </c>
      <c r="E67" s="120" t="s">
        <v>39</v>
      </c>
      <c r="F67" s="121" t="s">
        <v>324</v>
      </c>
      <c r="G67" s="105">
        <v>8856</v>
      </c>
      <c r="H67" s="4"/>
      <c r="I67" s="4"/>
      <c r="J67" s="4"/>
      <c r="K67" s="105">
        <v>6327.72</v>
      </c>
      <c r="L67" s="105">
        <v>0</v>
      </c>
      <c r="M67" s="105">
        <v>189.83</v>
      </c>
      <c r="N67" s="105">
        <v>316.39</v>
      </c>
      <c r="O67" s="106">
        <v>126.55</v>
      </c>
      <c r="P67" s="105">
        <v>1898.32</v>
      </c>
      <c r="Q67" s="103">
        <f t="shared" si="1"/>
        <v>8858.8100000000013</v>
      </c>
      <c r="R67" s="269"/>
      <c r="S67" s="186"/>
    </row>
    <row r="68" spans="1:19" ht="32.549999999999997" customHeight="1" x14ac:dyDescent="0.3">
      <c r="A68" s="82">
        <v>65</v>
      </c>
      <c r="B68" s="113" t="s">
        <v>317</v>
      </c>
      <c r="C68" s="3">
        <v>44635</v>
      </c>
      <c r="D68" s="2">
        <v>258639</v>
      </c>
      <c r="E68" s="120" t="s">
        <v>28</v>
      </c>
      <c r="F68" s="121" t="s">
        <v>244</v>
      </c>
      <c r="G68" s="103">
        <f>H68*I68</f>
        <v>576375</v>
      </c>
      <c r="H68" s="178">
        <v>7950</v>
      </c>
      <c r="I68" s="144">
        <v>72.5</v>
      </c>
      <c r="J68" s="178"/>
      <c r="K68" s="105">
        <v>90000</v>
      </c>
      <c r="L68" s="105">
        <v>0</v>
      </c>
      <c r="M68" s="105">
        <v>0</v>
      </c>
      <c r="N68" s="105">
        <v>0</v>
      </c>
      <c r="O68" s="106">
        <v>9000</v>
      </c>
      <c r="P68" s="105">
        <v>477450</v>
      </c>
      <c r="Q68" s="103">
        <f>SUM(K68:P68)</f>
        <v>576450</v>
      </c>
      <c r="R68" s="269"/>
      <c r="S68" s="186"/>
    </row>
    <row r="69" spans="1:19" s="127" customFormat="1" ht="32.549999999999997" customHeight="1" x14ac:dyDescent="0.3">
      <c r="A69" s="83">
        <v>66</v>
      </c>
      <c r="B69" s="117" t="s">
        <v>318</v>
      </c>
      <c r="C69" s="67">
        <v>44609</v>
      </c>
      <c r="D69" s="66">
        <v>205954</v>
      </c>
      <c r="E69" s="66" t="s">
        <v>34</v>
      </c>
      <c r="F69" s="86" t="s">
        <v>257</v>
      </c>
      <c r="G69" s="102">
        <v>1222435.3999999999</v>
      </c>
      <c r="H69" s="68"/>
      <c r="I69" s="68"/>
      <c r="J69" s="68"/>
      <c r="K69" s="102">
        <v>463276.79999999999</v>
      </c>
      <c r="L69" s="102">
        <v>13898</v>
      </c>
      <c r="M69" s="102">
        <v>23163.84</v>
      </c>
      <c r="N69" s="102">
        <v>0</v>
      </c>
      <c r="O69" s="102">
        <v>9265.5400000000009</v>
      </c>
      <c r="P69" s="102">
        <v>712830.14</v>
      </c>
      <c r="Q69" s="103">
        <f t="shared" si="1"/>
        <v>1222434.32</v>
      </c>
      <c r="R69" s="269"/>
      <c r="S69" s="186"/>
    </row>
    <row r="70" spans="1:19" ht="32.549999999999997" customHeight="1" x14ac:dyDescent="0.3">
      <c r="A70" s="82">
        <v>67</v>
      </c>
      <c r="B70" s="120" t="s">
        <v>322</v>
      </c>
      <c r="C70" s="122" t="s">
        <v>325</v>
      </c>
      <c r="D70" s="120" t="s">
        <v>321</v>
      </c>
      <c r="E70" s="120" t="s">
        <v>39</v>
      </c>
      <c r="F70" s="121" t="s">
        <v>323</v>
      </c>
      <c r="G70" s="105">
        <v>78000</v>
      </c>
      <c r="H70" s="4"/>
      <c r="I70" s="4"/>
      <c r="J70" s="4"/>
      <c r="K70" s="105">
        <v>49920</v>
      </c>
      <c r="L70" s="105">
        <v>0</v>
      </c>
      <c r="M70" s="105">
        <v>998.4</v>
      </c>
      <c r="N70" s="4">
        <v>2496</v>
      </c>
      <c r="O70" s="106">
        <v>998.4</v>
      </c>
      <c r="P70" s="105">
        <v>23587.200000000001</v>
      </c>
      <c r="Q70" s="103">
        <f t="shared" si="1"/>
        <v>78000</v>
      </c>
      <c r="R70" s="269"/>
      <c r="S70" s="186"/>
    </row>
    <row r="71" spans="1:19" ht="32.549999999999997" customHeight="1" x14ac:dyDescent="0.3">
      <c r="A71" s="83">
        <v>68</v>
      </c>
      <c r="B71" s="164" t="s">
        <v>341</v>
      </c>
      <c r="C71" s="3">
        <v>44601</v>
      </c>
      <c r="D71" s="164" t="s">
        <v>406</v>
      </c>
      <c r="E71" s="164" t="s">
        <v>82</v>
      </c>
      <c r="F71" s="171" t="s">
        <v>405</v>
      </c>
      <c r="G71" s="105">
        <v>227271</v>
      </c>
      <c r="H71" s="4"/>
      <c r="I71" s="4"/>
      <c r="J71" s="4"/>
      <c r="K71" s="105">
        <v>143185.79999999999</v>
      </c>
      <c r="L71" s="105">
        <v>0</v>
      </c>
      <c r="M71" s="105">
        <v>10023.01</v>
      </c>
      <c r="N71" s="105">
        <v>0</v>
      </c>
      <c r="O71" s="106">
        <v>2863.72</v>
      </c>
      <c r="P71" s="105">
        <v>71206.3</v>
      </c>
      <c r="Q71" s="103">
        <f t="shared" si="1"/>
        <v>227278.83000000002</v>
      </c>
      <c r="R71" s="269"/>
      <c r="S71" s="186"/>
    </row>
    <row r="72" spans="1:19" ht="32.549999999999997" customHeight="1" x14ac:dyDescent="0.3">
      <c r="A72" s="82">
        <v>69</v>
      </c>
      <c r="B72" s="164" t="s">
        <v>342</v>
      </c>
      <c r="C72" s="3">
        <v>44601</v>
      </c>
      <c r="D72" s="120">
        <v>22015</v>
      </c>
      <c r="E72" s="139" t="s">
        <v>343</v>
      </c>
      <c r="F72" s="140" t="s">
        <v>344</v>
      </c>
      <c r="G72" s="103">
        <f>H72*I72</f>
        <v>218799.92499999999</v>
      </c>
      <c r="H72" s="178">
        <f>3017.93</f>
        <v>3017.93</v>
      </c>
      <c r="I72" s="144">
        <v>72.5</v>
      </c>
      <c r="J72" s="178"/>
      <c r="K72" s="105">
        <v>196560</v>
      </c>
      <c r="L72" s="105">
        <v>0</v>
      </c>
      <c r="M72" s="105">
        <v>3931.2</v>
      </c>
      <c r="N72" s="105">
        <v>0</v>
      </c>
      <c r="O72" s="105">
        <v>3931.2</v>
      </c>
      <c r="P72" s="123">
        <v>14348.88</v>
      </c>
      <c r="Q72" s="103">
        <f t="shared" si="1"/>
        <v>218771.28000000003</v>
      </c>
      <c r="R72" s="269"/>
      <c r="S72" s="186"/>
    </row>
    <row r="73" spans="1:19" ht="32.549999999999997" customHeight="1" x14ac:dyDescent="0.3">
      <c r="A73" s="83">
        <v>70</v>
      </c>
      <c r="B73" s="164" t="s">
        <v>347</v>
      </c>
      <c r="C73" s="3">
        <v>44601</v>
      </c>
      <c r="D73" s="120"/>
      <c r="E73" s="139" t="s">
        <v>2</v>
      </c>
      <c r="F73" s="140" t="s">
        <v>345</v>
      </c>
      <c r="G73" s="105">
        <v>15540</v>
      </c>
      <c r="K73" s="105">
        <v>8880</v>
      </c>
      <c r="L73" s="105">
        <v>0</v>
      </c>
      <c r="M73" s="105">
        <v>444</v>
      </c>
      <c r="N73" s="105">
        <v>0</v>
      </c>
      <c r="O73" s="106">
        <v>888</v>
      </c>
      <c r="P73" s="105">
        <v>5328</v>
      </c>
      <c r="Q73" s="103">
        <f t="shared" si="1"/>
        <v>15540</v>
      </c>
      <c r="R73" s="269"/>
      <c r="S73" s="186"/>
    </row>
    <row r="74" spans="1:19" ht="32.549999999999997" customHeight="1" x14ac:dyDescent="0.3">
      <c r="A74" s="82">
        <v>71</v>
      </c>
      <c r="B74" s="164" t="s">
        <v>346</v>
      </c>
      <c r="C74" s="3">
        <v>44601</v>
      </c>
      <c r="D74" s="120">
        <v>4503757352</v>
      </c>
      <c r="E74" s="139" t="s">
        <v>2</v>
      </c>
      <c r="F74" s="140" t="s">
        <v>348</v>
      </c>
      <c r="G74" s="105">
        <v>164331.03</v>
      </c>
      <c r="H74" s="4"/>
      <c r="I74" s="4"/>
      <c r="J74" s="4"/>
      <c r="K74" s="105">
        <v>115874.19</v>
      </c>
      <c r="L74" s="105">
        <v>0</v>
      </c>
      <c r="M74" s="105">
        <v>1158.74</v>
      </c>
      <c r="N74" s="105">
        <v>0</v>
      </c>
      <c r="O74" s="106">
        <v>2317.48</v>
      </c>
      <c r="P74" s="105">
        <v>44982.36</v>
      </c>
      <c r="Q74" s="103">
        <f t="shared" si="1"/>
        <v>164332.77000000002</v>
      </c>
      <c r="R74" s="269"/>
      <c r="S74" s="186"/>
    </row>
    <row r="75" spans="1:19" ht="32.549999999999997" customHeight="1" x14ac:dyDescent="0.3">
      <c r="A75" s="83">
        <v>72</v>
      </c>
      <c r="B75" s="139" t="s">
        <v>349</v>
      </c>
      <c r="C75" s="3">
        <v>44601</v>
      </c>
      <c r="D75" s="120">
        <v>207823</v>
      </c>
      <c r="E75" s="66" t="s">
        <v>34</v>
      </c>
      <c r="F75" s="140" t="s">
        <v>350</v>
      </c>
      <c r="G75" s="105">
        <v>38285</v>
      </c>
      <c r="H75" s="4"/>
      <c r="I75" s="4"/>
      <c r="J75" s="4"/>
      <c r="K75" s="105">
        <v>15583.2</v>
      </c>
      <c r="L75" s="105">
        <v>0</v>
      </c>
      <c r="M75" s="105">
        <v>1090.82</v>
      </c>
      <c r="N75" s="105">
        <v>0</v>
      </c>
      <c r="O75" s="106">
        <v>1246.6600000000001</v>
      </c>
      <c r="P75" s="105">
        <v>20364.13</v>
      </c>
      <c r="Q75" s="103">
        <f t="shared" si="1"/>
        <v>38284.81</v>
      </c>
      <c r="R75" s="269"/>
      <c r="S75" s="186"/>
    </row>
    <row r="76" spans="1:19" s="127" customFormat="1" ht="32.549999999999997" customHeight="1" x14ac:dyDescent="0.3">
      <c r="A76" s="82">
        <v>73</v>
      </c>
      <c r="B76" s="139" t="s">
        <v>351</v>
      </c>
      <c r="C76" s="67">
        <v>44621</v>
      </c>
      <c r="D76" s="66">
        <v>206724</v>
      </c>
      <c r="E76" s="110" t="s">
        <v>28</v>
      </c>
      <c r="F76" s="115" t="s">
        <v>284</v>
      </c>
      <c r="G76" s="102">
        <v>57427.5</v>
      </c>
      <c r="H76" s="68"/>
      <c r="I76" s="68"/>
      <c r="J76" s="68"/>
      <c r="K76" s="102">
        <v>23374.799999999999</v>
      </c>
      <c r="L76" s="102">
        <v>0</v>
      </c>
      <c r="M76" s="102">
        <v>1636.24</v>
      </c>
      <c r="N76" s="102">
        <v>0</v>
      </c>
      <c r="O76" s="102">
        <v>1869.98</v>
      </c>
      <c r="P76" s="102">
        <v>30546.19</v>
      </c>
      <c r="Q76" s="103">
        <f t="shared" si="1"/>
        <v>57427.21</v>
      </c>
      <c r="R76" s="269"/>
      <c r="S76" s="186"/>
    </row>
    <row r="77" spans="1:19" s="127" customFormat="1" ht="32.549999999999997" customHeight="1" x14ac:dyDescent="0.3">
      <c r="A77" s="83">
        <v>74</v>
      </c>
      <c r="B77" s="139" t="s">
        <v>352</v>
      </c>
      <c r="C77" s="67">
        <v>44641</v>
      </c>
      <c r="D77" s="66">
        <v>208058</v>
      </c>
      <c r="E77" s="110" t="s">
        <v>28</v>
      </c>
      <c r="F77" s="141" t="s">
        <v>357</v>
      </c>
      <c r="G77" s="102">
        <v>19420</v>
      </c>
      <c r="H77" s="68"/>
      <c r="I77" s="68"/>
      <c r="J77" s="68"/>
      <c r="K77" s="102">
        <v>11808</v>
      </c>
      <c r="L77" s="102">
        <v>0</v>
      </c>
      <c r="M77" s="102">
        <v>590.4</v>
      </c>
      <c r="N77" s="102">
        <v>354.24</v>
      </c>
      <c r="O77" s="102">
        <v>1180.8</v>
      </c>
      <c r="P77" s="102">
        <v>5490.72</v>
      </c>
      <c r="Q77" s="103">
        <f t="shared" si="1"/>
        <v>19424.16</v>
      </c>
      <c r="R77" s="269"/>
      <c r="S77" s="186"/>
    </row>
    <row r="78" spans="1:19" s="127" customFormat="1" ht="32.549999999999997" customHeight="1" x14ac:dyDescent="0.3">
      <c r="A78" s="82">
        <v>75</v>
      </c>
      <c r="B78" s="139" t="s">
        <v>353</v>
      </c>
      <c r="C78" s="67">
        <v>44621</v>
      </c>
      <c r="D78" s="66">
        <v>206719</v>
      </c>
      <c r="E78" s="110" t="s">
        <v>28</v>
      </c>
      <c r="F78" s="149" t="s">
        <v>281</v>
      </c>
      <c r="G78" s="102">
        <v>481650</v>
      </c>
      <c r="H78" s="68"/>
      <c r="I78" s="68"/>
      <c r="J78" s="68"/>
      <c r="K78" s="102">
        <v>354235.44</v>
      </c>
      <c r="L78" s="102">
        <v>0</v>
      </c>
      <c r="M78" s="102">
        <v>7084</v>
      </c>
      <c r="N78" s="102">
        <v>0</v>
      </c>
      <c r="O78" s="102">
        <v>7084</v>
      </c>
      <c r="P78" s="102">
        <v>113249.07</v>
      </c>
      <c r="Q78" s="103">
        <f t="shared" si="1"/>
        <v>481652.51</v>
      </c>
      <c r="R78" s="269"/>
      <c r="S78" s="186"/>
    </row>
    <row r="79" spans="1:19" s="127" customFormat="1" ht="32.549999999999997" customHeight="1" x14ac:dyDescent="0.3">
      <c r="A79" s="83">
        <v>76</v>
      </c>
      <c r="B79" s="139" t="s">
        <v>354</v>
      </c>
      <c r="C79" s="67">
        <v>44609</v>
      </c>
      <c r="D79" s="66">
        <v>206115</v>
      </c>
      <c r="E79" s="66" t="s">
        <v>34</v>
      </c>
      <c r="F79" s="151" t="s">
        <v>256</v>
      </c>
      <c r="G79" s="102">
        <v>944763</v>
      </c>
      <c r="H79" s="68"/>
      <c r="I79" s="68"/>
      <c r="J79" s="68"/>
      <c r="K79" s="102">
        <v>683403.12</v>
      </c>
      <c r="L79" s="102">
        <v>0</v>
      </c>
      <c r="M79" s="102">
        <v>13668.02</v>
      </c>
      <c r="N79" s="102">
        <v>0</v>
      </c>
      <c r="O79" s="102">
        <v>13668.06</v>
      </c>
      <c r="P79" s="102">
        <v>234024.56</v>
      </c>
      <c r="Q79" s="103">
        <f t="shared" ref="Q79:Q138" si="2">SUM(K79:P79)</f>
        <v>944763.76</v>
      </c>
      <c r="R79" s="269"/>
      <c r="S79" s="186"/>
    </row>
    <row r="80" spans="1:19" s="127" customFormat="1" ht="32.549999999999997" customHeight="1" x14ac:dyDescent="0.3">
      <c r="A80" s="82">
        <v>77</v>
      </c>
      <c r="B80" s="139" t="s">
        <v>355</v>
      </c>
      <c r="C80" s="67">
        <v>44621</v>
      </c>
      <c r="D80" s="66">
        <v>207014</v>
      </c>
      <c r="E80" s="110" t="s">
        <v>28</v>
      </c>
      <c r="F80" s="149" t="s">
        <v>283</v>
      </c>
      <c r="G80" s="102">
        <v>20646</v>
      </c>
      <c r="H80" s="68"/>
      <c r="I80" s="68"/>
      <c r="J80" s="68"/>
      <c r="K80" s="102">
        <v>14906.4</v>
      </c>
      <c r="L80" s="102">
        <v>0</v>
      </c>
      <c r="M80" s="102">
        <v>447.19</v>
      </c>
      <c r="N80" s="102">
        <v>0</v>
      </c>
      <c r="O80" s="102">
        <v>298.13</v>
      </c>
      <c r="P80" s="102">
        <v>4993.6440000000002</v>
      </c>
      <c r="Q80" s="103">
        <f t="shared" si="2"/>
        <v>20645.364000000001</v>
      </c>
      <c r="R80" s="269"/>
      <c r="S80" s="186"/>
    </row>
    <row r="81" spans="1:19" s="127" customFormat="1" ht="32.549999999999997" customHeight="1" x14ac:dyDescent="0.3">
      <c r="A81" s="83">
        <v>78</v>
      </c>
      <c r="B81" s="139" t="s">
        <v>356</v>
      </c>
      <c r="C81" s="67">
        <v>44609</v>
      </c>
      <c r="D81" s="66">
        <v>205955</v>
      </c>
      <c r="E81" s="66" t="s">
        <v>34</v>
      </c>
      <c r="F81" s="152" t="s">
        <v>255</v>
      </c>
      <c r="G81" s="102">
        <v>593628.30000000005</v>
      </c>
      <c r="H81" s="68"/>
      <c r="I81" s="68"/>
      <c r="J81" s="68"/>
      <c r="K81" s="102">
        <v>429746.52</v>
      </c>
      <c r="L81" s="102">
        <v>0</v>
      </c>
      <c r="M81" s="102">
        <v>8594.9</v>
      </c>
      <c r="N81" s="102">
        <v>0</v>
      </c>
      <c r="O81" s="102">
        <v>8594.93</v>
      </c>
      <c r="P81" s="102">
        <v>146693.51999999999</v>
      </c>
      <c r="Q81" s="103">
        <f t="shared" si="2"/>
        <v>593629.87</v>
      </c>
      <c r="R81" s="269"/>
      <c r="S81" s="186"/>
    </row>
    <row r="82" spans="1:19" s="127" customFormat="1" ht="32.549999999999997" customHeight="1" x14ac:dyDescent="0.3">
      <c r="A82" s="82">
        <v>79</v>
      </c>
      <c r="B82" s="139" t="s">
        <v>358</v>
      </c>
      <c r="C82" s="67">
        <v>44621</v>
      </c>
      <c r="D82" s="66">
        <v>207015</v>
      </c>
      <c r="E82" s="110" t="s">
        <v>28</v>
      </c>
      <c r="F82" s="112" t="s">
        <v>282</v>
      </c>
      <c r="G82" s="102">
        <v>38652</v>
      </c>
      <c r="H82" s="68"/>
      <c r="I82" s="68"/>
      <c r="J82" s="68"/>
      <c r="K82" s="102">
        <v>28023.52</v>
      </c>
      <c r="L82" s="102">
        <v>0</v>
      </c>
      <c r="M82" s="102">
        <v>560.47</v>
      </c>
      <c r="N82" s="102">
        <v>0</v>
      </c>
      <c r="O82" s="102">
        <v>560.47</v>
      </c>
      <c r="P82" s="102">
        <v>9508.3799999999992</v>
      </c>
      <c r="Q82" s="103">
        <f t="shared" si="2"/>
        <v>38652.840000000004</v>
      </c>
      <c r="R82" s="269"/>
      <c r="S82" s="186"/>
    </row>
    <row r="83" spans="1:19" s="127" customFormat="1" ht="32.549999999999997" customHeight="1" x14ac:dyDescent="0.3">
      <c r="A83" s="83">
        <v>80</v>
      </c>
      <c r="B83" s="139" t="s">
        <v>359</v>
      </c>
      <c r="C83" s="67">
        <v>44642</v>
      </c>
      <c r="D83" s="66">
        <v>22017</v>
      </c>
      <c r="E83" s="142" t="s">
        <v>6</v>
      </c>
      <c r="F83" s="141" t="s">
        <v>360</v>
      </c>
      <c r="G83" s="103">
        <f>H83*I83</f>
        <v>871450</v>
      </c>
      <c r="H83" s="177">
        <f>12020</f>
        <v>12020</v>
      </c>
      <c r="I83" s="144">
        <v>72.5</v>
      </c>
      <c r="J83" s="177"/>
      <c r="K83" s="102">
        <v>577500</v>
      </c>
      <c r="L83" s="102">
        <v>0</v>
      </c>
      <c r="M83" s="102">
        <v>11550</v>
      </c>
      <c r="N83" s="102">
        <v>0</v>
      </c>
      <c r="O83" s="102">
        <v>11550</v>
      </c>
      <c r="P83" s="102">
        <v>271425</v>
      </c>
      <c r="Q83" s="103">
        <f>SUM(K83:P83)</f>
        <v>872025</v>
      </c>
      <c r="R83" s="269"/>
      <c r="S83" s="186"/>
    </row>
    <row r="84" spans="1:19" s="127" customFormat="1" ht="32.549999999999997" customHeight="1" x14ac:dyDescent="0.3">
      <c r="A84" s="82">
        <v>81</v>
      </c>
      <c r="B84" s="153" t="s">
        <v>361</v>
      </c>
      <c r="C84" s="67">
        <v>44644</v>
      </c>
      <c r="D84" s="143" t="s">
        <v>374</v>
      </c>
      <c r="E84" s="142" t="s">
        <v>39</v>
      </c>
      <c r="F84" s="141" t="s">
        <v>362</v>
      </c>
      <c r="G84" s="102">
        <v>2123.4</v>
      </c>
      <c r="H84" s="68"/>
      <c r="I84" s="68"/>
      <c r="J84" s="68"/>
      <c r="K84" s="102">
        <v>1061.7</v>
      </c>
      <c r="L84" s="102">
        <v>0</v>
      </c>
      <c r="M84" s="102">
        <v>212.34</v>
      </c>
      <c r="N84" s="102">
        <v>53.09</v>
      </c>
      <c r="O84" s="102">
        <v>106.17</v>
      </c>
      <c r="P84" s="102">
        <v>690.11</v>
      </c>
      <c r="Q84" s="103">
        <f t="shared" si="2"/>
        <v>2123.41</v>
      </c>
      <c r="R84" s="269"/>
      <c r="S84" s="186"/>
    </row>
    <row r="85" spans="1:19" s="127" customFormat="1" ht="32.549999999999997" customHeight="1" x14ac:dyDescent="0.3">
      <c r="A85" s="83">
        <v>82</v>
      </c>
      <c r="B85" s="172" t="s">
        <v>363</v>
      </c>
      <c r="C85" s="67">
        <v>44613</v>
      </c>
      <c r="D85" s="72">
        <v>206587</v>
      </c>
      <c r="E85" s="110" t="s">
        <v>28</v>
      </c>
      <c r="F85" s="141" t="s">
        <v>364</v>
      </c>
      <c r="G85" s="102">
        <v>46137</v>
      </c>
      <c r="H85" s="68"/>
      <c r="I85" s="68"/>
      <c r="J85" s="68"/>
      <c r="K85" s="102">
        <v>25116</v>
      </c>
      <c r="L85" s="102">
        <v>0</v>
      </c>
      <c r="M85" s="102">
        <v>2511.6</v>
      </c>
      <c r="N85" s="102">
        <v>1255.8</v>
      </c>
      <c r="O85" s="102">
        <v>2009.28</v>
      </c>
      <c r="P85" s="102">
        <v>15245.41</v>
      </c>
      <c r="Q85" s="103">
        <f t="shared" si="2"/>
        <v>46138.09</v>
      </c>
      <c r="R85" s="269"/>
      <c r="S85" s="186"/>
    </row>
    <row r="86" spans="1:19" s="127" customFormat="1" ht="32.549999999999997" customHeight="1" x14ac:dyDescent="0.3">
      <c r="A86" s="82">
        <v>83</v>
      </c>
      <c r="B86" s="139" t="s">
        <v>366</v>
      </c>
      <c r="C86" s="67">
        <v>44644</v>
      </c>
      <c r="D86" s="66">
        <v>206775</v>
      </c>
      <c r="E86" s="110" t="s">
        <v>28</v>
      </c>
      <c r="F86" s="141" t="s">
        <v>365</v>
      </c>
      <c r="G86" s="102">
        <v>119784</v>
      </c>
      <c r="H86" s="68"/>
      <c r="I86" s="68"/>
      <c r="J86" s="68"/>
      <c r="K86" s="102">
        <v>74400</v>
      </c>
      <c r="L86" s="102">
        <v>0</v>
      </c>
      <c r="M86" s="102">
        <v>3720</v>
      </c>
      <c r="N86" s="102">
        <v>1488</v>
      </c>
      <c r="O86" s="102">
        <v>2976</v>
      </c>
      <c r="P86" s="102">
        <v>37200</v>
      </c>
      <c r="Q86" s="103">
        <f t="shared" si="2"/>
        <v>119784</v>
      </c>
      <c r="R86" s="269"/>
      <c r="S86" s="186"/>
    </row>
    <row r="87" spans="1:19" s="127" customFormat="1" ht="32.549999999999997" customHeight="1" x14ac:dyDescent="0.3">
      <c r="A87" s="83">
        <v>84</v>
      </c>
      <c r="B87" s="153" t="s">
        <v>375</v>
      </c>
      <c r="C87" s="67">
        <v>44609</v>
      </c>
      <c r="D87" s="66">
        <v>206098</v>
      </c>
      <c r="E87" s="66" t="s">
        <v>34</v>
      </c>
      <c r="F87" s="111" t="s">
        <v>279</v>
      </c>
      <c r="G87" s="102">
        <v>277963</v>
      </c>
      <c r="H87" s="68"/>
      <c r="I87" s="68"/>
      <c r="J87" s="68"/>
      <c r="K87" s="102">
        <v>155290</v>
      </c>
      <c r="L87" s="102">
        <v>0</v>
      </c>
      <c r="M87" s="102">
        <v>31058</v>
      </c>
      <c r="N87" s="102">
        <v>0</v>
      </c>
      <c r="O87" s="102">
        <v>3105.8</v>
      </c>
      <c r="P87" s="170">
        <v>88515.3</v>
      </c>
      <c r="Q87" s="103">
        <f t="shared" si="2"/>
        <v>277969.09999999998</v>
      </c>
      <c r="R87" s="269"/>
      <c r="S87" s="186"/>
    </row>
    <row r="88" spans="1:19" s="127" customFormat="1" ht="32.549999999999997" customHeight="1" x14ac:dyDescent="0.3">
      <c r="A88" s="82">
        <v>85</v>
      </c>
      <c r="B88" s="153" t="s">
        <v>376</v>
      </c>
      <c r="C88" s="67">
        <v>44645</v>
      </c>
      <c r="D88" s="66">
        <v>206757</v>
      </c>
      <c r="E88" s="110" t="s">
        <v>28</v>
      </c>
      <c r="F88" s="112" t="s">
        <v>285</v>
      </c>
      <c r="G88" s="102">
        <v>322869.43</v>
      </c>
      <c r="H88" s="68"/>
      <c r="I88" s="68"/>
      <c r="J88" s="68"/>
      <c r="K88" s="102">
        <v>176047</v>
      </c>
      <c r="L88" s="102">
        <v>0</v>
      </c>
      <c r="M88" s="102">
        <v>35209.4</v>
      </c>
      <c r="N88" s="102">
        <v>3520.94</v>
      </c>
      <c r="O88" s="102">
        <v>3520.94</v>
      </c>
      <c r="P88" s="102">
        <v>104571.92</v>
      </c>
      <c r="Q88" s="103">
        <f t="shared" si="2"/>
        <v>322870.2</v>
      </c>
      <c r="R88" s="269"/>
      <c r="S88" s="186"/>
    </row>
    <row r="89" spans="1:19" s="127" customFormat="1" ht="32.549999999999997" customHeight="1" x14ac:dyDescent="0.3">
      <c r="A89" s="83">
        <v>86</v>
      </c>
      <c r="B89" s="153" t="s">
        <v>377</v>
      </c>
      <c r="C89" s="67">
        <v>44645</v>
      </c>
      <c r="D89" s="66">
        <v>207017</v>
      </c>
      <c r="E89" s="110" t="s">
        <v>28</v>
      </c>
      <c r="F89" s="185" t="s">
        <v>414</v>
      </c>
      <c r="G89" s="102">
        <v>14915</v>
      </c>
      <c r="H89" s="68"/>
      <c r="I89" s="68"/>
      <c r="J89" s="68"/>
      <c r="K89" s="102">
        <v>6547.5</v>
      </c>
      <c r="L89" s="102">
        <v>0</v>
      </c>
      <c r="M89" s="102">
        <v>517.79999999999995</v>
      </c>
      <c r="N89" s="102">
        <v>0</v>
      </c>
      <c r="O89" s="102">
        <v>654.75</v>
      </c>
      <c r="P89" s="102">
        <v>7202.25</v>
      </c>
      <c r="Q89" s="103">
        <f t="shared" si="2"/>
        <v>14922.3</v>
      </c>
      <c r="R89" s="269"/>
      <c r="S89" s="186"/>
    </row>
    <row r="90" spans="1:19" s="127" customFormat="1" ht="32.549999999999997" customHeight="1" x14ac:dyDescent="0.3">
      <c r="A90" s="82">
        <v>87</v>
      </c>
      <c r="B90" s="153" t="s">
        <v>378</v>
      </c>
      <c r="C90" s="67">
        <v>44645</v>
      </c>
      <c r="D90" s="66">
        <v>205121</v>
      </c>
      <c r="E90" s="110" t="s">
        <v>28</v>
      </c>
      <c r="F90" s="118" t="s">
        <v>280</v>
      </c>
      <c r="G90" s="102">
        <v>5554.96</v>
      </c>
      <c r="H90" s="68"/>
      <c r="I90" s="68"/>
      <c r="J90" s="68"/>
      <c r="K90" s="102">
        <v>2704</v>
      </c>
      <c r="L90" s="102">
        <v>0</v>
      </c>
      <c r="M90" s="102">
        <v>0</v>
      </c>
      <c r="N90" s="102">
        <v>0</v>
      </c>
      <c r="O90" s="102">
        <v>270.39999999999998</v>
      </c>
      <c r="P90" s="102">
        <v>2582.3200000000002</v>
      </c>
      <c r="Q90" s="103">
        <f t="shared" si="2"/>
        <v>5556.72</v>
      </c>
      <c r="R90" s="269"/>
      <c r="S90" s="186"/>
    </row>
    <row r="91" spans="1:19" s="127" customFormat="1" ht="32.549999999999997" customHeight="1" x14ac:dyDescent="0.3">
      <c r="A91" s="83">
        <v>88</v>
      </c>
      <c r="B91" s="139" t="s">
        <v>379</v>
      </c>
      <c r="C91" s="67">
        <v>44648</v>
      </c>
      <c r="D91" s="66">
        <v>208416</v>
      </c>
      <c r="E91" s="110" t="s">
        <v>28</v>
      </c>
      <c r="F91" s="149" t="s">
        <v>380</v>
      </c>
      <c r="G91" s="102">
        <v>7379</v>
      </c>
      <c r="H91" s="68"/>
      <c r="I91" s="68"/>
      <c r="J91" s="68"/>
      <c r="K91" s="102">
        <v>4082</v>
      </c>
      <c r="L91" s="102">
        <v>0</v>
      </c>
      <c r="M91" s="102">
        <v>408.2</v>
      </c>
      <c r="N91" s="102">
        <v>204.1</v>
      </c>
      <c r="O91" s="102">
        <v>408.2</v>
      </c>
      <c r="P91" s="102">
        <v>2276.5300000000002</v>
      </c>
      <c r="Q91" s="103">
        <f t="shared" si="2"/>
        <v>7379.0300000000007</v>
      </c>
      <c r="R91" s="269"/>
      <c r="S91" s="186"/>
    </row>
    <row r="92" spans="1:19" s="127" customFormat="1" ht="32.549999999999997" customHeight="1" x14ac:dyDescent="0.3">
      <c r="A92" s="82">
        <v>89</v>
      </c>
      <c r="B92" s="262" t="s">
        <v>373</v>
      </c>
      <c r="C92" s="263">
        <v>44649</v>
      </c>
      <c r="D92" s="262" t="s">
        <v>382</v>
      </c>
      <c r="E92" s="262" t="s">
        <v>82</v>
      </c>
      <c r="F92" s="264" t="s">
        <v>372</v>
      </c>
      <c r="G92" s="265">
        <v>16271759.800000001</v>
      </c>
      <c r="H92" s="68"/>
      <c r="I92" s="68"/>
      <c r="J92" s="68"/>
      <c r="K92" s="102"/>
      <c r="L92" s="102"/>
      <c r="M92" s="102"/>
      <c r="N92" s="102"/>
      <c r="O92" s="102"/>
      <c r="P92" s="102"/>
      <c r="Q92" s="103">
        <f t="shared" si="2"/>
        <v>0</v>
      </c>
      <c r="R92" s="269"/>
      <c r="S92" s="188"/>
    </row>
    <row r="93" spans="1:19" s="127" customFormat="1" ht="32.549999999999997" customHeight="1" x14ac:dyDescent="0.3">
      <c r="A93" s="83">
        <v>90</v>
      </c>
      <c r="B93" s="153" t="s">
        <v>385</v>
      </c>
      <c r="C93" s="67">
        <v>44650</v>
      </c>
      <c r="D93" s="66">
        <v>208329</v>
      </c>
      <c r="E93" s="110" t="s">
        <v>28</v>
      </c>
      <c r="F93" s="161" t="s">
        <v>396</v>
      </c>
      <c r="G93" s="102">
        <v>8726</v>
      </c>
      <c r="H93" s="68"/>
      <c r="I93" s="68"/>
      <c r="J93" s="68"/>
      <c r="K93" s="102">
        <v>4360</v>
      </c>
      <c r="L93" s="102">
        <v>0</v>
      </c>
      <c r="M93" s="102">
        <v>218</v>
      </c>
      <c r="N93" s="102">
        <v>0</v>
      </c>
      <c r="O93" s="102">
        <v>348.8</v>
      </c>
      <c r="P93" s="102">
        <v>3797.56</v>
      </c>
      <c r="Q93" s="103">
        <f t="shared" si="2"/>
        <v>8724.36</v>
      </c>
      <c r="R93" s="269"/>
      <c r="S93" s="186"/>
    </row>
    <row r="94" spans="1:19" s="127" customFormat="1" ht="32.549999999999997" customHeight="1" x14ac:dyDescent="0.3">
      <c r="A94" s="82">
        <v>91</v>
      </c>
      <c r="B94" s="139" t="s">
        <v>386</v>
      </c>
      <c r="C94" s="67">
        <v>44650</v>
      </c>
      <c r="D94" s="66">
        <v>208336</v>
      </c>
      <c r="E94" s="110" t="s">
        <v>28</v>
      </c>
      <c r="F94" s="161" t="s">
        <v>398</v>
      </c>
      <c r="G94" s="102">
        <v>21744</v>
      </c>
      <c r="H94" s="68"/>
      <c r="I94" s="68"/>
      <c r="J94" s="68"/>
      <c r="K94" s="102">
        <v>10944</v>
      </c>
      <c r="L94" s="102">
        <v>0</v>
      </c>
      <c r="M94" s="102">
        <v>0</v>
      </c>
      <c r="N94" s="102">
        <v>0</v>
      </c>
      <c r="O94" s="102">
        <v>1094.4000000000001</v>
      </c>
      <c r="P94" s="102">
        <v>9707.33</v>
      </c>
      <c r="Q94" s="103">
        <f t="shared" si="2"/>
        <v>21745.73</v>
      </c>
      <c r="R94" s="269"/>
      <c r="S94" s="186"/>
    </row>
    <row r="95" spans="1:19" s="127" customFormat="1" ht="32.549999999999997" customHeight="1" x14ac:dyDescent="0.3">
      <c r="A95" s="83">
        <v>92</v>
      </c>
      <c r="B95" s="153" t="s">
        <v>387</v>
      </c>
      <c r="C95" s="67">
        <v>44650</v>
      </c>
      <c r="D95" s="66">
        <v>4600011083</v>
      </c>
      <c r="E95" s="169" t="s">
        <v>69</v>
      </c>
      <c r="F95" s="161" t="s">
        <v>397</v>
      </c>
      <c r="G95" s="102">
        <v>77646.8</v>
      </c>
      <c r="H95" s="68"/>
      <c r="I95" s="68"/>
      <c r="J95" s="68"/>
      <c r="K95" s="102">
        <v>40151.370000000003</v>
      </c>
      <c r="L95" s="102">
        <v>0</v>
      </c>
      <c r="M95" s="102">
        <v>8030.27</v>
      </c>
      <c r="N95" s="102">
        <v>2007.57</v>
      </c>
      <c r="O95" s="102">
        <v>803.03</v>
      </c>
      <c r="P95" s="102">
        <v>26656.49</v>
      </c>
      <c r="Q95" s="103">
        <f t="shared" si="2"/>
        <v>77648.73</v>
      </c>
      <c r="R95" s="269"/>
      <c r="S95" s="186"/>
    </row>
    <row r="96" spans="1:19" s="127" customFormat="1" ht="32.549999999999997" customHeight="1" x14ac:dyDescent="0.3">
      <c r="A96" s="82">
        <v>93</v>
      </c>
      <c r="B96" s="153" t="s">
        <v>388</v>
      </c>
      <c r="C96" s="67">
        <v>44650</v>
      </c>
      <c r="D96" s="66">
        <v>4100715669</v>
      </c>
      <c r="E96" s="143" t="s">
        <v>381</v>
      </c>
      <c r="F96" s="163" t="s">
        <v>399</v>
      </c>
      <c r="G96" s="102">
        <f>426151*3</f>
        <v>1278453</v>
      </c>
      <c r="H96" s="68"/>
      <c r="I96" s="68"/>
      <c r="J96" s="68"/>
      <c r="K96" s="170">
        <v>1155000</v>
      </c>
      <c r="L96" s="170">
        <v>0</v>
      </c>
      <c r="M96" s="170">
        <v>11550</v>
      </c>
      <c r="N96" s="102">
        <v>0</v>
      </c>
      <c r="O96" s="102">
        <v>23100</v>
      </c>
      <c r="P96" s="102">
        <v>88819.5</v>
      </c>
      <c r="Q96" s="103">
        <f t="shared" si="2"/>
        <v>1278469.5</v>
      </c>
      <c r="R96" s="269"/>
      <c r="S96" s="186"/>
    </row>
    <row r="97" spans="1:19" s="127" customFormat="1" ht="32.549999999999997" customHeight="1" x14ac:dyDescent="0.3">
      <c r="A97" s="83">
        <v>94</v>
      </c>
      <c r="B97" s="139" t="s">
        <v>389</v>
      </c>
      <c r="C97" s="67">
        <v>44650</v>
      </c>
      <c r="D97" s="66">
        <v>22024</v>
      </c>
      <c r="E97" s="142" t="s">
        <v>6</v>
      </c>
      <c r="F97" s="213" t="s">
        <v>371</v>
      </c>
      <c r="G97" s="103">
        <f>H97*I97</f>
        <v>1088430</v>
      </c>
      <c r="H97" s="177">
        <f>710*21</f>
        <v>14910</v>
      </c>
      <c r="I97" s="144">
        <v>73</v>
      </c>
      <c r="J97" s="177"/>
      <c r="K97" s="102">
        <v>976500</v>
      </c>
      <c r="L97" s="102">
        <v>0</v>
      </c>
      <c r="M97" s="102">
        <v>0</v>
      </c>
      <c r="N97" s="102">
        <v>0</v>
      </c>
      <c r="O97" s="102">
        <v>19530</v>
      </c>
      <c r="P97" s="102">
        <v>84955.5</v>
      </c>
      <c r="Q97" s="103">
        <f>SUM(K97:P97)</f>
        <v>1080985.5</v>
      </c>
      <c r="R97" s="269"/>
      <c r="S97" s="186"/>
    </row>
    <row r="98" spans="1:19" s="127" customFormat="1" ht="32.549999999999997" customHeight="1" x14ac:dyDescent="0.3">
      <c r="A98" s="82">
        <v>95</v>
      </c>
      <c r="B98" s="139" t="s">
        <v>390</v>
      </c>
      <c r="C98" s="67">
        <v>44650</v>
      </c>
      <c r="D98" s="66">
        <v>205120</v>
      </c>
      <c r="E98" s="143" t="s">
        <v>28</v>
      </c>
      <c r="F98" s="141" t="s">
        <v>370</v>
      </c>
      <c r="G98" s="225">
        <v>17664</v>
      </c>
      <c r="H98" s="176"/>
      <c r="I98" s="176"/>
      <c r="J98" s="176"/>
      <c r="K98" s="102">
        <v>11274</v>
      </c>
      <c r="L98" s="102">
        <v>0</v>
      </c>
      <c r="M98" s="102">
        <v>789.18</v>
      </c>
      <c r="N98" s="102">
        <v>338.22</v>
      </c>
      <c r="O98" s="102">
        <v>225.48</v>
      </c>
      <c r="P98" s="102">
        <v>5039.47</v>
      </c>
      <c r="Q98" s="103">
        <f t="shared" si="2"/>
        <v>17666.349999999999</v>
      </c>
      <c r="R98" s="269"/>
      <c r="S98" s="186"/>
    </row>
    <row r="99" spans="1:19" s="127" customFormat="1" ht="32.549999999999997" customHeight="1" x14ac:dyDescent="0.3">
      <c r="A99" s="83">
        <v>96</v>
      </c>
      <c r="B99" s="139" t="s">
        <v>391</v>
      </c>
      <c r="C99" s="67">
        <v>44650</v>
      </c>
      <c r="D99" s="66"/>
      <c r="E99" s="169" t="s">
        <v>319</v>
      </c>
      <c r="F99" s="161" t="s">
        <v>400</v>
      </c>
      <c r="G99" s="225">
        <v>97528.49</v>
      </c>
      <c r="H99" s="68"/>
      <c r="I99" s="68"/>
      <c r="J99" s="68"/>
      <c r="K99" s="102">
        <v>65852.55</v>
      </c>
      <c r="L99" s="102">
        <v>0</v>
      </c>
      <c r="M99" s="102">
        <v>3292.63</v>
      </c>
      <c r="N99" s="102">
        <v>1317.05</v>
      </c>
      <c r="O99" s="102">
        <v>5268.2</v>
      </c>
      <c r="P99" s="102">
        <v>21797.19</v>
      </c>
      <c r="Q99" s="103">
        <f t="shared" si="2"/>
        <v>97527.62000000001</v>
      </c>
      <c r="R99" s="269"/>
      <c r="S99" s="186"/>
    </row>
    <row r="100" spans="1:19" s="127" customFormat="1" ht="32.549999999999997" customHeight="1" x14ac:dyDescent="0.3">
      <c r="A100" s="82">
        <v>97</v>
      </c>
      <c r="B100" s="153" t="s">
        <v>392</v>
      </c>
      <c r="C100" s="67">
        <v>44650</v>
      </c>
      <c r="D100" s="66"/>
      <c r="E100" s="169" t="s">
        <v>319</v>
      </c>
      <c r="F100" s="160" t="s">
        <v>384</v>
      </c>
      <c r="G100" s="225">
        <v>184881.58</v>
      </c>
      <c r="H100" s="68"/>
      <c r="I100" s="68"/>
      <c r="J100" s="68"/>
      <c r="K100" s="102">
        <v>124940.69</v>
      </c>
      <c r="L100" s="102">
        <v>0</v>
      </c>
      <c r="M100" s="102">
        <v>4997.63</v>
      </c>
      <c r="N100" s="102">
        <v>2498.81</v>
      </c>
      <c r="O100" s="102">
        <v>9995.26</v>
      </c>
      <c r="P100" s="102">
        <v>42454.85</v>
      </c>
      <c r="Q100" s="103">
        <f t="shared" si="2"/>
        <v>184887.24000000002</v>
      </c>
      <c r="R100" s="269"/>
      <c r="S100" s="186"/>
    </row>
    <row r="101" spans="1:19" s="127" customFormat="1" ht="32.549999999999997" customHeight="1" x14ac:dyDescent="0.3">
      <c r="A101" s="82">
        <v>98</v>
      </c>
      <c r="B101" s="153" t="s">
        <v>393</v>
      </c>
      <c r="C101" s="67">
        <v>44650</v>
      </c>
      <c r="D101" s="66"/>
      <c r="E101" s="169" t="s">
        <v>401</v>
      </c>
      <c r="F101" s="160" t="s">
        <v>402</v>
      </c>
      <c r="G101" s="103">
        <f>H101*I101</f>
        <v>210250</v>
      </c>
      <c r="H101" s="177">
        <f>580*5</f>
        <v>2900</v>
      </c>
      <c r="I101" s="144">
        <v>72.5</v>
      </c>
      <c r="J101" s="177"/>
      <c r="K101" s="102"/>
      <c r="L101" s="102"/>
      <c r="M101" s="102"/>
      <c r="N101" s="102"/>
      <c r="O101" s="102"/>
      <c r="P101" s="102"/>
      <c r="Q101" s="103">
        <f>SUM(K101:P101)</f>
        <v>0</v>
      </c>
      <c r="R101" s="269"/>
      <c r="S101" s="188"/>
    </row>
    <row r="102" spans="1:19" s="127" customFormat="1" ht="32.549999999999997" customHeight="1" x14ac:dyDescent="0.3">
      <c r="A102" s="82">
        <v>99</v>
      </c>
      <c r="B102" s="153" t="s">
        <v>394</v>
      </c>
      <c r="C102" s="67">
        <v>44650</v>
      </c>
      <c r="D102" s="66">
        <v>208335</v>
      </c>
      <c r="E102" s="143" t="s">
        <v>28</v>
      </c>
      <c r="F102" s="161" t="s">
        <v>403</v>
      </c>
      <c r="G102" s="102">
        <v>148515.12</v>
      </c>
      <c r="H102" s="68"/>
      <c r="I102" s="68"/>
      <c r="J102" s="68"/>
      <c r="K102" s="102">
        <v>71401.5</v>
      </c>
      <c r="L102" s="102">
        <v>7140.15</v>
      </c>
      <c r="M102" s="102">
        <v>14280.3</v>
      </c>
      <c r="N102" s="102">
        <v>0</v>
      </c>
      <c r="O102" s="102">
        <v>5712.12</v>
      </c>
      <c r="P102" s="102">
        <v>49981.05</v>
      </c>
      <c r="Q102" s="103">
        <f>SUM(K102:P102)</f>
        <v>148515.12</v>
      </c>
      <c r="R102" s="269"/>
      <c r="S102" s="186"/>
    </row>
    <row r="103" spans="1:19" s="127" customFormat="1" ht="32.549999999999997" customHeight="1" x14ac:dyDescent="0.3">
      <c r="A103" s="83">
        <v>100</v>
      </c>
      <c r="B103" s="153" t="s">
        <v>395</v>
      </c>
      <c r="C103" s="67">
        <v>44650</v>
      </c>
      <c r="D103" s="66">
        <v>208359</v>
      </c>
      <c r="E103" s="143" t="s">
        <v>28</v>
      </c>
      <c r="F103" s="161" t="s">
        <v>404</v>
      </c>
      <c r="G103" s="102">
        <v>97802.65</v>
      </c>
      <c r="H103" s="68"/>
      <c r="I103" s="68"/>
      <c r="J103" s="68"/>
      <c r="K103" s="102">
        <v>47020.5</v>
      </c>
      <c r="L103" s="102">
        <v>4702.05</v>
      </c>
      <c r="M103" s="102">
        <v>9404.1</v>
      </c>
      <c r="N103" s="102">
        <v>0</v>
      </c>
      <c r="O103" s="102">
        <v>3761.64</v>
      </c>
      <c r="P103" s="102">
        <v>32914.35</v>
      </c>
      <c r="Q103" s="103">
        <f t="shared" si="2"/>
        <v>97802.64</v>
      </c>
      <c r="R103" s="269"/>
      <c r="S103" s="186"/>
    </row>
    <row r="104" spans="1:19" s="127" customFormat="1" ht="32.549999999999997" customHeight="1" x14ac:dyDescent="0.3">
      <c r="A104" s="91">
        <v>101</v>
      </c>
      <c r="B104" s="180" t="s">
        <v>407</v>
      </c>
      <c r="C104" s="181"/>
      <c r="D104" s="182"/>
      <c r="E104" s="182" t="s">
        <v>319</v>
      </c>
      <c r="F104" s="183" t="s">
        <v>412</v>
      </c>
      <c r="G104" s="226">
        <v>0</v>
      </c>
      <c r="H104" s="68"/>
      <c r="I104" s="68"/>
      <c r="J104" s="68"/>
      <c r="K104" s="102"/>
      <c r="L104" s="102"/>
      <c r="M104" s="102"/>
      <c r="N104" s="102"/>
      <c r="O104" s="102"/>
      <c r="P104" s="102"/>
      <c r="Q104" s="103">
        <f t="shared" si="2"/>
        <v>0</v>
      </c>
      <c r="R104" s="269"/>
      <c r="S104" s="186"/>
    </row>
    <row r="105" spans="1:19" s="127" customFormat="1" ht="32.549999999999997" customHeight="1" x14ac:dyDescent="0.3">
      <c r="A105" s="83">
        <v>102</v>
      </c>
      <c r="B105" s="172" t="s">
        <v>408</v>
      </c>
      <c r="C105" s="67">
        <v>44651</v>
      </c>
      <c r="D105" s="66">
        <v>208316</v>
      </c>
      <c r="E105" s="174" t="s">
        <v>28</v>
      </c>
      <c r="F105" s="175" t="s">
        <v>409</v>
      </c>
      <c r="G105" s="102">
        <v>10140</v>
      </c>
      <c r="H105" s="68"/>
      <c r="I105" s="68"/>
      <c r="J105" s="68"/>
      <c r="K105" s="102">
        <v>5520</v>
      </c>
      <c r="L105" s="102">
        <v>0</v>
      </c>
      <c r="M105" s="102">
        <v>552</v>
      </c>
      <c r="N105" s="102">
        <v>276</v>
      </c>
      <c r="O105" s="102">
        <v>441.6</v>
      </c>
      <c r="P105" s="102">
        <v>3350</v>
      </c>
      <c r="Q105" s="103">
        <f t="shared" si="2"/>
        <v>10139.6</v>
      </c>
      <c r="R105" s="269"/>
      <c r="S105" s="186"/>
    </row>
    <row r="106" spans="1:19" s="127" customFormat="1" ht="32.549999999999997" customHeight="1" x14ac:dyDescent="0.3">
      <c r="A106" s="82">
        <v>103</v>
      </c>
      <c r="B106" s="153" t="s">
        <v>413</v>
      </c>
      <c r="C106" s="67">
        <v>44651</v>
      </c>
      <c r="D106" s="174" t="s">
        <v>410</v>
      </c>
      <c r="E106" s="174" t="s">
        <v>343</v>
      </c>
      <c r="F106" s="175" t="s">
        <v>411</v>
      </c>
      <c r="G106" s="103">
        <f>H106*I106</f>
        <v>1033125.725</v>
      </c>
      <c r="H106" s="202">
        <v>14250.01</v>
      </c>
      <c r="I106" s="144">
        <v>72.5</v>
      </c>
      <c r="J106" s="202"/>
      <c r="K106" s="102">
        <v>975297.37</v>
      </c>
      <c r="L106" s="102">
        <v>0</v>
      </c>
      <c r="M106" s="102">
        <v>0</v>
      </c>
      <c r="N106" s="102">
        <v>0</v>
      </c>
      <c r="O106" s="102">
        <v>0</v>
      </c>
      <c r="P106" s="102">
        <v>58517.84</v>
      </c>
      <c r="Q106" s="103">
        <f t="shared" si="2"/>
        <v>1033815.21</v>
      </c>
      <c r="R106" s="269"/>
      <c r="S106" s="186"/>
    </row>
    <row r="107" spans="1:19" s="127" customFormat="1" ht="32.549999999999997" customHeight="1" x14ac:dyDescent="0.3">
      <c r="A107" s="83">
        <v>104</v>
      </c>
      <c r="B107" s="172" t="s">
        <v>423</v>
      </c>
      <c r="C107" s="67">
        <v>44659</v>
      </c>
      <c r="D107" s="174"/>
      <c r="E107" s="198" t="s">
        <v>28</v>
      </c>
      <c r="F107" s="199" t="s">
        <v>432</v>
      </c>
      <c r="G107" s="227">
        <v>29925</v>
      </c>
      <c r="H107" s="202"/>
      <c r="I107" s="202"/>
      <c r="J107" s="202"/>
      <c r="K107" s="102">
        <v>16065</v>
      </c>
      <c r="L107" s="102">
        <v>0</v>
      </c>
      <c r="M107" s="102">
        <v>481.95</v>
      </c>
      <c r="N107" s="102">
        <v>0</v>
      </c>
      <c r="O107" s="102">
        <v>1285.2</v>
      </c>
      <c r="P107" s="102">
        <v>12129.08</v>
      </c>
      <c r="Q107" s="103">
        <f t="shared" si="2"/>
        <v>29961.230000000003</v>
      </c>
      <c r="R107" s="269"/>
      <c r="S107" s="186"/>
    </row>
    <row r="108" spans="1:19" s="127" customFormat="1" ht="32.549999999999997" customHeight="1" x14ac:dyDescent="0.3">
      <c r="A108" s="91">
        <v>105</v>
      </c>
      <c r="B108" s="153" t="s">
        <v>424</v>
      </c>
      <c r="C108" s="67">
        <v>44659</v>
      </c>
      <c r="D108" s="174"/>
      <c r="E108" s="207" t="s">
        <v>21</v>
      </c>
      <c r="F108" s="206" t="s">
        <v>437</v>
      </c>
      <c r="G108" s="227">
        <v>0</v>
      </c>
      <c r="H108" s="202"/>
      <c r="I108" s="202"/>
      <c r="J108" s="202"/>
      <c r="K108" s="102"/>
      <c r="L108" s="102"/>
      <c r="M108" s="102"/>
      <c r="N108" s="102"/>
      <c r="O108" s="102"/>
      <c r="P108" s="102"/>
      <c r="Q108" s="103"/>
      <c r="R108" s="269"/>
      <c r="S108" s="186"/>
    </row>
    <row r="109" spans="1:19" s="127" customFormat="1" ht="32.549999999999997" customHeight="1" x14ac:dyDescent="0.3">
      <c r="A109" s="83">
        <v>106</v>
      </c>
      <c r="B109" s="172" t="s">
        <v>425</v>
      </c>
      <c r="C109" s="173">
        <v>44656</v>
      </c>
      <c r="D109" s="205" t="s">
        <v>417</v>
      </c>
      <c r="E109" s="191" t="s">
        <v>6</v>
      </c>
      <c r="F109" s="193" t="s">
        <v>418</v>
      </c>
      <c r="G109" s="103">
        <f>H109*I109</f>
        <v>150118.5</v>
      </c>
      <c r="H109" s="202">
        <f>12.18*170</f>
        <v>2070.6</v>
      </c>
      <c r="I109" s="144">
        <v>72.5</v>
      </c>
      <c r="J109" s="202"/>
      <c r="K109" s="102">
        <v>110500</v>
      </c>
      <c r="L109" s="102">
        <v>0</v>
      </c>
      <c r="M109" s="102">
        <v>2210</v>
      </c>
      <c r="N109" s="102">
        <v>0</v>
      </c>
      <c r="O109" s="102">
        <v>2210</v>
      </c>
      <c r="P109" s="102">
        <v>35360</v>
      </c>
      <c r="Q109" s="103">
        <f t="shared" si="2"/>
        <v>150280</v>
      </c>
      <c r="R109" s="269"/>
      <c r="S109" s="186"/>
    </row>
    <row r="110" spans="1:19" s="127" customFormat="1" ht="32.549999999999997" customHeight="1" x14ac:dyDescent="0.3">
      <c r="A110" s="82">
        <v>107</v>
      </c>
      <c r="B110" s="153" t="s">
        <v>426</v>
      </c>
      <c r="C110" s="173">
        <v>44656</v>
      </c>
      <c r="D110" s="142">
        <v>4100722600</v>
      </c>
      <c r="E110" s="191" t="s">
        <v>416</v>
      </c>
      <c r="F110" s="193" t="s">
        <v>419</v>
      </c>
      <c r="G110" s="102">
        <v>310000</v>
      </c>
      <c r="H110" s="202"/>
      <c r="I110" s="202"/>
      <c r="J110" s="202"/>
      <c r="K110" s="102">
        <v>119427.36</v>
      </c>
      <c r="L110" s="102">
        <v>0</v>
      </c>
      <c r="M110" s="102">
        <v>5971.57</v>
      </c>
      <c r="N110" s="102">
        <v>0</v>
      </c>
      <c r="O110" s="102">
        <v>9554.19</v>
      </c>
      <c r="P110" s="102">
        <v>175056</v>
      </c>
      <c r="Q110" s="103">
        <f t="shared" si="2"/>
        <v>310009.12</v>
      </c>
      <c r="R110" s="269"/>
      <c r="S110" s="186"/>
    </row>
    <row r="111" spans="1:19" s="127" customFormat="1" ht="32.549999999999997" customHeight="1" x14ac:dyDescent="0.3">
      <c r="A111" s="83">
        <v>108</v>
      </c>
      <c r="B111" s="172" t="s">
        <v>427</v>
      </c>
      <c r="C111" s="173">
        <v>44656</v>
      </c>
      <c r="D111" s="195" t="s">
        <v>421</v>
      </c>
      <c r="E111" s="191" t="s">
        <v>4</v>
      </c>
      <c r="F111" s="192" t="s">
        <v>420</v>
      </c>
      <c r="G111" s="103">
        <f>H111*I111</f>
        <v>108750</v>
      </c>
      <c r="H111" s="202">
        <v>1500</v>
      </c>
      <c r="I111" s="144">
        <v>72.5</v>
      </c>
      <c r="J111" s="202"/>
      <c r="K111" s="102">
        <v>25000</v>
      </c>
      <c r="L111" s="102">
        <v>0</v>
      </c>
      <c r="M111" s="102">
        <v>0</v>
      </c>
      <c r="N111" s="102">
        <v>0</v>
      </c>
      <c r="O111" s="102">
        <v>2500</v>
      </c>
      <c r="P111" s="102">
        <v>81250</v>
      </c>
      <c r="Q111" s="103">
        <f t="shared" si="2"/>
        <v>108750</v>
      </c>
      <c r="R111" s="269"/>
    </row>
    <row r="112" spans="1:19" s="127" customFormat="1" ht="32.549999999999997" customHeight="1" x14ac:dyDescent="0.3">
      <c r="A112" s="82">
        <v>109</v>
      </c>
      <c r="B112" s="153" t="s">
        <v>428</v>
      </c>
      <c r="C112" s="173">
        <v>44657</v>
      </c>
      <c r="D112" s="66">
        <v>4503003811</v>
      </c>
      <c r="E112" s="197" t="s">
        <v>2</v>
      </c>
      <c r="F112" s="196" t="s">
        <v>422</v>
      </c>
      <c r="G112" s="102">
        <v>3317364.5</v>
      </c>
      <c r="H112" s="68"/>
      <c r="I112" s="68"/>
      <c r="J112" s="68"/>
      <c r="K112" s="102">
        <v>2879270.73</v>
      </c>
      <c r="L112" s="102">
        <v>0</v>
      </c>
      <c r="M112" s="102">
        <v>0</v>
      </c>
      <c r="N112" s="102">
        <v>0</v>
      </c>
      <c r="O112" s="102">
        <v>57585.41</v>
      </c>
      <c r="P112" s="102">
        <v>380639.59</v>
      </c>
      <c r="Q112" s="103">
        <f t="shared" si="2"/>
        <v>3317495.73</v>
      </c>
      <c r="R112" s="269"/>
    </row>
    <row r="113" spans="1:18" s="127" customFormat="1" ht="32.549999999999997" customHeight="1" x14ac:dyDescent="0.3">
      <c r="A113" s="83">
        <v>110</v>
      </c>
      <c r="B113" s="153" t="s">
        <v>429</v>
      </c>
      <c r="C113" s="173">
        <v>44657</v>
      </c>
      <c r="D113" s="66">
        <v>4503769266</v>
      </c>
      <c r="E113" s="198" t="s">
        <v>319</v>
      </c>
      <c r="F113" s="199" t="s">
        <v>431</v>
      </c>
      <c r="G113" s="227">
        <v>264077.88</v>
      </c>
      <c r="H113" s="68"/>
      <c r="I113" s="68"/>
      <c r="J113" s="68"/>
      <c r="K113" s="102">
        <v>214360</v>
      </c>
      <c r="L113" s="102">
        <v>0</v>
      </c>
      <c r="M113" s="102">
        <v>4287.2</v>
      </c>
      <c r="N113" s="102">
        <v>0</v>
      </c>
      <c r="O113" s="102">
        <v>4287.2</v>
      </c>
      <c r="P113" s="102">
        <v>41135.68</v>
      </c>
      <c r="Q113" s="103">
        <f>SUM(K113:P113)</f>
        <v>264070.08</v>
      </c>
      <c r="R113" s="269"/>
    </row>
    <row r="114" spans="1:18" s="127" customFormat="1" ht="32.549999999999997" customHeight="1" x14ac:dyDescent="0.3">
      <c r="A114" s="82">
        <v>111</v>
      </c>
      <c r="B114" s="172" t="s">
        <v>430</v>
      </c>
      <c r="C114" s="67">
        <v>44648</v>
      </c>
      <c r="D114" s="66">
        <v>512058</v>
      </c>
      <c r="E114" s="143" t="s">
        <v>383</v>
      </c>
      <c r="F114" s="161" t="s">
        <v>368</v>
      </c>
      <c r="G114" s="103">
        <f>H114*I114</f>
        <v>18126.45</v>
      </c>
      <c r="H114" s="202">
        <v>250.02</v>
      </c>
      <c r="I114" s="144">
        <v>72.5</v>
      </c>
      <c r="J114" s="202"/>
      <c r="K114" s="102">
        <v>1470</v>
      </c>
      <c r="L114" s="102">
        <v>0</v>
      </c>
      <c r="M114" s="102">
        <v>147</v>
      </c>
      <c r="N114" s="102">
        <v>73.5</v>
      </c>
      <c r="O114" s="102">
        <v>147</v>
      </c>
      <c r="P114" s="102">
        <v>16331.7</v>
      </c>
      <c r="Q114" s="103">
        <f t="shared" si="2"/>
        <v>18169.2</v>
      </c>
      <c r="R114" s="269"/>
    </row>
    <row r="115" spans="1:18" s="127" customFormat="1" ht="32.549999999999997" customHeight="1" x14ac:dyDescent="0.3">
      <c r="A115" s="90">
        <v>112</v>
      </c>
      <c r="B115" s="172" t="s">
        <v>434</v>
      </c>
      <c r="C115" s="67"/>
      <c r="D115" s="66"/>
      <c r="E115" s="203" t="s">
        <v>69</v>
      </c>
      <c r="F115" s="204" t="s">
        <v>436</v>
      </c>
      <c r="G115" s="227">
        <v>0</v>
      </c>
      <c r="H115" s="68"/>
      <c r="I115" s="68"/>
      <c r="J115" s="68"/>
      <c r="K115" s="102"/>
      <c r="L115" s="102"/>
      <c r="M115" s="102"/>
      <c r="N115" s="102"/>
      <c r="O115" s="102"/>
      <c r="P115" s="102"/>
      <c r="Q115" s="103">
        <f t="shared" si="2"/>
        <v>0</v>
      </c>
      <c r="R115" s="269"/>
    </row>
    <row r="116" spans="1:18" s="127" customFormat="1" ht="32.549999999999997" customHeight="1" x14ac:dyDescent="0.3">
      <c r="A116" s="82">
        <v>113</v>
      </c>
      <c r="B116" s="153" t="s">
        <v>435</v>
      </c>
      <c r="C116" s="67">
        <v>44662</v>
      </c>
      <c r="D116" s="66">
        <v>208884</v>
      </c>
      <c r="E116" s="201" t="s">
        <v>28</v>
      </c>
      <c r="F116" s="200" t="s">
        <v>433</v>
      </c>
      <c r="G116" s="102">
        <v>251545.5</v>
      </c>
      <c r="H116" s="146"/>
      <c r="I116" s="146"/>
      <c r="J116" s="146"/>
      <c r="K116" s="102">
        <v>178346</v>
      </c>
      <c r="L116" s="102">
        <v>0</v>
      </c>
      <c r="M116" s="102">
        <v>1854.8</v>
      </c>
      <c r="N116" s="102">
        <v>0</v>
      </c>
      <c r="O116" s="102">
        <v>3566.92</v>
      </c>
      <c r="P116" s="102">
        <v>67771.48</v>
      </c>
      <c r="Q116" s="103">
        <f t="shared" si="2"/>
        <v>251539.20000000001</v>
      </c>
      <c r="R116" s="269"/>
    </row>
    <row r="117" spans="1:18" s="127" customFormat="1" ht="32.549999999999997" customHeight="1" x14ac:dyDescent="0.3">
      <c r="A117" s="82">
        <v>114</v>
      </c>
      <c r="B117" s="210" t="s">
        <v>444</v>
      </c>
      <c r="C117" s="67">
        <v>44671</v>
      </c>
      <c r="D117" s="212" t="s">
        <v>443</v>
      </c>
      <c r="E117" s="209" t="s">
        <v>401</v>
      </c>
      <c r="F117" s="211" t="s">
        <v>442</v>
      </c>
      <c r="G117" s="103">
        <f>H117*I117</f>
        <v>1087500</v>
      </c>
      <c r="H117" s="202">
        <f>1450*10</f>
        <v>14500</v>
      </c>
      <c r="I117" s="144">
        <v>75</v>
      </c>
      <c r="J117" s="202"/>
      <c r="K117" s="102">
        <f>25000/72.5</f>
        <v>344.82758620689657</v>
      </c>
      <c r="L117" s="102"/>
      <c r="M117" s="102"/>
      <c r="N117" s="102">
        <f>200</f>
        <v>200</v>
      </c>
      <c r="O117" s="102"/>
      <c r="P117" s="102"/>
      <c r="Q117" s="103">
        <f t="shared" si="2"/>
        <v>544.82758620689651</v>
      </c>
      <c r="R117" s="269"/>
    </row>
    <row r="118" spans="1:18" s="127" customFormat="1" ht="32.549999999999997" customHeight="1" x14ac:dyDescent="0.3">
      <c r="A118" s="83">
        <v>115</v>
      </c>
      <c r="B118" s="210" t="s">
        <v>441</v>
      </c>
      <c r="C118" s="67">
        <v>44671</v>
      </c>
      <c r="D118" s="66">
        <v>209339</v>
      </c>
      <c r="E118" s="209" t="s">
        <v>438</v>
      </c>
      <c r="F118" s="208" t="s">
        <v>439</v>
      </c>
      <c r="G118" s="102">
        <v>3130</v>
      </c>
      <c r="H118" s="146"/>
      <c r="I118" s="146"/>
      <c r="J118" s="146"/>
      <c r="K118" s="102">
        <v>1391</v>
      </c>
      <c r="L118" s="102">
        <v>0</v>
      </c>
      <c r="M118" s="102">
        <v>139.1</v>
      </c>
      <c r="N118" s="102">
        <v>69.5</v>
      </c>
      <c r="O118" s="102">
        <v>139.1</v>
      </c>
      <c r="P118" s="102">
        <v>1391</v>
      </c>
      <c r="Q118" s="103">
        <f t="shared" si="2"/>
        <v>3129.7</v>
      </c>
      <c r="R118" s="269"/>
    </row>
    <row r="119" spans="1:18" s="127" customFormat="1" ht="32.549999999999997" customHeight="1" x14ac:dyDescent="0.3">
      <c r="A119" s="82">
        <v>116</v>
      </c>
      <c r="B119" s="172" t="s">
        <v>445</v>
      </c>
      <c r="C119" s="67">
        <v>44673</v>
      </c>
      <c r="D119" s="66">
        <v>209547</v>
      </c>
      <c r="E119" s="214" t="s">
        <v>438</v>
      </c>
      <c r="F119" s="215" t="s">
        <v>456</v>
      </c>
      <c r="G119" s="102">
        <v>2290.2800000000002</v>
      </c>
      <c r="H119" s="146"/>
      <c r="I119" s="146"/>
      <c r="J119" s="146"/>
      <c r="K119" s="102">
        <v>1005.74</v>
      </c>
      <c r="L119" s="102">
        <v>0</v>
      </c>
      <c r="M119" s="102">
        <v>100.57</v>
      </c>
      <c r="N119" s="102">
        <v>50.29</v>
      </c>
      <c r="O119" s="102">
        <v>100.57</v>
      </c>
      <c r="P119" s="102">
        <v>1033.0999999999999</v>
      </c>
      <c r="Q119" s="103">
        <f t="shared" si="2"/>
        <v>2290.2699999999995</v>
      </c>
      <c r="R119" s="269"/>
    </row>
    <row r="120" spans="1:18" s="127" customFormat="1" ht="32.549999999999997" customHeight="1" x14ac:dyDescent="0.3">
      <c r="A120" s="82">
        <v>117</v>
      </c>
      <c r="B120" s="153" t="s">
        <v>446</v>
      </c>
      <c r="C120" s="67">
        <v>44669</v>
      </c>
      <c r="D120" s="214" t="s">
        <v>453</v>
      </c>
      <c r="E120" s="209" t="s">
        <v>82</v>
      </c>
      <c r="F120" s="208" t="s">
        <v>440</v>
      </c>
      <c r="G120" s="102">
        <v>167880</v>
      </c>
      <c r="H120" s="146"/>
      <c r="I120" s="146"/>
      <c r="J120" s="146"/>
      <c r="K120" s="102">
        <v>101552.85</v>
      </c>
      <c r="L120" s="102">
        <v>4062.11</v>
      </c>
      <c r="M120" s="102">
        <v>20466.099999999999</v>
      </c>
      <c r="N120" s="102">
        <v>0</v>
      </c>
      <c r="O120" s="102">
        <v>8124.23</v>
      </c>
      <c r="P120" s="102">
        <v>33645</v>
      </c>
      <c r="Q120" s="103">
        <f t="shared" si="2"/>
        <v>167850.29</v>
      </c>
      <c r="R120" s="269"/>
    </row>
    <row r="121" spans="1:18" s="127" customFormat="1" ht="32.549999999999997" customHeight="1" x14ac:dyDescent="0.3">
      <c r="A121" s="83">
        <v>118</v>
      </c>
      <c r="B121" s="210" t="s">
        <v>447</v>
      </c>
      <c r="C121" s="67">
        <v>44679</v>
      </c>
      <c r="D121" s="66">
        <v>209789</v>
      </c>
      <c r="E121" s="214" t="s">
        <v>457</v>
      </c>
      <c r="F121" s="215" t="s">
        <v>458</v>
      </c>
      <c r="G121" s="102">
        <v>13200</v>
      </c>
      <c r="H121" s="146"/>
      <c r="I121" s="146"/>
      <c r="J121" s="146"/>
      <c r="K121" s="102">
        <v>7580</v>
      </c>
      <c r="L121" s="102">
        <v>0</v>
      </c>
      <c r="M121" s="102">
        <v>189.5</v>
      </c>
      <c r="N121" s="102">
        <v>151.30000000000001</v>
      </c>
      <c r="O121" s="102">
        <v>0</v>
      </c>
      <c r="P121" s="102">
        <v>5275.68</v>
      </c>
      <c r="Q121" s="103">
        <f t="shared" si="2"/>
        <v>13196.48</v>
      </c>
      <c r="R121" s="269"/>
    </row>
    <row r="122" spans="1:18" s="127" customFormat="1" ht="32.549999999999997" customHeight="1" x14ac:dyDescent="0.3">
      <c r="A122" s="82">
        <v>119</v>
      </c>
      <c r="B122" s="210" t="s">
        <v>448</v>
      </c>
      <c r="C122" s="67">
        <v>44680</v>
      </c>
      <c r="D122" s="66">
        <v>4600011614</v>
      </c>
      <c r="E122" s="214" t="s">
        <v>69</v>
      </c>
      <c r="F122" s="215" t="s">
        <v>459</v>
      </c>
      <c r="G122" s="102">
        <v>32103</v>
      </c>
      <c r="H122" s="146"/>
      <c r="I122" s="146"/>
      <c r="J122" s="146"/>
      <c r="K122" s="102">
        <v>18450</v>
      </c>
      <c r="L122" s="102">
        <v>1291.5</v>
      </c>
      <c r="M122" s="102">
        <v>2214</v>
      </c>
      <c r="N122" s="102">
        <v>1845</v>
      </c>
      <c r="O122" s="102">
        <v>922.5</v>
      </c>
      <c r="P122" s="102">
        <v>7380</v>
      </c>
      <c r="Q122" s="103">
        <f t="shared" si="2"/>
        <v>32103</v>
      </c>
      <c r="R122" s="269"/>
    </row>
    <row r="123" spans="1:18" s="127" customFormat="1" ht="32.549999999999997" customHeight="1" x14ac:dyDescent="0.3">
      <c r="A123" s="82">
        <v>120</v>
      </c>
      <c r="B123" s="210" t="s">
        <v>449</v>
      </c>
      <c r="C123" s="67">
        <v>44679</v>
      </c>
      <c r="D123" s="66">
        <v>209698</v>
      </c>
      <c r="E123" s="214" t="s">
        <v>438</v>
      </c>
      <c r="F123" s="215" t="s">
        <v>454</v>
      </c>
      <c r="G123" s="102">
        <v>8789.2000000000007</v>
      </c>
      <c r="H123" s="146"/>
      <c r="I123" s="146"/>
      <c r="J123" s="146"/>
      <c r="K123" s="102">
        <v>5653.44</v>
      </c>
      <c r="L123" s="102">
        <v>0</v>
      </c>
      <c r="M123" s="102">
        <v>113.07</v>
      </c>
      <c r="N123" s="102">
        <v>0</v>
      </c>
      <c r="O123" s="102">
        <v>113.07</v>
      </c>
      <c r="P123" s="102">
        <v>2909.83</v>
      </c>
      <c r="Q123" s="103">
        <f t="shared" si="2"/>
        <v>8789.41</v>
      </c>
      <c r="R123" s="269"/>
    </row>
    <row r="124" spans="1:18" s="127" customFormat="1" ht="32.549999999999997" customHeight="1" x14ac:dyDescent="0.3">
      <c r="A124" s="83">
        <v>121</v>
      </c>
      <c r="B124" s="172" t="s">
        <v>450</v>
      </c>
      <c r="C124" s="216">
        <v>44679</v>
      </c>
      <c r="D124" s="66">
        <v>207809</v>
      </c>
      <c r="E124" s="214" t="s">
        <v>438</v>
      </c>
      <c r="F124" s="215" t="s">
        <v>455</v>
      </c>
      <c r="G124" s="102">
        <v>37856</v>
      </c>
      <c r="H124" s="146"/>
      <c r="I124" s="146"/>
      <c r="J124" s="146"/>
      <c r="K124" s="102">
        <v>23044</v>
      </c>
      <c r="L124" s="102">
        <v>0</v>
      </c>
      <c r="M124" s="102">
        <v>4608.8</v>
      </c>
      <c r="N124" s="102">
        <v>0</v>
      </c>
      <c r="O124" s="102">
        <v>460.88</v>
      </c>
      <c r="P124" s="102">
        <v>9743</v>
      </c>
      <c r="Q124" s="103">
        <f t="shared" si="2"/>
        <v>37856.68</v>
      </c>
      <c r="R124" s="269"/>
    </row>
    <row r="125" spans="1:18" s="127" customFormat="1" ht="32.549999999999997" customHeight="1" x14ac:dyDescent="0.3">
      <c r="A125" s="82">
        <v>122</v>
      </c>
      <c r="B125" s="153" t="s">
        <v>451</v>
      </c>
      <c r="C125" s="67">
        <v>44683</v>
      </c>
      <c r="D125" s="66">
        <v>4600011472</v>
      </c>
      <c r="E125" s="217" t="s">
        <v>3</v>
      </c>
      <c r="F125" s="218" t="s">
        <v>463</v>
      </c>
      <c r="G125" s="103">
        <f>H125*I125</f>
        <v>71050</v>
      </c>
      <c r="H125" s="202">
        <v>980</v>
      </c>
      <c r="I125" s="144">
        <v>72.5</v>
      </c>
      <c r="J125" s="202"/>
      <c r="K125" s="102"/>
      <c r="L125" s="102"/>
      <c r="M125" s="102"/>
      <c r="N125" s="102"/>
      <c r="O125" s="102"/>
      <c r="P125" s="102"/>
      <c r="Q125" s="103">
        <f t="shared" si="2"/>
        <v>0</v>
      </c>
      <c r="R125" s="269"/>
    </row>
    <row r="126" spans="1:18" s="127" customFormat="1" ht="32.549999999999997" customHeight="1" x14ac:dyDescent="0.3">
      <c r="A126" s="82">
        <v>123</v>
      </c>
      <c r="B126" s="251" t="s">
        <v>452</v>
      </c>
      <c r="C126" s="95">
        <v>44683</v>
      </c>
      <c r="D126" s="70">
        <v>4503780868</v>
      </c>
      <c r="E126" s="252" t="s">
        <v>319</v>
      </c>
      <c r="F126" s="253" t="s">
        <v>464</v>
      </c>
      <c r="G126" s="104">
        <v>733698</v>
      </c>
      <c r="H126" s="146"/>
      <c r="I126" s="146"/>
      <c r="J126" s="146"/>
      <c r="K126" s="102"/>
      <c r="L126" s="102"/>
      <c r="M126" s="102"/>
      <c r="N126" s="102"/>
      <c r="O126" s="102"/>
      <c r="P126" s="102"/>
      <c r="Q126" s="103">
        <f t="shared" si="2"/>
        <v>0</v>
      </c>
      <c r="R126" s="269"/>
    </row>
    <row r="127" spans="1:18" s="127" customFormat="1" ht="32.549999999999997" customHeight="1" x14ac:dyDescent="0.3">
      <c r="A127" s="82">
        <v>124</v>
      </c>
      <c r="B127" s="172" t="s">
        <v>465</v>
      </c>
      <c r="C127" s="67">
        <v>44685</v>
      </c>
      <c r="D127" s="223" t="s">
        <v>478</v>
      </c>
      <c r="E127" s="223" t="s">
        <v>367</v>
      </c>
      <c r="F127" s="224" t="s">
        <v>234</v>
      </c>
      <c r="G127" s="102">
        <v>6685</v>
      </c>
      <c r="H127" s="146"/>
      <c r="I127" s="146"/>
      <c r="J127" s="146"/>
      <c r="K127" s="102"/>
      <c r="L127" s="102"/>
      <c r="M127" s="102"/>
      <c r="N127" s="102"/>
      <c r="O127" s="102"/>
      <c r="P127" s="102"/>
      <c r="Q127" s="103"/>
      <c r="R127" s="269"/>
    </row>
    <row r="128" spans="1:18" s="127" customFormat="1" ht="26.4" customHeight="1" x14ac:dyDescent="0.3">
      <c r="A128" s="82">
        <v>125</v>
      </c>
      <c r="B128" s="153" t="s">
        <v>466</v>
      </c>
      <c r="C128" s="67">
        <v>44645</v>
      </c>
      <c r="D128" s="66">
        <v>4600010712</v>
      </c>
      <c r="E128" s="117" t="s">
        <v>69</v>
      </c>
      <c r="F128" s="257" t="s">
        <v>320</v>
      </c>
      <c r="G128" s="157">
        <v>1580345</v>
      </c>
      <c r="H128" s="146"/>
      <c r="I128" s="146"/>
      <c r="J128" s="146"/>
      <c r="K128" s="102"/>
      <c r="L128" s="102"/>
      <c r="M128" s="102"/>
      <c r="N128" s="102"/>
      <c r="O128" s="102"/>
      <c r="P128" s="102"/>
      <c r="Q128" s="103"/>
      <c r="R128" s="269"/>
    </row>
    <row r="129" spans="1:18" s="127" customFormat="1" ht="26.4" customHeight="1" x14ac:dyDescent="0.3">
      <c r="A129" s="82">
        <v>126</v>
      </c>
      <c r="B129" s="210" t="s">
        <v>467</v>
      </c>
      <c r="C129" s="67">
        <v>44686</v>
      </c>
      <c r="D129" s="66">
        <v>22036</v>
      </c>
      <c r="E129" s="219" t="s">
        <v>6</v>
      </c>
      <c r="F129" s="220" t="s">
        <v>470</v>
      </c>
      <c r="G129" s="103">
        <f>H129*I129</f>
        <v>12538045.75</v>
      </c>
      <c r="H129" s="202">
        <v>170007.4</v>
      </c>
      <c r="I129" s="144">
        <v>73.75</v>
      </c>
      <c r="J129" s="202"/>
      <c r="K129" s="102"/>
      <c r="L129" s="102"/>
      <c r="M129" s="102"/>
      <c r="N129" s="102"/>
      <c r="O129" s="102"/>
      <c r="P129" s="102"/>
      <c r="Q129" s="103"/>
      <c r="R129" s="269"/>
    </row>
    <row r="130" spans="1:18" s="127" customFormat="1" ht="28.2" customHeight="1" x14ac:dyDescent="0.3">
      <c r="A130" s="82">
        <v>127</v>
      </c>
      <c r="B130" s="172" t="s">
        <v>468</v>
      </c>
      <c r="C130" s="67">
        <v>44679</v>
      </c>
      <c r="D130" s="214">
        <v>209790</v>
      </c>
      <c r="E130" s="214" t="s">
        <v>457</v>
      </c>
      <c r="F130" s="215" t="s">
        <v>462</v>
      </c>
      <c r="G130" s="102">
        <v>314566</v>
      </c>
      <c r="H130" s="146"/>
      <c r="I130" s="146"/>
      <c r="J130" s="146"/>
      <c r="K130" s="102"/>
      <c r="L130" s="102"/>
      <c r="M130" s="102"/>
      <c r="N130" s="102"/>
      <c r="O130" s="102"/>
      <c r="P130" s="102"/>
      <c r="Q130" s="103"/>
      <c r="R130" s="269"/>
    </row>
    <row r="131" spans="1:18" s="127" customFormat="1" ht="28.2" customHeight="1" x14ac:dyDescent="0.3">
      <c r="A131" s="82">
        <v>128</v>
      </c>
      <c r="B131" s="172" t="s">
        <v>469</v>
      </c>
      <c r="C131" s="67">
        <v>44648</v>
      </c>
      <c r="D131" s="142" t="s">
        <v>369</v>
      </c>
      <c r="E131" s="142" t="s">
        <v>367</v>
      </c>
      <c r="F131" s="141" t="s">
        <v>368</v>
      </c>
      <c r="G131" s="102">
        <v>30716</v>
      </c>
      <c r="H131" s="146"/>
      <c r="I131" s="146"/>
      <c r="J131" s="146"/>
      <c r="K131" s="102"/>
      <c r="L131" s="102"/>
      <c r="M131" s="102"/>
      <c r="N131" s="102"/>
      <c r="O131" s="102"/>
      <c r="P131" s="102"/>
      <c r="Q131" s="103"/>
      <c r="R131" s="269"/>
    </row>
    <row r="132" spans="1:18" s="127" customFormat="1" ht="34.799999999999997" customHeight="1" x14ac:dyDescent="0.3">
      <c r="A132" s="82">
        <v>129</v>
      </c>
      <c r="B132" s="275" t="s">
        <v>473</v>
      </c>
      <c r="C132" s="67">
        <v>44686</v>
      </c>
      <c r="D132" s="66">
        <v>4503787439</v>
      </c>
      <c r="E132" s="223" t="s">
        <v>319</v>
      </c>
      <c r="F132" s="232" t="s">
        <v>486</v>
      </c>
      <c r="G132" s="102">
        <v>526051.43999999994</v>
      </c>
      <c r="H132" s="146"/>
      <c r="I132" s="146"/>
      <c r="J132" s="146"/>
      <c r="K132" s="102"/>
      <c r="L132" s="102"/>
      <c r="M132" s="102"/>
      <c r="N132" s="102"/>
      <c r="O132" s="102"/>
      <c r="P132" s="102"/>
      <c r="Q132" s="103"/>
      <c r="R132" s="269"/>
    </row>
    <row r="133" spans="1:18" s="127" customFormat="1" ht="32.549999999999997" customHeight="1" x14ac:dyDescent="0.3">
      <c r="A133" s="82">
        <v>130</v>
      </c>
      <c r="B133" s="210" t="s">
        <v>474</v>
      </c>
      <c r="C133" s="67">
        <v>44686</v>
      </c>
      <c r="D133" s="66">
        <v>210368</v>
      </c>
      <c r="E133" s="223" t="s">
        <v>28</v>
      </c>
      <c r="F133" s="224" t="s">
        <v>475</v>
      </c>
      <c r="G133" s="102">
        <v>6500</v>
      </c>
      <c r="H133" s="146"/>
      <c r="I133" s="146"/>
      <c r="J133" s="146"/>
      <c r="K133" s="102"/>
      <c r="L133" s="102"/>
      <c r="M133" s="102"/>
      <c r="N133" s="102"/>
      <c r="O133" s="102"/>
      <c r="P133" s="102"/>
      <c r="Q133" s="103"/>
      <c r="R133" s="269"/>
    </row>
    <row r="134" spans="1:18" s="127" customFormat="1" ht="32.549999999999997" customHeight="1" x14ac:dyDescent="0.3">
      <c r="A134" s="82">
        <v>131</v>
      </c>
      <c r="B134" s="153" t="s">
        <v>476</v>
      </c>
      <c r="C134" s="67">
        <v>44686</v>
      </c>
      <c r="D134" s="66">
        <v>4503785851</v>
      </c>
      <c r="E134" s="223" t="s">
        <v>319</v>
      </c>
      <c r="F134" s="224" t="s">
        <v>477</v>
      </c>
      <c r="G134" s="102">
        <v>206866.1</v>
      </c>
      <c r="H134" s="146"/>
      <c r="I134" s="146"/>
      <c r="J134" s="146"/>
      <c r="K134" s="102"/>
      <c r="L134" s="102"/>
      <c r="M134" s="102"/>
      <c r="N134" s="102"/>
      <c r="O134" s="102"/>
      <c r="P134" s="102"/>
      <c r="Q134" s="103"/>
      <c r="R134" s="269"/>
    </row>
    <row r="135" spans="1:18" s="127" customFormat="1" ht="27.6" customHeight="1" x14ac:dyDescent="0.3">
      <c r="A135" s="82">
        <v>132</v>
      </c>
      <c r="B135" s="275" t="s">
        <v>480</v>
      </c>
      <c r="C135" s="67">
        <v>44687</v>
      </c>
      <c r="D135" s="66">
        <v>4503787179</v>
      </c>
      <c r="E135" s="223" t="s">
        <v>319</v>
      </c>
      <c r="F135" s="228" t="s">
        <v>479</v>
      </c>
      <c r="G135" s="102">
        <v>605692.94999999995</v>
      </c>
      <c r="H135" s="68"/>
      <c r="I135" s="68"/>
      <c r="J135" s="68"/>
      <c r="K135" s="102"/>
      <c r="L135" s="102"/>
      <c r="M135" s="102"/>
      <c r="N135" s="102"/>
      <c r="O135" s="102"/>
      <c r="P135" s="102"/>
      <c r="Q135" s="103">
        <f t="shared" si="2"/>
        <v>0</v>
      </c>
      <c r="R135" s="269"/>
    </row>
    <row r="136" spans="1:18" s="127" customFormat="1" ht="27.6" customHeight="1" x14ac:dyDescent="0.3">
      <c r="A136" s="82">
        <v>133</v>
      </c>
      <c r="B136" s="229" t="s">
        <v>481</v>
      </c>
      <c r="C136" s="67">
        <v>44683</v>
      </c>
      <c r="D136" s="221" t="s">
        <v>472</v>
      </c>
      <c r="E136" s="221" t="s">
        <v>381</v>
      </c>
      <c r="F136" s="222" t="s">
        <v>471</v>
      </c>
      <c r="G136" s="102">
        <v>142050</v>
      </c>
      <c r="H136" s="68"/>
      <c r="I136" s="68"/>
      <c r="J136" s="68"/>
      <c r="K136" s="102"/>
      <c r="L136" s="102"/>
      <c r="M136" s="102"/>
      <c r="N136" s="102"/>
      <c r="O136" s="102"/>
      <c r="P136" s="102"/>
      <c r="Q136" s="103"/>
      <c r="R136" s="269"/>
    </row>
    <row r="137" spans="1:18" s="127" customFormat="1" ht="27.6" customHeight="1" x14ac:dyDescent="0.3">
      <c r="A137" s="82">
        <v>134</v>
      </c>
      <c r="B137" s="233" t="s">
        <v>484</v>
      </c>
      <c r="C137" s="67">
        <v>44690</v>
      </c>
      <c r="D137" s="221">
        <v>4503787170</v>
      </c>
      <c r="E137" s="234" t="s">
        <v>319</v>
      </c>
      <c r="F137" s="232" t="s">
        <v>485</v>
      </c>
      <c r="G137" s="186">
        <v>293294.7</v>
      </c>
      <c r="H137" s="68"/>
      <c r="I137" s="68"/>
      <c r="J137" s="68"/>
      <c r="K137" s="102"/>
      <c r="L137" s="102"/>
      <c r="M137" s="102"/>
      <c r="N137" s="102"/>
      <c r="O137" s="102"/>
      <c r="P137" s="102"/>
      <c r="Q137" s="103"/>
      <c r="R137" s="269"/>
    </row>
    <row r="138" spans="1:18" s="127" customFormat="1" ht="32.549999999999997" customHeight="1" x14ac:dyDescent="0.3">
      <c r="A138" s="82">
        <v>135</v>
      </c>
      <c r="B138" s="236" t="s">
        <v>489</v>
      </c>
      <c r="C138" s="67">
        <v>44692</v>
      </c>
      <c r="D138" s="66">
        <v>210376</v>
      </c>
      <c r="E138" s="236" t="s">
        <v>457</v>
      </c>
      <c r="F138" s="235" t="s">
        <v>487</v>
      </c>
      <c r="G138" s="102">
        <v>216216</v>
      </c>
      <c r="H138" s="68"/>
      <c r="I138" s="68"/>
      <c r="J138" s="68"/>
      <c r="K138" s="102"/>
      <c r="L138" s="102"/>
      <c r="M138" s="102"/>
      <c r="N138" s="102"/>
      <c r="O138" s="102"/>
      <c r="P138" s="102"/>
      <c r="Q138" s="103">
        <f t="shared" si="2"/>
        <v>0</v>
      </c>
      <c r="R138" s="269"/>
    </row>
    <row r="139" spans="1:18" s="127" customFormat="1" ht="32.549999999999997" customHeight="1" x14ac:dyDescent="0.3">
      <c r="A139" s="82">
        <v>136</v>
      </c>
      <c r="B139" s="241" t="s">
        <v>493</v>
      </c>
      <c r="C139" s="67">
        <v>44692</v>
      </c>
      <c r="D139" s="66">
        <v>210342</v>
      </c>
      <c r="E139" s="239" t="s">
        <v>28</v>
      </c>
      <c r="F139" s="240" t="s">
        <v>492</v>
      </c>
      <c r="G139" s="102">
        <v>60498.1</v>
      </c>
      <c r="H139" s="68"/>
      <c r="I139" s="68"/>
      <c r="J139" s="68"/>
      <c r="K139" s="102"/>
      <c r="L139" s="102"/>
      <c r="M139" s="102"/>
      <c r="N139" s="102"/>
      <c r="O139" s="102"/>
      <c r="P139" s="102"/>
      <c r="Q139" s="103"/>
      <c r="R139" s="269"/>
    </row>
    <row r="140" spans="1:18" s="127" customFormat="1" ht="32.549999999999997" customHeight="1" x14ac:dyDescent="0.3">
      <c r="A140" s="82">
        <v>137</v>
      </c>
      <c r="B140" s="233" t="s">
        <v>494</v>
      </c>
      <c r="C140" s="67">
        <v>44692</v>
      </c>
      <c r="D140" s="66">
        <v>210337</v>
      </c>
      <c r="E140" s="239" t="s">
        <v>28</v>
      </c>
      <c r="F140" s="238" t="s">
        <v>490</v>
      </c>
      <c r="G140" s="102">
        <v>95808.6</v>
      </c>
      <c r="H140" s="68"/>
      <c r="I140" s="68"/>
      <c r="J140" s="68"/>
      <c r="K140" s="102"/>
      <c r="L140" s="102"/>
      <c r="M140" s="102"/>
      <c r="N140" s="102"/>
      <c r="O140" s="102"/>
      <c r="P140" s="102"/>
      <c r="Q140" s="103"/>
      <c r="R140" s="269"/>
    </row>
    <row r="141" spans="1:18" s="127" customFormat="1" ht="32.549999999999997" customHeight="1" x14ac:dyDescent="0.3">
      <c r="A141" s="82">
        <v>138</v>
      </c>
      <c r="B141" s="236" t="s">
        <v>495</v>
      </c>
      <c r="C141" s="67">
        <v>44692</v>
      </c>
      <c r="D141" s="66">
        <v>210338</v>
      </c>
      <c r="E141" s="239" t="s">
        <v>28</v>
      </c>
      <c r="F141" s="238" t="s">
        <v>491</v>
      </c>
      <c r="G141" s="102">
        <v>131040</v>
      </c>
      <c r="H141" s="68"/>
      <c r="I141" s="68"/>
      <c r="J141" s="68"/>
      <c r="K141" s="102"/>
      <c r="L141" s="102"/>
      <c r="M141" s="102"/>
      <c r="N141" s="102"/>
      <c r="O141" s="102"/>
      <c r="P141" s="102"/>
      <c r="Q141" s="103"/>
      <c r="R141" s="269"/>
    </row>
    <row r="142" spans="1:18" s="127" customFormat="1" ht="32.549999999999997" customHeight="1" x14ac:dyDescent="0.3">
      <c r="A142" s="82">
        <v>139</v>
      </c>
      <c r="B142" s="229" t="s">
        <v>496</v>
      </c>
      <c r="C142" s="67">
        <v>44697</v>
      </c>
      <c r="D142" s="66">
        <v>210788</v>
      </c>
      <c r="E142" s="239" t="s">
        <v>28</v>
      </c>
      <c r="F142" s="256" t="s">
        <v>510</v>
      </c>
      <c r="G142" s="102">
        <v>15700</v>
      </c>
      <c r="H142" s="68"/>
      <c r="I142" s="68"/>
      <c r="J142" s="68"/>
      <c r="K142" s="102"/>
      <c r="L142" s="102"/>
      <c r="M142" s="102"/>
      <c r="N142" s="102"/>
      <c r="O142" s="102"/>
      <c r="P142" s="102"/>
      <c r="Q142" s="103"/>
      <c r="R142" s="269"/>
    </row>
    <row r="143" spans="1:18" s="127" customFormat="1" ht="32.549999999999997" customHeight="1" x14ac:dyDescent="0.3">
      <c r="A143" s="82">
        <v>140</v>
      </c>
      <c r="B143" s="247" t="s">
        <v>497</v>
      </c>
      <c r="C143" s="67">
        <v>44704</v>
      </c>
      <c r="D143" s="66">
        <v>4100750075</v>
      </c>
      <c r="E143" s="242" t="s">
        <v>499</v>
      </c>
      <c r="F143" s="256" t="s">
        <v>511</v>
      </c>
      <c r="G143" s="102">
        <v>26390</v>
      </c>
      <c r="H143" s="68"/>
      <c r="I143" s="68"/>
      <c r="J143" s="68"/>
      <c r="K143" s="102"/>
      <c r="L143" s="102"/>
      <c r="M143" s="102"/>
      <c r="N143" s="102"/>
      <c r="O143" s="102"/>
      <c r="P143" s="102"/>
      <c r="Q143" s="103"/>
      <c r="R143" s="269"/>
    </row>
    <row r="144" spans="1:18" s="127" customFormat="1" ht="32.549999999999997" customHeight="1" x14ac:dyDescent="0.3">
      <c r="A144" s="82">
        <v>141</v>
      </c>
      <c r="B144" s="247" t="s">
        <v>498</v>
      </c>
      <c r="C144" s="67">
        <v>44705</v>
      </c>
      <c r="D144" s="66">
        <v>211294</v>
      </c>
      <c r="E144" s="239" t="s">
        <v>28</v>
      </c>
      <c r="F144" s="256" t="s">
        <v>512</v>
      </c>
      <c r="G144" s="102">
        <v>6000</v>
      </c>
      <c r="H144" s="68"/>
      <c r="I144" s="68"/>
      <c r="J144" s="68"/>
      <c r="K144" s="102"/>
      <c r="L144" s="102"/>
      <c r="M144" s="102"/>
      <c r="N144" s="102"/>
      <c r="O144" s="102"/>
      <c r="P144" s="102"/>
      <c r="Q144" s="103"/>
      <c r="R144" s="269"/>
    </row>
    <row r="145" spans="1:18" s="127" customFormat="1" ht="32.549999999999997" customHeight="1" x14ac:dyDescent="0.3">
      <c r="A145" s="82">
        <v>142</v>
      </c>
      <c r="B145" s="246" t="s">
        <v>503</v>
      </c>
      <c r="C145" s="67">
        <v>44711</v>
      </c>
      <c r="D145" s="66">
        <v>22043</v>
      </c>
      <c r="E145" s="254" t="s">
        <v>6</v>
      </c>
      <c r="F145" s="245" t="s">
        <v>506</v>
      </c>
      <c r="G145" s="103">
        <f>H145*I145</f>
        <v>2679925.395</v>
      </c>
      <c r="H145" s="177">
        <v>36461.57</v>
      </c>
      <c r="I145" s="144">
        <v>73.5</v>
      </c>
      <c r="J145" s="177"/>
      <c r="K145" s="102"/>
      <c r="L145" s="102"/>
      <c r="M145" s="102"/>
      <c r="N145" s="102"/>
      <c r="O145" s="102"/>
      <c r="P145" s="102"/>
      <c r="Q145" s="103"/>
      <c r="R145" s="269"/>
    </row>
    <row r="146" spans="1:18" s="127" customFormat="1" ht="32.549999999999997" customHeight="1" x14ac:dyDescent="0.3">
      <c r="A146" s="82">
        <v>143</v>
      </c>
      <c r="B146" s="246" t="s">
        <v>504</v>
      </c>
      <c r="C146" s="67">
        <v>44708</v>
      </c>
      <c r="D146" s="66">
        <v>4503798461</v>
      </c>
      <c r="E146" s="244" t="s">
        <v>90</v>
      </c>
      <c r="F146" s="245" t="s">
        <v>502</v>
      </c>
      <c r="G146" s="102">
        <v>249201.65</v>
      </c>
      <c r="H146" s="177"/>
      <c r="I146" s="177"/>
      <c r="J146" s="177"/>
      <c r="K146" s="102"/>
      <c r="L146" s="102"/>
      <c r="M146" s="102"/>
      <c r="N146" s="102"/>
      <c r="O146" s="102"/>
      <c r="P146" s="102"/>
      <c r="Q146" s="103"/>
      <c r="R146" s="269"/>
    </row>
    <row r="147" spans="1:18" s="127" customFormat="1" ht="32.549999999999997" customHeight="1" x14ac:dyDescent="0.3">
      <c r="A147" s="82">
        <v>144</v>
      </c>
      <c r="B147" s="246" t="s">
        <v>505</v>
      </c>
      <c r="C147" s="67">
        <v>44709</v>
      </c>
      <c r="D147" s="66">
        <v>2139</v>
      </c>
      <c r="E147" s="244" t="s">
        <v>500</v>
      </c>
      <c r="F147" s="243" t="s">
        <v>501</v>
      </c>
      <c r="G147" s="102">
        <v>40960</v>
      </c>
      <c r="H147" s="177"/>
      <c r="I147" s="177"/>
      <c r="J147" s="177"/>
      <c r="K147" s="102"/>
      <c r="L147" s="102"/>
      <c r="M147" s="102"/>
      <c r="N147" s="102"/>
      <c r="O147" s="102"/>
      <c r="P147" s="102"/>
      <c r="Q147" s="103"/>
      <c r="R147" s="269"/>
    </row>
    <row r="148" spans="1:18" s="127" customFormat="1" ht="32.549999999999997" customHeight="1" x14ac:dyDescent="0.3">
      <c r="A148" s="82">
        <v>145</v>
      </c>
      <c r="B148" s="254" t="s">
        <v>509</v>
      </c>
      <c r="C148" s="67">
        <v>44714</v>
      </c>
      <c r="D148" s="246" t="s">
        <v>508</v>
      </c>
      <c r="E148" s="246" t="s">
        <v>367</v>
      </c>
      <c r="F148" s="297" t="s">
        <v>507</v>
      </c>
      <c r="G148" s="102">
        <v>600008.94999999995</v>
      </c>
      <c r="H148" s="68"/>
      <c r="I148" s="68"/>
      <c r="J148" s="68"/>
      <c r="K148" s="102"/>
      <c r="L148" s="102"/>
      <c r="M148" s="102"/>
      <c r="N148" s="102"/>
      <c r="O148" s="102"/>
      <c r="P148" s="102"/>
      <c r="Q148" s="103"/>
      <c r="R148" s="269"/>
    </row>
    <row r="149" spans="1:18" s="127" customFormat="1" ht="32.549999999999997" customHeight="1" x14ac:dyDescent="0.3">
      <c r="A149" s="82">
        <v>146</v>
      </c>
      <c r="B149" s="294" t="s">
        <v>516</v>
      </c>
      <c r="C149" s="67">
        <v>44722</v>
      </c>
      <c r="D149" s="66">
        <v>4503803528</v>
      </c>
      <c r="E149" s="295" t="s">
        <v>2</v>
      </c>
      <c r="F149" s="296" t="s">
        <v>530</v>
      </c>
      <c r="G149" s="102">
        <v>31400</v>
      </c>
      <c r="H149" s="68"/>
      <c r="I149" s="68"/>
      <c r="J149" s="68"/>
      <c r="K149" s="102"/>
      <c r="L149" s="102"/>
      <c r="M149" s="102"/>
      <c r="N149" s="102"/>
      <c r="O149" s="102"/>
      <c r="P149" s="102"/>
      <c r="Q149" s="103"/>
      <c r="R149" s="269"/>
    </row>
    <row r="150" spans="1:18" s="127" customFormat="1" ht="32.549999999999997" customHeight="1" x14ac:dyDescent="0.3">
      <c r="A150" s="82">
        <v>147</v>
      </c>
      <c r="B150" s="246" t="s">
        <v>517</v>
      </c>
      <c r="C150" s="67">
        <v>44725</v>
      </c>
      <c r="D150" s="66"/>
      <c r="E150" s="244" t="s">
        <v>69</v>
      </c>
      <c r="F150" s="296" t="s">
        <v>531</v>
      </c>
      <c r="G150" s="102">
        <v>3001000</v>
      </c>
      <c r="H150" s="68"/>
      <c r="I150" s="68"/>
      <c r="J150" s="68"/>
      <c r="K150" s="102"/>
      <c r="L150" s="102"/>
      <c r="M150" s="102"/>
      <c r="N150" s="102"/>
      <c r="O150" s="102"/>
      <c r="P150" s="102"/>
      <c r="Q150" s="103"/>
      <c r="R150" s="269"/>
    </row>
    <row r="151" spans="1:18" s="127" customFormat="1" ht="32.549999999999997" customHeight="1" x14ac:dyDescent="0.3">
      <c r="A151" s="82">
        <v>148</v>
      </c>
      <c r="B151" s="246" t="s">
        <v>518</v>
      </c>
      <c r="C151" s="67">
        <v>44725</v>
      </c>
      <c r="D151" s="66"/>
      <c r="E151" s="298" t="s">
        <v>6</v>
      </c>
      <c r="F151" s="296" t="s">
        <v>532</v>
      </c>
      <c r="G151" s="102"/>
      <c r="H151" s="68"/>
      <c r="I151" s="68"/>
      <c r="J151" s="68"/>
      <c r="K151" s="102"/>
      <c r="L151" s="102"/>
      <c r="M151" s="102"/>
      <c r="N151" s="102"/>
      <c r="O151" s="102"/>
      <c r="P151" s="102"/>
      <c r="Q151" s="103"/>
      <c r="R151" s="269"/>
    </row>
    <row r="152" spans="1:18" s="127" customFormat="1" ht="32.549999999999997" customHeight="1" x14ac:dyDescent="0.3">
      <c r="A152" s="82">
        <v>149</v>
      </c>
      <c r="B152" s="246" t="s">
        <v>519</v>
      </c>
      <c r="C152" s="67">
        <v>44725</v>
      </c>
      <c r="D152" s="66"/>
      <c r="E152" s="244" t="s">
        <v>69</v>
      </c>
      <c r="F152" s="296" t="s">
        <v>533</v>
      </c>
      <c r="H152" s="68"/>
      <c r="I152" s="68"/>
      <c r="J152" s="68"/>
      <c r="K152" s="102"/>
      <c r="L152" s="102"/>
      <c r="M152" s="102"/>
      <c r="N152" s="102"/>
      <c r="O152" s="102"/>
      <c r="P152" s="102"/>
      <c r="Q152" s="103"/>
      <c r="R152" s="269"/>
    </row>
    <row r="153" spans="1:18" s="127" customFormat="1" ht="32.549999999999997" customHeight="1" x14ac:dyDescent="0.3">
      <c r="A153" s="82">
        <v>150</v>
      </c>
      <c r="B153" s="246" t="s">
        <v>520</v>
      </c>
      <c r="C153" s="67">
        <v>44725</v>
      </c>
      <c r="D153" s="66">
        <v>44503780868</v>
      </c>
      <c r="E153" s="244" t="s">
        <v>2</v>
      </c>
      <c r="F153" s="296" t="s">
        <v>534</v>
      </c>
      <c r="G153" s="102">
        <v>11718</v>
      </c>
      <c r="H153" s="68"/>
      <c r="I153" s="68"/>
      <c r="J153" s="68"/>
      <c r="K153" s="102"/>
      <c r="L153" s="102"/>
      <c r="M153" s="102"/>
      <c r="N153" s="102"/>
      <c r="O153" s="102"/>
      <c r="P153" s="102"/>
      <c r="Q153" s="103"/>
      <c r="R153" s="269"/>
    </row>
    <row r="154" spans="1:18" s="127" customFormat="1" ht="32.549999999999997" customHeight="1" x14ac:dyDescent="0.3">
      <c r="A154" s="82">
        <v>151</v>
      </c>
      <c r="B154" s="254" t="s">
        <v>521</v>
      </c>
      <c r="C154" s="67">
        <v>44728</v>
      </c>
      <c r="D154" s="66">
        <v>212312</v>
      </c>
      <c r="E154" s="295" t="s">
        <v>28</v>
      </c>
      <c r="F154" s="299" t="s">
        <v>535</v>
      </c>
      <c r="G154" s="102">
        <v>135253</v>
      </c>
      <c r="H154" s="68"/>
      <c r="I154" s="68"/>
      <c r="J154" s="68"/>
      <c r="K154" s="102"/>
      <c r="L154" s="102"/>
      <c r="M154" s="102"/>
      <c r="N154" s="102"/>
      <c r="O154" s="102"/>
      <c r="P154" s="102"/>
      <c r="Q154" s="103"/>
      <c r="R154" s="269"/>
    </row>
    <row r="155" spans="1:18" s="127" customFormat="1" ht="32.549999999999997" customHeight="1" x14ac:dyDescent="0.3">
      <c r="A155" s="82">
        <v>152</v>
      </c>
      <c r="B155" s="294" t="s">
        <v>522</v>
      </c>
      <c r="C155" s="67">
        <v>44728</v>
      </c>
      <c r="D155" s="66">
        <v>212314</v>
      </c>
      <c r="E155" s="295" t="s">
        <v>28</v>
      </c>
      <c r="F155" s="299" t="s">
        <v>536</v>
      </c>
      <c r="G155" s="102">
        <v>261939.02</v>
      </c>
      <c r="H155" s="68"/>
      <c r="I155" s="68"/>
      <c r="J155" s="68"/>
      <c r="K155" s="102"/>
      <c r="L155" s="102"/>
      <c r="M155" s="102"/>
      <c r="N155" s="102"/>
      <c r="O155" s="102"/>
      <c r="P155" s="102"/>
      <c r="Q155" s="103"/>
      <c r="R155" s="269"/>
    </row>
    <row r="156" spans="1:18" s="127" customFormat="1" ht="32.549999999999997" customHeight="1" x14ac:dyDescent="0.3">
      <c r="A156" s="82">
        <v>153</v>
      </c>
      <c r="B156" s="246" t="s">
        <v>523</v>
      </c>
      <c r="C156" s="67">
        <v>44728</v>
      </c>
      <c r="D156" s="66">
        <v>212316</v>
      </c>
      <c r="E156" s="295" t="s">
        <v>28</v>
      </c>
      <c r="F156" s="299" t="s">
        <v>537</v>
      </c>
      <c r="G156" s="102">
        <v>331240</v>
      </c>
      <c r="H156" s="68"/>
      <c r="I156" s="68"/>
      <c r="J156" s="68"/>
      <c r="K156" s="102"/>
      <c r="L156" s="102"/>
      <c r="M156" s="102"/>
      <c r="N156" s="102"/>
      <c r="O156" s="102"/>
      <c r="P156" s="102"/>
      <c r="Q156" s="103"/>
      <c r="R156" s="269"/>
    </row>
    <row r="157" spans="1:18" s="127" customFormat="1" ht="32.549999999999997" customHeight="1" x14ac:dyDescent="0.3">
      <c r="A157" s="82">
        <v>154</v>
      </c>
      <c r="B157" s="246" t="s">
        <v>524</v>
      </c>
      <c r="C157" s="67">
        <v>44728</v>
      </c>
      <c r="D157" s="66">
        <v>212319</v>
      </c>
      <c r="E157" s="295" t="s">
        <v>28</v>
      </c>
      <c r="F157" s="299" t="s">
        <v>538</v>
      </c>
      <c r="G157" s="102">
        <v>150645.28</v>
      </c>
      <c r="H157" s="68"/>
      <c r="I157" s="68"/>
      <c r="J157" s="68"/>
      <c r="K157" s="102"/>
      <c r="L157" s="102"/>
      <c r="M157" s="102"/>
      <c r="N157" s="102"/>
      <c r="O157" s="102"/>
      <c r="P157" s="102"/>
      <c r="Q157" s="103"/>
      <c r="R157" s="269"/>
    </row>
    <row r="158" spans="1:18" s="127" customFormat="1" ht="32.549999999999997" customHeight="1" x14ac:dyDescent="0.3">
      <c r="A158" s="82">
        <v>155</v>
      </c>
      <c r="B158" s="246" t="s">
        <v>525</v>
      </c>
      <c r="C158" s="67">
        <v>44728</v>
      </c>
      <c r="D158" s="66">
        <v>212324</v>
      </c>
      <c r="E158" s="295" t="s">
        <v>28</v>
      </c>
      <c r="F158" s="299" t="s">
        <v>539</v>
      </c>
      <c r="G158" s="102">
        <v>54054</v>
      </c>
      <c r="H158" s="68"/>
      <c r="I158" s="68"/>
      <c r="J158" s="68"/>
      <c r="K158" s="102"/>
      <c r="L158" s="102"/>
      <c r="M158" s="102"/>
      <c r="N158" s="102"/>
      <c r="O158" s="102"/>
      <c r="P158" s="102"/>
      <c r="Q158" s="103"/>
      <c r="R158" s="269"/>
    </row>
    <row r="159" spans="1:18" s="127" customFormat="1" ht="32.549999999999997" customHeight="1" x14ac:dyDescent="0.3">
      <c r="A159" s="82">
        <v>156</v>
      </c>
      <c r="B159" s="246" t="s">
        <v>526</v>
      </c>
      <c r="C159" s="67">
        <v>44728</v>
      </c>
      <c r="D159" s="66">
        <v>212325</v>
      </c>
      <c r="E159" s="295" t="s">
        <v>28</v>
      </c>
      <c r="F159" s="299" t="s">
        <v>538</v>
      </c>
      <c r="G159" s="102">
        <v>17205</v>
      </c>
      <c r="H159" s="68"/>
      <c r="I159" s="68"/>
      <c r="J159" s="68"/>
      <c r="K159" s="102"/>
      <c r="L159" s="102"/>
      <c r="M159" s="102"/>
      <c r="N159" s="102"/>
      <c r="O159" s="102"/>
      <c r="P159" s="102"/>
      <c r="Q159" s="103"/>
      <c r="R159" s="269"/>
    </row>
    <row r="160" spans="1:18" s="127" customFormat="1" ht="32.549999999999997" customHeight="1" x14ac:dyDescent="0.3">
      <c r="A160" s="82">
        <v>157</v>
      </c>
      <c r="B160" s="254" t="s">
        <v>527</v>
      </c>
      <c r="C160" s="67">
        <v>44728</v>
      </c>
      <c r="D160" s="66">
        <v>212326</v>
      </c>
      <c r="E160" s="295" t="s">
        <v>28</v>
      </c>
      <c r="F160" s="299" t="s">
        <v>540</v>
      </c>
      <c r="G160" s="102">
        <v>106128</v>
      </c>
      <c r="H160" s="68"/>
      <c r="I160" s="68"/>
      <c r="J160" s="68"/>
      <c r="K160" s="102"/>
      <c r="L160" s="102"/>
      <c r="M160" s="102"/>
      <c r="N160" s="102"/>
      <c r="O160" s="102"/>
      <c r="P160" s="102"/>
      <c r="Q160" s="103"/>
      <c r="R160" s="269"/>
    </row>
    <row r="161" spans="1:18" s="127" customFormat="1" ht="32.549999999999997" customHeight="1" x14ac:dyDescent="0.3">
      <c r="A161" s="82">
        <v>158</v>
      </c>
      <c r="B161" s="294" t="s">
        <v>528</v>
      </c>
      <c r="C161" s="67"/>
      <c r="D161" s="66"/>
      <c r="E161" s="236"/>
      <c r="F161" s="235"/>
      <c r="G161" s="102"/>
      <c r="H161" s="68"/>
      <c r="I161" s="68"/>
      <c r="J161" s="68"/>
      <c r="K161" s="102"/>
      <c r="L161" s="102"/>
      <c r="M161" s="102"/>
      <c r="N161" s="102"/>
      <c r="O161" s="102"/>
      <c r="P161" s="102"/>
      <c r="Q161" s="103"/>
      <c r="R161" s="269"/>
    </row>
    <row r="162" spans="1:18" s="127" customFormat="1" ht="32.549999999999997" customHeight="1" x14ac:dyDescent="0.3">
      <c r="A162" s="82">
        <v>159</v>
      </c>
      <c r="B162" s="246" t="s">
        <v>529</v>
      </c>
      <c r="C162" s="67"/>
      <c r="D162" s="66"/>
      <c r="E162" s="236"/>
      <c r="F162" s="235"/>
      <c r="G162" s="102"/>
      <c r="H162" s="68"/>
      <c r="I162" s="68"/>
      <c r="J162" s="68"/>
      <c r="K162" s="102"/>
      <c r="L162" s="102"/>
      <c r="M162" s="102"/>
      <c r="N162" s="102"/>
      <c r="O162" s="102"/>
      <c r="P162" s="102"/>
      <c r="Q162" s="103"/>
      <c r="R162" s="269"/>
    </row>
    <row r="163" spans="1:18" s="127" customFormat="1" ht="32.549999999999997" customHeight="1" x14ac:dyDescent="0.3">
      <c r="A163" s="82"/>
      <c r="B163" s="246"/>
      <c r="C163" s="67"/>
      <c r="D163" s="66"/>
      <c r="E163" s="236"/>
      <c r="F163" s="235"/>
      <c r="G163" s="102"/>
      <c r="H163" s="68"/>
      <c r="I163" s="68"/>
      <c r="J163" s="68"/>
      <c r="K163" s="102"/>
      <c r="L163" s="102"/>
      <c r="M163" s="102"/>
      <c r="N163" s="102"/>
      <c r="O163" s="102"/>
      <c r="P163" s="102"/>
      <c r="Q163" s="103"/>
      <c r="R163" s="269"/>
    </row>
    <row r="164" spans="1:18" s="127" customFormat="1" ht="32.549999999999997" customHeight="1" x14ac:dyDescent="0.3">
      <c r="A164" s="82"/>
      <c r="B164" s="246"/>
      <c r="C164" s="67"/>
      <c r="D164" s="66"/>
      <c r="E164" s="236"/>
      <c r="F164" s="235"/>
      <c r="G164" s="102"/>
      <c r="H164" s="68"/>
      <c r="I164" s="68"/>
      <c r="J164" s="68"/>
      <c r="K164" s="102"/>
      <c r="L164" s="102"/>
      <c r="M164" s="102"/>
      <c r="N164" s="102"/>
      <c r="O164" s="102"/>
      <c r="P164" s="102"/>
      <c r="Q164" s="103"/>
      <c r="R164" s="269"/>
    </row>
    <row r="165" spans="1:18" s="127" customFormat="1" ht="32.549999999999997" customHeight="1" x14ac:dyDescent="0.3">
      <c r="A165" s="82"/>
      <c r="B165" s="246"/>
      <c r="C165" s="67"/>
      <c r="D165" s="66"/>
      <c r="E165" s="236"/>
      <c r="F165" s="235"/>
      <c r="G165" s="102"/>
      <c r="H165" s="68"/>
      <c r="I165" s="68"/>
      <c r="J165" s="68"/>
      <c r="K165" s="102"/>
      <c r="L165" s="102"/>
      <c r="M165" s="102"/>
      <c r="N165" s="102"/>
      <c r="O165" s="102"/>
      <c r="P165" s="102"/>
      <c r="Q165" s="103"/>
      <c r="R165" s="269"/>
    </row>
    <row r="166" spans="1:18" s="127" customFormat="1" ht="32.549999999999997" customHeight="1" x14ac:dyDescent="0.3">
      <c r="A166" s="82"/>
      <c r="B166" s="246"/>
      <c r="C166" s="67"/>
      <c r="D166" s="66"/>
      <c r="E166" s="236"/>
      <c r="F166" s="235"/>
      <c r="G166" s="102"/>
      <c r="H166" s="68"/>
      <c r="I166" s="68"/>
      <c r="J166" s="68"/>
      <c r="K166" s="102"/>
      <c r="L166" s="102"/>
      <c r="M166" s="102"/>
      <c r="N166" s="102"/>
      <c r="O166" s="102"/>
      <c r="P166" s="102"/>
      <c r="Q166" s="103"/>
      <c r="R166" s="269"/>
    </row>
    <row r="167" spans="1:18" s="127" customFormat="1" ht="32.549999999999997" customHeight="1" x14ac:dyDescent="0.3">
      <c r="A167" s="83"/>
      <c r="B167" s="66"/>
      <c r="C167" s="67">
        <v>44679</v>
      </c>
      <c r="D167" s="214" t="s">
        <v>460</v>
      </c>
      <c r="E167" s="142" t="s">
        <v>367</v>
      </c>
      <c r="F167" s="215" t="s">
        <v>461</v>
      </c>
      <c r="G167" s="159">
        <v>4000</v>
      </c>
      <c r="H167" s="68"/>
      <c r="I167" s="68"/>
      <c r="J167" s="68"/>
      <c r="K167" s="102"/>
      <c r="L167" s="102"/>
      <c r="M167" s="102"/>
      <c r="N167" s="102"/>
      <c r="O167" s="102"/>
      <c r="P167" s="102"/>
      <c r="Q167" s="103"/>
      <c r="R167" s="269"/>
    </row>
    <row r="168" spans="1:18" s="127" customFormat="1" ht="32.549999999999997" customHeight="1" x14ac:dyDescent="0.3">
      <c r="A168" s="82"/>
      <c r="B168" s="146"/>
      <c r="C168" s="66"/>
      <c r="D168" s="66"/>
      <c r="E168" s="244"/>
      <c r="F168" s="243"/>
      <c r="G168" s="255"/>
      <c r="H168" s="68"/>
      <c r="I168" s="68"/>
      <c r="J168" s="68"/>
      <c r="K168" s="102"/>
      <c r="L168" s="102"/>
      <c r="M168" s="102"/>
      <c r="N168" s="102"/>
      <c r="O168" s="102"/>
      <c r="P168" s="102"/>
      <c r="Q168" s="103"/>
      <c r="R168" s="269"/>
    </row>
    <row r="169" spans="1:18" s="127" customFormat="1" ht="32.549999999999997" customHeight="1" x14ac:dyDescent="0.3">
      <c r="A169" s="82"/>
      <c r="B169" s="146"/>
      <c r="C169" s="66"/>
      <c r="D169" s="66"/>
      <c r="E169" s="146"/>
      <c r="F169" s="146"/>
      <c r="G169" s="146"/>
      <c r="H169" s="68"/>
      <c r="I169" s="68"/>
      <c r="J169" s="68"/>
      <c r="K169" s="102"/>
      <c r="L169" s="102"/>
      <c r="M169" s="102"/>
      <c r="N169" s="102"/>
      <c r="O169" s="102"/>
      <c r="P169" s="102"/>
      <c r="Q169" s="103"/>
      <c r="R169" s="269"/>
    </row>
    <row r="170" spans="1:18" s="127" customFormat="1" ht="32.549999999999997" customHeight="1" x14ac:dyDescent="0.3">
      <c r="A170" s="82"/>
      <c r="B170" s="146"/>
      <c r="C170" s="66"/>
      <c r="D170" s="66"/>
      <c r="E170" s="146"/>
      <c r="F170" s="146"/>
      <c r="G170" s="146"/>
      <c r="H170" s="248"/>
      <c r="I170" s="248"/>
      <c r="J170" s="248"/>
      <c r="K170" s="102"/>
      <c r="L170" s="102"/>
      <c r="M170" s="102"/>
      <c r="N170" s="102"/>
      <c r="O170" s="102"/>
      <c r="P170" s="102"/>
      <c r="Q170" s="103"/>
      <c r="R170" s="269"/>
    </row>
    <row r="171" spans="1:18" s="127" customFormat="1" ht="32.549999999999997" customHeight="1" x14ac:dyDescent="0.3">
      <c r="A171" s="82"/>
      <c r="B171" s="146"/>
      <c r="C171" s="66"/>
      <c r="D171" s="66"/>
      <c r="E171" s="146"/>
      <c r="F171" s="146"/>
      <c r="G171" s="146"/>
      <c r="H171" s="248"/>
      <c r="I171" s="248"/>
      <c r="J171" s="248"/>
      <c r="K171" s="102"/>
      <c r="L171" s="102"/>
      <c r="M171" s="102"/>
      <c r="N171" s="102"/>
      <c r="O171" s="102"/>
      <c r="P171" s="102"/>
      <c r="Q171" s="103"/>
      <c r="R171" s="269"/>
    </row>
    <row r="172" spans="1:18" s="127" customFormat="1" ht="32.549999999999997" customHeight="1" x14ac:dyDescent="0.3">
      <c r="A172" s="82"/>
      <c r="B172" s="146"/>
      <c r="C172" s="66"/>
      <c r="D172" s="195"/>
      <c r="E172" s="197"/>
      <c r="H172" s="248"/>
      <c r="I172" s="248"/>
      <c r="J172" s="248"/>
      <c r="K172" s="102"/>
      <c r="L172" s="102"/>
      <c r="M172" s="102"/>
      <c r="N172" s="102"/>
      <c r="O172" s="102"/>
      <c r="P172" s="102"/>
      <c r="Q172" s="103"/>
      <c r="R172" s="269"/>
    </row>
    <row r="173" spans="1:18" ht="28.5" customHeight="1" x14ac:dyDescent="0.3">
      <c r="A173" s="303" t="s">
        <v>16</v>
      </c>
      <c r="B173" s="303"/>
      <c r="C173" s="303"/>
      <c r="D173" s="303"/>
      <c r="E173" s="303"/>
      <c r="F173" s="303"/>
      <c r="G173" s="107">
        <f>SUM(G2:G172)</f>
        <v>122815324.905</v>
      </c>
      <c r="H173" s="249"/>
      <c r="I173" s="249"/>
      <c r="J173" s="249"/>
      <c r="K173" s="107">
        <f t="shared" ref="K173:Q173" si="3">SUM(K2:K167)</f>
        <v>27821775.427586213</v>
      </c>
      <c r="L173" s="107">
        <f t="shared" si="3"/>
        <v>212376.09</v>
      </c>
      <c r="M173" s="107">
        <f t="shared" si="3"/>
        <v>737503.69799999986</v>
      </c>
      <c r="N173" s="107">
        <f t="shared" si="3"/>
        <v>586888.85099999991</v>
      </c>
      <c r="O173" s="107">
        <f t="shared" si="3"/>
        <v>866875.70999999985</v>
      </c>
      <c r="P173" s="107">
        <f t="shared" si="3"/>
        <v>7682731.3439999986</v>
      </c>
      <c r="Q173" s="107">
        <f t="shared" si="3"/>
        <v>77849492.460586235</v>
      </c>
      <c r="R173" s="272"/>
    </row>
    <row r="174" spans="1:18" x14ac:dyDescent="0.3">
      <c r="A174" s="250"/>
      <c r="B174" s="250"/>
      <c r="C174" s="2"/>
      <c r="D174" s="2"/>
      <c r="E174" s="2"/>
      <c r="F174" s="89"/>
      <c r="G174" s="105"/>
    </row>
    <row r="176" spans="1:18" x14ac:dyDescent="0.3">
      <c r="M176" s="123" t="s">
        <v>65</v>
      </c>
      <c r="Q176" s="158"/>
      <c r="R176" s="158"/>
    </row>
    <row r="178" spans="3:3" x14ac:dyDescent="0.3">
      <c r="C178" s="237" t="s">
        <v>488</v>
      </c>
    </row>
    <row r="179" spans="3:3" x14ac:dyDescent="0.3">
      <c r="C179" s="276" t="s">
        <v>515</v>
      </c>
    </row>
  </sheetData>
  <autoFilter ref="A1:O167" xr:uid="{325470E0-5911-46FA-9AC3-F2527C74FFFB}"/>
  <mergeCells count="1">
    <mergeCell ref="A173:F173"/>
  </mergeCells>
  <phoneticPr fontId="50" type="noConversion"/>
  <pageMargins left="0.7" right="0.7" top="0.75" bottom="0.75" header="0.3" footer="0.3"/>
  <pageSetup scale="63" fitToHeight="0" orientation="landscape" r:id="rId1"/>
  <rowBreaks count="5" manualBreakCount="5">
    <brk id="31" max="9" man="1"/>
    <brk id="63" max="9" man="1"/>
    <brk id="103" max="9" man="1"/>
    <brk id="138" max="9" man="1"/>
    <brk id="170" max="9" man="1"/>
  </rowBreaks>
  <ignoredErrors>
    <ignoredError sqref="D63 D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CDBD-D0A9-4057-9CE5-F1E179DDA0F7}">
  <dimension ref="A1:J23"/>
  <sheetViews>
    <sheetView view="pageBreakPreview" zoomScale="85" zoomScaleNormal="100" zoomScaleSheetLayoutView="85" workbookViewId="0">
      <selection activeCell="F17" sqref="F17"/>
    </sheetView>
  </sheetViews>
  <sheetFormatPr defaultColWidth="20.77734375" defaultRowHeight="14.4" x14ac:dyDescent="0.3"/>
  <cols>
    <col min="1" max="1" width="6.44140625" customWidth="1"/>
    <col min="2" max="2" width="13" customWidth="1"/>
    <col min="3" max="3" width="13.88671875" customWidth="1"/>
    <col min="4" max="4" width="16.33203125" customWidth="1"/>
    <col min="5" max="5" width="15.44140625" customWidth="1"/>
    <col min="6" max="6" width="40.21875" customWidth="1"/>
    <col min="9" max="9" width="20.77734375" style="288"/>
  </cols>
  <sheetData>
    <row r="1" spans="1:10" ht="28.8" x14ac:dyDescent="0.3">
      <c r="A1" s="1" t="s">
        <v>1</v>
      </c>
      <c r="B1" s="1" t="s">
        <v>10</v>
      </c>
      <c r="C1" s="1" t="s">
        <v>8</v>
      </c>
      <c r="D1" s="1" t="s">
        <v>12</v>
      </c>
      <c r="E1" s="1" t="s">
        <v>13</v>
      </c>
      <c r="F1" s="1" t="s">
        <v>11</v>
      </c>
      <c r="G1" s="156" t="s">
        <v>14</v>
      </c>
      <c r="H1" s="273" t="s">
        <v>513</v>
      </c>
      <c r="I1" s="274" t="s">
        <v>514</v>
      </c>
      <c r="J1" s="273"/>
    </row>
    <row r="2" spans="1:10" ht="25.05" customHeight="1" x14ac:dyDescent="0.3">
      <c r="A2" s="75">
        <v>2</v>
      </c>
      <c r="B2" s="76" t="s">
        <v>32</v>
      </c>
      <c r="C2" s="77">
        <v>44207</v>
      </c>
      <c r="D2" s="76">
        <v>4400008785</v>
      </c>
      <c r="E2" s="76" t="s">
        <v>3</v>
      </c>
      <c r="F2" s="85" t="s">
        <v>33</v>
      </c>
      <c r="G2" s="99">
        <v>747367.70000000007</v>
      </c>
      <c r="H2" s="286">
        <v>10308.52</v>
      </c>
      <c r="I2" s="194">
        <v>72.5</v>
      </c>
      <c r="J2" s="179"/>
    </row>
    <row r="3" spans="1:10" ht="25.05" customHeight="1" x14ac:dyDescent="0.3">
      <c r="A3" s="83">
        <v>14</v>
      </c>
      <c r="B3" s="66" t="s">
        <v>24</v>
      </c>
      <c r="C3" s="67">
        <v>44570</v>
      </c>
      <c r="D3" s="69">
        <v>4503713204</v>
      </c>
      <c r="E3" s="69" t="s">
        <v>2</v>
      </c>
      <c r="F3" s="150" t="s">
        <v>41</v>
      </c>
      <c r="G3" s="103">
        <v>73278.649999999994</v>
      </c>
      <c r="H3" s="179">
        <v>1010.74</v>
      </c>
      <c r="I3" s="291">
        <v>72.5</v>
      </c>
      <c r="J3" s="179"/>
    </row>
    <row r="4" spans="1:10" ht="25.05" customHeight="1" x14ac:dyDescent="0.3">
      <c r="A4" s="82">
        <v>15</v>
      </c>
      <c r="B4" s="66" t="s">
        <v>25</v>
      </c>
      <c r="C4" s="67">
        <v>44567</v>
      </c>
      <c r="D4" s="69">
        <v>4400008886</v>
      </c>
      <c r="E4" s="69" t="s">
        <v>3</v>
      </c>
      <c r="F4" s="150" t="s">
        <v>42</v>
      </c>
      <c r="G4" s="103">
        <v>168925.72500000001</v>
      </c>
      <c r="H4" s="179">
        <v>2330.0100000000002</v>
      </c>
      <c r="I4" s="291">
        <v>72.5</v>
      </c>
      <c r="J4" s="177"/>
    </row>
    <row r="5" spans="1:10" ht="25.05" customHeight="1" x14ac:dyDescent="0.3">
      <c r="A5" s="90">
        <v>16</v>
      </c>
      <c r="B5" s="66" t="s">
        <v>43</v>
      </c>
      <c r="C5" s="67">
        <v>44556</v>
      </c>
      <c r="D5" s="69">
        <v>4400008847</v>
      </c>
      <c r="E5" s="69" t="s">
        <v>3</v>
      </c>
      <c r="F5" s="149" t="s">
        <v>44</v>
      </c>
      <c r="G5" s="103">
        <v>862750</v>
      </c>
      <c r="H5" s="179">
        <v>11900</v>
      </c>
      <c r="I5" s="291">
        <v>72.5</v>
      </c>
      <c r="J5" s="178"/>
    </row>
    <row r="6" spans="1:10" ht="25.05" customHeight="1" x14ac:dyDescent="0.3">
      <c r="A6" s="91">
        <v>17</v>
      </c>
      <c r="B6" s="66" t="s">
        <v>45</v>
      </c>
      <c r="C6" s="67">
        <v>44581</v>
      </c>
      <c r="D6" s="69" t="s">
        <v>46</v>
      </c>
      <c r="E6" s="66" t="s">
        <v>6</v>
      </c>
      <c r="F6" s="86" t="s">
        <v>47</v>
      </c>
      <c r="G6" s="103">
        <v>60175</v>
      </c>
      <c r="H6" s="179">
        <v>830</v>
      </c>
      <c r="I6" s="291">
        <v>72.5</v>
      </c>
      <c r="J6" s="178"/>
    </row>
    <row r="7" spans="1:10" ht="25.05" customHeight="1" x14ac:dyDescent="0.3">
      <c r="A7" s="82">
        <v>41</v>
      </c>
      <c r="B7" s="66" t="s">
        <v>220</v>
      </c>
      <c r="C7" s="67">
        <v>44615</v>
      </c>
      <c r="D7" s="66">
        <v>4400009053</v>
      </c>
      <c r="E7" s="69" t="s">
        <v>3</v>
      </c>
      <c r="F7" s="88" t="s">
        <v>248</v>
      </c>
      <c r="G7" s="103">
        <v>922055</v>
      </c>
      <c r="H7" s="177">
        <v>12718</v>
      </c>
      <c r="I7" s="291">
        <v>72.5</v>
      </c>
      <c r="J7" s="178"/>
    </row>
    <row r="8" spans="1:10" ht="25.05" customHeight="1" x14ac:dyDescent="0.3">
      <c r="A8" s="83">
        <v>48</v>
      </c>
      <c r="B8" s="66" t="s">
        <v>287</v>
      </c>
      <c r="C8" s="67">
        <v>44615</v>
      </c>
      <c r="D8" s="66">
        <v>4400009064</v>
      </c>
      <c r="E8" s="69" t="s">
        <v>3</v>
      </c>
      <c r="F8" s="86" t="s">
        <v>254</v>
      </c>
      <c r="G8" s="102">
        <v>102855.02500000001</v>
      </c>
      <c r="H8" s="177">
        <v>1418.69</v>
      </c>
      <c r="I8" s="292">
        <v>72.5</v>
      </c>
      <c r="J8" s="177"/>
    </row>
    <row r="9" spans="1:10" ht="25.05" customHeight="1" x14ac:dyDescent="0.3">
      <c r="A9" s="83">
        <v>54</v>
      </c>
      <c r="B9" s="113" t="s">
        <v>293</v>
      </c>
      <c r="C9" s="3">
        <v>44628</v>
      </c>
      <c r="D9" s="2">
        <v>4400009102</v>
      </c>
      <c r="E9" s="113" t="s">
        <v>3</v>
      </c>
      <c r="F9" s="114" t="s">
        <v>305</v>
      </c>
      <c r="G9" s="103">
        <v>192353.375</v>
      </c>
      <c r="H9" s="178">
        <v>2653.15</v>
      </c>
      <c r="I9" s="291">
        <v>72.5</v>
      </c>
      <c r="J9" s="177"/>
    </row>
    <row r="10" spans="1:10" ht="25.05" customHeight="1" x14ac:dyDescent="0.3">
      <c r="A10" s="83">
        <v>56</v>
      </c>
      <c r="B10" s="113" t="s">
        <v>301</v>
      </c>
      <c r="C10" s="3">
        <v>44629</v>
      </c>
      <c r="D10" s="2">
        <v>4400009085</v>
      </c>
      <c r="E10" s="167" t="s">
        <v>3</v>
      </c>
      <c r="F10" s="114" t="s">
        <v>306</v>
      </c>
      <c r="G10" s="158">
        <v>2489128</v>
      </c>
      <c r="H10" s="178">
        <v>34332.800000000003</v>
      </c>
      <c r="I10" s="293">
        <v>72.5</v>
      </c>
      <c r="J10" s="177"/>
    </row>
    <row r="11" spans="1:10" ht="25.05" customHeight="1" x14ac:dyDescent="0.3">
      <c r="A11" s="83">
        <v>65</v>
      </c>
      <c r="B11" s="113" t="s">
        <v>317</v>
      </c>
      <c r="C11" s="3">
        <v>44635</v>
      </c>
      <c r="D11" s="2">
        <v>258639</v>
      </c>
      <c r="E11" s="113" t="s">
        <v>28</v>
      </c>
      <c r="F11" s="114" t="s">
        <v>244</v>
      </c>
      <c r="G11" s="103">
        <v>576375</v>
      </c>
      <c r="H11" s="178">
        <v>7950</v>
      </c>
      <c r="I11" s="291">
        <v>72.5</v>
      </c>
      <c r="J11" s="177"/>
    </row>
    <row r="12" spans="1:10" ht="25.05" customHeight="1" x14ac:dyDescent="0.3">
      <c r="A12" s="83">
        <v>69</v>
      </c>
      <c r="B12" s="113" t="s">
        <v>342</v>
      </c>
      <c r="C12" s="3">
        <v>44601</v>
      </c>
      <c r="D12" s="2">
        <v>22015</v>
      </c>
      <c r="E12" s="113" t="s">
        <v>343</v>
      </c>
      <c r="F12" s="114" t="s">
        <v>344</v>
      </c>
      <c r="G12" s="103">
        <v>218799.92499999999</v>
      </c>
      <c r="H12" s="178">
        <v>3017.93</v>
      </c>
      <c r="I12" s="291">
        <v>72.5</v>
      </c>
      <c r="J12" s="177"/>
    </row>
    <row r="13" spans="1:10" ht="25.05" customHeight="1" x14ac:dyDescent="0.3">
      <c r="A13" s="83">
        <v>80</v>
      </c>
      <c r="B13" s="113" t="s">
        <v>359</v>
      </c>
      <c r="C13" s="3">
        <v>44642</v>
      </c>
      <c r="D13" s="2">
        <v>22017</v>
      </c>
      <c r="E13" s="113" t="s">
        <v>6</v>
      </c>
      <c r="F13" s="114" t="s">
        <v>360</v>
      </c>
      <c r="G13" s="103">
        <v>871450</v>
      </c>
      <c r="H13" s="178">
        <v>12020</v>
      </c>
      <c r="I13" s="291">
        <v>72.5</v>
      </c>
      <c r="J13" s="177"/>
    </row>
    <row r="14" spans="1:10" ht="25.05" customHeight="1" x14ac:dyDescent="0.3">
      <c r="A14" s="83">
        <v>94</v>
      </c>
      <c r="B14" s="113" t="s">
        <v>389</v>
      </c>
      <c r="C14" s="3">
        <v>44650</v>
      </c>
      <c r="D14" s="2">
        <v>22024</v>
      </c>
      <c r="E14" s="113" t="s">
        <v>6</v>
      </c>
      <c r="F14" s="114" t="s">
        <v>371</v>
      </c>
      <c r="G14" s="103">
        <v>1088430</v>
      </c>
      <c r="H14" s="178">
        <v>14910</v>
      </c>
      <c r="I14" s="291">
        <v>73</v>
      </c>
      <c r="J14" s="177"/>
    </row>
    <row r="15" spans="1:10" ht="25.05" customHeight="1" x14ac:dyDescent="0.3">
      <c r="A15" s="83">
        <v>98</v>
      </c>
      <c r="B15" s="113" t="s">
        <v>393</v>
      </c>
      <c r="C15" s="3">
        <v>44650</v>
      </c>
      <c r="D15" s="2"/>
      <c r="E15" s="113" t="s">
        <v>401</v>
      </c>
      <c r="F15" s="114" t="s">
        <v>402</v>
      </c>
      <c r="G15" s="103">
        <v>210250</v>
      </c>
      <c r="H15" s="178">
        <v>2900</v>
      </c>
      <c r="I15" s="291">
        <v>72.5</v>
      </c>
      <c r="J15" s="177"/>
    </row>
    <row r="16" spans="1:10" ht="25.05" customHeight="1" x14ac:dyDescent="0.3">
      <c r="A16" s="83">
        <v>103</v>
      </c>
      <c r="B16" s="113" t="s">
        <v>413</v>
      </c>
      <c r="C16" s="3">
        <v>44651</v>
      </c>
      <c r="D16" s="2" t="s">
        <v>410</v>
      </c>
      <c r="E16" s="113" t="s">
        <v>343</v>
      </c>
      <c r="F16" s="114" t="s">
        <v>411</v>
      </c>
      <c r="G16" s="103">
        <v>1033125.725</v>
      </c>
      <c r="H16" s="178">
        <v>14250.01</v>
      </c>
      <c r="I16" s="291">
        <v>72.5</v>
      </c>
      <c r="J16" s="177"/>
    </row>
    <row r="17" spans="1:10" ht="25.05" customHeight="1" x14ac:dyDescent="0.3">
      <c r="A17" s="83">
        <v>106</v>
      </c>
      <c r="B17" s="113" t="s">
        <v>425</v>
      </c>
      <c r="C17" s="3">
        <v>44656</v>
      </c>
      <c r="D17" s="2" t="s">
        <v>417</v>
      </c>
      <c r="E17" s="113" t="s">
        <v>6</v>
      </c>
      <c r="F17" s="114" t="s">
        <v>418</v>
      </c>
      <c r="G17" s="103">
        <v>150118.5</v>
      </c>
      <c r="H17" s="178">
        <v>2070.6</v>
      </c>
      <c r="I17" s="291">
        <v>72.5</v>
      </c>
      <c r="J17" s="177"/>
    </row>
    <row r="18" spans="1:10" ht="25.05" customHeight="1" x14ac:dyDescent="0.3">
      <c r="A18" s="83">
        <v>108</v>
      </c>
      <c r="B18" s="113" t="s">
        <v>427</v>
      </c>
      <c r="C18" s="3">
        <v>44656</v>
      </c>
      <c r="D18" s="2" t="s">
        <v>421</v>
      </c>
      <c r="E18" s="113" t="s">
        <v>4</v>
      </c>
      <c r="F18" s="114" t="s">
        <v>420</v>
      </c>
      <c r="G18" s="103">
        <v>108750</v>
      </c>
      <c r="H18" s="178">
        <v>1500</v>
      </c>
      <c r="I18" s="291">
        <v>72.5</v>
      </c>
      <c r="J18" s="177"/>
    </row>
    <row r="19" spans="1:10" ht="25.05" customHeight="1" x14ac:dyDescent="0.3">
      <c r="A19" s="83">
        <v>111</v>
      </c>
      <c r="B19" s="113" t="s">
        <v>430</v>
      </c>
      <c r="C19" s="3">
        <v>44648</v>
      </c>
      <c r="D19" s="2">
        <v>512058</v>
      </c>
      <c r="E19" s="113" t="s">
        <v>383</v>
      </c>
      <c r="F19" s="114" t="s">
        <v>368</v>
      </c>
      <c r="G19" s="103">
        <v>18126.45</v>
      </c>
      <c r="H19" s="178">
        <v>250.02</v>
      </c>
      <c r="I19" s="291">
        <v>72.5</v>
      </c>
      <c r="J19" s="177"/>
    </row>
    <row r="20" spans="1:10" ht="25.05" customHeight="1" x14ac:dyDescent="0.3">
      <c r="A20" s="83">
        <v>114</v>
      </c>
      <c r="B20" s="113" t="s">
        <v>444</v>
      </c>
      <c r="C20" s="3">
        <v>44671</v>
      </c>
      <c r="D20" s="2" t="s">
        <v>443</v>
      </c>
      <c r="E20" s="113" t="s">
        <v>401</v>
      </c>
      <c r="F20" s="114" t="s">
        <v>442</v>
      </c>
      <c r="G20" s="103">
        <v>1087500</v>
      </c>
      <c r="H20" s="178">
        <v>14500</v>
      </c>
      <c r="I20" s="291">
        <v>75</v>
      </c>
      <c r="J20" s="177"/>
    </row>
    <row r="21" spans="1:10" ht="25.05" customHeight="1" x14ac:dyDescent="0.3">
      <c r="A21" s="83">
        <v>122</v>
      </c>
      <c r="B21" s="113" t="s">
        <v>451</v>
      </c>
      <c r="C21" s="3">
        <v>44683</v>
      </c>
      <c r="D21" s="2">
        <v>4600011472</v>
      </c>
      <c r="E21" s="113" t="s">
        <v>3</v>
      </c>
      <c r="F21" s="114" t="s">
        <v>463</v>
      </c>
      <c r="G21" s="103">
        <v>71050</v>
      </c>
      <c r="H21" s="178">
        <v>980</v>
      </c>
      <c r="I21" s="291">
        <v>72.5</v>
      </c>
      <c r="J21" s="177"/>
    </row>
    <row r="22" spans="1:10" ht="25.05" customHeight="1" x14ac:dyDescent="0.3">
      <c r="A22" s="83">
        <v>126</v>
      </c>
      <c r="B22" s="113" t="s">
        <v>467</v>
      </c>
      <c r="C22" s="3">
        <v>44686</v>
      </c>
      <c r="D22" s="2">
        <v>22036</v>
      </c>
      <c r="E22" s="113" t="s">
        <v>6</v>
      </c>
      <c r="F22" s="114" t="s">
        <v>470</v>
      </c>
      <c r="G22" s="103">
        <v>12538045.75</v>
      </c>
      <c r="H22" s="178">
        <v>170007.4</v>
      </c>
      <c r="I22" s="291">
        <v>73.75</v>
      </c>
      <c r="J22" s="177"/>
    </row>
    <row r="23" spans="1:10" ht="25.05" customHeight="1" x14ac:dyDescent="0.3">
      <c r="A23" s="83">
        <v>142</v>
      </c>
      <c r="B23" s="113" t="s">
        <v>503</v>
      </c>
      <c r="C23" s="3">
        <v>44711</v>
      </c>
      <c r="D23" s="2">
        <v>22043</v>
      </c>
      <c r="E23" s="113" t="s">
        <v>6</v>
      </c>
      <c r="F23" s="114" t="s">
        <v>506</v>
      </c>
      <c r="G23" s="103">
        <v>2679925.395</v>
      </c>
      <c r="H23" s="178">
        <v>36461.57</v>
      </c>
      <c r="I23" s="291">
        <v>73.5</v>
      </c>
      <c r="J23" s="177"/>
    </row>
  </sheetData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D12E-6046-48C4-9A04-8BF41BF5FC7E}">
  <dimension ref="A1:I7"/>
  <sheetViews>
    <sheetView view="pageBreakPreview" zoomScale="85" zoomScaleNormal="100" zoomScaleSheetLayoutView="85" workbookViewId="0">
      <selection activeCell="D6" sqref="D6"/>
    </sheetView>
  </sheetViews>
  <sheetFormatPr defaultColWidth="20.77734375" defaultRowHeight="14.4" x14ac:dyDescent="0.3"/>
  <cols>
    <col min="1" max="1" width="6.44140625" customWidth="1"/>
    <col min="2" max="2" width="13" customWidth="1"/>
    <col min="3" max="3" width="22.77734375" customWidth="1"/>
    <col min="4" max="4" width="25.77734375" customWidth="1"/>
    <col min="5" max="5" width="30.44140625" customWidth="1"/>
    <col min="6" max="6" width="40.21875" customWidth="1"/>
  </cols>
  <sheetData>
    <row r="1" spans="1:9" ht="28.8" x14ac:dyDescent="0.3">
      <c r="A1" s="1" t="s">
        <v>1</v>
      </c>
      <c r="B1" s="1" t="s">
        <v>10</v>
      </c>
      <c r="C1" s="1" t="s">
        <v>12</v>
      </c>
      <c r="D1" s="1" t="s">
        <v>13</v>
      </c>
      <c r="E1" s="1" t="s">
        <v>11</v>
      </c>
      <c r="F1" s="279" t="s">
        <v>14</v>
      </c>
      <c r="G1" s="279" t="s">
        <v>513</v>
      </c>
      <c r="H1" s="274" t="s">
        <v>514</v>
      </c>
      <c r="I1" s="274"/>
    </row>
    <row r="2" spans="1:9" ht="63" customHeight="1" x14ac:dyDescent="0.3">
      <c r="A2" s="55">
        <v>17</v>
      </c>
      <c r="B2" s="13" t="s">
        <v>130</v>
      </c>
      <c r="C2" s="19" t="s">
        <v>131</v>
      </c>
      <c r="D2" s="13" t="s">
        <v>9</v>
      </c>
      <c r="E2" s="13" t="s">
        <v>132</v>
      </c>
      <c r="F2" s="32">
        <v>532800</v>
      </c>
      <c r="G2" s="178">
        <v>7400</v>
      </c>
      <c r="H2" s="289">
        <v>72</v>
      </c>
      <c r="I2" s="289"/>
    </row>
    <row r="3" spans="1:9" ht="25.05" customHeight="1" x14ac:dyDescent="0.3">
      <c r="A3" s="55">
        <v>19</v>
      </c>
      <c r="B3" s="55" t="s">
        <v>136</v>
      </c>
      <c r="C3" s="56">
        <v>4503677504</v>
      </c>
      <c r="D3" s="55" t="s">
        <v>137</v>
      </c>
      <c r="E3" s="55" t="s">
        <v>138</v>
      </c>
      <c r="F3" s="32">
        <v>4615481.95</v>
      </c>
      <c r="G3" s="281">
        <v>63661.82</v>
      </c>
      <c r="H3" s="289">
        <v>72.5</v>
      </c>
      <c r="I3" s="289"/>
    </row>
    <row r="4" spans="1:9" ht="25.05" customHeight="1" x14ac:dyDescent="0.3">
      <c r="A4" s="55">
        <v>21</v>
      </c>
      <c r="B4" s="13" t="s">
        <v>141</v>
      </c>
      <c r="C4" s="19"/>
      <c r="D4" s="14" t="s">
        <v>142</v>
      </c>
      <c r="E4" s="16" t="s">
        <v>143</v>
      </c>
      <c r="F4" s="32">
        <v>64800</v>
      </c>
      <c r="G4" s="281">
        <v>900</v>
      </c>
      <c r="H4" s="289">
        <v>72</v>
      </c>
      <c r="I4" s="289"/>
    </row>
    <row r="5" spans="1:9" ht="25.05" customHeight="1" x14ac:dyDescent="0.3">
      <c r="A5" s="55">
        <v>33</v>
      </c>
      <c r="B5" s="21" t="s">
        <v>167</v>
      </c>
      <c r="C5" s="19">
        <v>857483</v>
      </c>
      <c r="D5" s="13"/>
      <c r="E5" s="16" t="s">
        <v>168</v>
      </c>
      <c r="F5" s="34">
        <v>18126</v>
      </c>
      <c r="G5" s="281">
        <v>251.75</v>
      </c>
      <c r="H5" s="290">
        <v>72</v>
      </c>
      <c r="I5" s="290"/>
    </row>
    <row r="6" spans="1:9" ht="25.05" customHeight="1" x14ac:dyDescent="0.3">
      <c r="A6" s="13">
        <v>36</v>
      </c>
      <c r="B6" s="21" t="s">
        <v>176</v>
      </c>
      <c r="C6" s="19">
        <v>4503700187</v>
      </c>
      <c r="D6" s="13"/>
      <c r="E6" s="16" t="s">
        <v>177</v>
      </c>
      <c r="F6" s="34">
        <v>2949065.8250000002</v>
      </c>
      <c r="G6" s="281">
        <v>40676.770000000004</v>
      </c>
      <c r="H6" s="290">
        <v>72.5</v>
      </c>
      <c r="I6" s="290"/>
    </row>
    <row r="7" spans="1:9" ht="25.05" customHeight="1" x14ac:dyDescent="0.3">
      <c r="A7" s="55">
        <v>51</v>
      </c>
      <c r="B7" s="21" t="s">
        <v>212</v>
      </c>
      <c r="C7" s="19">
        <v>4503709762</v>
      </c>
      <c r="D7" s="17"/>
      <c r="E7" s="16" t="s">
        <v>213</v>
      </c>
      <c r="F7" s="34">
        <v>188238.24</v>
      </c>
      <c r="G7" s="281">
        <v>2614.42</v>
      </c>
      <c r="H7" s="290">
        <v>72</v>
      </c>
      <c r="I7" s="290"/>
    </row>
  </sheetData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PO Register 2021</vt:lpstr>
      <vt:lpstr>PO Register 2022</vt:lpstr>
      <vt:lpstr>2022</vt:lpstr>
      <vt:lpstr>2021</vt:lpstr>
      <vt:lpstr>'2021'!Print_Area</vt:lpstr>
      <vt:lpstr>'2022'!Print_Area</vt:lpstr>
      <vt:lpstr>'PO Register 2021'!Print_Area</vt:lpstr>
      <vt:lpstr>'PO Register 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Mohana Priya Lakshmanan</cp:lastModifiedBy>
  <cp:lastPrinted>2022-06-06T09:51:22Z</cp:lastPrinted>
  <dcterms:created xsi:type="dcterms:W3CDTF">2021-01-04T08:35:51Z</dcterms:created>
  <dcterms:modified xsi:type="dcterms:W3CDTF">2022-06-22T04:55:14Z</dcterms:modified>
</cp:coreProperties>
</file>