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OneDrive - ELGi Equipments Ltd\Desktop\"/>
    </mc:Choice>
  </mc:AlternateContent>
  <xr:revisionPtr revIDLastSave="0" documentId="13_ncr:1_{5A90FC7D-926E-474D-9ACA-D55FAFD1A1B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" r:id="rId1"/>
    <sheet name="Ex-1" sheetId="2" r:id="rId2"/>
    <sheet name="Ex 2" sheetId="3" r:id="rId3"/>
    <sheet name="Ex-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D4" i="4"/>
  <c r="C5" i="4"/>
  <c r="C4" i="4"/>
  <c r="C3" i="4"/>
  <c r="D5" i="4"/>
  <c r="B16" i="3"/>
  <c r="B15" i="3"/>
  <c r="B14" i="3"/>
  <c r="B13" i="3"/>
  <c r="B12" i="3"/>
  <c r="B11" i="3"/>
  <c r="B10" i="3"/>
  <c r="C12" i="2"/>
  <c r="E5" i="2" a="1"/>
  <c r="E5" i="2" s="1"/>
  <c r="E4" i="2" a="1"/>
  <c r="E4" i="2" s="1"/>
  <c r="E3" i="2" a="1"/>
  <c r="E3" i="2" s="1"/>
  <c r="E2" i="2" a="1"/>
  <c r="E2" i="2" s="1"/>
  <c r="D5" i="2"/>
  <c r="D4" i="2"/>
  <c r="D3" i="2"/>
  <c r="D2" i="2"/>
  <c r="C11" i="2"/>
  <c r="C9" i="2"/>
  <c r="C8" i="2"/>
  <c r="M2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J29" i="1" a="1"/>
  <c r="J29" i="1" s="1"/>
  <c r="I29" i="1"/>
  <c r="H29" i="1"/>
  <c r="G29" i="1"/>
  <c r="J28" i="1" a="1"/>
  <c r="J28" i="1" s="1"/>
  <c r="I28" i="1"/>
  <c r="H28" i="1"/>
  <c r="G28" i="1"/>
  <c r="J27" i="1" a="1"/>
  <c r="J27" i="1" s="1"/>
  <c r="I27" i="1"/>
  <c r="H27" i="1"/>
  <c r="G27" i="1"/>
  <c r="J26" i="1" a="1"/>
  <c r="J26" i="1" s="1"/>
  <c r="I26" i="1"/>
  <c r="H26" i="1"/>
  <c r="G26" i="1"/>
  <c r="J25" i="1" a="1"/>
  <c r="J25" i="1" s="1"/>
  <c r="I25" i="1"/>
  <c r="H25" i="1"/>
  <c r="G25" i="1"/>
  <c r="J24" i="1" a="1"/>
  <c r="J24" i="1" s="1"/>
  <c r="I24" i="1"/>
  <c r="H24" i="1"/>
  <c r="G24" i="1"/>
  <c r="J23" i="1"/>
  <c r="J23" i="1" a="1"/>
  <c r="I23" i="1"/>
  <c r="H23" i="1"/>
  <c r="G23" i="1"/>
  <c r="J22" i="1" a="1"/>
  <c r="J22" i="1" s="1"/>
  <c r="I22" i="1"/>
  <c r="H22" i="1"/>
  <c r="G22" i="1"/>
  <c r="J21" i="1"/>
  <c r="J21" i="1" a="1"/>
  <c r="I21" i="1"/>
  <c r="H21" i="1"/>
  <c r="G21" i="1"/>
  <c r="J20" i="1" a="1"/>
  <c r="J20" i="1" s="1"/>
  <c r="I20" i="1"/>
  <c r="H20" i="1"/>
  <c r="G20" i="1"/>
  <c r="J19" i="1"/>
  <c r="J19" i="1" a="1"/>
  <c r="I19" i="1"/>
  <c r="H19" i="1"/>
  <c r="G19" i="1"/>
  <c r="J18" i="1" a="1"/>
  <c r="J18" i="1" s="1"/>
  <c r="I18" i="1"/>
  <c r="H18" i="1"/>
  <c r="G18" i="1"/>
  <c r="J17" i="1" a="1"/>
  <c r="J17" i="1" s="1"/>
  <c r="I17" i="1"/>
  <c r="H17" i="1"/>
  <c r="G17" i="1"/>
  <c r="J16" i="1" a="1"/>
  <c r="J16" i="1" s="1"/>
  <c r="I16" i="1"/>
  <c r="H16" i="1"/>
  <c r="G16" i="1"/>
  <c r="J15" i="1" a="1"/>
  <c r="J15" i="1" s="1"/>
  <c r="I15" i="1"/>
  <c r="H15" i="1"/>
  <c r="G15" i="1"/>
  <c r="J14" i="1" a="1"/>
  <c r="J14" i="1" s="1"/>
  <c r="I14" i="1"/>
  <c r="H14" i="1"/>
  <c r="G14" i="1"/>
  <c r="J13" i="1" a="1"/>
  <c r="J13" i="1" s="1"/>
  <c r="I13" i="1"/>
  <c r="H13" i="1"/>
  <c r="G13" i="1"/>
  <c r="J12" i="1" a="1"/>
  <c r="J12" i="1" s="1"/>
  <c r="I12" i="1"/>
  <c r="H12" i="1"/>
  <c r="G12" i="1"/>
  <c r="J11" i="1" a="1"/>
  <c r="J11" i="1" s="1"/>
  <c r="I11" i="1"/>
  <c r="H11" i="1"/>
  <c r="G11" i="1"/>
  <c r="J10" i="1" a="1"/>
  <c r="J10" i="1" s="1"/>
  <c r="I10" i="1"/>
  <c r="H10" i="1"/>
  <c r="G10" i="1"/>
  <c r="J9" i="1" a="1"/>
  <c r="J9" i="1" s="1"/>
  <c r="I9" i="1"/>
  <c r="H9" i="1"/>
  <c r="G9" i="1"/>
  <c r="J8" i="1" a="1"/>
  <c r="J8" i="1" s="1"/>
  <c r="J7" i="1" a="1"/>
  <c r="J7" i="1" s="1"/>
  <c r="J6" i="1" a="1"/>
  <c r="J6" i="1" s="1"/>
  <c r="J4" i="1" a="1"/>
  <c r="J4" i="1" s="1"/>
  <c r="J3" i="1" a="1"/>
  <c r="J3" i="1" s="1"/>
  <c r="J2" i="1" a="1"/>
  <c r="J2" i="1" s="1"/>
  <c r="J5" i="1" a="1"/>
  <c r="J5" i="1" s="1"/>
  <c r="I8" i="1"/>
  <c r="I7" i="1"/>
  <c r="I6" i="1"/>
  <c r="I5" i="1"/>
  <c r="I4" i="1"/>
  <c r="I3" i="1"/>
  <c r="I2" i="1"/>
  <c r="H5" i="1"/>
  <c r="H4" i="1"/>
  <c r="H3" i="1"/>
  <c r="H6" i="1"/>
  <c r="H7" i="1"/>
  <c r="H8" i="1"/>
  <c r="G8" i="1"/>
  <c r="G7" i="1"/>
  <c r="G6" i="1"/>
  <c r="G5" i="1"/>
  <c r="G3" i="1"/>
  <c r="G4" i="1"/>
  <c r="G2" i="1"/>
  <c r="H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<sst xmlns="http://schemas.openxmlformats.org/spreadsheetml/2006/main" count="118" uniqueCount="49">
  <si>
    <t>Order ID</t>
  </si>
  <si>
    <t>Product</t>
  </si>
  <si>
    <t>Qty</t>
  </si>
  <si>
    <t>Total Price</t>
  </si>
  <si>
    <t>Unit Price</t>
  </si>
  <si>
    <t>Apple</t>
  </si>
  <si>
    <t>Oppo</t>
  </si>
  <si>
    <t>Nokia</t>
  </si>
  <si>
    <t>lava</t>
  </si>
  <si>
    <t>Trim</t>
  </si>
  <si>
    <t>Sam sung</t>
  </si>
  <si>
    <t>Micro max</t>
  </si>
  <si>
    <t>Price Range</t>
  </si>
  <si>
    <t>Depart</t>
  </si>
  <si>
    <t>Region</t>
  </si>
  <si>
    <t>Sales</t>
  </si>
  <si>
    <t>Admin</t>
  </si>
  <si>
    <t>Accounts</t>
  </si>
  <si>
    <t>HR</t>
  </si>
  <si>
    <t>Purchase</t>
  </si>
  <si>
    <t>Projects</t>
  </si>
  <si>
    <t>Procurement</t>
  </si>
  <si>
    <t>East</t>
  </si>
  <si>
    <t>West</t>
  </si>
  <si>
    <t>South</t>
  </si>
  <si>
    <t>North</t>
  </si>
  <si>
    <t>AND</t>
  </si>
  <si>
    <t>OR</t>
  </si>
  <si>
    <t>Q1</t>
  </si>
  <si>
    <t>Q2</t>
  </si>
  <si>
    <t>Q3</t>
  </si>
  <si>
    <t>Q4</t>
  </si>
  <si>
    <t>Salesin $ Million</t>
  </si>
  <si>
    <t>Name</t>
  </si>
  <si>
    <t>English</t>
  </si>
  <si>
    <t>Hindi</t>
  </si>
  <si>
    <t>Raju</t>
  </si>
  <si>
    <t>Ram</t>
  </si>
  <si>
    <t>Joey</t>
  </si>
  <si>
    <t>Rachel</t>
  </si>
  <si>
    <t>Ross</t>
  </si>
  <si>
    <t>Chandler</t>
  </si>
  <si>
    <t>If</t>
  </si>
  <si>
    <t>Sum Ifs</t>
  </si>
  <si>
    <t>Count</t>
  </si>
  <si>
    <t>Count if</t>
  </si>
  <si>
    <t>Count ifs</t>
  </si>
  <si>
    <t>AVG</t>
  </si>
  <si>
    <t>avgifs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</si>
</sst>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opLeftCell="B1" workbookViewId="0">
      <selection activeCell="M1" sqref="M1"/>
    </sheetView>
  </sheetViews>
  <sheetFormatPr defaultRowHeight="15" x14ac:dyDescent="0.25"/>
  <cols>
    <col min="8" max="8" width="13" customWidth="1"/>
    <col min="9" max="9" width="11.28515625" bestFit="1" customWidth="1"/>
    <col min="13" max="13" width="10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4</v>
      </c>
      <c r="G1" t="s">
        <v>3</v>
      </c>
      <c r="H1" t="s">
        <v>9</v>
      </c>
      <c r="I1" t="s">
        <v>12</v>
      </c>
      <c r="K1" t="s">
        <v>26</v>
      </c>
      <c r="L1" t="s">
        <v>27</v>
      </c>
    </row>
    <row r="2" spans="1:20" x14ac:dyDescent="0.25">
      <c r="A2">
        <v>10247</v>
      </c>
      <c r="B2" t="s">
        <v>5</v>
      </c>
      <c r="C2">
        <v>43</v>
      </c>
      <c r="D2" t="s">
        <v>15</v>
      </c>
      <c r="E2" t="s">
        <v>22</v>
      </c>
      <c r="F2">
        <v>20000</v>
      </c>
      <c r="G2">
        <f>F2*C2</f>
        <v>860000</v>
      </c>
      <c r="H2" t="str">
        <f>TRIM(B2)</f>
        <v>Apple</v>
      </c>
      <c r="I2" t="str">
        <f>IF(F2&lt;35000,"Cheap","Costly")</f>
        <v>Cheap</v>
      </c>
      <c r="J2" t="str" cm="1">
        <f t="array" ref="J2">_xlfn.IFS(F2&lt;15000,"&lt;15k",F2&lt;25000,"15-25",F2&lt;35000,"25-35",F2&lt;=45000,"35-45",F2&gt;45000,"&gt;45k")</f>
        <v>15-25</v>
      </c>
      <c r="K2" t="b">
        <f>AND(D2="Sales",E2="South")</f>
        <v>0</v>
      </c>
      <c r="L2" t="b">
        <f>OR(D2="Sales",E2="South")</f>
        <v>1</v>
      </c>
      <c r="M2" s="1">
        <f ca="1">TODAY()</f>
        <v>45235</v>
      </c>
      <c r="R2" t="s">
        <v>26</v>
      </c>
    </row>
    <row r="3" spans="1:20" x14ac:dyDescent="0.25">
      <c r="A3">
        <v>10249</v>
      </c>
      <c r="B3" t="s">
        <v>6</v>
      </c>
      <c r="C3">
        <v>87</v>
      </c>
      <c r="D3" t="s">
        <v>16</v>
      </c>
      <c r="E3" t="s">
        <v>23</v>
      </c>
      <c r="F3">
        <v>40000</v>
      </c>
      <c r="G3">
        <f>F3*C3</f>
        <v>3480000</v>
      </c>
      <c r="H3" t="str">
        <f t="shared" ref="H3:H8" si="0">TRIM(B3)</f>
        <v>Oppo</v>
      </c>
      <c r="I3" t="str">
        <f t="shared" ref="I3:I8" si="1">IF(F3&lt;35000,"Cheap","Costly")</f>
        <v>Costly</v>
      </c>
      <c r="J3" t="str" cm="1">
        <f t="array" ref="J3">_xlfn.IFS(F3&lt;15000,"&lt;15k",F3&lt;25000,"15-25",F3&lt;35000,"25-35",F3&lt;=45000,"35-45",F3&gt;45000,"&gt;45k")</f>
        <v>35-45</v>
      </c>
      <c r="K3" t="b">
        <f t="shared" ref="K3:K29" si="2">AND(D3="Sales",E3="South")</f>
        <v>0</v>
      </c>
      <c r="L3" t="b">
        <f t="shared" ref="L3:L29" si="3">OR(D3="Sales",E3="South")</f>
        <v>0</v>
      </c>
      <c r="R3">
        <v>0</v>
      </c>
      <c r="S3">
        <v>0</v>
      </c>
      <c r="T3">
        <v>0</v>
      </c>
    </row>
    <row r="4" spans="1:20" x14ac:dyDescent="0.25">
      <c r="A4">
        <v>10248</v>
      </c>
      <c r="B4" t="s">
        <v>10</v>
      </c>
      <c r="C4">
        <v>55</v>
      </c>
      <c r="D4" t="s">
        <v>17</v>
      </c>
      <c r="E4" t="s">
        <v>24</v>
      </c>
      <c r="F4">
        <v>30000</v>
      </c>
      <c r="G4">
        <f t="shared" ref="G4:G7" si="4">F4*C4</f>
        <v>1650000</v>
      </c>
      <c r="H4" t="str">
        <f t="shared" si="0"/>
        <v>Sam sung</v>
      </c>
      <c r="I4" t="str">
        <f t="shared" si="1"/>
        <v>Cheap</v>
      </c>
      <c r="J4" t="str" cm="1">
        <f t="array" ref="J4">_xlfn.IFS(F4&lt;15000,"&lt;15k",F4&lt;25000,"15-25",F4&lt;35000,"25-35",F4&lt;=45000,"35-45",F4&gt;45000,"&gt;45k")</f>
        <v>25-35</v>
      </c>
      <c r="K4" t="b">
        <f t="shared" si="2"/>
        <v>0</v>
      </c>
      <c r="L4" t="b">
        <f t="shared" si="3"/>
        <v>1</v>
      </c>
      <c r="R4">
        <v>0</v>
      </c>
      <c r="S4">
        <v>1</v>
      </c>
      <c r="T4">
        <v>0</v>
      </c>
    </row>
    <row r="5" spans="1:20" x14ac:dyDescent="0.25">
      <c r="A5">
        <v>24567</v>
      </c>
      <c r="B5" t="s">
        <v>11</v>
      </c>
      <c r="C5">
        <v>65</v>
      </c>
      <c r="D5" t="s">
        <v>18</v>
      </c>
      <c r="E5" t="s">
        <v>25</v>
      </c>
      <c r="F5">
        <v>45000</v>
      </c>
      <c r="G5">
        <f t="shared" si="4"/>
        <v>2925000</v>
      </c>
      <c r="H5" t="str">
        <f t="shared" si="0"/>
        <v>Micro max</v>
      </c>
      <c r="I5" t="str">
        <f t="shared" si="1"/>
        <v>Costly</v>
      </c>
      <c r="J5" t="str" cm="1">
        <f t="array" ref="J5">_xlfn.IFS(F5&lt;15000,"&lt;15k",F5&lt;25000,"15-25",F5&lt;35000,"25-35",F5&lt;=45000,"35-45",F5&gt;45000,"&gt;45k")</f>
        <v>35-45</v>
      </c>
      <c r="K5" t="b">
        <f t="shared" si="2"/>
        <v>0</v>
      </c>
      <c r="L5" t="b">
        <f t="shared" si="3"/>
        <v>0</v>
      </c>
      <c r="R5">
        <v>1</v>
      </c>
      <c r="S5">
        <v>0</v>
      </c>
      <c r="T5">
        <v>0</v>
      </c>
    </row>
    <row r="6" spans="1:20" x14ac:dyDescent="0.25">
      <c r="A6">
        <v>34567</v>
      </c>
      <c r="B6" t="s">
        <v>7</v>
      </c>
      <c r="C6">
        <v>67</v>
      </c>
      <c r="D6" t="s">
        <v>19</v>
      </c>
      <c r="E6" t="s">
        <v>23</v>
      </c>
      <c r="F6">
        <v>65000</v>
      </c>
      <c r="G6">
        <f t="shared" si="4"/>
        <v>4355000</v>
      </c>
      <c r="H6" t="str">
        <f t="shared" si="0"/>
        <v>Nokia</v>
      </c>
      <c r="I6" t="str">
        <f t="shared" si="1"/>
        <v>Costly</v>
      </c>
      <c r="J6" t="str" cm="1">
        <f t="array" ref="J6">_xlfn.IFS(F6&lt;15000,"&lt;15k",F6&lt;25000,"15-25",F6&lt;35000,"25-35",F6&lt;=45000,"35-45",F6&gt;45000,"&gt;45k")</f>
        <v>&gt;45k</v>
      </c>
      <c r="K6" t="b">
        <f t="shared" si="2"/>
        <v>0</v>
      </c>
      <c r="L6" t="b">
        <f t="shared" si="3"/>
        <v>0</v>
      </c>
      <c r="R6">
        <v>1</v>
      </c>
      <c r="S6">
        <v>1</v>
      </c>
      <c r="T6">
        <v>1</v>
      </c>
    </row>
    <row r="7" spans="1:20" x14ac:dyDescent="0.25">
      <c r="A7">
        <v>444553</v>
      </c>
      <c r="B7" t="s">
        <v>8</v>
      </c>
      <c r="C7">
        <v>87</v>
      </c>
      <c r="D7" t="s">
        <v>20</v>
      </c>
      <c r="E7" t="s">
        <v>24</v>
      </c>
      <c r="F7">
        <v>34200</v>
      </c>
      <c r="G7">
        <f t="shared" si="4"/>
        <v>2975400</v>
      </c>
      <c r="H7" t="str">
        <f t="shared" si="0"/>
        <v>lava</v>
      </c>
      <c r="I7" t="str">
        <f t="shared" si="1"/>
        <v>Cheap</v>
      </c>
      <c r="J7" t="str" cm="1">
        <f t="array" ref="J7">_xlfn.IFS(F7&lt;15000,"&lt;15k",F7&lt;25000,"15-25",F7&lt;35000,"25-35",F7&lt;=45000,"35-45",F7&gt;45000,"&gt;45k")</f>
        <v>25-35</v>
      </c>
      <c r="K7" t="b">
        <f t="shared" si="2"/>
        <v>0</v>
      </c>
      <c r="L7" t="b">
        <f t="shared" si="3"/>
        <v>1</v>
      </c>
    </row>
    <row r="8" spans="1:20" x14ac:dyDescent="0.25">
      <c r="A8">
        <v>10249</v>
      </c>
      <c r="B8" t="s">
        <v>6</v>
      </c>
      <c r="C8">
        <v>87</v>
      </c>
      <c r="D8" t="s">
        <v>21</v>
      </c>
      <c r="E8" t="s">
        <v>25</v>
      </c>
      <c r="F8">
        <v>65000</v>
      </c>
      <c r="G8">
        <f>F8*C8</f>
        <v>5655000</v>
      </c>
      <c r="H8" t="str">
        <f t="shared" si="0"/>
        <v>Oppo</v>
      </c>
      <c r="I8" t="str">
        <f t="shared" si="1"/>
        <v>Costly</v>
      </c>
      <c r="J8" t="str" cm="1">
        <f t="array" ref="J8">_xlfn.IFS(F8&lt;15000,"&lt;15k",F8&lt;25000,"15-25",F8&lt;35000,"25-35",F8&lt;=45000,"35-45",F8&gt;45000,"&gt;45k")</f>
        <v>&gt;45k</v>
      </c>
      <c r="K8" t="b">
        <f t="shared" si="2"/>
        <v>0</v>
      </c>
      <c r="L8" t="b">
        <f t="shared" si="3"/>
        <v>0</v>
      </c>
      <c r="R8" t="s">
        <v>27</v>
      </c>
    </row>
    <row r="9" spans="1:20" x14ac:dyDescent="0.25">
      <c r="A9">
        <v>10247</v>
      </c>
      <c r="B9" t="s">
        <v>5</v>
      </c>
      <c r="C9">
        <v>43</v>
      </c>
      <c r="D9" t="s">
        <v>15</v>
      </c>
      <c r="E9" t="s">
        <v>22</v>
      </c>
      <c r="F9">
        <v>20000</v>
      </c>
      <c r="G9">
        <f>F9*C9</f>
        <v>860000</v>
      </c>
      <c r="H9" t="str">
        <f>TRIM(B9)</f>
        <v>Apple</v>
      </c>
      <c r="I9" t="str">
        <f>IF(F9&lt;35000,"Cheap","Costly")</f>
        <v>Cheap</v>
      </c>
      <c r="J9" t="str" cm="1">
        <f t="array" ref="J9">_xlfn.IFS(F9&lt;15000,"&lt;15k",F9&lt;25000,"15-25",F9&lt;35000,"25-35",F9&lt;=45000,"35-45",F9&gt;45000,"&gt;45k")</f>
        <v>15-25</v>
      </c>
      <c r="K9" t="b">
        <f t="shared" si="2"/>
        <v>0</v>
      </c>
      <c r="L9" t="b">
        <f t="shared" si="3"/>
        <v>1</v>
      </c>
    </row>
    <row r="10" spans="1:20" x14ac:dyDescent="0.25">
      <c r="A10">
        <v>10249</v>
      </c>
      <c r="B10" t="s">
        <v>6</v>
      </c>
      <c r="C10">
        <v>87</v>
      </c>
      <c r="D10" t="s">
        <v>16</v>
      </c>
      <c r="E10" t="s">
        <v>23</v>
      </c>
      <c r="F10">
        <v>40000</v>
      </c>
      <c r="G10">
        <f>F10*C10</f>
        <v>3480000</v>
      </c>
      <c r="H10" t="str">
        <f t="shared" ref="H10:H15" si="5">TRIM(B10)</f>
        <v>Oppo</v>
      </c>
      <c r="I10" t="str">
        <f t="shared" ref="I10:I15" si="6">IF(F10&lt;35000,"Cheap","Costly")</f>
        <v>Costly</v>
      </c>
      <c r="J10" t="str" cm="1">
        <f t="array" ref="J10">_xlfn.IFS(F10&lt;15000,"&lt;15k",F10&lt;25000,"15-25",F10&lt;35000,"25-35",F10&lt;=45000,"35-45",F10&gt;45000,"&gt;45k")</f>
        <v>35-45</v>
      </c>
      <c r="K10" t="b">
        <f t="shared" si="2"/>
        <v>0</v>
      </c>
      <c r="L10" t="b">
        <f t="shared" si="3"/>
        <v>0</v>
      </c>
      <c r="R10">
        <v>0</v>
      </c>
      <c r="S10">
        <v>0</v>
      </c>
      <c r="T10">
        <v>0</v>
      </c>
    </row>
    <row r="11" spans="1:20" x14ac:dyDescent="0.25">
      <c r="A11">
        <v>10248</v>
      </c>
      <c r="B11" t="s">
        <v>10</v>
      </c>
      <c r="C11">
        <v>55</v>
      </c>
      <c r="D11" t="s">
        <v>17</v>
      </c>
      <c r="E11" t="s">
        <v>24</v>
      </c>
      <c r="F11">
        <v>30000</v>
      </c>
      <c r="G11">
        <f t="shared" ref="G11:G14" si="7">F11*C11</f>
        <v>1650000</v>
      </c>
      <c r="H11" t="str">
        <f t="shared" si="5"/>
        <v>Sam sung</v>
      </c>
      <c r="I11" t="str">
        <f t="shared" si="6"/>
        <v>Cheap</v>
      </c>
      <c r="J11" t="str" cm="1">
        <f t="array" ref="J11">_xlfn.IFS(F11&lt;15000,"&lt;15k",F11&lt;25000,"15-25",F11&lt;35000,"25-35",F11&lt;=45000,"35-45",F11&gt;45000,"&gt;45k")</f>
        <v>25-35</v>
      </c>
      <c r="K11" t="b">
        <f t="shared" si="2"/>
        <v>0</v>
      </c>
      <c r="L11" t="b">
        <f t="shared" si="3"/>
        <v>1</v>
      </c>
      <c r="R11">
        <v>0</v>
      </c>
      <c r="S11">
        <v>1</v>
      </c>
      <c r="T11">
        <v>1</v>
      </c>
    </row>
    <row r="12" spans="1:20" x14ac:dyDescent="0.25">
      <c r="A12">
        <v>24567</v>
      </c>
      <c r="B12" t="s">
        <v>11</v>
      </c>
      <c r="C12">
        <v>65</v>
      </c>
      <c r="D12" t="s">
        <v>18</v>
      </c>
      <c r="E12" t="s">
        <v>25</v>
      </c>
      <c r="F12">
        <v>45000</v>
      </c>
      <c r="G12">
        <f t="shared" si="7"/>
        <v>2925000</v>
      </c>
      <c r="H12" t="str">
        <f t="shared" si="5"/>
        <v>Micro max</v>
      </c>
      <c r="I12" t="str">
        <f t="shared" si="6"/>
        <v>Costly</v>
      </c>
      <c r="J12" t="str" cm="1">
        <f t="array" ref="J12">_xlfn.IFS(F12&lt;15000,"&lt;15k",F12&lt;25000,"15-25",F12&lt;35000,"25-35",F12&lt;=45000,"35-45",F12&gt;45000,"&gt;45k")</f>
        <v>35-45</v>
      </c>
      <c r="K12" t="b">
        <f t="shared" si="2"/>
        <v>0</v>
      </c>
      <c r="L12" t="b">
        <f t="shared" si="3"/>
        <v>0</v>
      </c>
      <c r="R12">
        <v>1</v>
      </c>
      <c r="S12">
        <v>0</v>
      </c>
      <c r="T12">
        <v>1</v>
      </c>
    </row>
    <row r="13" spans="1:20" x14ac:dyDescent="0.25">
      <c r="A13">
        <v>34567</v>
      </c>
      <c r="B13" t="s">
        <v>7</v>
      </c>
      <c r="C13">
        <v>67</v>
      </c>
      <c r="D13" t="s">
        <v>19</v>
      </c>
      <c r="E13" t="s">
        <v>23</v>
      </c>
      <c r="F13">
        <v>65000</v>
      </c>
      <c r="G13">
        <f t="shared" si="7"/>
        <v>4355000</v>
      </c>
      <c r="H13" t="str">
        <f t="shared" si="5"/>
        <v>Nokia</v>
      </c>
      <c r="I13" t="str">
        <f t="shared" si="6"/>
        <v>Costly</v>
      </c>
      <c r="J13" t="str" cm="1">
        <f t="array" ref="J13">_xlfn.IFS(F13&lt;15000,"&lt;15k",F13&lt;25000,"15-25",F13&lt;35000,"25-35",F13&lt;=45000,"35-45",F13&gt;45000,"&gt;45k")</f>
        <v>&gt;45k</v>
      </c>
      <c r="K13" t="b">
        <f t="shared" si="2"/>
        <v>0</v>
      </c>
      <c r="L13" t="b">
        <f t="shared" si="3"/>
        <v>0</v>
      </c>
      <c r="R13">
        <v>1</v>
      </c>
      <c r="S13">
        <v>1</v>
      </c>
      <c r="T13">
        <v>1</v>
      </c>
    </row>
    <row r="14" spans="1:20" x14ac:dyDescent="0.25">
      <c r="A14">
        <v>444553</v>
      </c>
      <c r="B14" t="s">
        <v>8</v>
      </c>
      <c r="C14">
        <v>87</v>
      </c>
      <c r="D14" t="s">
        <v>20</v>
      </c>
      <c r="E14" t="s">
        <v>24</v>
      </c>
      <c r="F14">
        <v>34200</v>
      </c>
      <c r="G14">
        <f t="shared" si="7"/>
        <v>2975400</v>
      </c>
      <c r="H14" t="str">
        <f t="shared" si="5"/>
        <v>lava</v>
      </c>
      <c r="I14" t="str">
        <f t="shared" si="6"/>
        <v>Cheap</v>
      </c>
      <c r="J14" t="str" cm="1">
        <f t="array" ref="J14">_xlfn.IFS(F14&lt;15000,"&lt;15k",F14&lt;25000,"15-25",F14&lt;35000,"25-35",F14&lt;=45000,"35-45",F14&gt;45000,"&gt;45k")</f>
        <v>25-35</v>
      </c>
      <c r="K14" t="b">
        <f t="shared" si="2"/>
        <v>0</v>
      </c>
      <c r="L14" t="b">
        <f t="shared" si="3"/>
        <v>1</v>
      </c>
    </row>
    <row r="15" spans="1:20" x14ac:dyDescent="0.25">
      <c r="A15">
        <v>10249</v>
      </c>
      <c r="B15" t="s">
        <v>6</v>
      </c>
      <c r="C15">
        <v>87</v>
      </c>
      <c r="D15" t="s">
        <v>21</v>
      </c>
      <c r="E15" t="s">
        <v>25</v>
      </c>
      <c r="F15">
        <v>65000</v>
      </c>
      <c r="G15">
        <f>F15*C15</f>
        <v>5655000</v>
      </c>
      <c r="H15" t="str">
        <f t="shared" si="5"/>
        <v>Oppo</v>
      </c>
      <c r="I15" t="str">
        <f t="shared" si="6"/>
        <v>Costly</v>
      </c>
      <c r="J15" t="str" cm="1">
        <f t="array" ref="J15">_xlfn.IFS(F15&lt;15000,"&lt;15k",F15&lt;25000,"15-25",F15&lt;35000,"25-35",F15&lt;=45000,"35-45",F15&gt;45000,"&gt;45k")</f>
        <v>&gt;45k</v>
      </c>
      <c r="K15" t="b">
        <f t="shared" si="2"/>
        <v>0</v>
      </c>
      <c r="L15" t="b">
        <f t="shared" si="3"/>
        <v>0</v>
      </c>
    </row>
    <row r="16" spans="1:20" x14ac:dyDescent="0.25">
      <c r="A16">
        <v>10247</v>
      </c>
      <c r="B16" t="s">
        <v>5</v>
      </c>
      <c r="C16">
        <v>43</v>
      </c>
      <c r="D16" t="s">
        <v>15</v>
      </c>
      <c r="E16" t="s">
        <v>24</v>
      </c>
      <c r="F16">
        <v>20000</v>
      </c>
      <c r="G16">
        <f>F16*C16</f>
        <v>860000</v>
      </c>
      <c r="H16" t="str">
        <f>TRIM(B16)</f>
        <v>Apple</v>
      </c>
      <c r="I16" t="str">
        <f>IF(F16&lt;35000,"Cheap","Costly")</f>
        <v>Cheap</v>
      </c>
      <c r="J16" t="str" cm="1">
        <f t="array" ref="J16">_xlfn.IFS(F16&lt;15000,"&lt;15k",F16&lt;25000,"15-25",F16&lt;35000,"25-35",F16&lt;=45000,"35-45",F16&gt;45000,"&gt;45k")</f>
        <v>15-25</v>
      </c>
      <c r="K16" t="b">
        <f t="shared" si="2"/>
        <v>1</v>
      </c>
      <c r="L16" t="b">
        <f t="shared" si="3"/>
        <v>1</v>
      </c>
    </row>
    <row r="17" spans="1:12" x14ac:dyDescent="0.25">
      <c r="A17">
        <v>10249</v>
      </c>
      <c r="B17" t="s">
        <v>6</v>
      </c>
      <c r="C17">
        <v>87</v>
      </c>
      <c r="D17" t="s">
        <v>16</v>
      </c>
      <c r="E17" t="s">
        <v>23</v>
      </c>
      <c r="F17">
        <v>40000</v>
      </c>
      <c r="G17">
        <f>F17*C17</f>
        <v>3480000</v>
      </c>
      <c r="H17" t="str">
        <f t="shared" ref="H17:H22" si="8">TRIM(B17)</f>
        <v>Oppo</v>
      </c>
      <c r="I17" t="str">
        <f t="shared" ref="I17:I22" si="9">IF(F17&lt;35000,"Cheap","Costly")</f>
        <v>Costly</v>
      </c>
      <c r="J17" t="str" cm="1">
        <f t="array" ref="J17">_xlfn.IFS(F17&lt;15000,"&lt;15k",F17&lt;25000,"15-25",F17&lt;35000,"25-35",F17&lt;=45000,"35-45",F17&gt;45000,"&gt;45k")</f>
        <v>35-45</v>
      </c>
      <c r="K17" t="b">
        <f t="shared" si="2"/>
        <v>0</v>
      </c>
      <c r="L17" t="b">
        <f t="shared" si="3"/>
        <v>0</v>
      </c>
    </row>
    <row r="18" spans="1:12" x14ac:dyDescent="0.25">
      <c r="A18">
        <v>10248</v>
      </c>
      <c r="B18" t="s">
        <v>10</v>
      </c>
      <c r="C18">
        <v>55</v>
      </c>
      <c r="D18" t="s">
        <v>17</v>
      </c>
      <c r="E18" t="s">
        <v>24</v>
      </c>
      <c r="F18">
        <v>30000</v>
      </c>
      <c r="G18">
        <f t="shared" ref="G18:G21" si="10">F18*C18</f>
        <v>1650000</v>
      </c>
      <c r="H18" t="str">
        <f t="shared" si="8"/>
        <v>Sam sung</v>
      </c>
      <c r="I18" t="str">
        <f t="shared" si="9"/>
        <v>Cheap</v>
      </c>
      <c r="J18" t="str" cm="1">
        <f t="array" ref="J18">_xlfn.IFS(F18&lt;15000,"&lt;15k",F18&lt;25000,"15-25",F18&lt;35000,"25-35",F18&lt;=45000,"35-45",F18&gt;45000,"&gt;45k")</f>
        <v>25-35</v>
      </c>
      <c r="K18" t="b">
        <f t="shared" si="2"/>
        <v>0</v>
      </c>
      <c r="L18" t="b">
        <f t="shared" si="3"/>
        <v>1</v>
      </c>
    </row>
    <row r="19" spans="1:12" x14ac:dyDescent="0.25">
      <c r="A19">
        <v>24567</v>
      </c>
      <c r="B19" t="s">
        <v>11</v>
      </c>
      <c r="C19">
        <v>65</v>
      </c>
      <c r="D19" t="s">
        <v>18</v>
      </c>
      <c r="E19" t="s">
        <v>25</v>
      </c>
      <c r="F19">
        <v>45000</v>
      </c>
      <c r="G19">
        <f t="shared" si="10"/>
        <v>2925000</v>
      </c>
      <c r="H19" t="str">
        <f t="shared" si="8"/>
        <v>Micro max</v>
      </c>
      <c r="I19" t="str">
        <f t="shared" si="9"/>
        <v>Costly</v>
      </c>
      <c r="J19" t="str" cm="1">
        <f t="array" ref="J19">_xlfn.IFS(F19&lt;15000,"&lt;15k",F19&lt;25000,"15-25",F19&lt;35000,"25-35",F19&lt;=45000,"35-45",F19&gt;45000,"&gt;45k")</f>
        <v>35-45</v>
      </c>
      <c r="K19" t="b">
        <f t="shared" si="2"/>
        <v>0</v>
      </c>
      <c r="L19" t="b">
        <f t="shared" si="3"/>
        <v>0</v>
      </c>
    </row>
    <row r="20" spans="1:12" x14ac:dyDescent="0.25">
      <c r="A20">
        <v>34567</v>
      </c>
      <c r="B20" t="s">
        <v>7</v>
      </c>
      <c r="C20">
        <v>67</v>
      </c>
      <c r="D20" t="s">
        <v>19</v>
      </c>
      <c r="E20" t="s">
        <v>23</v>
      </c>
      <c r="F20">
        <v>65000</v>
      </c>
      <c r="G20">
        <f t="shared" si="10"/>
        <v>4355000</v>
      </c>
      <c r="H20" t="str">
        <f t="shared" si="8"/>
        <v>Nokia</v>
      </c>
      <c r="I20" t="str">
        <f t="shared" si="9"/>
        <v>Costly</v>
      </c>
      <c r="J20" t="str" cm="1">
        <f t="array" ref="J20">_xlfn.IFS(F20&lt;15000,"&lt;15k",F20&lt;25000,"15-25",F20&lt;35000,"25-35",F20&lt;=45000,"35-45",F20&gt;45000,"&gt;45k")</f>
        <v>&gt;45k</v>
      </c>
      <c r="K20" t="b">
        <f t="shared" si="2"/>
        <v>0</v>
      </c>
      <c r="L20" t="b">
        <f t="shared" si="3"/>
        <v>0</v>
      </c>
    </row>
    <row r="21" spans="1:12" x14ac:dyDescent="0.25">
      <c r="A21">
        <v>444553</v>
      </c>
      <c r="B21" t="s">
        <v>8</v>
      </c>
      <c r="C21">
        <v>87</v>
      </c>
      <c r="D21" t="s">
        <v>20</v>
      </c>
      <c r="E21" t="s">
        <v>24</v>
      </c>
      <c r="F21">
        <v>34200</v>
      </c>
      <c r="G21">
        <f t="shared" si="10"/>
        <v>2975400</v>
      </c>
      <c r="H21" t="str">
        <f t="shared" si="8"/>
        <v>lava</v>
      </c>
      <c r="I21" t="str">
        <f t="shared" si="9"/>
        <v>Cheap</v>
      </c>
      <c r="J21" t="str" cm="1">
        <f t="array" ref="J21">_xlfn.IFS(F21&lt;15000,"&lt;15k",F21&lt;25000,"15-25",F21&lt;35000,"25-35",F21&lt;=45000,"35-45",F21&gt;45000,"&gt;45k")</f>
        <v>25-35</v>
      </c>
      <c r="K21" t="b">
        <f t="shared" si="2"/>
        <v>0</v>
      </c>
      <c r="L21" t="b">
        <f t="shared" si="3"/>
        <v>1</v>
      </c>
    </row>
    <row r="22" spans="1:12" x14ac:dyDescent="0.25">
      <c r="A22">
        <v>10249</v>
      </c>
      <c r="B22" t="s">
        <v>6</v>
      </c>
      <c r="C22">
        <v>87</v>
      </c>
      <c r="D22" t="s">
        <v>21</v>
      </c>
      <c r="E22" t="s">
        <v>25</v>
      </c>
      <c r="F22">
        <v>65000</v>
      </c>
      <c r="G22">
        <f>F22*C22</f>
        <v>5655000</v>
      </c>
      <c r="H22" t="str">
        <f t="shared" si="8"/>
        <v>Oppo</v>
      </c>
      <c r="I22" t="str">
        <f t="shared" si="9"/>
        <v>Costly</v>
      </c>
      <c r="J22" t="str" cm="1">
        <f t="array" ref="J22">_xlfn.IFS(F22&lt;15000,"&lt;15k",F22&lt;25000,"15-25",F22&lt;35000,"25-35",F22&lt;=45000,"35-45",F22&gt;45000,"&gt;45k")</f>
        <v>&gt;45k</v>
      </c>
      <c r="K22" t="b">
        <f t="shared" si="2"/>
        <v>0</v>
      </c>
      <c r="L22" t="b">
        <f t="shared" si="3"/>
        <v>0</v>
      </c>
    </row>
    <row r="23" spans="1:12" x14ac:dyDescent="0.25">
      <c r="A23">
        <v>10247</v>
      </c>
      <c r="B23" t="s">
        <v>5</v>
      </c>
      <c r="C23">
        <v>43</v>
      </c>
      <c r="D23" t="s">
        <v>15</v>
      </c>
      <c r="E23" t="s">
        <v>22</v>
      </c>
      <c r="F23">
        <v>20000</v>
      </c>
      <c r="G23">
        <f>F23*C23</f>
        <v>860000</v>
      </c>
      <c r="H23" t="str">
        <f>TRIM(B23)</f>
        <v>Apple</v>
      </c>
      <c r="I23" t="str">
        <f>IF(F23&lt;35000,"Cheap","Costly")</f>
        <v>Cheap</v>
      </c>
      <c r="J23" t="str" cm="1">
        <f t="array" ref="J23">_xlfn.IFS(F23&lt;15000,"&lt;15k",F23&lt;25000,"15-25",F23&lt;35000,"25-35",F23&lt;=45000,"35-45",F23&gt;45000,"&gt;45k")</f>
        <v>15-25</v>
      </c>
      <c r="K23" t="b">
        <f t="shared" si="2"/>
        <v>0</v>
      </c>
      <c r="L23" t="b">
        <f t="shared" si="3"/>
        <v>1</v>
      </c>
    </row>
    <row r="24" spans="1:12" x14ac:dyDescent="0.25">
      <c r="A24">
        <v>10249</v>
      </c>
      <c r="B24" t="s">
        <v>6</v>
      </c>
      <c r="C24">
        <v>87</v>
      </c>
      <c r="D24" t="s">
        <v>16</v>
      </c>
      <c r="E24" t="s">
        <v>23</v>
      </c>
      <c r="F24">
        <v>40000</v>
      </c>
      <c r="G24">
        <f>F24*C24</f>
        <v>3480000</v>
      </c>
      <c r="H24" t="str">
        <f t="shared" ref="H24:H29" si="11">TRIM(B24)</f>
        <v>Oppo</v>
      </c>
      <c r="I24" t="str">
        <f t="shared" ref="I24:I29" si="12">IF(F24&lt;35000,"Cheap","Costly")</f>
        <v>Costly</v>
      </c>
      <c r="J24" t="str" cm="1">
        <f t="array" ref="J24">_xlfn.IFS(F24&lt;15000,"&lt;15k",F24&lt;25000,"15-25",F24&lt;35000,"25-35",F24&lt;=45000,"35-45",F24&gt;45000,"&gt;45k")</f>
        <v>35-45</v>
      </c>
      <c r="K24" t="b">
        <f t="shared" si="2"/>
        <v>0</v>
      </c>
      <c r="L24" t="b">
        <f t="shared" si="3"/>
        <v>0</v>
      </c>
    </row>
    <row r="25" spans="1:12" x14ac:dyDescent="0.25">
      <c r="A25">
        <v>10248</v>
      </c>
      <c r="B25" t="s">
        <v>10</v>
      </c>
      <c r="C25">
        <v>55</v>
      </c>
      <c r="D25" t="s">
        <v>17</v>
      </c>
      <c r="E25" t="s">
        <v>24</v>
      </c>
      <c r="F25">
        <v>30000</v>
      </c>
      <c r="G25">
        <f t="shared" ref="G25:G28" si="13">F25*C25</f>
        <v>1650000</v>
      </c>
      <c r="H25" t="str">
        <f t="shared" si="11"/>
        <v>Sam sung</v>
      </c>
      <c r="I25" t="str">
        <f t="shared" si="12"/>
        <v>Cheap</v>
      </c>
      <c r="J25" t="str" cm="1">
        <f t="array" ref="J25">_xlfn.IFS(F25&lt;15000,"&lt;15k",F25&lt;25000,"15-25",F25&lt;35000,"25-35",F25&lt;=45000,"35-45",F25&gt;45000,"&gt;45k")</f>
        <v>25-35</v>
      </c>
      <c r="K25" t="b">
        <f t="shared" si="2"/>
        <v>0</v>
      </c>
      <c r="L25" t="b">
        <f t="shared" si="3"/>
        <v>1</v>
      </c>
    </row>
    <row r="26" spans="1:12" x14ac:dyDescent="0.25">
      <c r="A26">
        <v>24567</v>
      </c>
      <c r="B26" t="s">
        <v>11</v>
      </c>
      <c r="C26">
        <v>65</v>
      </c>
      <c r="D26" t="s">
        <v>18</v>
      </c>
      <c r="E26" t="s">
        <v>25</v>
      </c>
      <c r="F26">
        <v>45000</v>
      </c>
      <c r="G26">
        <f t="shared" si="13"/>
        <v>2925000</v>
      </c>
      <c r="H26" t="str">
        <f t="shared" si="11"/>
        <v>Micro max</v>
      </c>
      <c r="I26" t="str">
        <f t="shared" si="12"/>
        <v>Costly</v>
      </c>
      <c r="J26" t="str" cm="1">
        <f t="array" ref="J26">_xlfn.IFS(F26&lt;15000,"&lt;15k",F26&lt;25000,"15-25",F26&lt;35000,"25-35",F26&lt;=45000,"35-45",F26&gt;45000,"&gt;45k")</f>
        <v>35-45</v>
      </c>
      <c r="K26" t="b">
        <f t="shared" si="2"/>
        <v>0</v>
      </c>
      <c r="L26" t="b">
        <f t="shared" si="3"/>
        <v>0</v>
      </c>
    </row>
    <row r="27" spans="1:12" x14ac:dyDescent="0.25">
      <c r="A27">
        <v>34567</v>
      </c>
      <c r="B27" t="s">
        <v>7</v>
      </c>
      <c r="C27">
        <v>67</v>
      </c>
      <c r="D27" t="s">
        <v>19</v>
      </c>
      <c r="E27" t="s">
        <v>23</v>
      </c>
      <c r="F27">
        <v>65000</v>
      </c>
      <c r="G27">
        <f t="shared" si="13"/>
        <v>4355000</v>
      </c>
      <c r="H27" t="str">
        <f t="shared" si="11"/>
        <v>Nokia</v>
      </c>
      <c r="I27" t="str">
        <f t="shared" si="12"/>
        <v>Costly</v>
      </c>
      <c r="J27" t="str" cm="1">
        <f t="array" ref="J27">_xlfn.IFS(F27&lt;15000,"&lt;15k",F27&lt;25000,"15-25",F27&lt;35000,"25-35",F27&lt;=45000,"35-45",F27&gt;45000,"&gt;45k")</f>
        <v>&gt;45k</v>
      </c>
      <c r="K27" t="b">
        <f t="shared" si="2"/>
        <v>0</v>
      </c>
      <c r="L27" t="b">
        <f t="shared" si="3"/>
        <v>0</v>
      </c>
    </row>
    <row r="28" spans="1:12" x14ac:dyDescent="0.25">
      <c r="A28">
        <v>444553</v>
      </c>
      <c r="B28" t="s">
        <v>8</v>
      </c>
      <c r="C28">
        <v>87</v>
      </c>
      <c r="D28" t="s">
        <v>20</v>
      </c>
      <c r="E28" t="s">
        <v>24</v>
      </c>
      <c r="F28">
        <v>34200</v>
      </c>
      <c r="G28">
        <f t="shared" si="13"/>
        <v>2975400</v>
      </c>
      <c r="H28" t="str">
        <f t="shared" si="11"/>
        <v>lava</v>
      </c>
      <c r="I28" t="str">
        <f t="shared" si="12"/>
        <v>Cheap</v>
      </c>
      <c r="J28" t="str" cm="1">
        <f t="array" ref="J28">_xlfn.IFS(F28&lt;15000,"&lt;15k",F28&lt;25000,"15-25",F28&lt;35000,"25-35",F28&lt;=45000,"35-45",F28&gt;45000,"&gt;45k")</f>
        <v>25-35</v>
      </c>
      <c r="K28" t="b">
        <f t="shared" si="2"/>
        <v>0</v>
      </c>
      <c r="L28" t="b">
        <f t="shared" si="3"/>
        <v>1</v>
      </c>
    </row>
    <row r="29" spans="1:12" x14ac:dyDescent="0.25">
      <c r="A29">
        <v>10249</v>
      </c>
      <c r="B29" t="s">
        <v>6</v>
      </c>
      <c r="C29">
        <v>87</v>
      </c>
      <c r="D29" t="s">
        <v>21</v>
      </c>
      <c r="E29" t="s">
        <v>25</v>
      </c>
      <c r="F29">
        <v>65000</v>
      </c>
      <c r="G29">
        <f>F29*C29</f>
        <v>5655000</v>
      </c>
      <c r="H29" t="str">
        <f t="shared" si="11"/>
        <v>Oppo</v>
      </c>
      <c r="I29" t="str">
        <f t="shared" si="12"/>
        <v>Costly</v>
      </c>
      <c r="J29" t="str" cm="1">
        <f t="array" ref="J29">_xlfn.IFS(F29&lt;15000,"&lt;15k",F29&lt;25000,"15-25",F29&lt;35000,"25-35",F29&lt;=45000,"35-45",F29&gt;45000,"&gt;45k")</f>
        <v>&gt;45k</v>
      </c>
      <c r="K29" t="b">
        <f t="shared" si="2"/>
        <v>0</v>
      </c>
      <c r="L29" t="b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7898-DDE4-4323-99B1-AEAE932B1BE4}">
  <dimension ref="B1:E12"/>
  <sheetViews>
    <sheetView workbookViewId="0">
      <selection activeCell="C3" sqref="C3"/>
    </sheetView>
  </sheetViews>
  <sheetFormatPr defaultRowHeight="15" x14ac:dyDescent="0.25"/>
  <cols>
    <col min="4" max="4" width="31.28515625" bestFit="1" customWidth="1"/>
  </cols>
  <sheetData>
    <row r="1" spans="2:5" x14ac:dyDescent="0.25">
      <c r="C1" t="s">
        <v>32</v>
      </c>
    </row>
    <row r="2" spans="2:5" x14ac:dyDescent="0.25">
      <c r="B2" t="s">
        <v>28</v>
      </c>
      <c r="C2">
        <v>500</v>
      </c>
      <c r="D2" t="str">
        <f>IF(C2&gt;600, "Exceeded $600 M Sales in Quarter","Quarter not met")</f>
        <v>Quarter not met</v>
      </c>
      <c r="E2" cm="1">
        <f t="array" ref="E2">_xlfn.IFS(C2&gt;C3,C2-C3,C3&gt;C2,C3-C2)</f>
        <v>101</v>
      </c>
    </row>
    <row r="3" spans="2:5" x14ac:dyDescent="0.25">
      <c r="B3" t="s">
        <v>29</v>
      </c>
      <c r="C3">
        <v>601</v>
      </c>
      <c r="D3" t="str">
        <f t="shared" ref="D3:D5" si="0">IF(C3&gt;600, "Exceeded $600 M Sales in Quarter","Quarter not met")</f>
        <v>Exceeded $600 M Sales in Quarter</v>
      </c>
      <c r="E3" cm="1">
        <f t="array" ref="E3">_xlfn.IFS(C3&gt;C4,C3-C4,C4&gt;C3,C4-C3)</f>
        <v>106</v>
      </c>
    </row>
    <row r="4" spans="2:5" x14ac:dyDescent="0.25">
      <c r="B4" t="s">
        <v>30</v>
      </c>
      <c r="C4">
        <v>495</v>
      </c>
      <c r="D4" t="str">
        <f t="shared" si="0"/>
        <v>Quarter not met</v>
      </c>
      <c r="E4" cm="1">
        <f t="array" ref="E4">_xlfn.IFS(C4&gt;C5,C4-C5,C5&gt;C4,C5-C4)</f>
        <v>125</v>
      </c>
    </row>
    <row r="5" spans="2:5" x14ac:dyDescent="0.25">
      <c r="B5" t="s">
        <v>31</v>
      </c>
      <c r="C5">
        <v>620</v>
      </c>
      <c r="D5" t="str">
        <f t="shared" si="0"/>
        <v>Exceeded $600 M Sales in Quarter</v>
      </c>
      <c r="E5" cm="1">
        <f t="array" ref="E5">_xlfn.IFS(C5&gt;C6,C5-C6,C6&gt;C5,C6-C5)</f>
        <v>620</v>
      </c>
    </row>
    <row r="8" spans="2:5" x14ac:dyDescent="0.25">
      <c r="C8" t="str">
        <f>IF(C2&gt;C3,"Q1 is greater than Q2","Q2 is greater than Q1")</f>
        <v>Q2 is greater than Q1</v>
      </c>
    </row>
    <row r="9" spans="2:5" x14ac:dyDescent="0.25">
      <c r="C9" t="str">
        <f>IF(C2&gt;C3,"Q1 Better than Q2","Q2 Better than Q1")</f>
        <v>Q2 Better than Q1</v>
      </c>
    </row>
    <row r="11" spans="2:5" x14ac:dyDescent="0.25">
      <c r="C11" t="str">
        <f>IF(C2&gt;600, "Exceeded $600 M Sales in Quarter","Quarter not met")</f>
        <v>Quarter not met</v>
      </c>
    </row>
    <row r="12" spans="2:5" x14ac:dyDescent="0.25">
      <c r="C12" t="str">
        <f>IF(MAX(C2:C5)&gt;600,"Exceeded","Not")</f>
        <v>Exceeded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ECC8-C441-4528-BC0A-62679FE3557B}">
  <dimension ref="A1:C16"/>
  <sheetViews>
    <sheetView workbookViewId="0">
      <selection activeCell="B17" sqref="B17"/>
    </sheetView>
  </sheetViews>
  <sheetFormatPr defaultRowHeight="15" x14ac:dyDescent="0.25"/>
  <sheetData>
    <row r="1" spans="1:3" x14ac:dyDescent="0.25">
      <c r="A1" t="s">
        <v>33</v>
      </c>
      <c r="B1" t="s">
        <v>34</v>
      </c>
      <c r="C1" t="s">
        <v>35</v>
      </c>
    </row>
    <row r="2" spans="1:3" x14ac:dyDescent="0.25">
      <c r="A2" t="s">
        <v>36</v>
      </c>
      <c r="B2">
        <v>95</v>
      </c>
      <c r="C2">
        <v>100</v>
      </c>
    </row>
    <row r="3" spans="1:3" x14ac:dyDescent="0.25">
      <c r="A3" t="s">
        <v>37</v>
      </c>
      <c r="B3">
        <v>45</v>
      </c>
      <c r="C3">
        <v>55</v>
      </c>
    </row>
    <row r="4" spans="1:3" x14ac:dyDescent="0.25">
      <c r="A4" t="s">
        <v>38</v>
      </c>
      <c r="B4">
        <v>60</v>
      </c>
      <c r="C4">
        <v>30</v>
      </c>
    </row>
    <row r="5" spans="1:3" x14ac:dyDescent="0.25">
      <c r="A5" t="s">
        <v>39</v>
      </c>
      <c r="B5">
        <v>80</v>
      </c>
      <c r="C5">
        <v>45</v>
      </c>
    </row>
    <row r="6" spans="1:3" x14ac:dyDescent="0.25">
      <c r="A6" t="s">
        <v>40</v>
      </c>
      <c r="B6">
        <v>99</v>
      </c>
      <c r="C6">
        <v>90</v>
      </c>
    </row>
    <row r="7" spans="1:3" x14ac:dyDescent="0.25">
      <c r="A7" t="s">
        <v>41</v>
      </c>
      <c r="B7">
        <v>55</v>
      </c>
      <c r="C7">
        <v>60</v>
      </c>
    </row>
    <row r="10" spans="1:3" x14ac:dyDescent="0.25">
      <c r="A10" t="s">
        <v>42</v>
      </c>
      <c r="B10">
        <f>SUM(B2:B7)</f>
        <v>434</v>
      </c>
    </row>
    <row r="11" spans="1:3" x14ac:dyDescent="0.25">
      <c r="A11" t="s">
        <v>43</v>
      </c>
      <c r="B11">
        <f>SUMIF(C2:C7,"&gt;0",B2:B7)</f>
        <v>434</v>
      </c>
    </row>
    <row r="12" spans="1:3" x14ac:dyDescent="0.25">
      <c r="A12" t="s">
        <v>44</v>
      </c>
      <c r="B12">
        <f>COUNT(B2:B7)</f>
        <v>6</v>
      </c>
    </row>
    <row r="13" spans="1:3" x14ac:dyDescent="0.25">
      <c r="A13" t="s">
        <v>45</v>
      </c>
      <c r="B13">
        <f>COUNTIF(B2:B7,"&gt;60")</f>
        <v>3</v>
      </c>
    </row>
    <row r="14" spans="1:3" x14ac:dyDescent="0.25">
      <c r="A14" t="s">
        <v>46</v>
      </c>
      <c r="B14">
        <f>COUNTIFS(B2:B7,"&gt;10",B2:B7,"&lt;80")</f>
        <v>3</v>
      </c>
    </row>
    <row r="15" spans="1:3" x14ac:dyDescent="0.25">
      <c r="A15" t="s">
        <v>47</v>
      </c>
      <c r="B15">
        <f>AVERAGE(B2:B7)</f>
        <v>72.333333333333329</v>
      </c>
    </row>
    <row r="16" spans="1:3" x14ac:dyDescent="0.25">
      <c r="A16" t="s">
        <v>48</v>
      </c>
      <c r="B16">
        <f>AVERAGEIF(B2:B7,"&gt;60")</f>
        <v>91.333333333333329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5833-8A01-4827-8E93-BDD9DE78A473}">
  <dimension ref="B2:D5"/>
  <sheetViews>
    <sheetView tabSelected="1" workbookViewId="0">
      <selection activeCell="C2" sqref="C2"/>
    </sheetView>
  </sheetViews>
  <sheetFormatPr defaultRowHeight="15" x14ac:dyDescent="0.25"/>
  <sheetData>
    <row r="2" spans="2:4" x14ac:dyDescent="0.25">
      <c r="B2">
        <v>10</v>
      </c>
      <c r="C2">
        <f>IF(B2&lt;=500,B2*23,B2*20)</f>
        <v>230</v>
      </c>
    </row>
    <row r="3" spans="2:4" x14ac:dyDescent="0.25">
      <c r="B3">
        <v>483</v>
      </c>
      <c r="C3">
        <f t="shared" ref="C3:C5" si="0">IF(B3&lt;=500,B3*23,B3*20)</f>
        <v>11109</v>
      </c>
    </row>
    <row r="4" spans="2:4" x14ac:dyDescent="0.25">
      <c r="B4">
        <v>500</v>
      </c>
      <c r="C4">
        <f t="shared" si="0"/>
        <v>11500</v>
      </c>
      <c r="D4">
        <f>B4*23</f>
        <v>11500</v>
      </c>
    </row>
    <row r="5" spans="2:4" x14ac:dyDescent="0.25">
      <c r="B5">
        <v>1600</v>
      </c>
      <c r="C5">
        <f t="shared" si="0"/>
        <v>32000</v>
      </c>
      <c r="D5">
        <f>B5*20</f>
        <v>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Ex-1</vt:lpstr>
      <vt:lpstr>Ex 2</vt:lpstr>
      <vt:lpstr>Ex-3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2023-11-05T01:46:59Z</dcterms:modified>
</cp:coreProperties>
</file>