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filterPrivacy="1"/>
  <xr:revisionPtr revIDLastSave="111" documentId="8_{6BA9B4E0-47E4-4C3C-A5F4-9B4A47DA7931}" xr6:coauthVersionLast="47" xr6:coauthVersionMax="47" xr10:uidLastSave="{051A4C5B-2927-443B-90C3-39E371132205}"/>
  <bookViews>
    <workbookView xWindow="-110" yWindow="-110" windowWidth="19420" windowHeight="11500" tabRatio="801" activeTab="2" xr2:uid="{696533DA-D986-4CD5-ADF5-4DEC89933B31}"/>
  </bookViews>
  <sheets>
    <sheet name="Instructions" sheetId="21" r:id="rId1"/>
    <sheet name="Value (Template)" sheetId="13" r:id="rId2"/>
    <sheet name="Value (Example)" sheetId="20" r:id="rId3"/>
    <sheet name="Calculation" sheetId="16" r:id="rId4"/>
  </sheets>
  <externalReferences>
    <externalReference r:id="rId5"/>
    <externalReference r:id="rId6"/>
    <externalReference r:id="rId7"/>
    <externalReference r:id="rId8"/>
    <externalReference r:id="rId9"/>
  </externalReferences>
  <definedNames>
    <definedName name="annual_transportation_costs">'[1]Basic-Data'!$B$5</definedName>
    <definedName name="Core_Components">[2]Variables!$D$5:$D$14</definedName>
    <definedName name="_xlnm.Criteria">[2]Variables!$I$5:$I$6</definedName>
    <definedName name="Enabling_Components">[2]Variables!$E$5:$E$11</definedName>
    <definedName name="FTE_cost">'[1]Basic-Data'!$B$4</definedName>
    <definedName name="Funding">[2]Variables!$H$5:$H$6</definedName>
    <definedName name="FY21___Plan">'[3]Value Data'!$L:$L</definedName>
    <definedName name="FY22___Plan">'[3]Value Data'!$M:$M</definedName>
    <definedName name="FY23___Plan">'[3]Value Data'!$N:$N</definedName>
    <definedName name="FY24___Plan">'[3]Value Data'!$O:$O</definedName>
    <definedName name="FY25___Plan">'[3]Value Data'!$P:$P</definedName>
    <definedName name="FY26___Plan">'[3]Value Data'!$Q:$Q</definedName>
    <definedName name="FY27___Plan">'[3]Value Data'!$Q:$Q</definedName>
    <definedName name="FY28___Plan">'[3]Value Data'!$S:$S</definedName>
    <definedName name="FY29___Plan">'[3]Value Data'!$T:$T</definedName>
    <definedName name="FY30___Plan">'[3]Value Data'!$U:$U</definedName>
    <definedName name="growth_factor">'[1]Basic-Data'!$B$7</definedName>
    <definedName name="Initiative_Category">[2]Variables!$F$5:$F$8</definedName>
    <definedName name="Investment">[2]Variables!$G$5:$G$7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articipants">'[4]WS Participants'!#REF!</definedName>
    <definedName name="Quarters">[2]Variables!$B$5:$B$25</definedName>
    <definedName name="status">[5]Sheet2!$A$2:$A$9</definedName>
    <definedName name="Total_High">'[3]Value Data'!#REF!</definedName>
    <definedName name="Total_Mid">'[3]Value Data'!#REF!</definedName>
    <definedName name="UC">'[3]Value Data'!$B:$B</definedName>
    <definedName name="Workstream">'[3]Value Data'!$D:$D</definedName>
    <definedName name="Year">[2]Variables!$A$5:$A$10</definedName>
    <definedName name="years">'[1]Basic-Data'!$B$3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6" l="1"/>
</calcChain>
</file>

<file path=xl/sharedStrings.xml><?xml version="1.0" encoding="utf-8"?>
<sst xmlns="http://schemas.openxmlformats.org/spreadsheetml/2006/main" count="133" uniqueCount="84">
  <si>
    <t>Overview</t>
  </si>
  <si>
    <t>The Value Worksheet enables users to define Business Cases in a standardized manner and monitor ongoing value realization</t>
  </si>
  <si>
    <t>Instructions</t>
  </si>
  <si>
    <t>Value (Template) tab</t>
  </si>
  <si>
    <t xml:space="preserve">Provides a template to build the 'Value' side of business case for a project </t>
  </si>
  <si>
    <t>Tab Column Details</t>
  </si>
  <si>
    <t>Column Header</t>
  </si>
  <si>
    <t>Description</t>
  </si>
  <si>
    <t>Value Criteria</t>
  </si>
  <si>
    <t>Pre-defined value criteria (refer 'Value Criteria Description' tab for criteria definitions)</t>
  </si>
  <si>
    <t>Improvement Action</t>
  </si>
  <si>
    <t>People / Process / Technology driven by the project across each applicable value criteria</t>
  </si>
  <si>
    <t>KPIs</t>
  </si>
  <si>
    <t>Key metric to be tracked for each improvement action (refer 'KPI Examples' tab for a non-exhaustive list of KPIs)</t>
  </si>
  <si>
    <t>Unit of Measure (UoM)</t>
  </si>
  <si>
    <t>Unit of Measure for the KPI</t>
  </si>
  <si>
    <t>Baseline Value</t>
  </si>
  <si>
    <t>Baseline value (value prior to project execution) of the KPI</t>
  </si>
  <si>
    <t>Target Value (Expected)</t>
  </si>
  <si>
    <t xml:space="preserve">Target value (expected post project execution) of the KPI </t>
  </si>
  <si>
    <t>Target Value (Actual)</t>
  </si>
  <si>
    <t>Target value (Actual value achieved post project execution) of the KPI</t>
  </si>
  <si>
    <t>Value ($)</t>
  </si>
  <si>
    <t>Expected Value</t>
  </si>
  <si>
    <t>Expected (expected post project execution) dollar value of the KPI split across the timeframe across which value is expected to be realized. Actual dollar value calculation will differ by KPI and is to be done at the backend by business in the 'Calculation' tab</t>
  </si>
  <si>
    <t>Actual Value</t>
  </si>
  <si>
    <t>Actual (Actual value achieved post project execution) dollar value of the KPI split across the actual timeframe across which it was realized. Actual dollar value calculation will differ by KPI and is to be done at the backend by business in the 'Calculation' tab</t>
  </si>
  <si>
    <t>Value Criteria: Score</t>
  </si>
  <si>
    <r>
      <t xml:space="preserve">Score for each applicable value criteria based on pre-defined scoring guideline (refer 'Value Criteria Description' tab for scoring criteria). Final scores to drive the Prioritization process. </t>
    </r>
    <r>
      <rPr>
        <b/>
        <sz val="10"/>
        <rFont val="Calibri"/>
        <family val="2"/>
        <scheme val="minor"/>
      </rPr>
      <t xml:space="preserve">Note: </t>
    </r>
    <r>
      <rPr>
        <sz val="10"/>
        <rFont val="Calibri"/>
        <family val="2"/>
        <scheme val="minor"/>
      </rPr>
      <t>The column uses Data Validation to only take pre-defined values.</t>
    </r>
  </si>
  <si>
    <t xml:space="preserve">Value (FHIR Partitioning) tab and Value (Example) tabs </t>
  </si>
  <si>
    <t xml:space="preserve">Provide illustrative examples of projects </t>
  </si>
  <si>
    <t>Value Criteria Description</t>
  </si>
  <si>
    <t>Provide value criteria definitions and scoring guideline as aligned during the Prioritization process discussions</t>
  </si>
  <si>
    <t>Calculation</t>
  </si>
  <si>
    <t>Tab to be used for translating KPIs to dollar values [Currently contains illustrative calculations to support the 'Value (FHIR Partitioning)' tab]</t>
  </si>
  <si>
    <t>The calculation to translate KPI improvements to dollars will differ by each KPI, therefore, to be done at the backend by business</t>
  </si>
  <si>
    <t>KPI Examples</t>
  </si>
  <si>
    <t>Provides a non-exhaustive list of standard IT KPIs across IT capabilities</t>
  </si>
  <si>
    <t>Elgi Equipment</t>
  </si>
  <si>
    <t>Note: Template to be populated by business and reviewed by Business Partners</t>
  </si>
  <si>
    <t>Project Name:</t>
  </si>
  <si>
    <r>
      <rPr>
        <b/>
        <i/>
        <sz val="11"/>
        <color theme="1"/>
        <rFont val="Calibri Light"/>
        <family val="2"/>
        <scheme val="major"/>
      </rPr>
      <t xml:space="preserve">NOTES: </t>
    </r>
    <r>
      <rPr>
        <i/>
        <sz val="11"/>
        <color theme="1"/>
        <rFont val="Calibri Light"/>
        <family val="2"/>
        <scheme val="major"/>
      </rPr>
      <t xml:space="preserve">
1. Please insert rows as applicable if there is more than one improvement action per value criteria</t>
    </r>
  </si>
  <si>
    <r>
      <t xml:space="preserve">NOTES: 
</t>
    </r>
    <r>
      <rPr>
        <i/>
        <sz val="11"/>
        <rFont val="Calibri Light"/>
        <family val="2"/>
        <scheme val="major"/>
      </rPr>
      <t>1. To ensure an objective tracking of value realization, KPIs for quantitative criteria should  be defined in such a way that a dollar value could be assigned 
2. For qualitative criteria, a qualitative KPI should still be defined to enable tracking of value realization, as defining a quantitative KPU might not be feasible or the effort required to quantify might outweigh benefit from quantification</t>
    </r>
  </si>
  <si>
    <r>
      <t xml:space="preserve">NOTES:
</t>
    </r>
    <r>
      <rPr>
        <i/>
        <sz val="11"/>
        <color theme="1"/>
        <rFont val="Calibri Light"/>
        <family val="2"/>
        <scheme val="major"/>
      </rPr>
      <t>1. The calculation to translate KPI improvements to dollars will differ by each KPI. To be done at the backend by business in the 'Calcuation' tab.</t>
    </r>
  </si>
  <si>
    <t>Value Criteria: Score 
(Based on Expected Value)</t>
  </si>
  <si>
    <r>
      <t xml:space="preserve">Value Criteria 
</t>
    </r>
    <r>
      <rPr>
        <sz val="11"/>
        <color theme="0"/>
        <rFont val="Arial"/>
        <family val="2"/>
      </rPr>
      <t>(Refer Value Description tab for details)</t>
    </r>
  </si>
  <si>
    <r>
      <t xml:space="preserve">Improvement Action
</t>
    </r>
    <r>
      <rPr>
        <sz val="11"/>
        <color theme="0"/>
        <rFont val="Arial"/>
        <family val="2"/>
      </rPr>
      <t>(Define specific improvement that the project drives in terms of People / Process / Technology?)</t>
    </r>
  </si>
  <si>
    <r>
      <t xml:space="preserve">KPI 
</t>
    </r>
    <r>
      <rPr>
        <sz val="11"/>
        <color theme="0"/>
        <rFont val="Arial"/>
        <family val="2"/>
      </rPr>
      <t>(Define KPI to track the improvement action)</t>
    </r>
  </si>
  <si>
    <r>
      <t xml:space="preserve">Unit of Measure 
</t>
    </r>
    <r>
      <rPr>
        <sz val="11"/>
        <color theme="0"/>
        <rFont val="Arial"/>
        <family val="2"/>
      </rPr>
      <t>(Define measurement unit for KPI)</t>
    </r>
  </si>
  <si>
    <r>
      <t xml:space="preserve">
Target Value 
</t>
    </r>
    <r>
      <rPr>
        <b/>
        <u/>
        <sz val="11"/>
        <color theme="0"/>
        <rFont val="Arial"/>
        <family val="2"/>
      </rPr>
      <t>(Expected)</t>
    </r>
  </si>
  <si>
    <r>
      <t xml:space="preserve">Target Value 
</t>
    </r>
    <r>
      <rPr>
        <b/>
        <u/>
        <sz val="11"/>
        <color theme="0"/>
        <rFont val="Arial"/>
        <family val="2"/>
      </rPr>
      <t>(Actual)</t>
    </r>
  </si>
  <si>
    <r>
      <t xml:space="preserve">Value Criteria: Score 
</t>
    </r>
    <r>
      <rPr>
        <sz val="11"/>
        <color theme="0"/>
        <rFont val="Arial"/>
        <family val="2"/>
      </rPr>
      <t>(Refer Value Description tab for scoring guidelines)</t>
    </r>
  </si>
  <si>
    <t>Y1</t>
  </si>
  <si>
    <t>Y2</t>
  </si>
  <si>
    <t>Y3</t>
  </si>
  <si>
    <t>Y4</t>
  </si>
  <si>
    <t>Y5</t>
  </si>
  <si>
    <t>Accelerate Growth</t>
  </si>
  <si>
    <t>Drive Business Efficiency</t>
  </si>
  <si>
    <t>Experience Improvement</t>
  </si>
  <si>
    <t xml:space="preserve">Return </t>
  </si>
  <si>
    <t>Return will always be applicable if there is a dollar benefit available. To be calculated in the 'Calculation' tab.</t>
  </si>
  <si>
    <t>Utility</t>
  </si>
  <si>
    <t>Compliance / Risk Mitigation</t>
  </si>
  <si>
    <t>Service Quality</t>
  </si>
  <si>
    <t>No input expected</t>
  </si>
  <si>
    <r>
      <rPr>
        <b/>
        <sz val="8"/>
        <color theme="1"/>
        <rFont val="Arial"/>
        <family val="2"/>
      </rPr>
      <t xml:space="preserve">NOTES: </t>
    </r>
    <r>
      <rPr>
        <sz val="8"/>
        <color theme="1"/>
        <rFont val="Arial"/>
        <family val="2"/>
      </rPr>
      <t xml:space="preserve">
1. Please insert rows as applicable if there is more than one improvement action per value criteria</t>
    </r>
  </si>
  <si>
    <r>
      <t xml:space="preserve">NOTES: 
</t>
    </r>
    <r>
      <rPr>
        <sz val="8"/>
        <rFont val="Arial"/>
        <family val="2"/>
      </rPr>
      <t>1. To ensure an objective tracking of value realization, KPIs for quantitative criteria should  be defined in such a way that a dollar value could be assigned 
2. For qualitative criteria, a qualitative KPI should still be defined to enable tracking of value realization, as defining a quantitative KPU might not be feasible or the effort required to quantify might outweigh benefit from quantification</t>
    </r>
  </si>
  <si>
    <r>
      <t xml:space="preserve">NOTES:
</t>
    </r>
    <r>
      <rPr>
        <sz val="8"/>
        <color theme="1"/>
        <rFont val="Arial"/>
        <family val="2"/>
      </rPr>
      <t>1. The calculation to translate KPI improvements to dollars will differ by each KPI. To be done at the backend by business in the 'Calcuation' tab.</t>
    </r>
  </si>
  <si>
    <t>System upgrade will help in improving invoice accuracy and reducing the number of invoice errors, thereby reducing the processing time per invoice</t>
  </si>
  <si>
    <t>Reduction in Invoice Processing Time</t>
  </si>
  <si>
    <t>Processing Time (in seconds)</t>
  </si>
  <si>
    <t>Low</t>
  </si>
  <si>
    <t>Clinical Quality</t>
  </si>
  <si>
    <t>The calculation to translate KPI improvements to dollars will differ by each KPI. To be done at the backend by business.</t>
  </si>
  <si>
    <t>Project Name: Implementing FHIR Database Partitioning &amp; Smile CDR Upgrade</t>
  </si>
  <si>
    <t>Note: Calculation assumes the benefit of cost avoidance to be realized only once</t>
  </si>
  <si>
    <t>KPI: Reduction in System Downtime</t>
  </si>
  <si>
    <t>Input Variables</t>
  </si>
  <si>
    <t>KPI Baseline Value</t>
  </si>
  <si>
    <t>KPI Target Value</t>
  </si>
  <si>
    <t>Current State: Average number of resources required for database purging</t>
  </si>
  <si>
    <t>Resource Hourly Wage Rate</t>
  </si>
  <si>
    <r>
      <rPr>
        <b/>
        <u/>
        <sz val="10"/>
        <color theme="1"/>
        <rFont val="Arial"/>
        <family val="2"/>
      </rPr>
      <t>One Time</t>
    </r>
    <r>
      <rPr>
        <b/>
        <sz val="10"/>
        <color theme="1"/>
        <rFont val="Arial"/>
        <family val="2"/>
      </rPr>
      <t xml:space="preserve"> Cost Avoidance of 3 resources required for database purging in current state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</si>
</sst>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quot;$&quot;* #,##0_);_(&quot;$&quot;* \(#,##0\);_(&quot;$&quot;* &quot;-&quot;??_);_(@_)"/>
    <numFmt numFmtId="165" formatCode="0.0"/>
  </numFmts>
  <fonts count="45">
    <font>
      <sz val="11"/>
      <color theme="1"/>
      <name val="Calibri"/>
      <family val="2"/>
      <scheme val="minor"/>
    </font>
    <font>
      <sz val="10"/>
      <name val="Arial"/>
      <family val="2"/>
    </font>
    <font>
      <b/>
      <sz val="10"/>
      <color rgb="FF000000"/>
      <name val="Arial"/>
      <family val="2"/>
    </font>
    <font>
      <sz val="10"/>
      <color theme="1"/>
      <name val="Arial"/>
      <family val="2"/>
    </font>
    <font>
      <b/>
      <sz val="10"/>
      <color theme="1"/>
      <name val="Arial"/>
      <family val="2"/>
    </font>
    <font>
      <sz val="11"/>
      <color theme="1"/>
      <name val="Calibri"/>
      <family val="2"/>
      <scheme val="minor"/>
    </font>
    <font>
      <b/>
      <sz val="14"/>
      <color rgb="FF000000"/>
      <name val="Arial"/>
      <family val="2"/>
    </font>
    <font>
      <b/>
      <sz val="11"/>
      <color theme="1"/>
      <name val="Arial"/>
      <family val="2"/>
    </font>
    <font>
      <sz val="11"/>
      <color theme="1"/>
      <name val="Arial"/>
      <family val="2"/>
    </font>
    <font>
      <b/>
      <sz val="11"/>
      <color rgb="FF000000"/>
      <name val="Arial"/>
      <family val="2"/>
    </font>
    <font>
      <sz val="10"/>
      <color theme="0"/>
      <name val="Arial"/>
      <family val="2"/>
    </font>
    <font>
      <b/>
      <sz val="14"/>
      <color theme="1"/>
      <name val="Arial"/>
      <family val="2"/>
    </font>
    <font>
      <b/>
      <sz val="11"/>
      <name val="Arial"/>
      <family val="2"/>
    </font>
    <font>
      <b/>
      <i/>
      <sz val="14"/>
      <color rgb="FF000000"/>
      <name val="Arial"/>
      <family val="2"/>
    </font>
    <font>
      <sz val="10"/>
      <color rgb="FFFF0000"/>
      <name val="Arial"/>
      <family val="2"/>
    </font>
    <font>
      <i/>
      <sz val="12"/>
      <color theme="1"/>
      <name val="Arial"/>
      <family val="2"/>
    </font>
    <font>
      <b/>
      <sz val="10"/>
      <color theme="0"/>
      <name val="Arial"/>
      <family val="2"/>
    </font>
    <font>
      <i/>
      <sz val="10"/>
      <color theme="1"/>
      <name val="Arial"/>
      <family val="2"/>
    </font>
    <font>
      <b/>
      <u/>
      <sz val="10"/>
      <color theme="1"/>
      <name val="Arial"/>
      <family val="2"/>
    </font>
    <font>
      <b/>
      <sz val="11"/>
      <color theme="0"/>
      <name val="Calibri"/>
      <family val="2"/>
      <scheme val="minor"/>
    </font>
    <font>
      <sz val="10"/>
      <color theme="1"/>
      <name val="Calibri"/>
      <family val="2"/>
      <scheme val="minor"/>
    </font>
    <font>
      <sz val="11"/>
      <name val="Calibri"/>
      <family val="2"/>
      <scheme val="minor"/>
    </font>
    <font>
      <b/>
      <sz val="11"/>
      <name val="Calibri"/>
      <family val="2"/>
      <scheme val="minor"/>
    </font>
    <font>
      <i/>
      <sz val="11"/>
      <color theme="1"/>
      <name val="Calibri"/>
      <family val="2"/>
      <scheme val="minor"/>
    </font>
    <font>
      <sz val="10"/>
      <name val="Calibri"/>
      <family val="2"/>
      <scheme val="minor"/>
    </font>
    <font>
      <b/>
      <sz val="10"/>
      <name val="Calibri"/>
      <family val="2"/>
      <scheme val="minor"/>
    </font>
    <font>
      <b/>
      <sz val="11"/>
      <color theme="0"/>
      <name val="Arial"/>
      <family val="2"/>
    </font>
    <font>
      <sz val="11"/>
      <color theme="0"/>
      <name val="Arial"/>
      <family val="2"/>
    </font>
    <font>
      <b/>
      <u/>
      <sz val="11"/>
      <color theme="0"/>
      <name val="Arial"/>
      <family val="2"/>
    </font>
    <font>
      <sz val="11"/>
      <color theme="0"/>
      <name val="Calibri"/>
      <family val="2"/>
      <scheme val="minor"/>
    </font>
    <font>
      <b/>
      <sz val="14"/>
      <color theme="0"/>
      <name val="Calibri"/>
      <family val="2"/>
      <scheme val="minor"/>
    </font>
    <font>
      <sz val="10"/>
      <color theme="1"/>
      <name val="Verdana"/>
      <family val="2"/>
    </font>
    <font>
      <b/>
      <i/>
      <sz val="11"/>
      <color rgb="FF000000"/>
      <name val="Arial"/>
      <family val="2"/>
    </font>
    <font>
      <b/>
      <sz val="16"/>
      <color theme="0"/>
      <name val="Aptos"/>
      <family val="2"/>
    </font>
    <font>
      <sz val="8"/>
      <color theme="1"/>
      <name val="Arial"/>
      <family val="2"/>
    </font>
    <font>
      <b/>
      <sz val="8"/>
      <color theme="1"/>
      <name val="Arial"/>
      <family val="2"/>
    </font>
    <font>
      <b/>
      <sz val="8"/>
      <name val="Arial"/>
      <family val="2"/>
    </font>
    <font>
      <sz val="8"/>
      <name val="Arial"/>
      <family val="2"/>
    </font>
    <font>
      <b/>
      <sz val="8"/>
      <color rgb="FF000000"/>
      <name val="Arial"/>
      <family val="2"/>
    </font>
    <font>
      <i/>
      <sz val="10"/>
      <color theme="1"/>
      <name val="Calibri Light"/>
      <family val="2"/>
      <scheme val="major"/>
    </font>
    <font>
      <i/>
      <sz val="11"/>
      <color theme="1"/>
      <name val="Calibri Light"/>
      <family val="2"/>
      <scheme val="major"/>
    </font>
    <font>
      <b/>
      <i/>
      <sz val="11"/>
      <color theme="1"/>
      <name val="Calibri Light"/>
      <family val="2"/>
      <scheme val="major"/>
    </font>
    <font>
      <b/>
      <i/>
      <sz val="11"/>
      <name val="Calibri Light"/>
      <family val="2"/>
      <scheme val="major"/>
    </font>
    <font>
      <i/>
      <sz val="11"/>
      <name val="Calibri Light"/>
      <family val="2"/>
      <scheme val="major"/>
    </font>
    <font>
      <b/>
      <i/>
      <sz val="11"/>
      <color rgb="FF000000"/>
      <name val="Calibri Light"/>
      <family val="2"/>
      <scheme val="maj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theme="9" tint="0.39997558519241921"/>
        <bgColor indexed="64"/>
      </patternFill>
    </fill>
    <fill>
      <patternFill patternType="solid">
        <fgColor rgb="FFFF0000"/>
        <bgColor indexed="64"/>
      </patternFill>
    </fill>
    <fill>
      <patternFill patternType="solid">
        <fgColor rgb="FFFFBDBD"/>
        <bgColor indexed="64"/>
      </patternFill>
    </fill>
  </fills>
  <borders count="28">
    <border>
      <left/>
      <right/>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style="thin">
        <color theme="0" tint="-0.14993743705557422"/>
      </right>
      <top/>
      <bottom style="thin">
        <color theme="0" tint="-0.14996795556505021"/>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style="thin">
        <color indexed="64"/>
      </left>
      <right style="thin">
        <color indexed="64"/>
      </right>
      <top style="thin">
        <color indexed="64"/>
      </top>
      <bottom style="thin">
        <color indexed="64"/>
      </bottom>
      <diagonal/>
    </border>
    <border>
      <left/>
      <right/>
      <top style="thin">
        <color theme="0" tint="-0.14996795556505021"/>
      </top>
      <bottom style="thin">
        <color theme="0" tint="-0.14996795556505021"/>
      </bottom>
      <diagonal/>
    </border>
    <border>
      <left style="thin">
        <color theme="0" tint="-0.14993743705557422"/>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1499679555650502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style="thin">
        <color theme="0" tint="-0.14996795556505021"/>
      </top>
      <bottom/>
      <diagonal/>
    </border>
    <border>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0" tint="-0.14993743705557422"/>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3743705557422"/>
      </right>
      <top/>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1" fillId="0" borderId="0"/>
    <xf numFmtId="44" fontId="5" fillId="0" borderId="0" applyFont="0" applyFill="0" applyBorder="0" applyAlignment="0" applyProtection="0"/>
    <xf numFmtId="0" fontId="5" fillId="0" borderId="0"/>
    <xf numFmtId="0" fontId="20" fillId="0" borderId="0"/>
    <xf numFmtId="0" fontId="31" fillId="0" borderId="0"/>
    <xf numFmtId="44" fontId="31" fillId="0" borderId="0" applyFont="0" applyFill="0" applyBorder="0" applyAlignment="0" applyProtection="0"/>
    <xf numFmtId="0" fontId="5" fillId="0" borderId="0"/>
  </cellStyleXfs>
  <cellXfs count="129">
    <xf numFmtId="0" fontId="0" fillId="0" borderId="0" xfId="0"/>
    <xf numFmtId="0" fontId="4" fillId="0" borderId="0" xfId="0" applyFont="1" applyAlignment="1">
      <alignment horizontal="center" vertical="center" wrapText="1"/>
    </xf>
    <xf numFmtId="0" fontId="3" fillId="0" borderId="0" xfId="0" applyFont="1"/>
    <xf numFmtId="0" fontId="2" fillId="0" borderId="0" xfId="0" applyFont="1"/>
    <xf numFmtId="0" fontId="2" fillId="2" borderId="0" xfId="0" applyFont="1" applyFill="1"/>
    <xf numFmtId="0" fontId="6" fillId="0" borderId="0" xfId="0" applyFont="1"/>
    <xf numFmtId="0" fontId="3" fillId="0" borderId="3" xfId="0" applyFont="1" applyBorder="1" applyAlignment="1">
      <alignment vertical="center" wrapText="1"/>
    </xf>
    <xf numFmtId="0" fontId="3" fillId="0" borderId="0" xfId="0" applyFont="1" applyAlignment="1">
      <alignment wrapText="1"/>
    </xf>
    <xf numFmtId="0" fontId="3" fillId="0" borderId="0" xfId="0" applyFont="1" applyAlignment="1">
      <alignment vertical="center" wrapText="1"/>
    </xf>
    <xf numFmtId="44" fontId="3" fillId="0" borderId="0" xfId="2" applyFont="1" applyFill="1" applyAlignment="1">
      <alignment vertical="center"/>
    </xf>
    <xf numFmtId="0" fontId="7" fillId="0" borderId="0" xfId="0" applyFont="1" applyAlignment="1">
      <alignment horizontal="center" vertical="center" wrapText="1"/>
    </xf>
    <xf numFmtId="0" fontId="10" fillId="0" borderId="0" xfId="0" applyFont="1" applyAlignment="1">
      <alignment vertical="center" wrapText="1"/>
    </xf>
    <xf numFmtId="0" fontId="4" fillId="0" borderId="0" xfId="0" applyFont="1" applyAlignment="1">
      <alignment vertical="center" wrapText="1"/>
    </xf>
    <xf numFmtId="0" fontId="6" fillId="0" borderId="0" xfId="0" applyFont="1" applyAlignment="1">
      <alignment horizontal="left" vertical="center" indent="1"/>
    </xf>
    <xf numFmtId="0" fontId="11" fillId="0" borderId="0" xfId="0" applyFont="1"/>
    <xf numFmtId="0" fontId="12" fillId="0" borderId="3" xfId="0" applyFont="1" applyBorder="1" applyAlignment="1">
      <alignment vertical="center" wrapText="1"/>
    </xf>
    <xf numFmtId="0" fontId="8" fillId="0" borderId="3" xfId="0" applyFont="1" applyBorder="1" applyAlignment="1">
      <alignment vertical="center" wrapText="1"/>
    </xf>
    <xf numFmtId="0" fontId="8" fillId="0" borderId="3" xfId="0" applyFont="1" applyBorder="1" applyAlignment="1">
      <alignment horizontal="center" vertical="center" wrapText="1"/>
    </xf>
    <xf numFmtId="3" fontId="8" fillId="0" borderId="4" xfId="0" applyNumberFormat="1" applyFont="1" applyBorder="1" applyAlignment="1">
      <alignment horizontal="center" vertical="center" wrapText="1"/>
    </xf>
    <xf numFmtId="0" fontId="8" fillId="0" borderId="6" xfId="0" applyFont="1" applyBorder="1" applyAlignment="1">
      <alignment horizontal="center" vertical="center" wrapText="1"/>
    </xf>
    <xf numFmtId="0" fontId="2" fillId="3" borderId="0" xfId="0" applyFont="1" applyFill="1"/>
    <xf numFmtId="0" fontId="13" fillId="0" borderId="0" xfId="0" applyFont="1" applyAlignment="1">
      <alignment vertical="center"/>
    </xf>
    <xf numFmtId="0" fontId="14" fillId="0" borderId="0" xfId="0" applyFont="1"/>
    <xf numFmtId="0" fontId="16" fillId="0" borderId="0" xfId="0" applyFont="1"/>
    <xf numFmtId="0" fontId="8" fillId="0" borderId="4" xfId="0" applyFont="1" applyBorder="1" applyAlignment="1">
      <alignment horizontal="center" vertical="center" wrapText="1"/>
    </xf>
    <xf numFmtId="0" fontId="4" fillId="0" borderId="0" xfId="0" applyFont="1"/>
    <xf numFmtId="0" fontId="17" fillId="0" borderId="0" xfId="0" applyFont="1"/>
    <xf numFmtId="0" fontId="4" fillId="0" borderId="19" xfId="0" applyFont="1" applyBorder="1" applyAlignment="1">
      <alignment vertical="center" wrapText="1"/>
    </xf>
    <xf numFmtId="0" fontId="3" fillId="0" borderId="19" xfId="0" applyFont="1" applyBorder="1" applyAlignment="1">
      <alignment vertical="center" wrapText="1"/>
    </xf>
    <xf numFmtId="0" fontId="17" fillId="0" borderId="19" xfId="0" applyFont="1" applyBorder="1" applyAlignment="1">
      <alignment vertical="center" wrapText="1"/>
    </xf>
    <xf numFmtId="6" fontId="3" fillId="0" borderId="19" xfId="0" applyNumberFormat="1" applyFont="1" applyBorder="1" applyAlignment="1">
      <alignment vertical="center" wrapText="1"/>
    </xf>
    <xf numFmtId="0" fontId="3" fillId="0" borderId="19" xfId="0" applyFont="1" applyBorder="1" applyAlignment="1">
      <alignment horizontal="left" vertical="center" wrapText="1" indent="1"/>
    </xf>
    <xf numFmtId="0" fontId="21" fillId="0" borderId="0" xfId="0" applyFont="1" applyAlignment="1">
      <alignment vertical="center"/>
    </xf>
    <xf numFmtId="165" fontId="21" fillId="0" borderId="0" xfId="0" applyNumberFormat="1" applyFont="1" applyAlignment="1">
      <alignment vertical="center"/>
    </xf>
    <xf numFmtId="0" fontId="22" fillId="0" borderId="0" xfId="0" applyFont="1" applyAlignment="1">
      <alignment vertical="center"/>
    </xf>
    <xf numFmtId="165" fontId="22" fillId="0" borderId="0" xfId="0" applyNumberFormat="1" applyFont="1" applyAlignment="1">
      <alignment vertical="center"/>
    </xf>
    <xf numFmtId="165" fontId="21" fillId="0" borderId="0" xfId="0" applyNumberFormat="1" applyFont="1" applyAlignment="1">
      <alignment horizontal="right" vertical="center"/>
    </xf>
    <xf numFmtId="165" fontId="0" fillId="0" borderId="0" xfId="0" applyNumberFormat="1" applyAlignment="1">
      <alignment horizontal="right"/>
    </xf>
    <xf numFmtId="165" fontId="0" fillId="0" borderId="0" xfId="0" applyNumberFormat="1"/>
    <xf numFmtId="0" fontId="23" fillId="0" borderId="0" xfId="0" applyFont="1"/>
    <xf numFmtId="0" fontId="20" fillId="0" borderId="0" xfId="0" applyFont="1" applyAlignment="1">
      <alignment vertical="center"/>
    </xf>
    <xf numFmtId="165" fontId="20" fillId="0" borderId="0" xfId="0" applyNumberFormat="1" applyFont="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0" fontId="24" fillId="0" borderId="11" xfId="0" applyFont="1" applyBorder="1" applyAlignment="1">
      <alignment vertical="center" wrapText="1"/>
    </xf>
    <xf numFmtId="0" fontId="24" fillId="0" borderId="11" xfId="0" applyFont="1" applyBorder="1" applyAlignment="1">
      <alignment horizontal="left" vertical="center" wrapText="1" indent="2"/>
    </xf>
    <xf numFmtId="0" fontId="24" fillId="0" borderId="18" xfId="0" applyFont="1" applyBorder="1" applyAlignment="1">
      <alignment vertical="center" wrapText="1"/>
    </xf>
    <xf numFmtId="165" fontId="21" fillId="0" borderId="0" xfId="0" applyNumberFormat="1" applyFont="1"/>
    <xf numFmtId="0" fontId="21" fillId="0" borderId="0" xfId="0" applyFont="1"/>
    <xf numFmtId="0" fontId="22" fillId="0" borderId="0" xfId="0" applyFont="1"/>
    <xf numFmtId="0" fontId="4" fillId="5" borderId="1"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8" fillId="0" borderId="4" xfId="0" applyFont="1" applyBorder="1" applyAlignment="1">
      <alignment vertical="center" wrapText="1"/>
    </xf>
    <xf numFmtId="0" fontId="8" fillId="0" borderId="23"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4" xfId="0" applyFont="1" applyBorder="1" applyAlignment="1">
      <alignment horizontal="center" vertical="center" wrapText="1"/>
    </xf>
    <xf numFmtId="0" fontId="8" fillId="5" borderId="0" xfId="0" applyFont="1" applyFill="1" applyAlignment="1">
      <alignment vertical="center" wrapText="1"/>
    </xf>
    <xf numFmtId="0" fontId="8" fillId="0" borderId="25" xfId="0" applyFont="1" applyBorder="1" applyAlignment="1">
      <alignment vertical="center" wrapText="1"/>
    </xf>
    <xf numFmtId="3" fontId="8" fillId="0" borderId="25" xfId="0" applyNumberFormat="1" applyFont="1" applyBorder="1" applyAlignment="1">
      <alignment horizontal="center" vertical="center" wrapText="1"/>
    </xf>
    <xf numFmtId="0" fontId="8" fillId="0" borderId="25"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6" xfId="0" applyFont="1" applyBorder="1" applyAlignment="1">
      <alignment horizontal="center" vertical="center" wrapText="1"/>
    </xf>
    <xf numFmtId="3" fontId="3" fillId="0" borderId="25" xfId="0" applyNumberFormat="1" applyFont="1" applyBorder="1" applyAlignment="1">
      <alignment horizontal="center" vertical="center" wrapText="1"/>
    </xf>
    <xf numFmtId="0" fontId="3" fillId="0" borderId="25" xfId="0" applyFont="1" applyBorder="1" applyAlignment="1">
      <alignment horizontal="center" vertical="center" wrapText="1"/>
    </xf>
    <xf numFmtId="164" fontId="8" fillId="0" borderId="22" xfId="2" applyNumberFormat="1" applyFont="1" applyFill="1" applyBorder="1" applyAlignment="1">
      <alignment horizontal="center" vertical="center" wrapText="1"/>
    </xf>
    <xf numFmtId="164" fontId="8" fillId="0" borderId="24" xfId="2" applyNumberFormat="1" applyFont="1" applyFill="1" applyBorder="1" applyAlignment="1">
      <alignment horizontal="center" vertical="center" wrapText="1"/>
    </xf>
    <xf numFmtId="0" fontId="26" fillId="5" borderId="1" xfId="0" applyFont="1" applyFill="1" applyBorder="1" applyAlignment="1">
      <alignment horizontal="center" vertical="center" wrapText="1"/>
    </xf>
    <xf numFmtId="0" fontId="26" fillId="5" borderId="2" xfId="0" applyFont="1" applyFill="1" applyBorder="1" applyAlignment="1">
      <alignment horizontal="center" vertical="center" wrapText="1"/>
    </xf>
    <xf numFmtId="0" fontId="26" fillId="5" borderId="5"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26" fillId="5" borderId="0" xfId="0" applyFont="1" applyFill="1" applyAlignment="1">
      <alignment vertical="center"/>
    </xf>
    <xf numFmtId="0" fontId="30" fillId="4" borderId="0" xfId="3" applyFont="1" applyFill="1"/>
    <xf numFmtId="0" fontId="29" fillId="4" borderId="0" xfId="3" applyFont="1" applyFill="1" applyAlignment="1">
      <alignment wrapText="1"/>
    </xf>
    <xf numFmtId="0" fontId="5" fillId="4" borderId="0" xfId="3" applyFill="1" applyAlignment="1">
      <alignment wrapText="1"/>
    </xf>
    <xf numFmtId="0" fontId="5" fillId="6" borderId="0" xfId="3" applyFill="1" applyAlignment="1">
      <alignment wrapText="1"/>
    </xf>
    <xf numFmtId="0" fontId="29" fillId="6" borderId="0" xfId="3" applyFont="1" applyFill="1" applyAlignment="1">
      <alignment wrapText="1"/>
    </xf>
    <xf numFmtId="0" fontId="5" fillId="0" borderId="0" xfId="3" applyAlignment="1">
      <alignment wrapText="1"/>
    </xf>
    <xf numFmtId="0" fontId="29" fillId="0" borderId="0" xfId="3" applyFont="1" applyAlignment="1">
      <alignment wrapText="1"/>
    </xf>
    <xf numFmtId="0" fontId="20" fillId="4" borderId="0" xfId="0" applyFont="1" applyFill="1"/>
    <xf numFmtId="0" fontId="22" fillId="4" borderId="0" xfId="0" applyFont="1" applyFill="1" applyAlignment="1">
      <alignment vertical="center"/>
    </xf>
    <xf numFmtId="0" fontId="30" fillId="4" borderId="0" xfId="7" applyFont="1" applyFill="1"/>
    <xf numFmtId="0" fontId="5" fillId="4" borderId="0" xfId="7" applyFill="1" applyAlignment="1">
      <alignment wrapText="1"/>
    </xf>
    <xf numFmtId="0" fontId="29" fillId="4" borderId="0" xfId="7" applyFont="1" applyFill="1" applyAlignment="1">
      <alignment wrapText="1"/>
    </xf>
    <xf numFmtId="0" fontId="5" fillId="6" borderId="0" xfId="7" applyFill="1" applyAlignment="1">
      <alignment wrapText="1"/>
    </xf>
    <xf numFmtId="0" fontId="29" fillId="6" borderId="0" xfId="7" applyFont="1" applyFill="1" applyAlignment="1">
      <alignment wrapText="1"/>
    </xf>
    <xf numFmtId="0" fontId="7" fillId="0" borderId="0" xfId="0" applyFont="1"/>
    <xf numFmtId="0" fontId="9" fillId="0" borderId="0" xfId="0" applyFont="1"/>
    <xf numFmtId="0" fontId="8" fillId="0" borderId="0" xfId="0" applyFont="1"/>
    <xf numFmtId="0" fontId="9" fillId="5" borderId="0" xfId="0" applyFont="1" applyFill="1"/>
    <xf numFmtId="0" fontId="32" fillId="0" borderId="0" xfId="0" applyFont="1" applyAlignment="1">
      <alignment vertical="center"/>
    </xf>
    <xf numFmtId="0" fontId="33" fillId="4" borderId="0" xfId="7" applyFont="1" applyFill="1"/>
    <xf numFmtId="0" fontId="34" fillId="0" borderId="0" xfId="0" applyFont="1"/>
    <xf numFmtId="0" fontId="34" fillId="0" borderId="15" xfId="0" applyFont="1" applyBorder="1" applyAlignment="1">
      <alignment vertical="center" wrapText="1"/>
    </xf>
    <xf numFmtId="0" fontId="35" fillId="0" borderId="27" xfId="0" applyFont="1" applyBorder="1" applyAlignment="1">
      <alignment vertical="top" wrapText="1"/>
    </xf>
    <xf numFmtId="0" fontId="38" fillId="0" borderId="0" xfId="0" applyFont="1" applyAlignment="1">
      <alignment vertical="center" wrapText="1"/>
    </xf>
    <xf numFmtId="0" fontId="39" fillId="0" borderId="0" xfId="0" applyFont="1"/>
    <xf numFmtId="0" fontId="44" fillId="0" borderId="0" xfId="0" applyFont="1" applyAlignment="1">
      <alignment vertical="center" wrapText="1"/>
    </xf>
    <xf numFmtId="0" fontId="11" fillId="7" borderId="7" xfId="0" applyFont="1" applyFill="1" applyBorder="1" applyAlignment="1">
      <alignment horizontal="center" vertical="center"/>
    </xf>
    <xf numFmtId="0" fontId="11" fillId="7" borderId="8" xfId="0" applyFont="1" applyFill="1" applyBorder="1" applyAlignment="1">
      <alignment horizontal="center" vertical="center"/>
    </xf>
    <xf numFmtId="0" fontId="11" fillId="7" borderId="9" xfId="0" applyFont="1" applyFill="1" applyBorder="1" applyAlignment="1">
      <alignment horizontal="center" vertical="center" wrapText="1"/>
    </xf>
    <xf numFmtId="6" fontId="3" fillId="7" borderId="19" xfId="0" applyNumberFormat="1" applyFont="1" applyFill="1" applyBorder="1" applyAlignment="1">
      <alignment vertical="center" wrapText="1"/>
    </xf>
    <xf numFmtId="0" fontId="20" fillId="7" borderId="13" xfId="0" applyFont="1" applyFill="1" applyBorder="1" applyAlignment="1">
      <alignment vertical="center" wrapText="1"/>
    </xf>
    <xf numFmtId="0" fontId="19" fillId="4" borderId="0" xfId="0" applyFont="1" applyFill="1" applyAlignment="1">
      <alignment horizontal="center"/>
    </xf>
    <xf numFmtId="0" fontId="15" fillId="5" borderId="4"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21" xfId="0" applyFont="1" applyFill="1" applyBorder="1" applyAlignment="1">
      <alignment horizontal="center" vertical="center" wrapText="1"/>
    </xf>
    <xf numFmtId="0" fontId="26" fillId="5" borderId="12" xfId="0" applyFont="1" applyFill="1" applyBorder="1" applyAlignment="1">
      <alignment horizontal="center" vertical="center" wrapText="1"/>
    </xf>
    <xf numFmtId="0" fontId="26" fillId="5" borderId="13" xfId="0" applyFont="1" applyFill="1" applyBorder="1" applyAlignment="1">
      <alignment horizontal="center" vertical="center" wrapText="1"/>
    </xf>
    <xf numFmtId="0" fontId="26" fillId="5" borderId="14" xfId="0" applyFont="1" applyFill="1" applyBorder="1" applyAlignment="1">
      <alignment horizontal="center" vertical="center" wrapText="1"/>
    </xf>
    <xf numFmtId="0" fontId="26" fillId="5" borderId="2" xfId="0" applyFont="1" applyFill="1" applyBorder="1" applyAlignment="1">
      <alignment horizontal="center" vertical="center" wrapText="1"/>
    </xf>
    <xf numFmtId="0" fontId="11" fillId="7" borderId="9" xfId="0" applyFont="1" applyFill="1" applyBorder="1" applyAlignment="1">
      <alignment horizontal="center" vertical="center" wrapText="1"/>
    </xf>
    <xf numFmtId="0" fontId="11" fillId="7" borderId="0" xfId="0" applyFont="1" applyFill="1" applyAlignment="1">
      <alignment horizontal="center" vertical="center" wrapText="1"/>
    </xf>
    <xf numFmtId="0" fontId="11" fillId="7" borderId="7" xfId="0" applyFont="1" applyFill="1" applyBorder="1" applyAlignment="1">
      <alignment horizontal="center" vertical="center" wrapText="1"/>
    </xf>
    <xf numFmtId="0" fontId="41" fillId="0" borderId="15" xfId="0" applyFont="1" applyBorder="1" applyAlignment="1">
      <alignment horizontal="left" vertical="center" wrapText="1" indent="1"/>
    </xf>
    <xf numFmtId="0" fontId="41" fillId="0" borderId="16" xfId="0" applyFont="1" applyBorder="1" applyAlignment="1">
      <alignment horizontal="left" vertical="center" wrapText="1" indent="1"/>
    </xf>
    <xf numFmtId="0" fontId="41" fillId="0" borderId="17" xfId="0" applyFont="1" applyBorder="1" applyAlignment="1">
      <alignment horizontal="left" vertical="center" wrapText="1" indent="1"/>
    </xf>
    <xf numFmtId="0" fontId="40" fillId="0" borderId="10" xfId="0" applyFont="1" applyBorder="1" applyAlignment="1">
      <alignment horizontal="center" vertical="center" wrapText="1"/>
    </xf>
    <xf numFmtId="0" fontId="42" fillId="0" borderId="10" xfId="0" applyFont="1" applyBorder="1" applyAlignment="1">
      <alignment horizontal="left" vertical="center" wrapText="1" indent="1"/>
    </xf>
    <xf numFmtId="0" fontId="11" fillId="7" borderId="8" xfId="0" applyFont="1" applyFill="1" applyBorder="1" applyAlignment="1">
      <alignment horizontal="center" vertical="center"/>
    </xf>
    <xf numFmtId="0" fontId="11" fillId="7" borderId="7" xfId="0" applyFont="1" applyFill="1" applyBorder="1" applyAlignment="1">
      <alignment horizontal="center" vertical="center"/>
    </xf>
    <xf numFmtId="0" fontId="11" fillId="7" borderId="9" xfId="0" applyFont="1" applyFill="1" applyBorder="1" applyAlignment="1">
      <alignment horizontal="center" vertical="center"/>
    </xf>
    <xf numFmtId="0" fontId="36" fillId="0" borderId="17" xfId="0" applyFont="1" applyBorder="1" applyAlignment="1">
      <alignment horizontal="left" vertical="center" wrapText="1" indent="1"/>
    </xf>
    <xf numFmtId="0" fontId="36" fillId="0" borderId="10" xfId="0" applyFont="1" applyBorder="1" applyAlignment="1">
      <alignment horizontal="left" vertical="center" wrapText="1" indent="1"/>
    </xf>
    <xf numFmtId="0" fontId="35" fillId="0" borderId="15" xfId="0" applyFont="1" applyBorder="1" applyAlignment="1">
      <alignment horizontal="left" vertical="center" wrapText="1" indent="1"/>
    </xf>
    <xf numFmtId="0" fontId="35" fillId="0" borderId="16" xfId="0" applyFont="1" applyBorder="1" applyAlignment="1">
      <alignment horizontal="left" vertical="center" wrapText="1" indent="1"/>
    </xf>
    <xf numFmtId="0" fontId="35" fillId="0" borderId="17" xfId="0" applyFont="1" applyBorder="1" applyAlignment="1">
      <alignment horizontal="left" vertical="center" wrapText="1" indent="1"/>
    </xf>
  </cellXfs>
  <cellStyles count="8">
    <cellStyle name="Currency" xfId="2" builtinId="4"/>
    <cellStyle name="Currency 2" xfId="6" xr:uid="{CC819A9A-CF05-4D4B-8A04-B1A2610FBBB3}"/>
    <cellStyle name="Normal" xfId="0" builtinId="0"/>
    <cellStyle name="Normal 2" xfId="7" xr:uid="{B497C4C0-6C51-46A5-8EC6-8ECCE39372F7}"/>
    <cellStyle name="Normal 2 2" xfId="5" xr:uid="{1A4EB091-7EBF-4B3F-9520-F93DD7773855}"/>
    <cellStyle name="Normal 3" xfId="3" xr:uid="{AFA26CCB-FF2D-435F-91F7-5630DD697D15}"/>
    <cellStyle name="Normal 30" xfId="1" xr:uid="{145C94C6-50A1-4361-9695-A9805FD2A447}"/>
    <cellStyle name="Normal 9" xfId="4" xr:uid="{C846CB69-E922-4DB1-9650-FF6ED34B0807}"/>
  </cellStyles>
  <dxfs count="7">
    <dxf>
      <font>
        <b val="0"/>
        <i val="0"/>
        <strike val="0"/>
        <condense val="0"/>
        <extend val="0"/>
        <outline val="0"/>
        <shadow val="0"/>
        <u val="none"/>
        <vertAlign val="baseline"/>
        <sz val="10"/>
        <color auto="1"/>
        <name val="Calibri"/>
        <family val="2"/>
        <scheme val="minor"/>
      </font>
      <alignment vertical="center" textRotation="0" wrapText="1" indent="0" justifyLastLine="0" shrinkToFit="0" readingOrder="0"/>
      <border diagonalUp="0" diagonalDown="0" outline="0">
        <left/>
        <right/>
        <top style="thin">
          <color theme="0" tint="-0.14996795556505021"/>
        </top>
        <bottom style="thin">
          <color theme="0" tint="-0.14996795556505021"/>
        </bottom>
      </border>
    </dxf>
    <dxf>
      <font>
        <b val="0"/>
        <i val="0"/>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right/>
        <top style="thin">
          <color theme="0" tint="-0.14996795556505021"/>
        </top>
        <bottom style="thin">
          <color theme="0" tint="-0.14996795556505021"/>
        </bottom>
      </border>
    </dxf>
    <dxf>
      <border>
        <top style="thin">
          <color theme="0" tint="-0.14996795556505021"/>
        </top>
      </border>
    </dxf>
    <dxf>
      <border>
        <bottom style="thin">
          <color theme="0" tint="-0.14996795556505021"/>
        </bottom>
      </border>
    </dxf>
    <dxf>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10"/>
        <name val="Calibri"/>
        <family val="2"/>
        <scheme val="minor"/>
      </font>
      <alignment vertical="center" textRotation="0" wrapText="1" indent="0" justifyLastLine="0" shrinkToFit="0" readingOrder="0"/>
    </dxf>
    <dxf>
      <font>
        <strike val="0"/>
        <outline val="0"/>
        <shadow val="0"/>
        <u val="none"/>
        <vertAlign val="baseline"/>
        <sz val="10"/>
        <color theme="1"/>
        <name val="Calibri"/>
        <family val="2"/>
        <scheme val="minor"/>
      </font>
      <fill>
        <patternFill patternType="solid">
          <fgColor indexed="64"/>
          <bgColor rgb="FFFFBDBD"/>
        </patternFill>
      </fill>
      <alignment vertical="center" textRotation="0" wrapText="1" indent="0" justifyLastLine="0" shrinkToFit="0" readingOrder="0"/>
    </dxf>
  </dxfs>
  <tableStyles count="0" defaultTableStyle="TableStyleMedium2" defaultPivotStyle="PivotStyleLight16"/>
  <colors>
    <mruColors>
      <color rgb="FFFFBDBD"/>
      <color rgb="FFB9CFFF"/>
      <color rgb="FF0033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391795</xdr:colOff>
      <xdr:row>2</xdr:row>
      <xdr:rowOff>48894</xdr:rowOff>
    </xdr:to>
    <xdr:pic>
      <xdr:nvPicPr>
        <xdr:cNvPr id="2" name="Picture 1">
          <a:extLst>
            <a:ext uri="{FF2B5EF4-FFF2-40B4-BE49-F238E27FC236}">
              <a16:creationId xmlns:a16="http://schemas.microsoft.com/office/drawing/2014/main" id="{3ED795A6-8020-4A7E-8E17-F1504F9BA034}"/>
            </a:ext>
          </a:extLst>
        </xdr:cNvPr>
        <xdr:cNvPicPr>
          <a:picLocks noChangeAspect="1"/>
        </xdr:cNvPicPr>
      </xdr:nvPicPr>
      <xdr:blipFill>
        <a:blip xmlns:r="http://schemas.openxmlformats.org/officeDocument/2006/relationships" r:embed="rId1"/>
        <a:stretch>
          <a:fillRect/>
        </a:stretch>
      </xdr:blipFill>
      <xdr:spPr>
        <a:xfrm>
          <a:off x="0" y="0"/>
          <a:ext cx="858520" cy="4648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KOP\Finance\Analytics%20&amp;%20Evaluations\Common\Analytics%20&amp;%20Evaluations\FY%2015-16%20(July%202015%20-%20June%202016)\PACE\Workstreams\OTC\OTC%20Benefits_Quant-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medeloitte.sharepoint.com/Users/aascione/Documents/Projects/Vertex%20PPM/Excel%20Model/Vertex%20Initiative%20Inventory%20Master%20(2019.01.29)%20v17.8.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rkothari\OneDrive%20-%20Deloitte%20(O365D)\Desktop\Deloitte\Projects\Fresenius\Teams\4.%20Deloitte%20Tools\4.%20Value%20Management\Material%20from%20Todd\DnA%20Program%20Value%20Realization%20and%20Benefits%20Register_js.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op%20Planner%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amedeloitte-my.sharepoint.com/Users/wolfgang.schneider/AppData/Local/Microsoft/Windows/Temporary%20Internet%20Files/Content.Outlook/G16768NH/Benefit%20Assessment%20Quality%20March%205%20final%20version%208%2056%20p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 Phasing"/>
      <sheetName val="SUMMARY"/>
      <sheetName val="Basic-Data"/>
      <sheetName val="ShSer-Proposal"/>
      <sheetName val="Transportation-Release"/>
      <sheetName val="Transportation-Module"/>
      <sheetName val="EDI-Initiatives"/>
      <sheetName val="Advanced-Track-n-Trace"/>
      <sheetName val="Bid-n-Tender_Cust-Sp-Pricing"/>
      <sheetName val="Cust-Contracts-n-Agreements"/>
      <sheetName val="Product-Launch-Seq"/>
      <sheetName val="3PL-Integration"/>
      <sheetName val="Govt-Price-Compl"/>
      <sheetName val="Global-Affil-Template"/>
      <sheetName val="Ship-under-Quarantine"/>
      <sheetName val="Sheet1"/>
      <sheetName val="Heinz-Karl-analysis"/>
      <sheetName val="Revised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ivot"/>
      <sheetName val="Master"/>
      <sheetName val="EAA"/>
      <sheetName val="GMDA and Quality "/>
      <sheetName val="Commercial"/>
      <sheetName val="Scientific Computing"/>
      <sheetName val="EAA_OLD"/>
      <sheetName val="Infra, Security &amp; DCO"/>
      <sheetName val="Vertex Goals"/>
      <sheetName val="Initiative Category Definition"/>
      <sheetName val="Variables"/>
      <sheetName val="Project Data"/>
      <sheetName val="Demand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oc Control"/>
      <sheetName val="Instructions"/>
      <sheetName val="Value Data"/>
      <sheetName val="Qualitative Only"/>
      <sheetName val="Value Dashboard"/>
      <sheetName val="Data Mgmt"/>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WS content"/>
      <sheetName val="WS schedule"/>
      <sheetName val="WS Participants"/>
      <sheetName val="WS Day Schedule"/>
      <sheetName val="WS Participants Schedule"/>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00A549-5969-4A7E-B1A6-4FE739E12413}" name="Table13" displayName="Table13" ref="C13:D25" totalsRowShown="0" headerRowDxfId="6" dataDxfId="5" headerRowBorderDxfId="3" tableBorderDxfId="4" totalsRowBorderDxfId="2">
  <autoFilter ref="C13:D25" xr:uid="{4B00A549-5969-4A7E-B1A6-4FE739E12413}"/>
  <tableColumns count="2">
    <tableColumn id="1" xr3:uid="{2ED67A16-AD2C-43B0-9A80-1421EFE794F7}" name="Column Header" dataDxfId="1"/>
    <tableColumn id="2" xr3:uid="{1BF7903A-8393-4849-8757-D41E904074AA}" name="Description"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Deloitte US Color1">
      <a:dk1>
        <a:sysClr val="windowText" lastClr="000000"/>
      </a:dk1>
      <a:lt1>
        <a:sysClr val="window" lastClr="FFFFFF"/>
      </a:lt1>
      <a:dk2>
        <a:srgbClr val="53565A"/>
      </a:dk2>
      <a:lt2>
        <a:srgbClr val="D0D0CE"/>
      </a:lt2>
      <a:accent1>
        <a:srgbClr val="86BC25"/>
      </a:accent1>
      <a:accent2>
        <a:srgbClr val="046A38"/>
      </a:accent2>
      <a:accent3>
        <a:srgbClr val="62B5E5"/>
      </a:accent3>
      <a:accent4>
        <a:srgbClr val="012169"/>
      </a:accent4>
      <a:accent5>
        <a:srgbClr val="0097A9"/>
      </a:accent5>
      <a:accent6>
        <a:srgbClr val="75787B"/>
      </a:accent6>
      <a:hlink>
        <a:srgbClr val="00A3E0"/>
      </a:hlink>
      <a:folHlink>
        <a:srgbClr val="53565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B650-1B38-4326-AA3F-D48319AC3126}">
  <dimension ref="A1:F42"/>
  <sheetViews>
    <sheetView showGridLines="0" workbookViewId="0">
      <selection activeCell="C14" sqref="C14:D25"/>
    </sheetView>
  </sheetViews>
  <sheetFormatPr defaultColWidth="8.5703125" defaultRowHeight="14.45"/>
  <cols>
    <col min="1" max="1" width="3.5703125" style="78" customWidth="1"/>
    <col min="2" max="2" width="3" style="78" bestFit="1" customWidth="1"/>
    <col min="3" max="3" width="37" style="78" customWidth="1"/>
    <col min="4" max="4" width="87.42578125" style="78" customWidth="1"/>
    <col min="5" max="16384" width="8.5703125" style="78"/>
  </cols>
  <sheetData>
    <row r="1" spans="1:6" s="75" customFormat="1" ht="18.600000000000001">
      <c r="A1" s="73"/>
      <c r="B1" s="74"/>
      <c r="C1" s="74"/>
    </row>
    <row r="2" spans="1:6" s="76" customFormat="1">
      <c r="B2" s="77"/>
      <c r="C2" s="77"/>
    </row>
    <row r="3" spans="1:6" ht="14.1" customHeight="1">
      <c r="B3" s="79"/>
      <c r="C3" s="79"/>
    </row>
    <row r="4" spans="1:6" s="80" customFormat="1">
      <c r="A4" s="104" t="s">
        <v>0</v>
      </c>
      <c r="B4" s="104"/>
      <c r="C4" s="104"/>
      <c r="D4" s="104"/>
      <c r="E4" s="104"/>
      <c r="F4" s="104"/>
    </row>
    <row r="5" spans="1:6" s="32" customFormat="1" ht="14.45" customHeight="1">
      <c r="B5" s="33"/>
      <c r="C5" s="32" t="s">
        <v>1</v>
      </c>
    </row>
    <row r="6" spans="1:6" s="34" customFormat="1">
      <c r="B6" s="35"/>
    </row>
    <row r="7" spans="1:6" s="81" customFormat="1" ht="14.45" customHeight="1">
      <c r="A7" s="104" t="s">
        <v>2</v>
      </c>
      <c r="B7" s="104"/>
      <c r="C7" s="104"/>
      <c r="D7" s="104"/>
      <c r="E7" s="104"/>
      <c r="F7" s="104"/>
    </row>
    <row r="8" spans="1:6" s="34" customFormat="1" ht="14.45" customHeight="1">
      <c r="B8" s="35"/>
      <c r="C8" s="34" t="s">
        <v>3</v>
      </c>
    </row>
    <row r="9" spans="1:6" s="34" customFormat="1" ht="14.45" customHeight="1">
      <c r="B9" s="35"/>
      <c r="C9" s="32"/>
    </row>
    <row r="10" spans="1:6" s="34" customFormat="1" ht="14.45" customHeight="1">
      <c r="B10" s="36">
        <v>1</v>
      </c>
      <c r="C10" s="32" t="s">
        <v>4</v>
      </c>
    </row>
    <row r="11" spans="1:6" customFormat="1">
      <c r="B11" s="37">
        <v>2</v>
      </c>
      <c r="C11" t="s">
        <v>5</v>
      </c>
    </row>
    <row r="12" spans="1:6" customFormat="1">
      <c r="B12" s="38"/>
      <c r="C12" s="39"/>
    </row>
    <row r="13" spans="1:6" s="40" customFormat="1" ht="13.5">
      <c r="B13" s="41"/>
      <c r="C13" s="103" t="s">
        <v>6</v>
      </c>
      <c r="D13" s="103" t="s">
        <v>7</v>
      </c>
    </row>
    <row r="14" spans="1:6" s="42" customFormat="1" ht="12.95">
      <c r="B14" s="43"/>
      <c r="C14" s="44" t="s">
        <v>8</v>
      </c>
      <c r="D14" s="44" t="s">
        <v>9</v>
      </c>
    </row>
    <row r="15" spans="1:6" s="42" customFormat="1" ht="12.95">
      <c r="B15" s="43"/>
      <c r="C15" s="44" t="s">
        <v>10</v>
      </c>
      <c r="D15" s="44" t="s">
        <v>11</v>
      </c>
    </row>
    <row r="16" spans="1:6" s="42" customFormat="1" ht="12.95">
      <c r="B16" s="43"/>
      <c r="C16" s="44" t="s">
        <v>12</v>
      </c>
      <c r="D16" s="44"/>
    </row>
    <row r="17" spans="2:4" s="42" customFormat="1" ht="12.95">
      <c r="B17" s="43"/>
      <c r="C17" s="45" t="s">
        <v>12</v>
      </c>
      <c r="D17" s="44" t="s">
        <v>13</v>
      </c>
    </row>
    <row r="18" spans="2:4" s="42" customFormat="1" ht="12.95">
      <c r="B18" s="43"/>
      <c r="C18" s="45" t="s">
        <v>14</v>
      </c>
      <c r="D18" s="44" t="s">
        <v>15</v>
      </c>
    </row>
    <row r="19" spans="2:4" s="42" customFormat="1" ht="12.95">
      <c r="B19" s="43"/>
      <c r="C19" s="45" t="s">
        <v>16</v>
      </c>
      <c r="D19" s="44" t="s">
        <v>17</v>
      </c>
    </row>
    <row r="20" spans="2:4" s="42" customFormat="1" ht="12.95">
      <c r="B20" s="43"/>
      <c r="C20" s="45" t="s">
        <v>18</v>
      </c>
      <c r="D20" s="44" t="s">
        <v>19</v>
      </c>
    </row>
    <row r="21" spans="2:4" s="42" customFormat="1" ht="12.95">
      <c r="B21" s="43"/>
      <c r="C21" s="45" t="s">
        <v>20</v>
      </c>
      <c r="D21" s="44" t="s">
        <v>21</v>
      </c>
    </row>
    <row r="22" spans="2:4" s="42" customFormat="1" ht="12.95">
      <c r="B22" s="43"/>
      <c r="C22" s="44" t="s">
        <v>22</v>
      </c>
      <c r="D22" s="44"/>
    </row>
    <row r="23" spans="2:4" s="42" customFormat="1" ht="66" customHeight="1">
      <c r="B23" s="43"/>
      <c r="C23" s="45" t="s">
        <v>23</v>
      </c>
      <c r="D23" s="44" t="s">
        <v>24</v>
      </c>
    </row>
    <row r="24" spans="2:4" s="42" customFormat="1" ht="48.75" customHeight="1">
      <c r="B24" s="43"/>
      <c r="C24" s="45" t="s">
        <v>25</v>
      </c>
      <c r="D24" s="44" t="s">
        <v>26</v>
      </c>
    </row>
    <row r="25" spans="2:4" s="42" customFormat="1" ht="34.5" customHeight="1">
      <c r="B25" s="43"/>
      <c r="C25" s="46" t="s">
        <v>27</v>
      </c>
      <c r="D25" s="46" t="s">
        <v>28</v>
      </c>
    </row>
    <row r="26" spans="2:4" s="48" customFormat="1">
      <c r="B26" s="47"/>
    </row>
    <row r="27" spans="2:4" s="48" customFormat="1">
      <c r="B27" s="47"/>
      <c r="C27" s="34" t="s">
        <v>29</v>
      </c>
    </row>
    <row r="28" spans="2:4" s="48" customFormat="1">
      <c r="B28" s="47"/>
      <c r="C28" s="34"/>
    </row>
    <row r="29" spans="2:4" s="48" customFormat="1">
      <c r="B29" s="36">
        <v>1</v>
      </c>
      <c r="C29" s="32" t="s">
        <v>30</v>
      </c>
    </row>
    <row r="30" spans="2:4" s="48" customFormat="1">
      <c r="B30" s="36"/>
      <c r="C30" s="32"/>
    </row>
    <row r="31" spans="2:4" s="48" customFormat="1">
      <c r="B31" s="47"/>
      <c r="C31" s="49" t="s">
        <v>31</v>
      </c>
    </row>
    <row r="32" spans="2:4" s="48" customFormat="1">
      <c r="B32" s="47"/>
    </row>
    <row r="33" spans="2:3" s="48" customFormat="1">
      <c r="B33" s="36">
        <v>1</v>
      </c>
      <c r="C33" s="32" t="s">
        <v>32</v>
      </c>
    </row>
    <row r="34" spans="2:3" s="48" customFormat="1">
      <c r="B34" s="47"/>
    </row>
    <row r="35" spans="2:3" s="48" customFormat="1">
      <c r="B35" s="47"/>
      <c r="C35" s="49" t="s">
        <v>33</v>
      </c>
    </row>
    <row r="36" spans="2:3" s="48" customFormat="1">
      <c r="B36" s="47"/>
    </row>
    <row r="37" spans="2:3" s="48" customFormat="1">
      <c r="B37" s="36">
        <v>1</v>
      </c>
      <c r="C37" s="32" t="s">
        <v>34</v>
      </c>
    </row>
    <row r="38" spans="2:3" s="48" customFormat="1">
      <c r="B38" s="47">
        <v>2</v>
      </c>
      <c r="C38" s="48" t="s">
        <v>35</v>
      </c>
    </row>
    <row r="39" spans="2:3" s="48" customFormat="1">
      <c r="B39" s="47"/>
    </row>
    <row r="40" spans="2:3" s="48" customFormat="1">
      <c r="B40" s="47"/>
      <c r="C40" s="49" t="s">
        <v>36</v>
      </c>
    </row>
    <row r="41" spans="2:3" s="48" customFormat="1">
      <c r="B41" s="47"/>
    </row>
    <row r="42" spans="2:3" s="48" customFormat="1">
      <c r="B42" s="36">
        <v>1</v>
      </c>
      <c r="C42" s="32" t="s">
        <v>37</v>
      </c>
    </row>
  </sheetData>
  <mergeCells count="2">
    <mergeCell ref="A4:F4"/>
    <mergeCell ref="A7:F7"/>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218E4-925C-45EC-A7F3-83944DE83E97}">
  <dimension ref="A1:AD17"/>
  <sheetViews>
    <sheetView showGridLines="0" zoomScale="80" zoomScaleNormal="80" workbookViewId="0">
      <selection activeCell="S10" sqref="S10"/>
    </sheetView>
  </sheetViews>
  <sheetFormatPr defaultColWidth="8.85546875" defaultRowHeight="12.95"/>
  <cols>
    <col min="1" max="1" width="2.5703125" style="2" customWidth="1"/>
    <col min="2" max="3" width="47.140625" style="2" customWidth="1"/>
    <col min="4" max="5" width="22.5703125" style="2" customWidth="1"/>
    <col min="6" max="7" width="15.5703125" style="2" customWidth="1"/>
    <col min="8" max="8" width="20.85546875" style="2" customWidth="1"/>
    <col min="9" max="18" width="10.5703125" style="2" customWidth="1"/>
    <col min="19" max="19" width="50.5703125" style="4" customWidth="1"/>
    <col min="20" max="16384" width="8.85546875" style="2"/>
  </cols>
  <sheetData>
    <row r="1" spans="1:30" s="83" customFormat="1" ht="38.1" customHeight="1">
      <c r="A1" s="92" t="s">
        <v>38</v>
      </c>
      <c r="D1" s="82"/>
      <c r="E1" s="84"/>
      <c r="F1" s="84"/>
      <c r="G1" s="82"/>
    </row>
    <row r="2" spans="1:30" s="85" customFormat="1" ht="5.45" customHeight="1">
      <c r="E2" s="86"/>
      <c r="F2" s="86"/>
    </row>
    <row r="3" spans="1:30" s="3" customFormat="1" ht="23.1" customHeight="1">
      <c r="A3" s="13"/>
      <c r="B3" s="14" t="s">
        <v>39</v>
      </c>
      <c r="AD3" s="23"/>
    </row>
    <row r="4" spans="1:30" s="3" customFormat="1" ht="24.95" customHeight="1">
      <c r="B4" s="5" t="s">
        <v>40</v>
      </c>
      <c r="C4" s="20"/>
      <c r="F4" s="21"/>
      <c r="S4" s="4"/>
      <c r="AD4" s="23"/>
    </row>
    <row r="5" spans="1:30" s="3" customFormat="1" ht="12.75" customHeight="1">
      <c r="F5" s="5"/>
      <c r="S5" s="4"/>
      <c r="AD5" s="23"/>
    </row>
    <row r="6" spans="1:30" s="97" customFormat="1" ht="95.1" customHeight="1">
      <c r="B6" s="119" t="s">
        <v>41</v>
      </c>
      <c r="C6" s="119"/>
      <c r="D6" s="120" t="s">
        <v>42</v>
      </c>
      <c r="E6" s="120"/>
      <c r="F6" s="120"/>
      <c r="G6" s="120"/>
      <c r="H6" s="120"/>
      <c r="I6" s="116" t="s">
        <v>43</v>
      </c>
      <c r="J6" s="117"/>
      <c r="K6" s="117"/>
      <c r="L6" s="117"/>
      <c r="M6" s="117"/>
      <c r="N6" s="117"/>
      <c r="O6" s="117"/>
      <c r="P6" s="117"/>
      <c r="Q6" s="117"/>
      <c r="R6" s="118"/>
      <c r="S6" s="98"/>
    </row>
    <row r="7" spans="1:30" ht="39.950000000000003" customHeight="1">
      <c r="B7" s="99" t="s">
        <v>8</v>
      </c>
      <c r="C7" s="100" t="s">
        <v>10</v>
      </c>
      <c r="D7" s="121" t="s">
        <v>12</v>
      </c>
      <c r="E7" s="121"/>
      <c r="F7" s="121"/>
      <c r="G7" s="121"/>
      <c r="H7" s="121"/>
      <c r="I7" s="113" t="s">
        <v>22</v>
      </c>
      <c r="J7" s="114"/>
      <c r="K7" s="114"/>
      <c r="L7" s="114"/>
      <c r="M7" s="114"/>
      <c r="N7" s="114"/>
      <c r="O7" s="114"/>
      <c r="P7" s="114"/>
      <c r="Q7" s="114"/>
      <c r="R7" s="115"/>
      <c r="S7" s="101" t="s">
        <v>44</v>
      </c>
    </row>
    <row r="8" spans="1:30" s="10" customFormat="1" ht="78.95" customHeight="1">
      <c r="B8" s="66" t="s">
        <v>45</v>
      </c>
      <c r="C8" s="66" t="s">
        <v>46</v>
      </c>
      <c r="D8" s="66" t="s">
        <v>47</v>
      </c>
      <c r="E8" s="67" t="s">
        <v>48</v>
      </c>
      <c r="F8" s="67" t="s">
        <v>16</v>
      </c>
      <c r="G8" s="67" t="s">
        <v>49</v>
      </c>
      <c r="H8" s="68" t="s">
        <v>50</v>
      </c>
      <c r="I8" s="109" t="s">
        <v>23</v>
      </c>
      <c r="J8" s="110"/>
      <c r="K8" s="110"/>
      <c r="L8" s="110"/>
      <c r="M8" s="111"/>
      <c r="N8" s="112" t="s">
        <v>25</v>
      </c>
      <c r="O8" s="110"/>
      <c r="P8" s="110"/>
      <c r="Q8" s="110"/>
      <c r="R8" s="111"/>
      <c r="S8" s="68" t="s">
        <v>51</v>
      </c>
    </row>
    <row r="9" spans="1:30" s="1" customFormat="1" ht="18" customHeight="1">
      <c r="B9" s="70"/>
      <c r="C9" s="70"/>
      <c r="D9" s="70"/>
      <c r="E9" s="70"/>
      <c r="F9" s="70"/>
      <c r="G9" s="70"/>
      <c r="H9" s="70"/>
      <c r="I9" s="69" t="s">
        <v>52</v>
      </c>
      <c r="J9" s="69" t="s">
        <v>53</v>
      </c>
      <c r="K9" s="69" t="s">
        <v>54</v>
      </c>
      <c r="L9" s="69" t="s">
        <v>55</v>
      </c>
      <c r="M9" s="69" t="s">
        <v>56</v>
      </c>
      <c r="N9" s="69" t="s">
        <v>52</v>
      </c>
      <c r="O9" s="69" t="s">
        <v>53</v>
      </c>
      <c r="P9" s="69" t="s">
        <v>54</v>
      </c>
      <c r="Q9" s="69" t="s">
        <v>55</v>
      </c>
      <c r="R9" s="69" t="s">
        <v>56</v>
      </c>
      <c r="S9" s="71"/>
    </row>
    <row r="10" spans="1:30" s="8" customFormat="1" ht="27" customHeight="1">
      <c r="A10" s="7"/>
      <c r="B10" s="15" t="s">
        <v>57</v>
      </c>
      <c r="C10" s="16"/>
      <c r="D10" s="16"/>
      <c r="E10" s="16"/>
      <c r="F10" s="17"/>
      <c r="G10" s="17"/>
      <c r="H10" s="17"/>
      <c r="I10" s="24"/>
      <c r="J10" s="24"/>
      <c r="K10" s="24"/>
      <c r="L10" s="24"/>
      <c r="M10" s="18"/>
      <c r="N10" s="18"/>
      <c r="O10" s="18"/>
      <c r="P10" s="18"/>
      <c r="Q10" s="18"/>
      <c r="R10" s="19"/>
      <c r="S10" s="19"/>
      <c r="V10" s="11"/>
    </row>
    <row r="11" spans="1:30" s="8" customFormat="1" ht="24.95" customHeight="1">
      <c r="A11" s="7"/>
      <c r="B11" s="15" t="s">
        <v>58</v>
      </c>
      <c r="C11" s="16"/>
      <c r="D11" s="16"/>
      <c r="E11" s="57"/>
      <c r="F11" s="58"/>
      <c r="G11" s="59"/>
      <c r="H11" s="59"/>
      <c r="I11" s="54"/>
      <c r="J11" s="54"/>
      <c r="K11" s="54"/>
      <c r="L11" s="54"/>
      <c r="M11" s="54"/>
      <c r="N11" s="54"/>
      <c r="O11" s="54"/>
      <c r="P11" s="54"/>
      <c r="Q11" s="54"/>
      <c r="R11" s="55"/>
      <c r="S11" s="19"/>
      <c r="V11" s="11"/>
    </row>
    <row r="12" spans="1:30" s="8" customFormat="1" ht="22.5" customHeight="1">
      <c r="A12" s="7"/>
      <c r="B12" s="15" t="s">
        <v>59</v>
      </c>
      <c r="C12" s="16"/>
      <c r="D12" s="52"/>
      <c r="E12" s="56"/>
      <c r="F12" s="56"/>
      <c r="G12" s="56"/>
      <c r="H12" s="56"/>
      <c r="I12" s="56"/>
      <c r="J12" s="56"/>
      <c r="K12" s="56"/>
      <c r="L12" s="56"/>
      <c r="M12" s="56"/>
      <c r="N12" s="56"/>
      <c r="O12" s="56"/>
      <c r="P12" s="56"/>
      <c r="Q12" s="56"/>
      <c r="R12" s="56"/>
      <c r="S12" s="53"/>
      <c r="V12" s="11"/>
    </row>
    <row r="13" spans="1:30" s="8" customFormat="1" ht="20.100000000000001" customHeight="1">
      <c r="A13" s="7"/>
      <c r="B13" s="15" t="s">
        <v>60</v>
      </c>
      <c r="C13" s="105" t="s">
        <v>61</v>
      </c>
      <c r="D13" s="106"/>
      <c r="E13" s="107"/>
      <c r="F13" s="107"/>
      <c r="G13" s="107"/>
      <c r="H13" s="108"/>
      <c r="I13" s="60"/>
      <c r="J13" s="60"/>
      <c r="K13" s="60"/>
      <c r="L13" s="61"/>
      <c r="M13" s="60"/>
      <c r="N13" s="60"/>
      <c r="O13" s="60"/>
      <c r="P13" s="60"/>
      <c r="Q13" s="60"/>
      <c r="R13" s="61"/>
      <c r="S13" s="19"/>
      <c r="V13" s="11"/>
    </row>
    <row r="14" spans="1:30" s="8" customFormat="1" ht="18.600000000000001" customHeight="1">
      <c r="A14" s="7"/>
      <c r="B14" s="15" t="s">
        <v>62</v>
      </c>
      <c r="C14" s="16"/>
      <c r="D14" s="52"/>
      <c r="E14" s="56"/>
      <c r="F14" s="56"/>
      <c r="G14" s="56"/>
      <c r="H14" s="56"/>
      <c r="I14" s="56"/>
      <c r="J14" s="56"/>
      <c r="K14" s="56"/>
      <c r="L14" s="56"/>
      <c r="M14" s="56"/>
      <c r="N14" s="56"/>
      <c r="O14" s="56"/>
      <c r="P14" s="56"/>
      <c r="Q14" s="56"/>
      <c r="R14" s="56"/>
      <c r="S14" s="53"/>
    </row>
    <row r="15" spans="1:30" s="8" customFormat="1" ht="15.95" customHeight="1">
      <c r="A15" s="7"/>
      <c r="B15" s="15" t="s">
        <v>63</v>
      </c>
      <c r="C15" s="16"/>
      <c r="D15" s="52"/>
      <c r="E15" s="56"/>
      <c r="F15" s="56"/>
      <c r="G15" s="56"/>
      <c r="H15" s="56"/>
      <c r="I15" s="56"/>
      <c r="J15" s="56"/>
      <c r="K15" s="56"/>
      <c r="L15" s="56"/>
      <c r="M15" s="56"/>
      <c r="N15" s="56"/>
      <c r="O15" s="56"/>
      <c r="P15" s="56"/>
      <c r="Q15" s="56"/>
      <c r="R15" s="56"/>
      <c r="S15" s="53"/>
    </row>
    <row r="16" spans="1:30" s="8" customFormat="1" ht="17.100000000000001" customHeight="1">
      <c r="A16" s="7"/>
      <c r="B16" s="15" t="s">
        <v>64</v>
      </c>
      <c r="C16" s="16"/>
      <c r="D16" s="52"/>
      <c r="E16" s="56"/>
      <c r="F16" s="56"/>
      <c r="G16" s="56"/>
      <c r="H16" s="56"/>
      <c r="I16" s="56"/>
      <c r="J16" s="56"/>
      <c r="K16" s="56"/>
      <c r="L16" s="56"/>
      <c r="M16" s="56"/>
      <c r="N16" s="56"/>
      <c r="O16" s="56"/>
      <c r="P16" s="56"/>
      <c r="Q16" s="56"/>
      <c r="R16" s="56"/>
      <c r="S16" s="53"/>
    </row>
    <row r="17" spans="13:19" ht="32.1" customHeight="1">
      <c r="M17" s="9"/>
      <c r="N17" s="9"/>
      <c r="O17" s="9"/>
      <c r="P17" s="9"/>
      <c r="Q17" s="9"/>
      <c r="R17" s="9"/>
      <c r="S17" s="9"/>
    </row>
  </sheetData>
  <sheetProtection formatCells="0" formatColumns="0" formatRows="0" insertColumns="0" insertRows="0" insertHyperlinks="0" deleteColumns="0" deleteRows="0" selectLockedCells="1" autoFilter="0" pivotTables="0"/>
  <mergeCells count="8">
    <mergeCell ref="C13:H13"/>
    <mergeCell ref="I8:M8"/>
    <mergeCell ref="N8:R8"/>
    <mergeCell ref="I7:R7"/>
    <mergeCell ref="I6:R6"/>
    <mergeCell ref="B6:C6"/>
    <mergeCell ref="D6:H6"/>
    <mergeCell ref="D7:H7"/>
  </mergeCells>
  <dataValidations count="3">
    <dataValidation type="decimal" allowBlank="1" showInputMessage="1" showErrorMessage="1" sqref="R10" xr:uid="{39969196-954D-40A3-982B-E81AE54E9B1F}">
      <formula1>-100000000000000000</formula1>
      <formula2>1000000000000000000</formula2>
    </dataValidation>
    <dataValidation type="decimal" allowBlank="1" showInputMessage="1" showErrorMessage="1" prompt="Please input a numeric value" sqref="F10:Q11 I13:R13" xr:uid="{0FCD0234-2E21-44C6-AD97-A89939AAA111}">
      <formula1>-10000000000</formula1>
      <formula2>10000000000</formula2>
    </dataValidation>
    <dataValidation type="list" allowBlank="1" showInputMessage="1" showErrorMessage="1" sqref="S10:S1048576" xr:uid="{59D2A071-F014-453F-93FA-A107B8CB330C}">
      <formula1>#REF!</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6596B-B30F-43C5-A73F-C3C2F4E75FC1}">
  <dimension ref="A1:AD19"/>
  <sheetViews>
    <sheetView showGridLines="0" tabSelected="1" zoomScale="90" zoomScaleNormal="90" workbookViewId="0">
      <pane ySplit="5" topLeftCell="A6" activePane="bottomLeft" state="frozen"/>
      <selection pane="bottomLeft" activeCell="D26" sqref="D26"/>
    </sheetView>
  </sheetViews>
  <sheetFormatPr defaultColWidth="8.85546875" defaultRowHeight="12.95"/>
  <cols>
    <col min="1" max="1" width="2.5703125" style="2" customWidth="1"/>
    <col min="2" max="3" width="47.140625" style="2" customWidth="1"/>
    <col min="4" max="5" width="22.5703125" style="2" customWidth="1"/>
    <col min="6" max="7" width="15.5703125" style="2" customWidth="1"/>
    <col min="8" max="8" width="20.85546875" style="2" customWidth="1"/>
    <col min="9" max="18" width="10.5703125" style="2" customWidth="1"/>
    <col min="19" max="19" width="50.5703125" style="4" customWidth="1"/>
    <col min="20" max="16384" width="8.85546875" style="2"/>
  </cols>
  <sheetData>
    <row r="1" spans="1:30" s="83" customFormat="1" ht="21">
      <c r="A1" s="92" t="s">
        <v>38</v>
      </c>
      <c r="D1" s="82"/>
      <c r="E1" s="84"/>
      <c r="F1" s="84"/>
      <c r="G1" s="82"/>
    </row>
    <row r="2" spans="1:30" s="85" customFormat="1" ht="1.5" customHeight="1">
      <c r="E2" s="86"/>
      <c r="F2" s="86"/>
    </row>
    <row r="3" spans="1:30" s="3" customFormat="1" ht="23.1" customHeight="1">
      <c r="A3" s="13"/>
      <c r="B3" s="87" t="s">
        <v>39</v>
      </c>
      <c r="C3" s="88"/>
      <c r="D3" s="88"/>
      <c r="E3" s="88"/>
      <c r="F3" s="88"/>
      <c r="G3" s="88"/>
      <c r="AD3" s="23"/>
    </row>
    <row r="4" spans="1:30" s="3" customFormat="1" ht="23.1" customHeight="1">
      <c r="A4" s="13"/>
      <c r="B4" s="89"/>
      <c r="C4" s="88"/>
      <c r="D4" s="88"/>
      <c r="E4" s="88"/>
      <c r="F4" s="88"/>
      <c r="G4" s="88"/>
      <c r="AD4" s="23"/>
    </row>
    <row r="5" spans="1:30" s="3" customFormat="1" ht="24.95" customHeight="1">
      <c r="B5" s="88" t="s">
        <v>40</v>
      </c>
      <c r="C5" s="88"/>
      <c r="D5" s="88"/>
      <c r="E5" s="90"/>
      <c r="F5" s="91" t="s">
        <v>65</v>
      </c>
      <c r="G5" s="88"/>
      <c r="S5" s="4"/>
      <c r="AD5" s="23"/>
    </row>
    <row r="6" spans="1:30" s="3" customFormat="1" ht="24.95" customHeight="1">
      <c r="F6" s="5"/>
      <c r="S6" s="4"/>
      <c r="AD6" s="23"/>
    </row>
    <row r="7" spans="1:30" s="93" customFormat="1" ht="56.25" customHeight="1">
      <c r="B7" s="94" t="s">
        <v>66</v>
      </c>
      <c r="C7" s="95"/>
      <c r="D7" s="124" t="s">
        <v>67</v>
      </c>
      <c r="E7" s="125"/>
      <c r="F7" s="125"/>
      <c r="G7" s="125"/>
      <c r="H7" s="125"/>
      <c r="I7" s="126" t="s">
        <v>68</v>
      </c>
      <c r="J7" s="127"/>
      <c r="K7" s="127"/>
      <c r="L7" s="127"/>
      <c r="M7" s="127"/>
      <c r="N7" s="127"/>
      <c r="O7" s="127"/>
      <c r="P7" s="127"/>
      <c r="Q7" s="127"/>
      <c r="R7" s="128"/>
      <c r="S7" s="96"/>
    </row>
    <row r="8" spans="1:30" ht="12" customHeight="1">
      <c r="B8" s="122" t="s">
        <v>8</v>
      </c>
      <c r="C8" s="121" t="s">
        <v>10</v>
      </c>
      <c r="D8" s="121" t="s">
        <v>12</v>
      </c>
      <c r="E8" s="121"/>
      <c r="F8" s="121"/>
      <c r="G8" s="121"/>
      <c r="H8" s="121"/>
      <c r="I8" s="113" t="s">
        <v>22</v>
      </c>
      <c r="J8" s="114"/>
      <c r="K8" s="114"/>
      <c r="L8" s="114"/>
      <c r="M8" s="114"/>
      <c r="N8" s="114"/>
      <c r="O8" s="114"/>
      <c r="P8" s="114"/>
      <c r="Q8" s="114"/>
      <c r="R8" s="115"/>
      <c r="S8" s="113" t="s">
        <v>44</v>
      </c>
    </row>
    <row r="9" spans="1:30" ht="10.5" customHeight="1">
      <c r="B9" s="122"/>
      <c r="C9" s="121"/>
      <c r="D9" s="121"/>
      <c r="E9" s="121"/>
      <c r="F9" s="121"/>
      <c r="G9" s="121"/>
      <c r="H9" s="121"/>
      <c r="I9" s="113"/>
      <c r="J9" s="114"/>
      <c r="K9" s="114"/>
      <c r="L9" s="114"/>
      <c r="M9" s="114"/>
      <c r="N9" s="114"/>
      <c r="O9" s="114"/>
      <c r="P9" s="114"/>
      <c r="Q9" s="114"/>
      <c r="R9" s="115"/>
      <c r="S9" s="123"/>
      <c r="V9" s="22"/>
    </row>
    <row r="10" spans="1:30" s="10" customFormat="1" ht="78.95" customHeight="1">
      <c r="B10" s="66" t="s">
        <v>45</v>
      </c>
      <c r="C10" s="66" t="s">
        <v>46</v>
      </c>
      <c r="D10" s="66" t="s">
        <v>47</v>
      </c>
      <c r="E10" s="67" t="s">
        <v>48</v>
      </c>
      <c r="F10" s="67" t="s">
        <v>16</v>
      </c>
      <c r="G10" s="67" t="s">
        <v>49</v>
      </c>
      <c r="H10" s="68" t="s">
        <v>50</v>
      </c>
      <c r="I10" s="109" t="s">
        <v>23</v>
      </c>
      <c r="J10" s="110"/>
      <c r="K10" s="110"/>
      <c r="L10" s="110"/>
      <c r="M10" s="111"/>
      <c r="N10" s="112" t="s">
        <v>25</v>
      </c>
      <c r="O10" s="110"/>
      <c r="P10" s="110"/>
      <c r="Q10" s="110"/>
      <c r="R10" s="111"/>
      <c r="S10" s="68" t="s">
        <v>51</v>
      </c>
    </row>
    <row r="11" spans="1:30" s="1" customFormat="1" ht="18" customHeight="1">
      <c r="B11" s="50"/>
      <c r="C11" s="50"/>
      <c r="D11" s="50"/>
      <c r="E11" s="50"/>
      <c r="F11" s="50"/>
      <c r="G11" s="50"/>
      <c r="H11" s="50"/>
      <c r="I11" s="69" t="s">
        <v>52</v>
      </c>
      <c r="J11" s="69" t="s">
        <v>53</v>
      </c>
      <c r="K11" s="69" t="s">
        <v>54</v>
      </c>
      <c r="L11" s="69" t="s">
        <v>55</v>
      </c>
      <c r="M11" s="69" t="s">
        <v>56</v>
      </c>
      <c r="N11" s="69" t="s">
        <v>52</v>
      </c>
      <c r="O11" s="69" t="s">
        <v>53</v>
      </c>
      <c r="P11" s="69" t="s">
        <v>54</v>
      </c>
      <c r="Q11" s="69" t="s">
        <v>55</v>
      </c>
      <c r="R11" s="69" t="s">
        <v>56</v>
      </c>
      <c r="S11" s="51"/>
    </row>
    <row r="12" spans="1:30" s="8" customFormat="1" ht="26.25" customHeight="1">
      <c r="A12" s="7"/>
      <c r="B12" s="15" t="s">
        <v>57</v>
      </c>
      <c r="C12" s="16"/>
      <c r="D12" s="16"/>
      <c r="E12" s="16"/>
      <c r="F12" s="17"/>
      <c r="G12" s="17"/>
      <c r="H12" s="17"/>
      <c r="I12" s="24"/>
      <c r="J12" s="24"/>
      <c r="K12" s="24"/>
      <c r="L12" s="24"/>
      <c r="M12" s="18"/>
      <c r="N12" s="18"/>
      <c r="O12" s="18"/>
      <c r="P12" s="18"/>
      <c r="Q12" s="18"/>
      <c r="R12" s="19"/>
      <c r="S12" s="19"/>
      <c r="V12" s="11"/>
    </row>
    <row r="13" spans="1:30" s="8" customFormat="1" ht="57.75" customHeight="1">
      <c r="A13" s="7"/>
      <c r="B13" s="15" t="s">
        <v>58</v>
      </c>
      <c r="C13" s="6" t="s">
        <v>69</v>
      </c>
      <c r="D13" s="6" t="s">
        <v>70</v>
      </c>
      <c r="E13" s="8" t="s">
        <v>71</v>
      </c>
      <c r="F13" s="62">
        <v>30</v>
      </c>
      <c r="G13" s="63">
        <v>15</v>
      </c>
      <c r="H13" s="63">
        <v>18</v>
      </c>
      <c r="I13" s="64">
        <v>200000</v>
      </c>
      <c r="J13" s="65"/>
      <c r="K13" s="54"/>
      <c r="L13" s="54"/>
      <c r="M13" s="54"/>
      <c r="N13" s="54"/>
      <c r="O13" s="54"/>
      <c r="P13" s="54"/>
      <c r="Q13" s="54"/>
      <c r="R13" s="55"/>
      <c r="S13" s="19" t="s">
        <v>72</v>
      </c>
      <c r="V13" s="11"/>
    </row>
    <row r="14" spans="1:30" s="8" customFormat="1" ht="21" customHeight="1">
      <c r="A14" s="7"/>
      <c r="B14" s="15" t="s">
        <v>59</v>
      </c>
      <c r="C14" s="16"/>
      <c r="D14" s="52"/>
      <c r="E14" s="56"/>
      <c r="F14" s="56"/>
      <c r="G14" s="56"/>
      <c r="H14" s="56"/>
      <c r="I14" s="56"/>
      <c r="J14" s="56"/>
      <c r="K14" s="56"/>
      <c r="L14" s="56"/>
      <c r="M14" s="56"/>
      <c r="N14" s="56"/>
      <c r="O14" s="56"/>
      <c r="P14" s="56"/>
      <c r="Q14" s="56"/>
      <c r="R14" s="56"/>
      <c r="S14" s="53"/>
      <c r="V14" s="11"/>
    </row>
    <row r="15" spans="1:30" s="8" customFormat="1" ht="20.25" customHeight="1">
      <c r="A15" s="7"/>
      <c r="B15" s="15" t="s">
        <v>60</v>
      </c>
      <c r="C15" s="105" t="s">
        <v>61</v>
      </c>
      <c r="D15" s="106"/>
      <c r="E15" s="107"/>
      <c r="F15" s="107"/>
      <c r="G15" s="107"/>
      <c r="H15" s="108"/>
      <c r="I15" s="60"/>
      <c r="J15" s="60"/>
      <c r="K15" s="60"/>
      <c r="L15" s="61"/>
      <c r="M15" s="60"/>
      <c r="N15" s="60"/>
      <c r="O15" s="60"/>
      <c r="P15" s="60"/>
      <c r="Q15" s="60"/>
      <c r="R15" s="61"/>
      <c r="S15" s="19"/>
      <c r="V15" s="11"/>
    </row>
    <row r="16" spans="1:30" s="8" customFormat="1" ht="17.25" customHeight="1">
      <c r="A16" s="7"/>
      <c r="B16" s="15" t="s">
        <v>62</v>
      </c>
      <c r="C16" s="16"/>
      <c r="D16" s="52"/>
      <c r="E16" s="56"/>
      <c r="F16" s="56"/>
      <c r="G16" s="56"/>
      <c r="H16" s="56"/>
      <c r="I16" s="56"/>
      <c r="J16" s="56"/>
      <c r="K16" s="56"/>
      <c r="L16" s="56"/>
      <c r="M16" s="56"/>
      <c r="N16" s="56"/>
      <c r="O16" s="56"/>
      <c r="P16" s="56"/>
      <c r="Q16" s="56"/>
      <c r="R16" s="56"/>
      <c r="S16" s="53"/>
    </row>
    <row r="17" spans="1:19" s="8" customFormat="1" ht="18" customHeight="1">
      <c r="A17" s="7"/>
      <c r="B17" s="15" t="s">
        <v>63</v>
      </c>
      <c r="C17" s="16"/>
      <c r="D17" s="52"/>
      <c r="E17" s="56"/>
      <c r="F17" s="56"/>
      <c r="G17" s="56"/>
      <c r="H17" s="56"/>
      <c r="I17" s="56"/>
      <c r="J17" s="56"/>
      <c r="K17" s="56"/>
      <c r="L17" s="56"/>
      <c r="M17" s="56"/>
      <c r="N17" s="56"/>
      <c r="O17" s="56"/>
      <c r="P17" s="56"/>
      <c r="Q17" s="56"/>
      <c r="R17" s="56"/>
      <c r="S17" s="53"/>
    </row>
    <row r="18" spans="1:19" s="8" customFormat="1" ht="17.25" customHeight="1">
      <c r="A18" s="7"/>
      <c r="B18" s="15" t="s">
        <v>73</v>
      </c>
      <c r="C18" s="16"/>
      <c r="D18" s="52"/>
      <c r="E18" s="56"/>
      <c r="F18" s="56"/>
      <c r="G18" s="56"/>
      <c r="H18" s="56"/>
      <c r="I18" s="56"/>
      <c r="J18" s="56"/>
      <c r="K18" s="56"/>
      <c r="L18" s="56"/>
      <c r="M18" s="56"/>
      <c r="N18" s="56"/>
      <c r="O18" s="56"/>
      <c r="P18" s="56"/>
      <c r="Q18" s="56"/>
      <c r="R18" s="56"/>
      <c r="S18" s="53"/>
    </row>
    <row r="19" spans="1:19" ht="32.1" customHeight="1">
      <c r="M19" s="9"/>
      <c r="N19" s="9"/>
      <c r="O19" s="9"/>
      <c r="P19" s="9"/>
      <c r="Q19" s="9"/>
      <c r="R19" s="9"/>
      <c r="S19" s="9"/>
    </row>
  </sheetData>
  <sheetProtection formatCells="0" formatColumns="0" formatRows="0" insertColumns="0" insertRows="0" insertHyperlinks="0" deleteColumns="0" deleteRows="0" selectLockedCells="1" autoFilter="0" pivotTables="0"/>
  <mergeCells count="10">
    <mergeCell ref="I10:M10"/>
    <mergeCell ref="N10:R10"/>
    <mergeCell ref="C15:H15"/>
    <mergeCell ref="D7:H7"/>
    <mergeCell ref="I7:R7"/>
    <mergeCell ref="B8:B9"/>
    <mergeCell ref="C8:C9"/>
    <mergeCell ref="D8:H9"/>
    <mergeCell ref="I8:R9"/>
    <mergeCell ref="S8:S9"/>
  </mergeCells>
  <dataValidations count="3">
    <dataValidation type="decimal" allowBlank="1" showInputMessage="1" showErrorMessage="1" prompt="Please input a numeric value" sqref="I15:R15 L12:Q13 F12:K12 I13 K13" xr:uid="{9893BDA9-F307-491F-8414-EC0507EE7D81}">
      <formula1>-10000000000</formula1>
      <formula2>10000000000</formula2>
    </dataValidation>
    <dataValidation type="decimal" allowBlank="1" showInputMessage="1" showErrorMessage="1" sqref="R12" xr:uid="{C21A24C5-49B1-498B-9B73-5F12F89900AE}">
      <formula1>-100000000000000000</formula1>
      <formula2>1000000000000000000</formula2>
    </dataValidation>
    <dataValidation type="list" allowBlank="1" showInputMessage="1" showErrorMessage="1" sqref="S12:S1048576" xr:uid="{5B1375B9-838D-422D-A6A5-54079CDA9631}">
      <formula1>#REF!</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AF6A2-3F06-469B-A11F-013289D9A459}">
  <sheetPr>
    <tabColor theme="0" tint="-0.34998626667073579"/>
  </sheetPr>
  <dimension ref="A1:G16"/>
  <sheetViews>
    <sheetView showGridLines="0" zoomScale="90" zoomScaleNormal="90" workbookViewId="0">
      <selection activeCell="F15" sqref="F15:F16"/>
    </sheetView>
  </sheetViews>
  <sheetFormatPr defaultColWidth="8.85546875" defaultRowHeight="12.6"/>
  <cols>
    <col min="1" max="1" width="2.5703125" style="2" customWidth="1"/>
    <col min="2" max="2" width="40.5703125" style="2" customWidth="1"/>
    <col min="3" max="3" width="11.42578125" style="2" customWidth="1"/>
    <col min="4" max="16384" width="8.85546875" style="2"/>
  </cols>
  <sheetData>
    <row r="1" spans="1:7" s="83" customFormat="1" ht="21">
      <c r="A1" s="92" t="s">
        <v>38</v>
      </c>
      <c r="D1" s="82"/>
      <c r="E1" s="84"/>
      <c r="F1" s="84"/>
      <c r="G1" s="82"/>
    </row>
    <row r="2" spans="1:7" s="85" customFormat="1" ht="1.5" customHeight="1">
      <c r="E2" s="86"/>
      <c r="F2" s="86"/>
    </row>
    <row r="3" spans="1:7" s="72" customFormat="1" ht="28.5" customHeight="1">
      <c r="A3" s="72" t="s">
        <v>74</v>
      </c>
    </row>
    <row r="4" spans="1:7" ht="24.95" customHeight="1"/>
    <row r="5" spans="1:7" ht="12.95">
      <c r="B5" s="25" t="s">
        <v>75</v>
      </c>
    </row>
    <row r="6" spans="1:7" ht="12.95">
      <c r="B6" s="26" t="s">
        <v>76</v>
      </c>
    </row>
    <row r="8" spans="1:7" ht="12.95">
      <c r="B8" s="12" t="s">
        <v>77</v>
      </c>
      <c r="C8" s="8"/>
    </row>
    <row r="9" spans="1:7" ht="7.5" customHeight="1">
      <c r="B9" s="12"/>
      <c r="C9" s="8"/>
    </row>
    <row r="10" spans="1:7" ht="12.95">
      <c r="B10" s="29" t="s">
        <v>78</v>
      </c>
      <c r="C10" s="28"/>
    </row>
    <row r="11" spans="1:7">
      <c r="B11" s="31" t="s">
        <v>79</v>
      </c>
      <c r="C11" s="28">
        <v>12</v>
      </c>
    </row>
    <row r="12" spans="1:7">
      <c r="B12" s="31" t="s">
        <v>80</v>
      </c>
      <c r="C12" s="28">
        <v>0</v>
      </c>
    </row>
    <row r="13" spans="1:7" ht="24.95">
      <c r="B13" s="31" t="s">
        <v>81</v>
      </c>
      <c r="C13" s="28">
        <v>3</v>
      </c>
    </row>
    <row r="14" spans="1:7">
      <c r="B14" s="31" t="s">
        <v>82</v>
      </c>
      <c r="C14" s="30">
        <v>100</v>
      </c>
    </row>
    <row r="15" spans="1:7">
      <c r="B15" s="28"/>
      <c r="C15" s="28"/>
    </row>
    <row r="16" spans="1:7" ht="40.700000000000003" customHeight="1">
      <c r="B16" s="27" t="s">
        <v>83</v>
      </c>
      <c r="C16" s="102">
        <f>(C11-C12)*C13*C14</f>
        <v>3600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BF662C8E6B1B4FB44BD71793BD93DB" ma:contentTypeVersion="8" ma:contentTypeDescription="Create a new document." ma:contentTypeScope="" ma:versionID="e5c235c622379571b90b5a2d783d1002">
  <xsd:schema xmlns:xsd="http://www.w3.org/2001/XMLSchema" xmlns:xs="http://www.w3.org/2001/XMLSchema" xmlns:p="http://schemas.microsoft.com/office/2006/metadata/properties" xmlns:ns2="567ba4dc-eaa4-4764-9078-86fe8f265db1" targetNamespace="http://schemas.microsoft.com/office/2006/metadata/properties" ma:root="true" ma:fieldsID="5714a07022e53b0c7e86a4b8284832ec" ns2:_="">
    <xsd:import namespace="567ba4dc-eaa4-4764-9078-86fe8f265d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ba4dc-eaa4-4764-9078-86fe8f265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2DF4DB-19B7-48FC-B876-992F70D82E6E}"/>
</file>

<file path=customXml/itemProps2.xml><?xml version="1.0" encoding="utf-8"?>
<ds:datastoreItem xmlns:ds="http://schemas.openxmlformats.org/officeDocument/2006/customXml" ds:itemID="{F49BE4EC-7A53-4D4C-8AFA-CD73F71F3312}"/>
</file>

<file path=customXml/itemProps3.xml><?xml version="1.0" encoding="utf-8"?>
<ds:datastoreItem xmlns:ds="http://schemas.openxmlformats.org/officeDocument/2006/customXml" ds:itemID="{57559983-8604-4C50-BFFC-8E7F1E8CB721}"/>
</file>

<file path=docMetadata/LabelInfo.xml><?xml version="1.0" encoding="utf-8"?>
<clbl:labelList xmlns:clbl="http://schemas.microsoft.com/office/2020/mipLabelMetadata">
  <clbl:label id="{50f40674-931c-4d09-ae8a-bb8fde36b912}" enabled="0" method="" siteId="{50f40674-931c-4d09-ae8a-bb8fde36b912}" removed="1"/>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Anish Pappachan</cp:lastModifiedBy>
  <cp:revision/>
  <dcterms:created xsi:type="dcterms:W3CDTF">2023-03-15T13:00:51Z</dcterms:created>
  <dcterms:modified xsi:type="dcterms:W3CDTF">2025-12-09T10:47:49Z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2023-03-15T13:04:40Z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1c293419-9907-4a3f-b510-716bf07111cd</vt:lpwstr>
  </property>
  <property fmtid="{D5CDD505-2E9C-101B-9397-08002B2CF9AE}" pid="8" name="MSIP_Label_ea60d57e-af5b-4752-ac57-3e4f28ca11dc_ContentBits">
    <vt:lpwstr>0</vt:lpwstr>
  </property>
  <property fmtid="{D5CDD505-2E9C-101B-9397-08002B2CF9AE}" pid="9" name="ContentTypeId">
    <vt:lpwstr>0x01010055BF662C8E6B1B4FB44BD71793BD93DB</vt:lpwstr>
  </property>
</Properties>
</file>