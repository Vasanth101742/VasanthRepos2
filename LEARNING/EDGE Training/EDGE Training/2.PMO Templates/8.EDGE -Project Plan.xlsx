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2"/>
  <workbookPr codeName="ThisWorkbook"/>
  <mc:AlternateContent xmlns:mc="http://schemas.openxmlformats.org/markup-compatibility/2006">
    <mc:Choice Requires="x15">
      <x15ac:absPath xmlns:x15ac="http://schemas.microsoft.com/office/spreadsheetml/2010/11/ac" url="https://elgi.sharepoint.com/sites/ITLeadershipTeam/Shared Documents/03 PMO/06 EDGE - Training/EDGE PMO Templates/"/>
    </mc:Choice>
  </mc:AlternateContent>
  <xr:revisionPtr revIDLastSave="56" documentId="8_{C14283CC-7C5D-4051-9B77-5BA11CDB8477}" xr6:coauthVersionLast="47" xr6:coauthVersionMax="47" xr10:uidLastSave="{6E23749B-465D-4995-8D19-2430AC7618A4}"/>
  <bookViews>
    <workbookView xWindow="28680" yWindow="-120" windowWidth="29040" windowHeight="15720" firstSheet="1" activeTab="1" xr2:uid="{00000000-000D-0000-FFFF-FFFF00000000}"/>
  </bookViews>
  <sheets>
    <sheet name="Instruction" sheetId="6" r:id="rId1"/>
    <sheet name="Project Plan" sheetId="9" r:id="rId2"/>
  </sheets>
  <definedNames>
    <definedName name="prevWBS" localSheetId="0">'Project Plan'!$A1048576</definedName>
    <definedName name="prevWBS" localSheetId="1">'Project Plan'!$A1048576</definedName>
    <definedName name="_xlnm.Print_Area" localSheetId="1">'Project Plan'!$A$4:$BO$41</definedName>
    <definedName name="_xlnm.Print_Titles" localSheetId="1">'Project Plan'!$6:$9</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9" l="1"/>
  <c r="I45" i="9" s="1"/>
  <c r="F44" i="9"/>
  <c r="I44" i="9" s="1"/>
  <c r="F43" i="9"/>
  <c r="I43" i="9" s="1"/>
  <c r="F42" i="9"/>
  <c r="I42" i="9" s="1"/>
  <c r="F41" i="9"/>
  <c r="I41" i="9" s="1"/>
  <c r="F40" i="9"/>
  <c r="I40" i="9" s="1"/>
  <c r="E10" i="9" l="1"/>
  <c r="F17" i="9"/>
  <c r="I17" i="9" s="1"/>
  <c r="F24" i="9"/>
  <c r="I24" i="9" s="1"/>
  <c r="F27" i="6"/>
  <c r="I27" i="6" s="1"/>
  <c r="F28" i="6"/>
  <c r="I28" i="6" s="1"/>
  <c r="F29" i="6"/>
  <c r="I29" i="6" s="1"/>
  <c r="F30" i="6"/>
  <c r="I30" i="6" s="1"/>
  <c r="F14" i="9"/>
  <c r="F10" i="9" l="1"/>
  <c r="F34" i="9"/>
  <c r="I34" i="9" s="1"/>
  <c r="F28" i="9"/>
  <c r="I28" i="9" s="1"/>
  <c r="F22" i="9"/>
  <c r="I22" i="9" s="1"/>
  <c r="F15" i="9" l="1"/>
  <c r="F11" i="9"/>
  <c r="L8" i="9"/>
  <c r="F19" i="9" l="1"/>
  <c r="I19" i="9" s="1"/>
  <c r="I15" i="9"/>
  <c r="F12" i="9"/>
  <c r="I12" i="9" s="1"/>
  <c r="I11" i="9"/>
  <c r="F20" i="9"/>
  <c r="I20" i="9" s="1"/>
  <c r="L9" i="9"/>
  <c r="L6" i="9"/>
  <c r="A10" i="9"/>
  <c r="F16" i="9" l="1"/>
  <c r="I16" i="9" s="1"/>
  <c r="F18" i="9" l="1"/>
  <c r="I18" i="9" s="1"/>
  <c r="M8" i="9" l="1"/>
  <c r="F23" i="9" l="1"/>
  <c r="I23" i="9" s="1"/>
  <c r="F30" i="9"/>
  <c r="I30" i="9" s="1"/>
  <c r="F29" i="9"/>
  <c r="I29" i="9" s="1"/>
  <c r="F36" i="9"/>
  <c r="I36" i="9" s="1"/>
  <c r="F35" i="9"/>
  <c r="I35" i="9" s="1"/>
  <c r="N8" i="9"/>
  <c r="F31" i="9"/>
  <c r="I31" i="9" s="1"/>
  <c r="F37" i="9" l="1"/>
  <c r="I37" i="9" s="1"/>
  <c r="O8" i="9"/>
  <c r="F38" i="9" l="1"/>
  <c r="I38" i="9" s="1"/>
  <c r="F32" i="9"/>
  <c r="I32" i="9" s="1"/>
  <c r="P8" i="9"/>
  <c r="F21" i="9"/>
  <c r="I21" i="9" s="1"/>
  <c r="L7" i="9"/>
  <c r="F39" i="9" l="1"/>
  <c r="I39" i="9" s="1"/>
  <c r="F33" i="9"/>
  <c r="I33" i="9" s="1"/>
  <c r="F13" i="9"/>
  <c r="I13" i="9" s="1"/>
  <c r="Q8" i="9"/>
  <c r="M9" i="9"/>
  <c r="R8" i="9" l="1"/>
  <c r="N9" i="9"/>
  <c r="S8" i="9" l="1"/>
  <c r="O9" i="9"/>
  <c r="T8" i="9" l="1"/>
  <c r="P9" i="9"/>
  <c r="U8" i="9" l="1"/>
  <c r="Q9" i="9"/>
  <c r="V8" i="9" l="1"/>
  <c r="R9" i="9"/>
  <c r="W8" i="9" l="1"/>
  <c r="S9" i="9"/>
  <c r="S7" i="9"/>
  <c r="S6" i="9"/>
  <c r="X8" i="9" l="1"/>
  <c r="T9" i="9"/>
  <c r="Y8" i="9" l="1"/>
  <c r="U9" i="9"/>
  <c r="Z8" i="9" l="1"/>
  <c r="V9" i="9"/>
  <c r="AA8" i="9" l="1"/>
  <c r="W9" i="9"/>
  <c r="AB8" i="9" l="1"/>
  <c r="Y9" i="9"/>
  <c r="X9" i="9"/>
  <c r="AC8" i="9" l="1"/>
  <c r="Z7" i="9"/>
  <c r="Z6" i="9"/>
  <c r="Z9" i="9"/>
  <c r="AD8" i="9" l="1"/>
  <c r="AA9" i="9"/>
  <c r="AE8" i="9" l="1"/>
  <c r="AB9" i="9"/>
  <c r="AF8" i="9" l="1"/>
  <c r="AC9" i="9"/>
  <c r="AG8" i="9" l="1"/>
  <c r="AD9" i="9"/>
  <c r="AH8" i="9" l="1"/>
  <c r="AE9" i="9"/>
  <c r="AI8" i="9" l="1"/>
  <c r="AF9" i="9"/>
  <c r="AJ8" i="9" l="1"/>
  <c r="AG6" i="9"/>
  <c r="AG9" i="9"/>
  <c r="AG7" i="9"/>
  <c r="AK8" i="9" l="1"/>
  <c r="AH9" i="9"/>
  <c r="AL8" i="9" l="1"/>
  <c r="AI9" i="9"/>
  <c r="AM8" i="9" l="1"/>
  <c r="AJ9" i="9"/>
  <c r="AN8" i="9" l="1"/>
  <c r="AK9" i="9"/>
  <c r="AO8" i="9" l="1"/>
  <c r="AL9" i="9"/>
  <c r="AP8" i="9" l="1"/>
  <c r="AM9" i="9"/>
  <c r="AQ8" i="9" l="1"/>
  <c r="AN9" i="9"/>
  <c r="AN7" i="9"/>
  <c r="AN6" i="9"/>
  <c r="AR8" i="9" l="1"/>
  <c r="AO9" i="9"/>
  <c r="AS8" i="9" l="1"/>
  <c r="AP9" i="9"/>
  <c r="AT8" i="9" l="1"/>
  <c r="AQ9" i="9"/>
  <c r="AU8" i="9" l="1"/>
  <c r="AR9" i="9"/>
  <c r="AV8" i="9" l="1"/>
  <c r="AS9" i="9"/>
  <c r="AW8" i="9" l="1"/>
  <c r="AT9" i="9"/>
  <c r="AX8" i="9" l="1"/>
  <c r="AU9" i="9"/>
  <c r="AU7" i="9"/>
  <c r="AU6" i="9"/>
  <c r="AY8" i="9" l="1"/>
  <c r="AV9" i="9"/>
  <c r="AZ8" i="9" l="1"/>
  <c r="AW9" i="9"/>
  <c r="BA8" i="9" l="1"/>
  <c r="AX9" i="9"/>
  <c r="BB8" i="9" l="1"/>
  <c r="AY9" i="9"/>
  <c r="BC8" i="9" l="1"/>
  <c r="AZ9" i="9"/>
  <c r="BD8" i="9" l="1"/>
  <c r="BA9" i="9"/>
  <c r="BE8" i="9" l="1"/>
  <c r="BB7" i="9"/>
  <c r="BB6" i="9"/>
  <c r="BB9" i="9"/>
  <c r="BF8" i="9" l="1"/>
  <c r="BC9" i="9"/>
  <c r="BG8" i="9" l="1"/>
  <c r="BD9" i="9"/>
  <c r="BH8" i="9" l="1"/>
  <c r="BE9" i="9"/>
  <c r="BI8" i="9" l="1"/>
  <c r="BF9" i="9"/>
  <c r="BJ8" i="9" l="1"/>
  <c r="BG9" i="9"/>
  <c r="BK8" i="9" l="1"/>
  <c r="BH9" i="9"/>
  <c r="BL8" i="9" l="1"/>
  <c r="BI6" i="9"/>
  <c r="BI9" i="9"/>
  <c r="BI7" i="9"/>
  <c r="BM8" i="9" l="1"/>
  <c r="BJ9" i="9"/>
  <c r="BN8" i="9" l="1"/>
  <c r="BK9" i="9"/>
  <c r="BO8" i="9" l="1"/>
  <c r="BL9" i="9"/>
  <c r="BM9" i="9" l="1"/>
  <c r="BN9" i="9" l="1"/>
  <c r="BO9" i="9" l="1"/>
  <c r="A11" i="9" l="1"/>
  <c r="A12" i="9" s="1"/>
  <c r="A13" i="9" s="1"/>
  <c r="A14" i="9" s="1"/>
  <c r="A15" i="9" l="1"/>
  <c r="A16" i="9" s="1"/>
  <c r="A17" i="9" l="1"/>
  <c r="A18" i="9" s="1"/>
  <c r="A19" i="9" s="1"/>
  <c r="A20" i="9" s="1"/>
  <c r="A21" i="9" s="1"/>
  <c r="A23" i="9" s="1"/>
  <c r="A24" i="9" s="1"/>
  <c r="A25" i="9" s="1"/>
  <c r="A26" i="9" s="1"/>
  <c r="A27" i="9" s="1"/>
  <c r="A28" i="9" l="1"/>
  <c r="A27" i="6"/>
  <c r="F25" i="9"/>
  <c r="A29" i="9" l="1"/>
  <c r="A28" i="6"/>
  <c r="I25" i="9"/>
  <c r="F26" i="9"/>
  <c r="A30" i="9" l="1"/>
  <c r="A29" i="6"/>
  <c r="I26" i="9"/>
  <c r="F27" i="9"/>
  <c r="I27" i="9" s="1"/>
  <c r="A31" i="9" l="1"/>
  <c r="A32" i="9" s="1"/>
  <c r="A33" i="9" s="1"/>
  <c r="A34" i="9" s="1"/>
  <c r="A35" i="9" s="1"/>
  <c r="A36" i="9" s="1"/>
  <c r="A37" i="9" s="1"/>
  <c r="A38" i="9" s="1"/>
  <c r="A39" i="9" s="1"/>
  <c r="A40" i="9" s="1"/>
  <c r="A41" i="9" s="1"/>
  <c r="A42" i="9" s="1"/>
  <c r="A43" i="9" s="1"/>
  <c r="A44" i="9" s="1"/>
  <c r="A45" i="9" s="1"/>
  <c r="A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6" authorId="0" shapeId="0" xr:uid="{00000000-0006-0000-0200-000001000000}">
      <text>
        <r>
          <rPr>
            <sz val="8"/>
            <color indexed="81"/>
            <rFont val="Tahoma"/>
            <family val="2"/>
          </rPr>
          <t>This is an example comment.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Anish Pappachan</author>
  </authors>
  <commentList>
    <comment ref="A9"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t>
        </r>
      </text>
    </comment>
    <comment ref="B9"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9" authorId="0" shapeId="0" xr:uid="{00000000-0006-0000-0000-000003000000}">
      <text>
        <r>
          <rPr>
            <b/>
            <sz val="9"/>
            <color indexed="81"/>
            <rFont val="Tahoma"/>
            <family val="2"/>
          </rPr>
          <t>Resource</t>
        </r>
        <r>
          <rPr>
            <sz val="9"/>
            <color indexed="81"/>
            <rFont val="Tahoma"/>
            <family val="2"/>
          </rPr>
          <t xml:space="preserve">
Enter the name of the Resource Lead in this column who owns the task</t>
        </r>
      </text>
    </comment>
    <comment ref="D9"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9"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t>
        </r>
      </text>
    </comment>
    <comment ref="F9"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9"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9"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9"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t>
        </r>
      </text>
    </comment>
    <comment ref="J9" authorId="2" shapeId="0" xr:uid="{4B66D021-52A7-4216-8434-B15BC0F30F28}">
      <text>
        <r>
          <rPr>
            <sz val="9"/>
            <color indexed="81"/>
            <rFont val="Tahoma"/>
            <family val="2"/>
          </rPr>
          <t xml:space="preserve">Please put the completion Status basis on the drop down
</t>
        </r>
      </text>
    </comment>
  </commentList>
</comments>
</file>

<file path=xl/sharedStrings.xml><?xml version="1.0" encoding="utf-8"?>
<sst xmlns="http://schemas.openxmlformats.org/spreadsheetml/2006/main" count="77" uniqueCount="48">
  <si>
    <t>About This Template</t>
  </si>
  <si>
    <t>This Project Plan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</si>
  <si>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</si>
  <si>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</si>
  <si>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</si>
  <si>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</si>
  <si>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</si>
  <si>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</si>
  <si>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</si>
  <si>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</si>
  <si>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</si>
  <si>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</si>
  <si>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t xml:space="preserve">• </t>
    </r>
    <r>
      <rPr>
        <b/>
        <sz val="10"/>
        <color rgb="FFFF0000"/>
        <rFont val="Calibri"/>
        <family val="2"/>
      </rPr>
      <t>Backup</t>
    </r>
    <r>
      <rPr>
        <sz val="10"/>
        <color rgb="FFFF0000"/>
        <rFont val="Calibri"/>
        <family val="2"/>
      </rPr>
      <t xml:space="preserve"> your file regularly to avoid losing data! Excel files get corrupted occasionally.</t>
    </r>
  </si>
  <si>
    <t>Inserting New Tasks (Rows)</t>
  </si>
  <si>
    <r>
      <t xml:space="preserve">When inserting and deleting tasks, you need to insert and delete </t>
    </r>
    <r>
      <rPr>
        <b/>
        <sz val="10"/>
        <rFont val="Calibri"/>
        <family val="2"/>
      </rPr>
      <t>entire rows</t>
    </r>
    <r>
      <rPr>
        <sz val="10"/>
        <rFont val="Calibri"/>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</si>
  <si>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</si>
  <si>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</si>
  <si>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</si>
  <si>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</si>
  <si>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</si>
  <si>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</si>
  <si>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TEMPLATE ROWS</t>
  </si>
  <si>
    <t>See the Help worksheet to learn how to use these rows. You can hide these rows before printing.</t>
  </si>
  <si>
    <t>[ Level 1 Task or Phase ]</t>
  </si>
  <si>
    <t xml:space="preserve"> . [ Level 2 Task ]</t>
  </si>
  <si>
    <t xml:space="preserve"> . . [ Level 3 Task ]</t>
  </si>
  <si>
    <t xml:space="preserve"> . . . [ Level 4 Task ]</t>
  </si>
  <si>
    <t>[Project Name] Project Plan</t>
  </si>
  <si>
    <t xml:space="preserve">Project Start Date </t>
  </si>
  <si>
    <t xml:space="preserve">Display Week </t>
  </si>
  <si>
    <t>Project Manager</t>
  </si>
  <si>
    <t>WBS</t>
  </si>
  <si>
    <t>TASK</t>
  </si>
  <si>
    <t>Resource</t>
  </si>
  <si>
    <t>PREDECESSOR</t>
  </si>
  <si>
    <t>START</t>
  </si>
  <si>
    <t>END</t>
  </si>
  <si>
    <t>DAYS</t>
  </si>
  <si>
    <t>% DONE</t>
  </si>
  <si>
    <t>WORK DAYS</t>
  </si>
  <si>
    <t>STATUS</t>
  </si>
  <si>
    <t>[Pahse 1]</t>
  </si>
  <si>
    <t>[Task]</t>
  </si>
  <si>
    <t>[Sub-task]</t>
  </si>
  <si>
    <t>[Pahse 2]</t>
  </si>
  <si>
    <t>[Phase 3]</t>
  </si>
  <si>
    <t>[Phase 4]</t>
  </si>
  <si>
    <t>[Phase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</si>
</sst>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56">
    <font>
      <sz val="10"/>
      <name val="Arial"/>
    </font>
    <font>
      <sz val="11"/>
      <color theme="1"/>
      <name val="Arial"/>
      <family val="2"/>
      <scheme val="minor"/>
    </font>
    <font>
      <sz val="10"/>
      <name val="Arial"/>
      <family val="2"/>
    </font>
    <font>
      <u/>
      <sz val="10"/>
      <color indexed="12"/>
      <name val="Arial"/>
      <family val="2"/>
    </font>
    <font>
      <sz val="8"/>
      <name val="Arial"/>
      <family val="2"/>
    </font>
    <font>
      <sz val="10"/>
      <name val="Arial"/>
      <family val="2"/>
    </font>
    <font>
      <sz val="8"/>
      <color indexed="81"/>
      <name val="Tahoma"/>
      <family val="2"/>
    </font>
    <font>
      <sz val="14"/>
      <color indexed="56"/>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1"/>
      <name val="Arial"/>
      <family val="2"/>
    </font>
    <font>
      <i/>
      <sz val="8"/>
      <color theme="0" tint="-0.34998626667073579"/>
      <name val="Arial"/>
      <family val="2"/>
    </font>
    <font>
      <sz val="10"/>
      <name val="Calibri"/>
      <family val="2"/>
    </font>
    <font>
      <b/>
      <sz val="10"/>
      <name val="Calibri"/>
      <family val="2"/>
    </font>
    <font>
      <b/>
      <sz val="10"/>
      <color rgb="FF000000"/>
      <name val="Calibri"/>
      <family val="2"/>
    </font>
    <font>
      <sz val="10"/>
      <color rgb="FF000000"/>
      <name val="Calibri"/>
      <family val="2"/>
    </font>
    <font>
      <sz val="10"/>
      <color rgb="FFFF0000"/>
      <name val="Calibri"/>
      <family val="2"/>
    </font>
    <font>
      <b/>
      <sz val="10"/>
      <color rgb="FFFF0000"/>
      <name val="Calibri"/>
      <family val="2"/>
    </font>
    <font>
      <b/>
      <sz val="11"/>
      <color theme="1"/>
      <name val="Calibri"/>
      <family val="2"/>
    </font>
    <font>
      <b/>
      <sz val="26"/>
      <color theme="0"/>
      <name val="Calibri"/>
      <family val="2"/>
    </font>
    <font>
      <sz val="11"/>
      <color theme="0"/>
      <name val="Calibri"/>
      <family val="2"/>
    </font>
    <font>
      <sz val="11"/>
      <color theme="1"/>
      <name val="Calibri"/>
      <family val="2"/>
    </font>
    <font>
      <sz val="16"/>
      <color rgb="FF002060"/>
      <name val="Arial"/>
      <family val="2"/>
      <scheme val="major"/>
    </font>
    <font>
      <sz val="14"/>
      <color rgb="FF002060"/>
      <name val="Arial"/>
      <family val="2"/>
    </font>
    <font>
      <b/>
      <sz val="10"/>
      <color rgb="FF002060"/>
      <name val="Calibri"/>
      <family val="2"/>
    </font>
  </fonts>
  <fills count="30">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79998168889431442"/>
        <bgColor rgb="FFD6F4D9"/>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style="thin">
        <color theme="0" tint="-0.24994659260841701"/>
      </right>
      <top/>
      <bottom style="medium">
        <color theme="0" tint="-0.34998626667073579"/>
      </bottom>
      <diagonal/>
    </border>
    <border>
      <left/>
      <right style="thin">
        <color theme="1"/>
      </right>
      <top style="thin">
        <color theme="1"/>
      </top>
      <bottom style="thin">
        <color theme="1"/>
      </bottom>
      <diagonal/>
    </border>
    <border>
      <left style="thin">
        <color theme="0"/>
      </left>
      <right/>
      <top style="thin">
        <color indexed="22"/>
      </top>
      <bottom style="thin">
        <color indexed="22"/>
      </bottom>
      <diagonal/>
    </border>
    <border>
      <left style="thin">
        <color theme="0"/>
      </left>
      <right style="thin">
        <color theme="0"/>
      </right>
      <top style="thin">
        <color theme="0"/>
      </top>
      <bottom style="thin">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s>
  <cellStyleXfs count="45">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3"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5" fillId="5" borderId="7" applyNumberFormat="0" applyFont="0" applyAlignment="0" applyProtection="0"/>
    <xf numFmtId="0" fontId="21" fillId="17" borderId="8" applyNumberFormat="0" applyAlignment="0" applyProtection="0"/>
    <xf numFmtId="9" fontId="2"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1" fillId="0" borderId="0"/>
  </cellStyleXfs>
  <cellXfs count="129">
    <xf numFmtId="0" fontId="0" fillId="0" borderId="0" xfId="0"/>
    <xf numFmtId="0" fontId="0" fillId="20" borderId="0" xfId="0" applyFill="1"/>
    <xf numFmtId="0" fontId="2" fillId="0" borderId="0" xfId="0" applyFont="1"/>
    <xf numFmtId="0" fontId="3" fillId="0" borderId="0" xfId="34" applyAlignment="1" applyProtection="1">
      <alignment horizontal="left"/>
    </xf>
    <xf numFmtId="0" fontId="0" fillId="0" borderId="0" xfId="0" applyProtection="1">
      <protection locked="0"/>
    </xf>
    <xf numFmtId="0" fontId="7" fillId="0" borderId="0" xfId="0" applyFont="1" applyAlignment="1" applyProtection="1">
      <alignment vertical="center"/>
      <protection locked="0"/>
    </xf>
    <xf numFmtId="0" fontId="28" fillId="0" borderId="0" xfId="0" applyFont="1"/>
    <xf numFmtId="0" fontId="29" fillId="0" borderId="0" xfId="0" applyFont="1" applyAlignment="1" applyProtection="1">
      <alignment vertical="center"/>
      <protection locked="0"/>
    </xf>
    <xf numFmtId="0" fontId="31" fillId="24" borderId="10" xfId="0" applyFont="1" applyFill="1" applyBorder="1" applyAlignment="1">
      <alignment horizontal="left" vertical="center"/>
    </xf>
    <xf numFmtId="0" fontId="31" fillId="24" borderId="10" xfId="0" applyFont="1" applyFill="1" applyBorder="1" applyAlignment="1">
      <alignment vertical="center"/>
    </xf>
    <xf numFmtId="0" fontId="27" fillId="24" borderId="10" xfId="0" applyFont="1" applyFill="1" applyBorder="1" applyAlignment="1">
      <alignment vertical="center"/>
    </xf>
    <xf numFmtId="0" fontId="27" fillId="24" borderId="10" xfId="0" applyFont="1" applyFill="1" applyBorder="1" applyAlignment="1">
      <alignment horizontal="center" vertical="center"/>
    </xf>
    <xf numFmtId="1" fontId="27" fillId="24" borderId="10" xfId="40" applyNumberFormat="1" applyFont="1" applyFill="1" applyBorder="1" applyAlignment="1" applyProtection="1">
      <alignment horizontal="center" vertical="center"/>
    </xf>
    <xf numFmtId="9" fontId="27" fillId="24" borderId="10" xfId="40" applyFont="1" applyFill="1" applyBorder="1" applyAlignment="1" applyProtection="1">
      <alignment horizontal="center" vertical="center"/>
    </xf>
    <xf numFmtId="1" fontId="27" fillId="24" borderId="10" xfId="0" applyNumberFormat="1" applyFont="1" applyFill="1" applyBorder="1" applyAlignment="1">
      <alignment horizontal="center" vertical="center"/>
    </xf>
    <xf numFmtId="0" fontId="27" fillId="0" borderId="10" xfId="0" applyFont="1" applyBorder="1" applyAlignment="1">
      <alignment horizontal="left" vertical="center"/>
    </xf>
    <xf numFmtId="0" fontId="27" fillId="0" borderId="10" xfId="0" applyFont="1" applyBorder="1" applyAlignment="1">
      <alignment vertical="center"/>
    </xf>
    <xf numFmtId="1" fontId="32" fillId="0" borderId="12" xfId="0" applyNumberFormat="1" applyFont="1" applyBorder="1" applyAlignment="1">
      <alignment horizontal="center" vertical="center"/>
    </xf>
    <xf numFmtId="0" fontId="27" fillId="0" borderId="0" xfId="0" applyFont="1" applyAlignment="1">
      <alignment vertical="center"/>
    </xf>
    <xf numFmtId="0" fontId="33" fillId="23" borderId="0" xfId="0" applyFont="1" applyFill="1" applyAlignment="1">
      <alignment vertical="center"/>
    </xf>
    <xf numFmtId="0" fontId="34" fillId="24" borderId="0" xfId="0" applyFont="1" applyFill="1" applyAlignment="1">
      <alignment vertical="center"/>
    </xf>
    <xf numFmtId="0" fontId="34" fillId="0" borderId="0" xfId="0" applyFont="1" applyAlignment="1">
      <alignment vertical="center"/>
    </xf>
    <xf numFmtId="0" fontId="27" fillId="24" borderId="0" xfId="0" applyFont="1" applyFill="1" applyAlignment="1">
      <alignment vertical="center"/>
    </xf>
    <xf numFmtId="0" fontId="32" fillId="0" borderId="12" xfId="0" quotePrefix="1" applyFont="1" applyBorder="1" applyAlignment="1">
      <alignment horizontal="center" vertical="center"/>
    </xf>
    <xf numFmtId="166" fontId="4" fillId="0" borderId="13" xfId="0" applyNumberFormat="1" applyFont="1" applyBorder="1" applyAlignment="1">
      <alignment horizontal="center" vertical="center" shrinkToFit="1"/>
    </xf>
    <xf numFmtId="0" fontId="31" fillId="24" borderId="14" xfId="0" applyFont="1" applyFill="1" applyBorder="1" applyAlignment="1">
      <alignment horizontal="left" vertical="center"/>
    </xf>
    <xf numFmtId="0" fontId="31" fillId="24" borderId="14" xfId="0" applyFont="1" applyFill="1" applyBorder="1" applyAlignment="1">
      <alignment vertical="center"/>
    </xf>
    <xf numFmtId="0" fontId="27" fillId="24" borderId="14" xfId="0" applyFont="1" applyFill="1" applyBorder="1" applyAlignment="1">
      <alignment vertical="center"/>
    </xf>
    <xf numFmtId="0" fontId="27" fillId="24" borderId="14" xfId="0" applyFont="1" applyFill="1" applyBorder="1" applyAlignment="1">
      <alignment horizontal="center" vertical="center"/>
    </xf>
    <xf numFmtId="1" fontId="27" fillId="24" borderId="14" xfId="40" applyNumberFormat="1" applyFont="1" applyFill="1" applyBorder="1" applyAlignment="1" applyProtection="1">
      <alignment horizontal="center" vertical="center"/>
    </xf>
    <xf numFmtId="9" fontId="27" fillId="24" borderId="14" xfId="40" applyFont="1" applyFill="1" applyBorder="1" applyAlignment="1" applyProtection="1">
      <alignment horizontal="center" vertical="center"/>
    </xf>
    <xf numFmtId="1" fontId="27" fillId="24" borderId="14" xfId="0" applyNumberFormat="1" applyFont="1" applyFill="1" applyBorder="1" applyAlignment="1">
      <alignment horizontal="center" vertical="center"/>
    </xf>
    <xf numFmtId="166" fontId="4" fillId="0" borderId="16" xfId="0" applyNumberFormat="1" applyFont="1" applyBorder="1" applyAlignment="1">
      <alignment horizontal="center" vertical="center" shrinkToFit="1"/>
    </xf>
    <xf numFmtId="166" fontId="4" fillId="0" borderId="17" xfId="0" applyNumberFormat="1" applyFont="1" applyBorder="1" applyAlignment="1">
      <alignment horizontal="center" vertical="center" shrinkToFit="1"/>
    </xf>
    <xf numFmtId="1" fontId="36" fillId="24" borderId="14" xfId="0" applyNumberFormat="1" applyFont="1" applyFill="1" applyBorder="1" applyAlignment="1">
      <alignment horizontal="center" vertical="center"/>
    </xf>
    <xf numFmtId="1" fontId="37" fillId="0" borderId="12" xfId="0" applyNumberFormat="1" applyFont="1" applyBorder="1" applyAlignment="1">
      <alignment horizontal="center" vertical="center"/>
    </xf>
    <xf numFmtId="1" fontId="36" fillId="24" borderId="10" xfId="0" applyNumberFormat="1" applyFont="1" applyFill="1" applyBorder="1" applyAlignment="1">
      <alignment horizontal="center" vertical="center"/>
    </xf>
    <xf numFmtId="0" fontId="36" fillId="24" borderId="0" xfId="0" applyFont="1" applyFill="1" applyAlignment="1">
      <alignment vertical="center"/>
    </xf>
    <xf numFmtId="165" fontId="32" fillId="0" borderId="12" xfId="0" applyNumberFormat="1" applyFont="1" applyBorder="1" applyAlignment="1">
      <alignment horizontal="center" vertical="center"/>
    </xf>
    <xf numFmtId="165" fontId="27" fillId="24" borderId="10" xfId="0" applyNumberFormat="1" applyFont="1" applyFill="1" applyBorder="1" applyAlignment="1">
      <alignment horizontal="center" vertical="center"/>
    </xf>
    <xf numFmtId="0" fontId="33" fillId="23" borderId="0" xfId="0" applyFont="1" applyFill="1" applyAlignment="1">
      <alignment horizontal="center" vertical="center"/>
    </xf>
    <xf numFmtId="0" fontId="27" fillId="24" borderId="0" xfId="0" applyFont="1" applyFill="1" applyAlignment="1">
      <alignment horizontal="center" vertical="center"/>
    </xf>
    <xf numFmtId="0" fontId="27" fillId="24" borderId="14" xfId="0" applyFont="1" applyFill="1" applyBorder="1" applyAlignment="1">
      <alignment horizontal="left" vertical="center"/>
    </xf>
    <xf numFmtId="9" fontId="27" fillId="0" borderId="10" xfId="0" applyNumberFormat="1" applyFont="1" applyBorder="1" applyAlignment="1">
      <alignment horizontal="left" vertical="center"/>
    </xf>
    <xf numFmtId="0" fontId="27" fillId="24" borderId="10" xfId="0" applyFont="1" applyFill="1" applyBorder="1" applyAlignment="1">
      <alignment horizontal="left" vertical="center"/>
    </xf>
    <xf numFmtId="0" fontId="38" fillId="0" borderId="0" xfId="0" applyFont="1"/>
    <xf numFmtId="0" fontId="38" fillId="0" borderId="0" xfId="0" applyFont="1" applyAlignment="1">
      <alignment horizontal="right" vertical="center"/>
    </xf>
    <xf numFmtId="165" fontId="27" fillId="24" borderId="14" xfId="0" applyNumberFormat="1" applyFont="1" applyFill="1" applyBorder="1" applyAlignment="1">
      <alignment horizontal="center" vertical="center"/>
    </xf>
    <xf numFmtId="0" fontId="27" fillId="0" borderId="18" xfId="0" applyFont="1" applyBorder="1" applyAlignment="1">
      <alignment horizontal="center" vertical="center" shrinkToFit="1"/>
    </xf>
    <xf numFmtId="0" fontId="27" fillId="0" borderId="19" xfId="0" applyFont="1" applyBorder="1" applyAlignment="1">
      <alignment horizontal="center" vertical="center" shrinkToFit="1"/>
    </xf>
    <xf numFmtId="0" fontId="27" fillId="0" borderId="20" xfId="0" applyFont="1" applyBorder="1" applyAlignment="1">
      <alignment horizontal="center" vertical="center" shrinkToFit="1"/>
    </xf>
    <xf numFmtId="0" fontId="27" fillId="0" borderId="10" xfId="0" applyFont="1" applyBorder="1" applyAlignment="1">
      <alignment vertical="center" wrapText="1"/>
    </xf>
    <xf numFmtId="0" fontId="32" fillId="0" borderId="12" xfId="0" applyFont="1" applyBorder="1" applyAlignment="1">
      <alignment horizontal="center" vertical="center"/>
    </xf>
    <xf numFmtId="0" fontId="27" fillId="0" borderId="10" xfId="0" applyFont="1" applyBorder="1" applyAlignment="1">
      <alignment horizontal="left" vertical="center" wrapText="1" indent="1"/>
    </xf>
    <xf numFmtId="0" fontId="30" fillId="0" borderId="21" xfId="0" applyFont="1" applyBorder="1" applyAlignment="1" applyProtection="1">
      <alignment horizontal="center" vertical="center"/>
      <protection locked="0"/>
    </xf>
    <xf numFmtId="0" fontId="2" fillId="0" borderId="0" xfId="0" applyFont="1" applyAlignment="1">
      <alignment horizontal="right" vertical="center"/>
    </xf>
    <xf numFmtId="0" fontId="2" fillId="0" borderId="0" xfId="0" applyFont="1" applyAlignment="1">
      <alignment vertical="center"/>
    </xf>
    <xf numFmtId="0" fontId="3" fillId="0" borderId="0" xfId="34" applyNumberFormat="1" applyFill="1" applyBorder="1" applyAlignment="1" applyProtection="1"/>
    <xf numFmtId="0" fontId="43" fillId="0" borderId="0" xfId="0" applyFont="1"/>
    <xf numFmtId="0" fontId="45" fillId="23" borderId="0" xfId="0" applyFont="1" applyFill="1" applyAlignment="1">
      <alignment vertical="center"/>
    </xf>
    <xf numFmtId="0" fontId="43" fillId="24" borderId="0" xfId="0" applyFont="1" applyFill="1" applyAlignment="1">
      <alignment vertical="center"/>
    </xf>
    <xf numFmtId="0" fontId="46" fillId="23" borderId="0" xfId="0" applyFont="1" applyFill="1" applyAlignment="1">
      <alignment vertical="center"/>
    </xf>
    <xf numFmtId="0" fontId="44" fillId="0" borderId="10" xfId="0" applyFont="1" applyBorder="1" applyAlignment="1">
      <alignment horizontal="left" vertical="center"/>
    </xf>
    <xf numFmtId="0" fontId="45" fillId="22" borderId="11" xfId="0" applyFont="1" applyFill="1" applyBorder="1" applyAlignment="1">
      <alignment vertical="center"/>
    </xf>
    <xf numFmtId="0" fontId="46" fillId="22" borderId="11" xfId="0" applyFont="1" applyFill="1" applyBorder="1" applyAlignment="1">
      <alignment vertical="center"/>
    </xf>
    <xf numFmtId="0" fontId="43" fillId="0" borderId="10" xfId="0" applyFont="1" applyBorder="1" applyAlignment="1">
      <alignment horizontal="left" vertical="center"/>
    </xf>
    <xf numFmtId="0" fontId="46" fillId="0" borderId="12" xfId="0" applyFont="1" applyBorder="1" applyAlignment="1">
      <alignment vertical="center"/>
    </xf>
    <xf numFmtId="0" fontId="46" fillId="0" borderId="12" xfId="0" applyFont="1" applyBorder="1" applyAlignment="1">
      <alignment horizontal="left" vertical="center"/>
    </xf>
    <xf numFmtId="0" fontId="43" fillId="0" borderId="24" xfId="0" applyFont="1" applyBorder="1" applyAlignment="1">
      <alignment vertical="center"/>
    </xf>
    <xf numFmtId="0" fontId="43" fillId="21" borderId="26" xfId="0" applyFont="1" applyFill="1" applyBorder="1" applyAlignment="1">
      <alignment horizontal="center" vertical="center"/>
    </xf>
    <xf numFmtId="0" fontId="43" fillId="0" borderId="26" xfId="0" applyFont="1" applyBorder="1"/>
    <xf numFmtId="0" fontId="43" fillId="0" borderId="27" xfId="0" applyFont="1" applyBorder="1"/>
    <xf numFmtId="0" fontId="43" fillId="0" borderId="29" xfId="0" applyFont="1" applyBorder="1"/>
    <xf numFmtId="0" fontId="43" fillId="0" borderId="25" xfId="0" applyFont="1" applyBorder="1"/>
    <xf numFmtId="0" fontId="43" fillId="0" borderId="0" xfId="0" applyFont="1" applyAlignment="1">
      <alignment vertical="center" wrapText="1"/>
    </xf>
    <xf numFmtId="0" fontId="43" fillId="0" borderId="28" xfId="0" applyFont="1" applyBorder="1" applyAlignment="1">
      <alignment vertical="center" wrapText="1"/>
    </xf>
    <xf numFmtId="0" fontId="41" fillId="0" borderId="0" xfId="0" applyFont="1" applyAlignment="1">
      <alignment vertical="center"/>
    </xf>
    <xf numFmtId="0" fontId="27" fillId="0" borderId="33" xfId="0" applyFont="1" applyBorder="1" applyAlignment="1">
      <alignment horizontal="center" vertical="center" shrinkToFit="1"/>
    </xf>
    <xf numFmtId="0" fontId="39" fillId="0" borderId="34" xfId="0" applyFont="1" applyBorder="1" applyAlignment="1">
      <alignment horizontal="center" vertical="center" wrapText="1"/>
    </xf>
    <xf numFmtId="0" fontId="39" fillId="0" borderId="0" xfId="0" applyFont="1" applyAlignment="1">
      <alignment horizontal="left" vertical="center"/>
    </xf>
    <xf numFmtId="0" fontId="39" fillId="0" borderId="0" xfId="0" applyFont="1" applyAlignment="1">
      <alignment horizontal="center" vertical="center" wrapText="1"/>
    </xf>
    <xf numFmtId="0" fontId="40" fillId="0" borderId="0" xfId="0" applyFont="1" applyAlignment="1">
      <alignment horizontal="center" vertical="center" wrapText="1"/>
    </xf>
    <xf numFmtId="0" fontId="39" fillId="0" borderId="0" xfId="0" applyFont="1" applyAlignment="1">
      <alignment horizontal="center" vertical="center"/>
    </xf>
    <xf numFmtId="0" fontId="50" fillId="25" borderId="0" xfId="44" applyFont="1" applyFill="1"/>
    <xf numFmtId="0" fontId="1" fillId="26" borderId="0" xfId="44" applyFill="1" applyAlignment="1">
      <alignment wrapText="1"/>
    </xf>
    <xf numFmtId="0" fontId="53" fillId="0" borderId="0" xfId="0" applyFont="1" applyAlignment="1" applyProtection="1">
      <alignment vertical="center"/>
      <protection locked="0"/>
    </xf>
    <xf numFmtId="0" fontId="54" fillId="0" borderId="0" xfId="0" applyFont="1" applyAlignment="1" applyProtection="1">
      <alignment vertical="center"/>
      <protection locked="0"/>
    </xf>
    <xf numFmtId="1" fontId="27" fillId="24" borderId="0" xfId="40" applyNumberFormat="1" applyFont="1" applyFill="1" applyBorder="1" applyAlignment="1" applyProtection="1">
      <alignment horizontal="center" vertical="center"/>
    </xf>
    <xf numFmtId="1" fontId="36" fillId="24" borderId="35" xfId="0" applyNumberFormat="1" applyFont="1" applyFill="1" applyBorder="1" applyAlignment="1">
      <alignment horizontal="center" vertical="center"/>
    </xf>
    <xf numFmtId="0" fontId="52" fillId="26" borderId="0" xfId="44" applyFont="1" applyFill="1" applyAlignment="1">
      <alignment horizontal="center" wrapText="1"/>
    </xf>
    <xf numFmtId="0" fontId="55" fillId="0" borderId="0" xfId="0" applyFont="1"/>
    <xf numFmtId="0" fontId="43" fillId="0" borderId="37" xfId="0" applyFont="1" applyBorder="1"/>
    <xf numFmtId="0" fontId="44" fillId="0" borderId="38" xfId="0" applyFont="1" applyBorder="1"/>
    <xf numFmtId="0" fontId="43" fillId="0" borderId="39" xfId="0" applyFont="1" applyBorder="1"/>
    <xf numFmtId="0" fontId="43" fillId="0" borderId="40" xfId="0" applyFont="1" applyBorder="1"/>
    <xf numFmtId="0" fontId="44" fillId="0" borderId="40" xfId="0" applyFont="1" applyBorder="1"/>
    <xf numFmtId="165" fontId="32" fillId="29" borderId="12" xfId="0" applyNumberFormat="1" applyFont="1" applyFill="1" applyBorder="1" applyAlignment="1">
      <alignment horizontal="center" vertical="center"/>
    </xf>
    <xf numFmtId="1" fontId="32" fillId="28" borderId="36" xfId="0" applyNumberFormat="1" applyFont="1" applyFill="1" applyBorder="1" applyAlignment="1">
      <alignment horizontal="center" vertical="center"/>
    </xf>
    <xf numFmtId="9" fontId="32" fillId="28" borderId="12" xfId="40" applyFont="1" applyFill="1" applyBorder="1" applyAlignment="1" applyProtection="1">
      <alignment horizontal="center" vertical="center"/>
    </xf>
    <xf numFmtId="1" fontId="32" fillId="28" borderId="12" xfId="0" applyNumberFormat="1" applyFont="1" applyFill="1" applyBorder="1" applyAlignment="1">
      <alignment horizontal="center" vertical="center"/>
    </xf>
    <xf numFmtId="0" fontId="43" fillId="28" borderId="26" xfId="0" applyFont="1" applyFill="1" applyBorder="1" applyAlignment="1">
      <alignment horizontal="center" vertical="center"/>
    </xf>
    <xf numFmtId="0" fontId="43" fillId="0" borderId="25" xfId="0" applyFont="1" applyBorder="1" applyAlignment="1">
      <alignment horizontal="left" vertical="center" wrapText="1"/>
    </xf>
    <xf numFmtId="0" fontId="43" fillId="0" borderId="0" xfId="0" applyFont="1" applyAlignment="1">
      <alignment horizontal="left" vertical="center" wrapText="1"/>
    </xf>
    <xf numFmtId="0" fontId="47" fillId="0" borderId="27" xfId="0" applyFont="1" applyBorder="1" applyAlignment="1">
      <alignment horizontal="left" vertical="center" wrapText="1"/>
    </xf>
    <xf numFmtId="0" fontId="47" fillId="0" borderId="28" xfId="0" applyFont="1" applyBorder="1" applyAlignment="1">
      <alignment horizontal="left" vertical="center" wrapText="1"/>
    </xf>
    <xf numFmtId="0" fontId="49" fillId="28" borderId="22" xfId="0" applyFont="1" applyFill="1" applyBorder="1" applyAlignment="1">
      <alignment horizontal="left" vertical="center"/>
    </xf>
    <xf numFmtId="0" fontId="49" fillId="28" borderId="23" xfId="0" applyFont="1" applyFill="1" applyBorder="1" applyAlignment="1">
      <alignment horizontal="left" vertical="center"/>
    </xf>
    <xf numFmtId="0" fontId="49" fillId="28" borderId="24" xfId="0" applyFont="1" applyFill="1" applyBorder="1" applyAlignment="1">
      <alignment horizontal="left" vertical="center"/>
    </xf>
    <xf numFmtId="0" fontId="49" fillId="28" borderId="30" xfId="0" applyFont="1" applyFill="1" applyBorder="1" applyAlignment="1">
      <alignment horizontal="left" vertical="center"/>
    </xf>
    <xf numFmtId="0" fontId="49" fillId="28" borderId="31" xfId="0" applyFont="1" applyFill="1" applyBorder="1" applyAlignment="1">
      <alignment horizontal="left" vertical="center"/>
    </xf>
    <xf numFmtId="0" fontId="49" fillId="28" borderId="32" xfId="0" applyFont="1" applyFill="1" applyBorder="1" applyAlignment="1">
      <alignment horizontal="left" vertical="center"/>
    </xf>
    <xf numFmtId="0" fontId="43" fillId="0" borderId="30" xfId="0" applyFont="1" applyBorder="1" applyAlignment="1">
      <alignment horizontal="left" wrapText="1"/>
    </xf>
    <xf numFmtId="0" fontId="43" fillId="0" borderId="31" xfId="0" applyFont="1" applyBorder="1" applyAlignment="1">
      <alignment horizontal="left" wrapText="1"/>
    </xf>
    <xf numFmtId="0" fontId="43" fillId="0" borderId="32" xfId="0" applyFont="1" applyBorder="1" applyAlignment="1">
      <alignment horizontal="left" wrapText="1"/>
    </xf>
    <xf numFmtId="0" fontId="43" fillId="0" borderId="26" xfId="0" applyFont="1" applyBorder="1" applyAlignment="1">
      <alignment horizontal="left" vertical="center" wrapText="1"/>
    </xf>
    <xf numFmtId="0" fontId="43" fillId="0" borderId="0" xfId="0" applyFont="1" applyAlignment="1">
      <alignment horizontal="center" vertical="center" wrapText="1"/>
    </xf>
    <xf numFmtId="0" fontId="43" fillId="0" borderId="22" xfId="0" applyFont="1" applyBorder="1" applyAlignment="1">
      <alignment horizontal="left" vertical="center" wrapText="1"/>
    </xf>
    <xf numFmtId="0" fontId="43" fillId="0" borderId="23" xfId="0" applyFont="1" applyBorder="1" applyAlignment="1">
      <alignment horizontal="left" vertical="center" wrapText="1"/>
    </xf>
    <xf numFmtId="0" fontId="51" fillId="25" borderId="0" xfId="44" applyFont="1" applyFill="1" applyAlignment="1">
      <alignment horizontal="center" wrapText="1"/>
    </xf>
    <xf numFmtId="0" fontId="52" fillId="27" borderId="0" xfId="44" applyFont="1" applyFill="1" applyAlignment="1">
      <alignment horizontal="center" wrapText="1"/>
    </xf>
    <xf numFmtId="0" fontId="35" fillId="0" borderId="16" xfId="0" applyFont="1" applyBorder="1" applyAlignment="1">
      <alignment horizontal="center" vertical="center"/>
    </xf>
    <xf numFmtId="0" fontId="35" fillId="0" borderId="13" xfId="0" applyFont="1" applyBorder="1" applyAlignment="1">
      <alignment horizontal="center" vertical="center"/>
    </xf>
    <xf numFmtId="0" fontId="35" fillId="0" borderId="17" xfId="0" applyFont="1" applyBorder="1" applyAlignment="1">
      <alignment horizontal="center" vertical="center"/>
    </xf>
    <xf numFmtId="167" fontId="30" fillId="0" borderId="16" xfId="0" applyNumberFormat="1" applyFont="1" applyBorder="1" applyAlignment="1">
      <alignment horizontal="center" vertical="center"/>
    </xf>
    <xf numFmtId="167" fontId="30" fillId="0" borderId="13" xfId="0" applyNumberFormat="1" applyFont="1" applyBorder="1" applyAlignment="1">
      <alignment horizontal="center" vertical="center"/>
    </xf>
    <xf numFmtId="167" fontId="30" fillId="0" borderId="17" xfId="0" applyNumberFormat="1" applyFont="1" applyBorder="1" applyAlignment="1">
      <alignment horizontal="center" vertical="center"/>
    </xf>
    <xf numFmtId="0" fontId="42" fillId="0" borderId="0" xfId="34" applyFont="1" applyBorder="1" applyAlignment="1" applyProtection="1">
      <alignment horizontal="left" vertical="center"/>
    </xf>
    <xf numFmtId="164" fontId="30" fillId="0" borderId="15" xfId="0" applyNumberFormat="1" applyFont="1" applyBorder="1" applyAlignment="1" applyProtection="1">
      <alignment horizontal="center" vertical="center" shrinkToFit="1"/>
      <protection locked="0"/>
    </xf>
    <xf numFmtId="164" fontId="30" fillId="0" borderId="21" xfId="0" applyNumberFormat="1" applyFont="1" applyBorder="1" applyAlignment="1" applyProtection="1">
      <alignment horizontal="center" vertical="center" shrinkToFit="1"/>
      <protection locked="0"/>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3" xfId="44" xr:uid="{D56E1BC0-5849-48A2-865F-B4BFEEB5DBF5}"/>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7">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7</xdr:col>
      <xdr:colOff>333375</xdr:colOff>
      <xdr:row>6</xdr:row>
      <xdr:rowOff>120650</xdr:rowOff>
    </xdr:from>
    <xdr:to>
      <xdr:col>20</xdr:col>
      <xdr:colOff>104775</xdr:colOff>
      <xdr:row>11</xdr:row>
      <xdr:rowOff>64558</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oneCell">
    <xdr:from>
      <xdr:col>0</xdr:col>
      <xdr:colOff>1</xdr:colOff>
      <xdr:row>0</xdr:row>
      <xdr:rowOff>6350</xdr:rowOff>
    </xdr:from>
    <xdr:to>
      <xdr:col>1</xdr:col>
      <xdr:colOff>752476</xdr:colOff>
      <xdr:row>2</xdr:row>
      <xdr:rowOff>0</xdr:rowOff>
    </xdr:to>
    <xdr:pic>
      <xdr:nvPicPr>
        <xdr:cNvPr id="2" name="Picture 1">
          <a:extLst>
            <a:ext uri="{FF2B5EF4-FFF2-40B4-BE49-F238E27FC236}">
              <a16:creationId xmlns:a16="http://schemas.microsoft.com/office/drawing/2014/main" id="{0626CAF7-A926-4C93-A3ED-A0B30FF911C5}"/>
            </a:ext>
          </a:extLst>
        </xdr:cNvPr>
        <xdr:cNvPicPr>
          <a:picLocks noChangeAspect="1"/>
        </xdr:cNvPicPr>
      </xdr:nvPicPr>
      <xdr:blipFill>
        <a:blip xmlns:r="http://schemas.openxmlformats.org/officeDocument/2006/relationships" r:embed="rId1"/>
        <a:stretch>
          <a:fillRect/>
        </a:stretch>
      </xdr:blipFill>
      <xdr:spPr>
        <a:xfrm>
          <a:off x="1" y="6350"/>
          <a:ext cx="1225550" cy="49530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BN30"/>
  <sheetViews>
    <sheetView showGridLines="0" workbookViewId="0">
      <selection activeCell="B19" sqref="B19"/>
    </sheetView>
  </sheetViews>
  <sheetFormatPr defaultColWidth="8.85546875" defaultRowHeight="12.95"/>
  <cols>
    <col min="1" max="1" width="5.5703125" style="58" customWidth="1"/>
    <col min="2" max="2" width="95.85546875" style="58" customWidth="1"/>
    <col min="3" max="3" width="16.42578125" style="58" bestFit="1" customWidth="1"/>
    <col min="4" max="16384" width="8.85546875" style="2"/>
  </cols>
  <sheetData>
    <row r="1" spans="1:6" s="76" customFormat="1" ht="15.95" customHeight="1" thickBot="1">
      <c r="A1" s="108" t="s">
        <v>0</v>
      </c>
      <c r="B1" s="109"/>
      <c r="C1" s="110"/>
    </row>
    <row r="2" spans="1:6" ht="42.95" customHeight="1" thickBot="1">
      <c r="A2" s="111" t="s">
        <v>1</v>
      </c>
      <c r="B2" s="112"/>
      <c r="C2" s="113"/>
    </row>
    <row r="3" spans="1:6" ht="8.1" customHeight="1" thickBot="1"/>
    <row r="4" spans="1:6" ht="15" thickBot="1">
      <c r="A4" s="105" t="s">
        <v>2</v>
      </c>
      <c r="B4" s="106"/>
      <c r="C4" s="107"/>
    </row>
    <row r="5" spans="1:6" s="56" customFormat="1">
      <c r="A5" s="116" t="s">
        <v>3</v>
      </c>
      <c r="B5" s="117"/>
      <c r="C5" s="68"/>
    </row>
    <row r="6" spans="1:6" s="56" customFormat="1" ht="12.95" customHeight="1">
      <c r="A6" s="101" t="s">
        <v>4</v>
      </c>
      <c r="B6" s="102"/>
      <c r="C6" s="69" t="s">
        <v>5</v>
      </c>
    </row>
    <row r="7" spans="1:6">
      <c r="A7" s="101" t="s">
        <v>6</v>
      </c>
      <c r="B7" s="102"/>
      <c r="C7" s="114"/>
    </row>
    <row r="8" spans="1:6">
      <c r="A8" s="101" t="s">
        <v>7</v>
      </c>
      <c r="B8" s="102"/>
      <c r="C8" s="114"/>
    </row>
    <row r="9" spans="1:6">
      <c r="A9" s="101" t="s">
        <v>8</v>
      </c>
      <c r="B9" s="102"/>
      <c r="C9" s="114"/>
    </row>
    <row r="10" spans="1:6" s="56" customFormat="1" ht="12.95" customHeight="1">
      <c r="A10" s="101" t="s">
        <v>9</v>
      </c>
      <c r="B10" s="102"/>
      <c r="C10" s="100" t="s">
        <v>10</v>
      </c>
      <c r="D10" s="115"/>
      <c r="E10" s="115"/>
      <c r="F10" s="115"/>
    </row>
    <row r="11" spans="1:6">
      <c r="A11" s="101" t="s">
        <v>11</v>
      </c>
      <c r="B11" s="102"/>
      <c r="C11" s="70"/>
    </row>
    <row r="12" spans="1:6" ht="13.5" thickBot="1">
      <c r="A12" s="103" t="s">
        <v>12</v>
      </c>
      <c r="B12" s="104"/>
      <c r="C12" s="72"/>
    </row>
    <row r="13" spans="1:6" ht="13.5" thickBot="1">
      <c r="A13" s="91"/>
      <c r="B13" s="92"/>
      <c r="C13" s="93"/>
    </row>
    <row r="14" spans="1:6" ht="8.4499999999999993" customHeight="1" thickBot="1">
      <c r="A14" s="94"/>
      <c r="B14" s="95"/>
      <c r="C14" s="94"/>
    </row>
    <row r="15" spans="1:6" ht="15" thickBot="1">
      <c r="A15" s="108" t="s">
        <v>13</v>
      </c>
      <c r="B15" s="109"/>
      <c r="C15" s="110"/>
    </row>
    <row r="16" spans="1:6" ht="37.5" customHeight="1">
      <c r="A16" s="101" t="s">
        <v>14</v>
      </c>
      <c r="B16" s="102"/>
      <c r="C16" s="114"/>
    </row>
    <row r="17" spans="1:66">
      <c r="A17" s="73"/>
      <c r="B17" s="90" t="s">
        <v>15</v>
      </c>
      <c r="C17" s="70"/>
    </row>
    <row r="18" spans="1:66">
      <c r="A18" s="73"/>
      <c r="B18" s="74" t="s">
        <v>16</v>
      </c>
      <c r="C18" s="70"/>
    </row>
    <row r="19" spans="1:66" ht="26.1" customHeight="1">
      <c r="A19" s="73"/>
      <c r="B19" s="74" t="s">
        <v>17</v>
      </c>
      <c r="C19" s="70"/>
    </row>
    <row r="20" spans="1:66">
      <c r="A20" s="73"/>
      <c r="B20" s="74"/>
      <c r="C20" s="70"/>
    </row>
    <row r="21" spans="1:66">
      <c r="A21" s="73"/>
      <c r="B21" s="90" t="s">
        <v>18</v>
      </c>
      <c r="C21" s="70"/>
    </row>
    <row r="22" spans="1:66">
      <c r="A22" s="73"/>
      <c r="B22" s="74" t="s">
        <v>19</v>
      </c>
      <c r="C22" s="70"/>
    </row>
    <row r="23" spans="1:66" ht="20.100000000000001" customHeight="1" thickBot="1">
      <c r="A23" s="71"/>
      <c r="B23" s="75" t="s">
        <v>20</v>
      </c>
      <c r="C23" s="72"/>
    </row>
    <row r="24" spans="1:66" ht="20.100000000000001" customHeight="1">
      <c r="B24" s="74"/>
    </row>
    <row r="25" spans="1:66" s="21" customFormat="1" ht="13.5" customHeight="1">
      <c r="A25" s="59" t="s">
        <v>21</v>
      </c>
      <c r="B25" s="60"/>
      <c r="C25" s="61"/>
      <c r="D25" s="19"/>
      <c r="E25" s="40"/>
      <c r="F25" s="40"/>
      <c r="G25" s="20"/>
      <c r="H25" s="20"/>
      <c r="I25" s="20"/>
      <c r="J25" s="37"/>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row>
    <row r="26" spans="1:66" s="18" customFormat="1" ht="12" customHeight="1">
      <c r="A26" s="61" t="s">
        <v>22</v>
      </c>
      <c r="B26" s="60"/>
      <c r="C26" s="60"/>
      <c r="D26" s="22"/>
      <c r="E26" s="41"/>
      <c r="F26" s="41"/>
      <c r="G26" s="22"/>
      <c r="H26" s="22"/>
      <c r="I26" s="22"/>
      <c r="J26" s="37"/>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row>
    <row r="27" spans="1:66" s="18" customFormat="1" ht="17.45">
      <c r="A27" s="62" t="str">
        <f ca="1">IF(ISERROR(VALUE(SUBSTITUTE(prevWBS,".",""))),"1",IF(ISERROR(FIND("`",SUBSTITUTE(prevWBS,".","`",1))),TEXT(VALUE(prevWBS)+1,"#"),TEXT(VALUE(LEFT(prevWBS,FIND("`",SUBSTITUTE(prevWBS,".","`",1))-1))+1,"#")))</f>
        <v>3</v>
      </c>
      <c r="B27" s="63" t="s">
        <v>23</v>
      </c>
      <c r="C27" s="64"/>
      <c r="D27" s="23"/>
      <c r="E27" s="96"/>
      <c r="F27" s="38" t="str">
        <f>IF(ISBLANK(E27)," - ",IF(G27=0,E27,E27+G27-1))</f>
        <v xml:space="preserve"> - </v>
      </c>
      <c r="G27" s="99"/>
      <c r="H27" s="98"/>
      <c r="I27" s="17" t="str">
        <f>IF(OR(F27=0,E27=0)," - ",NETWORKDAYS(E27,F27))</f>
        <v xml:space="preserve"> - </v>
      </c>
      <c r="J27" s="3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row>
    <row r="28" spans="1:66" s="18" customFormat="1" ht="17.45">
      <c r="A28" s="6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2.6</v>
      </c>
      <c r="B28" s="66" t="s">
        <v>24</v>
      </c>
      <c r="C28" s="66"/>
      <c r="D28" s="23"/>
      <c r="E28" s="96"/>
      <c r="F28" s="38" t="str">
        <f>IF(ISBLANK(E28)," - ",IF(G28=0,E28,E28+G28-1))</f>
        <v xml:space="preserve"> - </v>
      </c>
      <c r="G28" s="99"/>
      <c r="H28" s="98"/>
      <c r="I28" s="17" t="str">
        <f>IF(OR(F28=0,E28=0)," - ",NETWORKDAYS(E28,F28))</f>
        <v xml:space="preserve"> - </v>
      </c>
      <c r="J28" s="3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6" s="18" customFormat="1" ht="17.45">
      <c r="A29" s="65"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3.1</v>
      </c>
      <c r="B29" s="67" t="s">
        <v>25</v>
      </c>
      <c r="C29" s="66"/>
      <c r="D29" s="23"/>
      <c r="E29" s="96"/>
      <c r="F29" s="38" t="str">
        <f>IF(ISBLANK(E29)," - ",IF(G29=0,E29,E29+G29-1))</f>
        <v xml:space="preserve"> - </v>
      </c>
      <c r="G29" s="99"/>
      <c r="H29" s="98"/>
      <c r="I29" s="17" t="str">
        <f>IF(OR(F29=0,E29=0)," - ",NETWORKDAYS(E29,F29))</f>
        <v xml:space="preserve"> - </v>
      </c>
      <c r="J29" s="3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row>
    <row r="30" spans="1:66" s="18" customFormat="1" ht="17.45">
      <c r="A30" s="65" t="str">
        <f ca="1">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3.1.1</v>
      </c>
      <c r="B30" s="67" t="s">
        <v>26</v>
      </c>
      <c r="C30" s="66"/>
      <c r="D30" s="23"/>
      <c r="E30" s="96"/>
      <c r="F30" s="38" t="str">
        <f>IF(ISBLANK(E30)," - ",IF(G30=0,E30,E30+G30-1))</f>
        <v xml:space="preserve"> - </v>
      </c>
      <c r="G30" s="99"/>
      <c r="H30" s="98"/>
      <c r="I30" s="17" t="str">
        <f>IF(OR(F30=0,E30=0)," - ",NETWORKDAYS(E30,F30))</f>
        <v xml:space="preserve"> - </v>
      </c>
      <c r="J30" s="3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row>
  </sheetData>
  <mergeCells count="14">
    <mergeCell ref="A16:C16"/>
    <mergeCell ref="D10:F10"/>
    <mergeCell ref="A5:B5"/>
    <mergeCell ref="A6:B6"/>
    <mergeCell ref="A7:C7"/>
    <mergeCell ref="A15:C15"/>
    <mergeCell ref="A11:B11"/>
    <mergeCell ref="A12:B12"/>
    <mergeCell ref="A4:C4"/>
    <mergeCell ref="A1:C1"/>
    <mergeCell ref="A2:C2"/>
    <mergeCell ref="A10:B10"/>
    <mergeCell ref="A8:C8"/>
    <mergeCell ref="A9:C9"/>
  </mergeCells>
  <phoneticPr fontId="4" type="noConversion"/>
  <conditionalFormatting sqref="H25:H30">
    <cfRule type="dataBar" priority="1">
      <dataBar>
        <cfvo type="num" val="0"/>
        <cfvo type="num" val="1"/>
        <color theme="0" tint="-0.34998626667073579"/>
      </dataBar>
      <extLst>
        <ext xmlns:x14="http://schemas.microsoft.com/office/spreadsheetml/2009/9/main" uri="{B025F937-C7B1-47D3-B67F-A62EFF666E3E}">
          <x14:id>{98DF5F72-EBB2-4531-9789-E4D2C9118634}</x14:id>
        </ext>
      </extLst>
    </cfRule>
  </conditionalFormatting>
  <conditionalFormatting sqref="K25:BN30">
    <cfRule type="expression" dxfId="6" priority="2">
      <formula>K$5=TODAY()</formula>
    </cfRule>
    <cfRule type="expression" dxfId="5" priority="3">
      <formula>AND($E25&lt;=K$5,ROUNDDOWN(($F25-$E25+1)*$H25,0)+$E25-1&gt;=K$5)</formula>
    </cfRule>
    <cfRule type="expression" dxfId="4" priority="4">
      <formula>AND(NOT(ISBLANK($E25)),$E25&lt;=K$5,$F25&gt;=K$5)</formula>
    </cfRule>
  </conditionalFormatting>
  <pageMargins left="0.5" right="0.5" top="0.25" bottom="0.25" header="0.5" footer="0.5"/>
  <pageSetup orientation="portrait"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dataBar" id="{98DF5F72-EBB2-4531-9789-E4D2C9118634}">
            <x14:dataBar minLength="0" maxLength="100" gradient="0">
              <x14:cfvo type="num">
                <xm:f>0</xm:f>
              </x14:cfvo>
              <x14:cfvo type="num">
                <xm:f>1</xm:f>
              </x14:cfvo>
              <x14:negativeFillColor rgb="FFFF0000"/>
              <x14:axisColor rgb="FF000000"/>
            </x14:dataBar>
          </x14:cfRule>
          <xm:sqref>H25:H30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V48"/>
  <sheetViews>
    <sheetView showGridLines="0" tabSelected="1" topLeftCell="B1" zoomScaleNormal="100" workbookViewId="0">
      <pane ySplit="9" topLeftCell="A12" activePane="bottomLeft" state="frozen"/>
      <selection pane="bottomLeft" activeCell="AZ15" sqref="AZ15"/>
    </sheetView>
  </sheetViews>
  <sheetFormatPr defaultColWidth="9.140625" defaultRowHeight="12.6"/>
  <cols>
    <col min="1" max="1" width="6.85546875" customWidth="1"/>
    <col min="2" max="2" width="22.28515625" customWidth="1"/>
    <col min="3" max="3" width="10.140625" customWidth="1"/>
    <col min="4" max="4" width="6.85546875" hidden="1" customWidth="1"/>
    <col min="5" max="6" width="12" customWidth="1"/>
    <col min="7" max="7" width="6" customWidth="1"/>
    <col min="8" max="8" width="8.42578125" customWidth="1"/>
    <col min="9" max="10" width="11.42578125" customWidth="1"/>
    <col min="11" max="11" width="1.85546875" customWidth="1"/>
    <col min="12" max="67" width="2.42578125" customWidth="1"/>
  </cols>
  <sheetData>
    <row r="1" spans="1:74" s="84" customFormat="1" ht="33.6" customHeight="1">
      <c r="A1" s="83"/>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row>
    <row r="2" spans="1:74" s="84" customFormat="1" ht="6.6" customHeight="1">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119"/>
      <c r="AZ2" s="119"/>
      <c r="BA2" s="119"/>
      <c r="BB2" s="119"/>
      <c r="BC2" s="119"/>
      <c r="BD2" s="119"/>
      <c r="BE2" s="119"/>
      <c r="BF2" s="119"/>
      <c r="BG2" s="119"/>
      <c r="BH2" s="119"/>
      <c r="BI2" s="119"/>
      <c r="BJ2" s="119"/>
      <c r="BK2" s="119"/>
      <c r="BL2" s="119"/>
      <c r="BM2" s="119"/>
      <c r="BN2" s="119"/>
      <c r="BO2" s="119"/>
      <c r="BP2" s="119"/>
      <c r="BQ2" s="119"/>
      <c r="BR2" s="119"/>
      <c r="BS2" s="119"/>
      <c r="BT2" s="119"/>
      <c r="BU2" s="119"/>
      <c r="BV2" s="119"/>
    </row>
    <row r="3" spans="1:74" s="84" customFormat="1" ht="6.6" customHeight="1">
      <c r="A3" s="89"/>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89"/>
      <c r="BD3" s="89"/>
      <c r="BE3" s="89"/>
      <c r="BF3" s="89"/>
      <c r="BG3" s="89"/>
      <c r="BH3" s="89"/>
      <c r="BI3" s="89"/>
      <c r="BJ3" s="89"/>
      <c r="BK3" s="89"/>
      <c r="BL3" s="89"/>
      <c r="BM3" s="89"/>
      <c r="BN3" s="89"/>
      <c r="BO3" s="89"/>
      <c r="BP3" s="89"/>
      <c r="BQ3" s="89"/>
      <c r="BR3" s="89"/>
      <c r="BS3" s="89"/>
      <c r="BT3" s="89"/>
      <c r="BU3" s="89"/>
      <c r="BV3" s="89"/>
    </row>
    <row r="4" spans="1:74" ht="20.100000000000001" customHeight="1">
      <c r="A4" s="85" t="s">
        <v>27</v>
      </c>
      <c r="B4" s="86"/>
      <c r="C4" s="86"/>
      <c r="D4" s="5"/>
      <c r="E4" s="5"/>
      <c r="F4" s="5"/>
      <c r="I4" s="55"/>
      <c r="J4" s="55"/>
      <c r="L4" s="126"/>
      <c r="M4" s="126"/>
      <c r="N4" s="126"/>
      <c r="O4" s="126"/>
      <c r="P4" s="126"/>
      <c r="Q4" s="126"/>
      <c r="R4" s="126"/>
      <c r="S4" s="126"/>
      <c r="T4" s="126"/>
      <c r="U4" s="126"/>
      <c r="V4" s="126"/>
      <c r="W4" s="126"/>
      <c r="X4" s="126"/>
      <c r="Y4" s="126"/>
      <c r="Z4" s="126"/>
      <c r="AA4" s="126"/>
      <c r="AB4" s="126"/>
      <c r="AC4" s="126"/>
      <c r="AD4" s="126"/>
      <c r="AE4" s="126"/>
      <c r="AF4" s="126"/>
    </row>
    <row r="5" spans="1:74" ht="14.1">
      <c r="A5" s="7"/>
      <c r="B5" s="2"/>
      <c r="H5" s="1"/>
      <c r="L5" s="3"/>
      <c r="M5" s="3"/>
      <c r="N5" s="3"/>
      <c r="O5" s="3"/>
      <c r="P5" s="3"/>
      <c r="Q5" s="3"/>
      <c r="R5" s="3"/>
      <c r="S5" s="3"/>
      <c r="T5" s="3"/>
      <c r="U5" s="3"/>
      <c r="V5" s="3"/>
      <c r="W5" s="3"/>
      <c r="X5" s="3"/>
      <c r="Y5" s="3"/>
      <c r="Z5" s="3"/>
      <c r="AA5" s="3"/>
      <c r="AB5" s="3"/>
    </row>
    <row r="6" spans="1:74" ht="17.25" customHeight="1">
      <c r="A6" s="45"/>
      <c r="B6" s="46" t="s">
        <v>28</v>
      </c>
      <c r="C6" s="128">
        <v>46002</v>
      </c>
      <c r="D6" s="128"/>
      <c r="E6" s="128"/>
      <c r="F6" s="45"/>
      <c r="G6" s="46" t="s">
        <v>29</v>
      </c>
      <c r="H6" s="54"/>
      <c r="I6" s="2"/>
      <c r="J6" s="2"/>
      <c r="K6" s="6"/>
      <c r="L6" s="120" t="str">
        <f>"Week "&amp;(L8-($C$6-WEEKDAY($C$6,1)+2))/7+1</f>
        <v>Week 0</v>
      </c>
      <c r="M6" s="121"/>
      <c r="N6" s="121"/>
      <c r="O6" s="121"/>
      <c r="P6" s="121"/>
      <c r="Q6" s="121"/>
      <c r="R6" s="122"/>
      <c r="S6" s="120" t="str">
        <f>"Week "&amp;(S8-($C$6-WEEKDAY($C$6,1)+2))/7+1</f>
        <v>Week 1</v>
      </c>
      <c r="T6" s="121"/>
      <c r="U6" s="121"/>
      <c r="V6" s="121"/>
      <c r="W6" s="121"/>
      <c r="X6" s="121"/>
      <c r="Y6" s="122"/>
      <c r="Z6" s="120" t="str">
        <f>"Week "&amp;(Z8-($C$6-WEEKDAY($C$6,1)+2))/7+1</f>
        <v>Week 2</v>
      </c>
      <c r="AA6" s="121"/>
      <c r="AB6" s="121"/>
      <c r="AC6" s="121"/>
      <c r="AD6" s="121"/>
      <c r="AE6" s="121"/>
      <c r="AF6" s="122"/>
      <c r="AG6" s="120" t="str">
        <f>"Week "&amp;(AG8-($C$6-WEEKDAY($C$6,1)+2))/7+1</f>
        <v>Week 3</v>
      </c>
      <c r="AH6" s="121"/>
      <c r="AI6" s="121"/>
      <c r="AJ6" s="121"/>
      <c r="AK6" s="121"/>
      <c r="AL6" s="121"/>
      <c r="AM6" s="122"/>
      <c r="AN6" s="120" t="str">
        <f>"Week "&amp;(AN8-($C$6-WEEKDAY($C$6,1)+2))/7+1</f>
        <v>Week 4</v>
      </c>
      <c r="AO6" s="121"/>
      <c r="AP6" s="121"/>
      <c r="AQ6" s="121"/>
      <c r="AR6" s="121"/>
      <c r="AS6" s="121"/>
      <c r="AT6" s="122"/>
      <c r="AU6" s="120" t="str">
        <f>"Week "&amp;(AU8-($C$6-WEEKDAY($C$6,1)+2))/7+1</f>
        <v>Week 5</v>
      </c>
      <c r="AV6" s="121"/>
      <c r="AW6" s="121"/>
      <c r="AX6" s="121"/>
      <c r="AY6" s="121"/>
      <c r="AZ6" s="121"/>
      <c r="BA6" s="122"/>
      <c r="BB6" s="120" t="str">
        <f>"Week "&amp;(BB8-($C$6-WEEKDAY($C$6,1)+2))/7+1</f>
        <v>Week 6</v>
      </c>
      <c r="BC6" s="121"/>
      <c r="BD6" s="121"/>
      <c r="BE6" s="121"/>
      <c r="BF6" s="121"/>
      <c r="BG6" s="121"/>
      <c r="BH6" s="122"/>
      <c r="BI6" s="120" t="str">
        <f>"Week "&amp;(BI8-($C$6-WEEKDAY($C$6,1)+2))/7+1</f>
        <v>Week 7</v>
      </c>
      <c r="BJ6" s="121"/>
      <c r="BK6" s="121"/>
      <c r="BL6" s="121"/>
      <c r="BM6" s="121"/>
      <c r="BN6" s="121"/>
      <c r="BO6" s="122"/>
    </row>
    <row r="7" spans="1:74" ht="17.25" customHeight="1">
      <c r="A7" s="45"/>
      <c r="B7" s="46" t="s">
        <v>30</v>
      </c>
      <c r="C7" s="127"/>
      <c r="D7" s="127"/>
      <c r="E7" s="127"/>
      <c r="F7" s="45"/>
      <c r="G7" s="45"/>
      <c r="H7" s="45"/>
      <c r="I7" s="45"/>
      <c r="J7" s="45"/>
      <c r="K7" s="6"/>
      <c r="L7" s="123">
        <f>L8</f>
        <v>45992</v>
      </c>
      <c r="M7" s="124"/>
      <c r="N7" s="124"/>
      <c r="O7" s="124"/>
      <c r="P7" s="124"/>
      <c r="Q7" s="124"/>
      <c r="R7" s="125"/>
      <c r="S7" s="123">
        <f>S8</f>
        <v>45999</v>
      </c>
      <c r="T7" s="124"/>
      <c r="U7" s="124"/>
      <c r="V7" s="124"/>
      <c r="W7" s="124"/>
      <c r="X7" s="124"/>
      <c r="Y7" s="125"/>
      <c r="Z7" s="123">
        <f>Z8</f>
        <v>46006</v>
      </c>
      <c r="AA7" s="124"/>
      <c r="AB7" s="124"/>
      <c r="AC7" s="124"/>
      <c r="AD7" s="124"/>
      <c r="AE7" s="124"/>
      <c r="AF7" s="125"/>
      <c r="AG7" s="123">
        <f>AG8</f>
        <v>46013</v>
      </c>
      <c r="AH7" s="124"/>
      <c r="AI7" s="124"/>
      <c r="AJ7" s="124"/>
      <c r="AK7" s="124"/>
      <c r="AL7" s="124"/>
      <c r="AM7" s="125"/>
      <c r="AN7" s="123">
        <f>AN8</f>
        <v>46020</v>
      </c>
      <c r="AO7" s="124"/>
      <c r="AP7" s="124"/>
      <c r="AQ7" s="124"/>
      <c r="AR7" s="124"/>
      <c r="AS7" s="124"/>
      <c r="AT7" s="125"/>
      <c r="AU7" s="123">
        <f>AU8</f>
        <v>46027</v>
      </c>
      <c r="AV7" s="124"/>
      <c r="AW7" s="124"/>
      <c r="AX7" s="124"/>
      <c r="AY7" s="124"/>
      <c r="AZ7" s="124"/>
      <c r="BA7" s="125"/>
      <c r="BB7" s="123">
        <f>BB8</f>
        <v>46034</v>
      </c>
      <c r="BC7" s="124"/>
      <c r="BD7" s="124"/>
      <c r="BE7" s="124"/>
      <c r="BF7" s="124"/>
      <c r="BG7" s="124"/>
      <c r="BH7" s="125"/>
      <c r="BI7" s="123">
        <f>BI8</f>
        <v>46041</v>
      </c>
      <c r="BJ7" s="124"/>
      <c r="BK7" s="124"/>
      <c r="BL7" s="124"/>
      <c r="BM7" s="124"/>
      <c r="BN7" s="124"/>
      <c r="BO7" s="125"/>
    </row>
    <row r="8" spans="1:74">
      <c r="A8" s="6"/>
      <c r="B8" s="6"/>
      <c r="C8" s="6"/>
      <c r="D8" s="6"/>
      <c r="E8" s="6"/>
      <c r="F8" s="6"/>
      <c r="G8" s="6"/>
      <c r="H8" s="6"/>
      <c r="I8" s="6"/>
      <c r="J8" s="6"/>
      <c r="K8" s="6"/>
      <c r="L8" s="32">
        <f>C6-WEEKDAY(C6,1)+2+7*(H6-1)</f>
        <v>45992</v>
      </c>
      <c r="M8" s="24">
        <f t="shared" ref="M8:AR8" si="0">L8+1</f>
        <v>45993</v>
      </c>
      <c r="N8" s="24">
        <f t="shared" si="0"/>
        <v>45994</v>
      </c>
      <c r="O8" s="24">
        <f t="shared" si="0"/>
        <v>45995</v>
      </c>
      <c r="P8" s="24">
        <f t="shared" si="0"/>
        <v>45996</v>
      </c>
      <c r="Q8" s="24">
        <f t="shared" si="0"/>
        <v>45997</v>
      </c>
      <c r="R8" s="33">
        <f t="shared" si="0"/>
        <v>45998</v>
      </c>
      <c r="S8" s="32">
        <f t="shared" si="0"/>
        <v>45999</v>
      </c>
      <c r="T8" s="24">
        <f t="shared" si="0"/>
        <v>46000</v>
      </c>
      <c r="U8" s="24">
        <f t="shared" si="0"/>
        <v>46001</v>
      </c>
      <c r="V8" s="24">
        <f t="shared" si="0"/>
        <v>46002</v>
      </c>
      <c r="W8" s="24">
        <f t="shared" si="0"/>
        <v>46003</v>
      </c>
      <c r="X8" s="24">
        <f t="shared" si="0"/>
        <v>46004</v>
      </c>
      <c r="Y8" s="33">
        <f t="shared" si="0"/>
        <v>46005</v>
      </c>
      <c r="Z8" s="32">
        <f t="shared" si="0"/>
        <v>46006</v>
      </c>
      <c r="AA8" s="24">
        <f t="shared" si="0"/>
        <v>46007</v>
      </c>
      <c r="AB8" s="24">
        <f t="shared" si="0"/>
        <v>46008</v>
      </c>
      <c r="AC8" s="24">
        <f t="shared" si="0"/>
        <v>46009</v>
      </c>
      <c r="AD8" s="24">
        <f t="shared" si="0"/>
        <v>46010</v>
      </c>
      <c r="AE8" s="24">
        <f t="shared" si="0"/>
        <v>46011</v>
      </c>
      <c r="AF8" s="33">
        <f t="shared" si="0"/>
        <v>46012</v>
      </c>
      <c r="AG8" s="32">
        <f t="shared" si="0"/>
        <v>46013</v>
      </c>
      <c r="AH8" s="24">
        <f t="shared" si="0"/>
        <v>46014</v>
      </c>
      <c r="AI8" s="24">
        <f t="shared" si="0"/>
        <v>46015</v>
      </c>
      <c r="AJ8" s="24">
        <f t="shared" si="0"/>
        <v>46016</v>
      </c>
      <c r="AK8" s="24">
        <f t="shared" si="0"/>
        <v>46017</v>
      </c>
      <c r="AL8" s="24">
        <f t="shared" si="0"/>
        <v>46018</v>
      </c>
      <c r="AM8" s="33">
        <f t="shared" si="0"/>
        <v>46019</v>
      </c>
      <c r="AN8" s="32">
        <f t="shared" si="0"/>
        <v>46020</v>
      </c>
      <c r="AO8" s="24">
        <f t="shared" si="0"/>
        <v>46021</v>
      </c>
      <c r="AP8" s="24">
        <f t="shared" si="0"/>
        <v>46022</v>
      </c>
      <c r="AQ8" s="24">
        <f t="shared" si="0"/>
        <v>46023</v>
      </c>
      <c r="AR8" s="24">
        <f t="shared" si="0"/>
        <v>46024</v>
      </c>
      <c r="AS8" s="24">
        <f t="shared" ref="AS8:BO8" si="1">AR8+1</f>
        <v>46025</v>
      </c>
      <c r="AT8" s="33">
        <f t="shared" si="1"/>
        <v>46026</v>
      </c>
      <c r="AU8" s="32">
        <f t="shared" si="1"/>
        <v>46027</v>
      </c>
      <c r="AV8" s="24">
        <f t="shared" si="1"/>
        <v>46028</v>
      </c>
      <c r="AW8" s="24">
        <f t="shared" si="1"/>
        <v>46029</v>
      </c>
      <c r="AX8" s="24">
        <f t="shared" si="1"/>
        <v>46030</v>
      </c>
      <c r="AY8" s="24">
        <f t="shared" si="1"/>
        <v>46031</v>
      </c>
      <c r="AZ8" s="24">
        <f t="shared" si="1"/>
        <v>46032</v>
      </c>
      <c r="BA8" s="33">
        <f t="shared" si="1"/>
        <v>46033</v>
      </c>
      <c r="BB8" s="32">
        <f t="shared" si="1"/>
        <v>46034</v>
      </c>
      <c r="BC8" s="24">
        <f t="shared" si="1"/>
        <v>46035</v>
      </c>
      <c r="BD8" s="24">
        <f t="shared" si="1"/>
        <v>46036</v>
      </c>
      <c r="BE8" s="24">
        <f t="shared" si="1"/>
        <v>46037</v>
      </c>
      <c r="BF8" s="24">
        <f t="shared" si="1"/>
        <v>46038</v>
      </c>
      <c r="BG8" s="24">
        <f t="shared" si="1"/>
        <v>46039</v>
      </c>
      <c r="BH8" s="33">
        <f t="shared" si="1"/>
        <v>46040</v>
      </c>
      <c r="BI8" s="32">
        <f t="shared" si="1"/>
        <v>46041</v>
      </c>
      <c r="BJ8" s="24">
        <f t="shared" si="1"/>
        <v>46042</v>
      </c>
      <c r="BK8" s="24">
        <f t="shared" si="1"/>
        <v>46043</v>
      </c>
      <c r="BL8" s="24">
        <f t="shared" si="1"/>
        <v>46044</v>
      </c>
      <c r="BM8" s="24">
        <f t="shared" si="1"/>
        <v>46045</v>
      </c>
      <c r="BN8" s="24">
        <f t="shared" si="1"/>
        <v>46046</v>
      </c>
      <c r="BO8" s="33">
        <f t="shared" si="1"/>
        <v>46047</v>
      </c>
    </row>
    <row r="9" spans="1:74" s="2" customFormat="1" ht="32.1" thickBot="1">
      <c r="A9" s="79" t="s">
        <v>31</v>
      </c>
      <c r="B9" s="79" t="s">
        <v>32</v>
      </c>
      <c r="C9" s="80" t="s">
        <v>33</v>
      </c>
      <c r="D9" s="81" t="s">
        <v>34</v>
      </c>
      <c r="E9" s="82" t="s">
        <v>35</v>
      </c>
      <c r="F9" s="82" t="s">
        <v>36</v>
      </c>
      <c r="G9" s="80" t="s">
        <v>37</v>
      </c>
      <c r="H9" s="80" t="s">
        <v>38</v>
      </c>
      <c r="I9" s="80" t="s">
        <v>39</v>
      </c>
      <c r="J9" s="80" t="s">
        <v>40</v>
      </c>
      <c r="K9" s="78"/>
      <c r="L9" s="77" t="str">
        <f t="shared" ref="L9:AQ9" si="2">CHOOSE(WEEKDAY(L8,1),"S","M","T","W","T","F","S")</f>
        <v>M</v>
      </c>
      <c r="M9" s="49" t="str">
        <f t="shared" si="2"/>
        <v>T</v>
      </c>
      <c r="N9" s="49" t="str">
        <f t="shared" si="2"/>
        <v>W</v>
      </c>
      <c r="O9" s="49" t="str">
        <f t="shared" si="2"/>
        <v>T</v>
      </c>
      <c r="P9" s="49" t="str">
        <f t="shared" si="2"/>
        <v>F</v>
      </c>
      <c r="Q9" s="49" t="str">
        <f t="shared" si="2"/>
        <v>S</v>
      </c>
      <c r="R9" s="50" t="str">
        <f t="shared" si="2"/>
        <v>S</v>
      </c>
      <c r="S9" s="48" t="str">
        <f t="shared" si="2"/>
        <v>M</v>
      </c>
      <c r="T9" s="49" t="str">
        <f t="shared" si="2"/>
        <v>T</v>
      </c>
      <c r="U9" s="49" t="str">
        <f t="shared" si="2"/>
        <v>W</v>
      </c>
      <c r="V9" s="49" t="str">
        <f t="shared" si="2"/>
        <v>T</v>
      </c>
      <c r="W9" s="49" t="str">
        <f t="shared" si="2"/>
        <v>F</v>
      </c>
      <c r="X9" s="49" t="str">
        <f t="shared" si="2"/>
        <v>S</v>
      </c>
      <c r="Y9" s="50" t="str">
        <f t="shared" si="2"/>
        <v>S</v>
      </c>
      <c r="Z9" s="48" t="str">
        <f t="shared" si="2"/>
        <v>M</v>
      </c>
      <c r="AA9" s="49" t="str">
        <f t="shared" si="2"/>
        <v>T</v>
      </c>
      <c r="AB9" s="49" t="str">
        <f t="shared" si="2"/>
        <v>W</v>
      </c>
      <c r="AC9" s="49" t="str">
        <f t="shared" si="2"/>
        <v>T</v>
      </c>
      <c r="AD9" s="49" t="str">
        <f t="shared" si="2"/>
        <v>F</v>
      </c>
      <c r="AE9" s="49" t="str">
        <f t="shared" si="2"/>
        <v>S</v>
      </c>
      <c r="AF9" s="50" t="str">
        <f t="shared" si="2"/>
        <v>S</v>
      </c>
      <c r="AG9" s="48" t="str">
        <f t="shared" si="2"/>
        <v>M</v>
      </c>
      <c r="AH9" s="49" t="str">
        <f t="shared" si="2"/>
        <v>T</v>
      </c>
      <c r="AI9" s="49" t="str">
        <f t="shared" si="2"/>
        <v>W</v>
      </c>
      <c r="AJ9" s="49" t="str">
        <f t="shared" si="2"/>
        <v>T</v>
      </c>
      <c r="AK9" s="49" t="str">
        <f t="shared" si="2"/>
        <v>F</v>
      </c>
      <c r="AL9" s="49" t="str">
        <f t="shared" si="2"/>
        <v>S</v>
      </c>
      <c r="AM9" s="50" t="str">
        <f t="shared" si="2"/>
        <v>S</v>
      </c>
      <c r="AN9" s="48" t="str">
        <f t="shared" si="2"/>
        <v>M</v>
      </c>
      <c r="AO9" s="49" t="str">
        <f t="shared" si="2"/>
        <v>T</v>
      </c>
      <c r="AP9" s="49" t="str">
        <f t="shared" si="2"/>
        <v>W</v>
      </c>
      <c r="AQ9" s="49" t="str">
        <f t="shared" si="2"/>
        <v>T</v>
      </c>
      <c r="AR9" s="49" t="str">
        <f t="shared" ref="AR9:BO9" si="3">CHOOSE(WEEKDAY(AR8,1),"S","M","T","W","T","F","S")</f>
        <v>F</v>
      </c>
      <c r="AS9" s="49" t="str">
        <f t="shared" si="3"/>
        <v>S</v>
      </c>
      <c r="AT9" s="50" t="str">
        <f t="shared" si="3"/>
        <v>S</v>
      </c>
      <c r="AU9" s="48" t="str">
        <f t="shared" si="3"/>
        <v>M</v>
      </c>
      <c r="AV9" s="49" t="str">
        <f t="shared" si="3"/>
        <v>T</v>
      </c>
      <c r="AW9" s="49" t="str">
        <f t="shared" si="3"/>
        <v>W</v>
      </c>
      <c r="AX9" s="49" t="str">
        <f t="shared" si="3"/>
        <v>T</v>
      </c>
      <c r="AY9" s="49" t="str">
        <f t="shared" si="3"/>
        <v>F</v>
      </c>
      <c r="AZ9" s="49" t="str">
        <f t="shared" si="3"/>
        <v>S</v>
      </c>
      <c r="BA9" s="50" t="str">
        <f t="shared" si="3"/>
        <v>S</v>
      </c>
      <c r="BB9" s="48" t="str">
        <f t="shared" si="3"/>
        <v>M</v>
      </c>
      <c r="BC9" s="49" t="str">
        <f t="shared" si="3"/>
        <v>T</v>
      </c>
      <c r="BD9" s="49" t="str">
        <f t="shared" si="3"/>
        <v>W</v>
      </c>
      <c r="BE9" s="49" t="str">
        <f t="shared" si="3"/>
        <v>T</v>
      </c>
      <c r="BF9" s="49" t="str">
        <f t="shared" si="3"/>
        <v>F</v>
      </c>
      <c r="BG9" s="49" t="str">
        <f t="shared" si="3"/>
        <v>S</v>
      </c>
      <c r="BH9" s="50" t="str">
        <f t="shared" si="3"/>
        <v>S</v>
      </c>
      <c r="BI9" s="48" t="str">
        <f t="shared" si="3"/>
        <v>M</v>
      </c>
      <c r="BJ9" s="49" t="str">
        <f t="shared" si="3"/>
        <v>T</v>
      </c>
      <c r="BK9" s="49" t="str">
        <f t="shared" si="3"/>
        <v>W</v>
      </c>
      <c r="BL9" s="49" t="str">
        <f t="shared" si="3"/>
        <v>T</v>
      </c>
      <c r="BM9" s="49" t="str">
        <f t="shared" si="3"/>
        <v>F</v>
      </c>
      <c r="BN9" s="49" t="str">
        <f t="shared" si="3"/>
        <v>S</v>
      </c>
      <c r="BO9" s="50" t="str">
        <f t="shared" si="3"/>
        <v>S</v>
      </c>
    </row>
    <row r="10" spans="1:74" s="10" customFormat="1" ht="17.45">
      <c r="A10" s="25" t="str">
        <f ca="1">IF(ISERROR(VALUE(SUBSTITUTE(prevWBS,".",""))),"1",IF(ISERROR(FIND("`",SUBSTITUTE(prevWBS,".","`",1))),TEXT(VALUE(prevWBS)+1,"#"),TEXT(VALUE(LEFT(prevWBS,FIND("`",SUBSTITUTE(prevWBS,".","`",1))-1))+1,"#")))</f>
        <v>1</v>
      </c>
      <c r="B10" s="26" t="s">
        <v>41</v>
      </c>
      <c r="C10" s="27"/>
      <c r="D10" s="28"/>
      <c r="E10" s="47" t="str">
        <f>IF(ISBLANK(D10)," - ",IF(F10=0,D10,D10+F10-1))</f>
        <v xml:space="preserve"> - </v>
      </c>
      <c r="F10" s="47" t="str">
        <f>IF(ISBLANK(E10)," - ",IF(G10=0,E10,E10+G10-1))</f>
        <v xml:space="preserve"> - </v>
      </c>
      <c r="G10" s="87"/>
      <c r="H10" s="30"/>
      <c r="I10" s="31"/>
      <c r="J10" s="31"/>
      <c r="K10" s="34"/>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row>
    <row r="11" spans="1:74" s="16" customFormat="1" ht="17.45">
      <c r="A11" s="15" t="str">
        <f t="shared" ref="A11:A21" ca="1" si="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11" s="51" t="s">
        <v>42</v>
      </c>
      <c r="D11" s="52"/>
      <c r="E11" s="96">
        <v>45995</v>
      </c>
      <c r="F11" s="38">
        <f>IF(ISBLANK(E11)," - ",IF(G11=0,E11,E11+G11-1))</f>
        <v>45999</v>
      </c>
      <c r="G11" s="97">
        <v>5</v>
      </c>
      <c r="H11" s="98">
        <v>0.2</v>
      </c>
      <c r="I11" s="17">
        <f>IF(OR(F11=0,E11=0)," - ",NETWORKDAYS(E11,F11))</f>
        <v>3</v>
      </c>
      <c r="J11" s="17"/>
      <c r="K11" s="3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row>
    <row r="12" spans="1:74" s="16" customFormat="1" ht="17.45">
      <c r="A12" s="15" t="str">
        <f t="shared" ca="1" si="4"/>
        <v>1.2</v>
      </c>
      <c r="B12" s="51" t="s">
        <v>42</v>
      </c>
      <c r="D12" s="52"/>
      <c r="E12" s="96">
        <v>45996</v>
      </c>
      <c r="F12" s="38">
        <f t="shared" ref="F12:F39" si="5">IF(ISBLANK(E12)," - ",IF(G12=0,E12,E12+G12-1))</f>
        <v>46001</v>
      </c>
      <c r="G12" s="97">
        <v>6</v>
      </c>
      <c r="H12" s="98">
        <v>0.8</v>
      </c>
      <c r="I12" s="17">
        <f>IF(OR(F12=0,E12=0)," - ",NETWORKDAYS(E12,F12))</f>
        <v>4</v>
      </c>
      <c r="J12" s="17"/>
      <c r="K12" s="3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row>
    <row r="13" spans="1:74" s="16" customFormat="1" ht="17.45">
      <c r="A13" s="15" t="str">
        <f t="shared" ca="1" si="4"/>
        <v>1.3</v>
      </c>
      <c r="B13" s="51" t="s">
        <v>42</v>
      </c>
      <c r="D13" s="52"/>
      <c r="E13" s="96">
        <v>45997</v>
      </c>
      <c r="F13" s="38">
        <f t="shared" si="5"/>
        <v>46000</v>
      </c>
      <c r="G13" s="97">
        <v>4</v>
      </c>
      <c r="H13" s="98">
        <v>0</v>
      </c>
      <c r="I13" s="17">
        <f>IF(OR(F13=0,E13=0)," - ",NETWORKDAYS(E13,F13))</f>
        <v>2</v>
      </c>
      <c r="J13" s="17"/>
      <c r="K13" s="35"/>
      <c r="L13" s="15"/>
      <c r="M13" s="15"/>
      <c r="N13" s="43"/>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row>
    <row r="14" spans="1:74" s="16" customFormat="1" ht="17.45">
      <c r="A14" s="15" t="str">
        <f t="shared" ca="1" si="4"/>
        <v>1.4</v>
      </c>
      <c r="B14" s="51" t="s">
        <v>42</v>
      </c>
      <c r="D14" s="52"/>
      <c r="E14" s="96">
        <v>45998</v>
      </c>
      <c r="F14" s="38">
        <f t="shared" ref="F14" si="6">IF(ISBLANK(E14)," - ",IF(G14=0,E14,E14+G14-1))</f>
        <v>46002</v>
      </c>
      <c r="G14" s="97">
        <v>5</v>
      </c>
      <c r="H14" s="98">
        <v>0.9</v>
      </c>
      <c r="I14" s="17"/>
      <c r="J14" s="17"/>
      <c r="K14" s="35"/>
      <c r="L14" s="15"/>
      <c r="M14" s="15"/>
      <c r="N14" s="43"/>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row>
    <row r="15" spans="1:74" s="16" customFormat="1" ht="17.45">
      <c r="A15" s="15" t="str">
        <f t="shared" ca="1" si="4"/>
        <v>1.5</v>
      </c>
      <c r="B15" s="51" t="s">
        <v>42</v>
      </c>
      <c r="D15" s="52"/>
      <c r="E15" s="96">
        <v>45999</v>
      </c>
      <c r="F15" s="38">
        <f t="shared" si="5"/>
        <v>46078</v>
      </c>
      <c r="G15" s="97">
        <v>80</v>
      </c>
      <c r="H15" s="98">
        <v>0.75</v>
      </c>
      <c r="I15" s="17">
        <f>IF(OR(F15=0,E15=0)," - ",NETWORKDAYS(E15,F15))</f>
        <v>58</v>
      </c>
      <c r="J15" s="17"/>
      <c r="K15" s="3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row>
    <row r="16" spans="1:74" s="16" customFormat="1" ht="17.45">
      <c r="A16" s="15"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1.5.1</v>
      </c>
      <c r="B16" s="53" t="s">
        <v>43</v>
      </c>
      <c r="D16" s="52"/>
      <c r="E16" s="96">
        <v>46000</v>
      </c>
      <c r="F16" s="38">
        <f t="shared" si="5"/>
        <v>46019</v>
      </c>
      <c r="G16" s="97">
        <v>20</v>
      </c>
      <c r="H16" s="98">
        <v>0.5</v>
      </c>
      <c r="I16" s="17">
        <f>IF(OR(F16=0,E16=0)," - ",NETWORKDAYS(E16,F16))</f>
        <v>14</v>
      </c>
      <c r="J16" s="17"/>
      <c r="K16" s="3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row>
    <row r="17" spans="1:67" s="16" customFormat="1" ht="17.45">
      <c r="A17" s="15"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1.5.2</v>
      </c>
      <c r="B17" s="53" t="s">
        <v>43</v>
      </c>
      <c r="D17" s="52"/>
      <c r="E17" s="96">
        <v>46001</v>
      </c>
      <c r="F17" s="38">
        <f t="shared" ref="F17" si="7">IF(ISBLANK(E17)," - ",IF(G17=0,E17,E17+G17-1))</f>
        <v>46020</v>
      </c>
      <c r="G17" s="97">
        <v>20</v>
      </c>
      <c r="H17" s="98">
        <v>0.5</v>
      </c>
      <c r="I17" s="17">
        <f t="shared" ref="I17" si="8">IF(OR(F17=0,E17=0)," - ",NETWORKDAYS(E17,F17))</f>
        <v>14</v>
      </c>
      <c r="J17" s="17"/>
      <c r="K17" s="3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row>
    <row r="18" spans="1:67" s="16" customFormat="1" ht="17.45">
      <c r="A18" s="15" t="str">
        <f ca="1">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1.5.3</v>
      </c>
      <c r="B18" s="53" t="s">
        <v>43</v>
      </c>
      <c r="D18" s="52"/>
      <c r="E18" s="96">
        <v>46002</v>
      </c>
      <c r="F18" s="38">
        <f t="shared" si="5"/>
        <v>46041</v>
      </c>
      <c r="G18" s="97">
        <v>40</v>
      </c>
      <c r="H18" s="98">
        <v>0.5</v>
      </c>
      <c r="I18" s="17">
        <f>IF(OR(F18=0,E18=0)," - ",NETWORKDAYS(E18,F18))</f>
        <v>28</v>
      </c>
      <c r="J18" s="17"/>
      <c r="K18" s="3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row>
    <row r="19" spans="1:67" s="16" customFormat="1" ht="17.45">
      <c r="A19" s="15" t="str">
        <f t="shared" ca="1" si="4"/>
        <v>1.6</v>
      </c>
      <c r="B19" s="51" t="s">
        <v>42</v>
      </c>
      <c r="D19" s="52"/>
      <c r="E19" s="96">
        <v>46003</v>
      </c>
      <c r="F19" s="38">
        <f t="shared" si="5"/>
        <v>46007</v>
      </c>
      <c r="G19" s="97">
        <v>5</v>
      </c>
      <c r="H19" s="98">
        <v>0</v>
      </c>
      <c r="I19" s="17">
        <f>IF(OR(F19=0,E19=0)," - ",NETWORKDAYS(E19,F19))</f>
        <v>3</v>
      </c>
      <c r="J19" s="17"/>
      <c r="K19" s="3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row>
    <row r="20" spans="1:67" s="16" customFormat="1" ht="17.45">
      <c r="A20" s="15" t="str">
        <f t="shared" ca="1" si="4"/>
        <v>1.7</v>
      </c>
      <c r="B20" s="51" t="s">
        <v>42</v>
      </c>
      <c r="D20" s="52"/>
      <c r="E20" s="96">
        <v>46004</v>
      </c>
      <c r="F20" s="38">
        <f t="shared" si="5"/>
        <v>46010</v>
      </c>
      <c r="G20" s="97">
        <v>7</v>
      </c>
      <c r="H20" s="98">
        <v>0</v>
      </c>
      <c r="I20" s="17">
        <f>IF(OR(F20=0,E20=0)," - ",NETWORKDAYS(E20,F20))</f>
        <v>5</v>
      </c>
      <c r="J20" s="17"/>
      <c r="K20" s="3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row>
    <row r="21" spans="1:67" s="16" customFormat="1" ht="17.45">
      <c r="A21" s="15" t="str">
        <f t="shared" ca="1" si="4"/>
        <v>1.8</v>
      </c>
      <c r="B21" s="51" t="s">
        <v>42</v>
      </c>
      <c r="D21" s="52"/>
      <c r="E21" s="96">
        <v>46005</v>
      </c>
      <c r="F21" s="38">
        <f t="shared" si="5"/>
        <v>46011</v>
      </c>
      <c r="G21" s="97">
        <v>7</v>
      </c>
      <c r="H21" s="98">
        <v>0</v>
      </c>
      <c r="I21" s="17">
        <f>IF(OR(F21=0,E21=0)," - ",NETWORKDAYS(E21,F21))</f>
        <v>5</v>
      </c>
      <c r="J21" s="17"/>
      <c r="K21" s="3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row>
    <row r="22" spans="1:67" s="10" customFormat="1" ht="17.45">
      <c r="A22" s="8">
        <v>2</v>
      </c>
      <c r="B22" s="9" t="s">
        <v>44</v>
      </c>
      <c r="D22" s="11"/>
      <c r="E22" s="39"/>
      <c r="F22" s="39" t="str">
        <f t="shared" si="5"/>
        <v xml:space="preserve"> - </v>
      </c>
      <c r="G22" s="29"/>
      <c r="H22" s="13"/>
      <c r="I22" s="14" t="str">
        <f>IF(OR(F22=0,E22=0)," - ",NETWORKDAYS(E22,F22))</f>
        <v xml:space="preserve"> - </v>
      </c>
      <c r="J22" s="14"/>
      <c r="K22" s="88"/>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row>
    <row r="23" spans="1:67" s="16" customFormat="1" ht="17.45">
      <c r="A23"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23" s="51" t="s">
        <v>42</v>
      </c>
      <c r="D23" s="52"/>
      <c r="E23" s="96">
        <v>46005</v>
      </c>
      <c r="F23" s="38">
        <f t="shared" si="5"/>
        <v>46008</v>
      </c>
      <c r="G23" s="99">
        <v>4</v>
      </c>
      <c r="H23" s="98">
        <v>0</v>
      </c>
      <c r="I23" s="17">
        <f>IF(OR(F23=0,E23=0)," - ",NETWORKDAYS(E23,F23))</f>
        <v>3</v>
      </c>
      <c r="J23" s="17"/>
      <c r="K23" s="3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row>
    <row r="24" spans="1:67" s="16" customFormat="1" ht="17.45">
      <c r="A24"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24" s="51" t="s">
        <v>42</v>
      </c>
      <c r="D24" s="52"/>
      <c r="E24" s="96">
        <v>46006</v>
      </c>
      <c r="F24" s="38">
        <f t="shared" si="5"/>
        <v>46008</v>
      </c>
      <c r="G24" s="99">
        <v>3</v>
      </c>
      <c r="H24" s="98">
        <v>0</v>
      </c>
      <c r="I24" s="17">
        <f>IF(OR(F24=0,E24=0)," - ",NETWORKDAYS(E24,F24))</f>
        <v>3</v>
      </c>
      <c r="J24" s="17"/>
      <c r="K24" s="3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row>
    <row r="25" spans="1:67" s="16" customFormat="1" ht="17.45">
      <c r="A25"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25" s="51" t="s">
        <v>42</v>
      </c>
      <c r="D25" s="52"/>
      <c r="E25" s="96">
        <v>46007</v>
      </c>
      <c r="F25" s="38">
        <f t="shared" si="5"/>
        <v>46009</v>
      </c>
      <c r="G25" s="99">
        <v>3</v>
      </c>
      <c r="H25" s="98">
        <v>0</v>
      </c>
      <c r="I25" s="17">
        <f>IF(OR(F25=0,E25=0)," - ",NETWORKDAYS(E25,F25))</f>
        <v>3</v>
      </c>
      <c r="J25" s="17"/>
      <c r="K25" s="3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row>
    <row r="26" spans="1:67" s="16" customFormat="1" ht="17.45">
      <c r="A26"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6" s="51" t="s">
        <v>42</v>
      </c>
      <c r="D26" s="52"/>
      <c r="E26" s="96">
        <v>46008</v>
      </c>
      <c r="F26" s="38">
        <f t="shared" si="5"/>
        <v>46013</v>
      </c>
      <c r="G26" s="99">
        <v>6</v>
      </c>
      <c r="H26" s="98">
        <v>0</v>
      </c>
      <c r="I26" s="17">
        <f>IF(OR(F26=0,E26=0)," - ",NETWORKDAYS(E26,F26))</f>
        <v>4</v>
      </c>
      <c r="J26" s="17"/>
      <c r="K26" s="3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row>
    <row r="27" spans="1:67" s="16" customFormat="1" ht="17.45">
      <c r="A27"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2.5</v>
      </c>
      <c r="B27" s="51" t="s">
        <v>42</v>
      </c>
      <c r="D27" s="52"/>
      <c r="E27" s="96">
        <v>46009</v>
      </c>
      <c r="F27" s="38">
        <f t="shared" si="5"/>
        <v>46011</v>
      </c>
      <c r="G27" s="99">
        <v>3</v>
      </c>
      <c r="H27" s="98">
        <v>0</v>
      </c>
      <c r="I27" s="17">
        <f>IF(OR(F27=0,E27=0)," - ",NETWORKDAYS(E27,F27))</f>
        <v>2</v>
      </c>
      <c r="J27" s="17"/>
      <c r="K27" s="3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row>
    <row r="28" spans="1:67" s="10" customFormat="1" ht="17.45">
      <c r="A28" s="8" t="str">
        <f ca="1">IF(ISERROR(VALUE(SUBSTITUTE(prevWBS,".",""))),"1",IF(ISERROR(FIND("`",SUBSTITUTE(prevWBS,".","`",1))),TEXT(VALUE(prevWBS)+1,"#"),TEXT(VALUE(LEFT(prevWBS,FIND("`",SUBSTITUTE(prevWBS,".","`",1))-1))+1,"#")))</f>
        <v>3</v>
      </c>
      <c r="B28" s="9" t="s">
        <v>45</v>
      </c>
      <c r="D28" s="11"/>
      <c r="E28" s="39"/>
      <c r="F28" s="39" t="str">
        <f t="shared" si="5"/>
        <v xml:space="preserve"> - </v>
      </c>
      <c r="G28" s="12"/>
      <c r="H28" s="13"/>
      <c r="I28" s="14" t="str">
        <f>IF(OR(F28=0,E28=0)," - ",NETWORKDAYS(E28,F28))</f>
        <v xml:space="preserve"> - </v>
      </c>
      <c r="J28" s="14"/>
      <c r="K28" s="36"/>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row>
    <row r="29" spans="1:67" s="16" customFormat="1" ht="17.45">
      <c r="A29"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9" s="51" t="s">
        <v>42</v>
      </c>
      <c r="D29" s="52"/>
      <c r="E29" s="96">
        <v>43141</v>
      </c>
      <c r="F29" s="38">
        <f t="shared" si="5"/>
        <v>43144</v>
      </c>
      <c r="G29" s="99">
        <v>4</v>
      </c>
      <c r="H29" s="98">
        <v>0</v>
      </c>
      <c r="I29" s="17">
        <f>IF(OR(F29=0,E29=0)," - ",NETWORKDAYS(E29,F29))</f>
        <v>2</v>
      </c>
      <c r="J29" s="17"/>
      <c r="K29" s="3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row>
    <row r="30" spans="1:67" s="16" customFormat="1" ht="17.45">
      <c r="A30"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30" s="51" t="s">
        <v>42</v>
      </c>
      <c r="D30" s="52"/>
      <c r="E30" s="96">
        <v>43145</v>
      </c>
      <c r="F30" s="38">
        <f t="shared" si="5"/>
        <v>43147</v>
      </c>
      <c r="G30" s="99">
        <v>3</v>
      </c>
      <c r="H30" s="98">
        <v>0</v>
      </c>
      <c r="I30" s="17">
        <f>IF(OR(F30=0,E30=0)," - ",NETWORKDAYS(E30,F30))</f>
        <v>3</v>
      </c>
      <c r="J30" s="17"/>
      <c r="K30" s="3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row>
    <row r="31" spans="1:67" s="16" customFormat="1" ht="17.45">
      <c r="A31"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31" s="51" t="s">
        <v>42</v>
      </c>
      <c r="D31" s="52"/>
      <c r="E31" s="96">
        <v>43145</v>
      </c>
      <c r="F31" s="38">
        <f t="shared" si="5"/>
        <v>43147</v>
      </c>
      <c r="G31" s="99">
        <v>3</v>
      </c>
      <c r="H31" s="98">
        <v>0</v>
      </c>
      <c r="I31" s="17">
        <f>IF(OR(F31=0,E31=0)," - ",NETWORKDAYS(E31,F31))</f>
        <v>3</v>
      </c>
      <c r="J31" s="17"/>
      <c r="K31" s="3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row>
    <row r="32" spans="1:67" s="16" customFormat="1" ht="17.45">
      <c r="A32"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32" s="51" t="s">
        <v>42</v>
      </c>
      <c r="D32" s="52"/>
      <c r="E32" s="96">
        <v>43148</v>
      </c>
      <c r="F32" s="38">
        <f t="shared" si="5"/>
        <v>43153</v>
      </c>
      <c r="G32" s="99">
        <v>6</v>
      </c>
      <c r="H32" s="98">
        <v>0</v>
      </c>
      <c r="I32" s="17">
        <f>IF(OR(F32=0,E32=0)," - ",NETWORKDAYS(E32,F32))</f>
        <v>4</v>
      </c>
      <c r="J32" s="17"/>
      <c r="K32" s="3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row>
    <row r="33" spans="1:67" s="16" customFormat="1" ht="17.45">
      <c r="A33"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33" s="51" t="s">
        <v>42</v>
      </c>
      <c r="D33" s="52"/>
      <c r="E33" s="96">
        <v>43154</v>
      </c>
      <c r="F33" s="38">
        <f t="shared" si="5"/>
        <v>43156</v>
      </c>
      <c r="G33" s="99">
        <v>3</v>
      </c>
      <c r="H33" s="98">
        <v>0</v>
      </c>
      <c r="I33" s="17">
        <f>IF(OR(F33=0,E33=0)," - ",NETWORKDAYS(E33,F33))</f>
        <v>1</v>
      </c>
      <c r="J33" s="17"/>
      <c r="K33" s="3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row>
    <row r="34" spans="1:67" s="10" customFormat="1" ht="17.45">
      <c r="A34" s="8" t="str">
        <f ca="1">IF(ISERROR(VALUE(SUBSTITUTE(prevWBS,".",""))),"1",IF(ISERROR(FIND("`",SUBSTITUTE(prevWBS,".","`",1))),TEXT(VALUE(prevWBS)+1,"#"),TEXT(VALUE(LEFT(prevWBS,FIND("`",SUBSTITUTE(prevWBS,".","`",1))-1))+1,"#")))</f>
        <v>4</v>
      </c>
      <c r="B34" s="9" t="s">
        <v>46</v>
      </c>
      <c r="D34" s="11"/>
      <c r="E34" s="39"/>
      <c r="F34" s="39" t="str">
        <f t="shared" si="5"/>
        <v xml:space="preserve"> - </v>
      </c>
      <c r="G34" s="12"/>
      <c r="H34" s="13"/>
      <c r="I34" s="14" t="str">
        <f>IF(OR(F34=0,E34=0)," - ",NETWORKDAYS(E34,F34))</f>
        <v xml:space="preserve"> - </v>
      </c>
      <c r="J34" s="14"/>
      <c r="K34" s="36"/>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row>
    <row r="35" spans="1:67" s="16" customFormat="1" ht="17.45">
      <c r="A35"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5" s="51" t="s">
        <v>42</v>
      </c>
      <c r="D35" s="52"/>
      <c r="E35" s="96">
        <v>43129</v>
      </c>
      <c r="F35" s="38">
        <f t="shared" si="5"/>
        <v>43129</v>
      </c>
      <c r="G35" s="99">
        <v>1</v>
      </c>
      <c r="H35" s="98">
        <v>0</v>
      </c>
      <c r="I35" s="17">
        <f>IF(OR(F35=0,E35=0)," - ",NETWORKDAYS(E35,F35))</f>
        <v>1</v>
      </c>
      <c r="J35" s="17"/>
      <c r="K35" s="3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row>
    <row r="36" spans="1:67" s="16" customFormat="1" ht="17.45">
      <c r="A36"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6" s="51" t="s">
        <v>42</v>
      </c>
      <c r="D36" s="52"/>
      <c r="E36" s="96">
        <v>43130</v>
      </c>
      <c r="F36" s="38">
        <f t="shared" si="5"/>
        <v>43130</v>
      </c>
      <c r="G36" s="99">
        <v>1</v>
      </c>
      <c r="H36" s="98">
        <v>0</v>
      </c>
      <c r="I36" s="17">
        <f>IF(OR(F36=0,E36=0)," - ",NETWORKDAYS(E36,F36))</f>
        <v>1</v>
      </c>
      <c r="J36" s="17"/>
      <c r="K36" s="3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row>
    <row r="37" spans="1:67" s="16" customFormat="1" ht="17.45">
      <c r="A37"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7" s="51" t="s">
        <v>42</v>
      </c>
      <c r="D37" s="52"/>
      <c r="E37" s="96">
        <v>43131</v>
      </c>
      <c r="F37" s="38">
        <f t="shared" si="5"/>
        <v>43131</v>
      </c>
      <c r="G37" s="99">
        <v>1</v>
      </c>
      <c r="H37" s="98">
        <v>0</v>
      </c>
      <c r="I37" s="17">
        <f>IF(OR(F37=0,E37=0)," - ",NETWORKDAYS(E37,F37))</f>
        <v>1</v>
      </c>
      <c r="J37" s="17"/>
      <c r="K37" s="3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row>
    <row r="38" spans="1:67" s="16" customFormat="1" ht="17.45">
      <c r="A38"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8" s="51" t="s">
        <v>42</v>
      </c>
      <c r="D38" s="52"/>
      <c r="E38" s="96">
        <v>43132</v>
      </c>
      <c r="F38" s="38">
        <f t="shared" si="5"/>
        <v>43132</v>
      </c>
      <c r="G38" s="99">
        <v>1</v>
      </c>
      <c r="H38" s="98">
        <v>0</v>
      </c>
      <c r="I38" s="17">
        <f>IF(OR(F38=0,E38=0)," - ",NETWORKDAYS(E38,F38))</f>
        <v>1</v>
      </c>
      <c r="J38" s="17"/>
      <c r="K38" s="3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row>
    <row r="39" spans="1:67" s="16" customFormat="1" ht="17.45">
      <c r="A39"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9" s="51" t="s">
        <v>42</v>
      </c>
      <c r="D39" s="52"/>
      <c r="E39" s="96">
        <v>43133</v>
      </c>
      <c r="F39" s="38">
        <f t="shared" si="5"/>
        <v>43133</v>
      </c>
      <c r="G39" s="99">
        <v>1</v>
      </c>
      <c r="H39" s="98">
        <v>0</v>
      </c>
      <c r="I39" s="17">
        <f>IF(OR(F39=0,E39=0)," - ",NETWORKDAYS(E39,F39))</f>
        <v>1</v>
      </c>
      <c r="J39" s="17"/>
      <c r="K39" s="3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row>
    <row r="40" spans="1:67" s="10" customFormat="1" ht="17.45">
      <c r="A40" s="8" t="str">
        <f ca="1">IF(ISERROR(VALUE(SUBSTITUTE(prevWBS,".",""))),"1",IF(ISERROR(FIND("`",SUBSTITUTE(prevWBS,".","`",1))),TEXT(VALUE(prevWBS)+1,"#"),TEXT(VALUE(LEFT(prevWBS,FIND("`",SUBSTITUTE(prevWBS,".","`",1))-1))+1,"#")))</f>
        <v>5</v>
      </c>
      <c r="B40" s="9" t="s">
        <v>47</v>
      </c>
      <c r="D40" s="11"/>
      <c r="E40" s="39"/>
      <c r="F40" s="39" t="str">
        <f t="shared" ref="F40:F45" si="9">IF(ISBLANK(E40)," - ",IF(G40=0,E40,E40+G40-1))</f>
        <v xml:space="preserve"> - </v>
      </c>
      <c r="G40" s="12"/>
      <c r="H40" s="13"/>
      <c r="I40" s="14" t="str">
        <f t="shared" ref="I40:I45" si="10">IF(OR(F40=0,E40=0)," - ",NETWORKDAYS(E40,F40))</f>
        <v xml:space="preserve"> - </v>
      </c>
      <c r="J40" s="14"/>
      <c r="K40" s="36"/>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row>
    <row r="41" spans="1:67" s="16" customFormat="1" ht="17.45">
      <c r="A41"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41" s="51" t="s">
        <v>42</v>
      </c>
      <c r="D41" s="52"/>
      <c r="E41" s="96">
        <v>43129</v>
      </c>
      <c r="F41" s="38">
        <f t="shared" si="9"/>
        <v>43129</v>
      </c>
      <c r="G41" s="99">
        <v>1</v>
      </c>
      <c r="H41" s="98">
        <v>0</v>
      </c>
      <c r="I41" s="17">
        <f t="shared" si="10"/>
        <v>1</v>
      </c>
      <c r="J41" s="17"/>
      <c r="K41" s="3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row>
    <row r="42" spans="1:67" s="16" customFormat="1" ht="17.45">
      <c r="A42"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42" s="51" t="s">
        <v>42</v>
      </c>
      <c r="D42" s="52"/>
      <c r="E42" s="96">
        <v>43130</v>
      </c>
      <c r="F42" s="38">
        <f t="shared" si="9"/>
        <v>43130</v>
      </c>
      <c r="G42" s="99">
        <v>1</v>
      </c>
      <c r="H42" s="98">
        <v>0</v>
      </c>
      <c r="I42" s="17">
        <f t="shared" si="10"/>
        <v>1</v>
      </c>
      <c r="J42" s="17"/>
      <c r="K42" s="3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row>
    <row r="43" spans="1:67" s="16" customFormat="1" ht="17.45">
      <c r="A43"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43" s="51" t="s">
        <v>42</v>
      </c>
      <c r="D43" s="52"/>
      <c r="E43" s="96">
        <v>43131</v>
      </c>
      <c r="F43" s="38">
        <f t="shared" si="9"/>
        <v>43131</v>
      </c>
      <c r="G43" s="99">
        <v>1</v>
      </c>
      <c r="H43" s="98">
        <v>0</v>
      </c>
      <c r="I43" s="17">
        <f t="shared" si="10"/>
        <v>1</v>
      </c>
      <c r="J43" s="17"/>
      <c r="K43" s="3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row>
    <row r="44" spans="1:67" s="16" customFormat="1" ht="17.45">
      <c r="A44"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44" s="51" t="s">
        <v>42</v>
      </c>
      <c r="D44" s="52"/>
      <c r="E44" s="96">
        <v>43132</v>
      </c>
      <c r="F44" s="38">
        <f t="shared" si="9"/>
        <v>43132</v>
      </c>
      <c r="G44" s="99">
        <v>1</v>
      </c>
      <c r="H44" s="98">
        <v>0</v>
      </c>
      <c r="I44" s="17">
        <f t="shared" si="10"/>
        <v>1</v>
      </c>
      <c r="J44" s="17"/>
      <c r="K44" s="3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row>
    <row r="45" spans="1:67" s="16" customFormat="1" ht="17.45">
      <c r="A45" s="15"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5.5</v>
      </c>
      <c r="B45" s="51" t="s">
        <v>42</v>
      </c>
      <c r="D45" s="52"/>
      <c r="E45" s="96">
        <v>43133</v>
      </c>
      <c r="F45" s="38">
        <f t="shared" si="9"/>
        <v>43133</v>
      </c>
      <c r="G45" s="99">
        <v>1</v>
      </c>
      <c r="H45" s="98">
        <v>0</v>
      </c>
      <c r="I45" s="17">
        <f t="shared" si="10"/>
        <v>1</v>
      </c>
      <c r="J45" s="17"/>
      <c r="K45" s="3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row>
    <row r="48" spans="1:67" s="4" customFormat="1">
      <c r="A48" s="57"/>
    </row>
  </sheetData>
  <sheetProtection formatCells="0" formatColumns="0" formatRows="0" insertRows="0" deleteRows="0"/>
  <mergeCells count="21">
    <mergeCell ref="C6:E6"/>
    <mergeCell ref="S7:Y7"/>
    <mergeCell ref="L7:R7"/>
    <mergeCell ref="Z6:AF6"/>
    <mergeCell ref="Z7:AF7"/>
    <mergeCell ref="B1:BV1"/>
    <mergeCell ref="A2:BV2"/>
    <mergeCell ref="AG6:AM6"/>
    <mergeCell ref="AG7:AM7"/>
    <mergeCell ref="BI6:BO6"/>
    <mergeCell ref="BI7:BO7"/>
    <mergeCell ref="AN7:AT7"/>
    <mergeCell ref="AU6:BA6"/>
    <mergeCell ref="AU7:BA7"/>
    <mergeCell ref="AN6:AT6"/>
    <mergeCell ref="BB6:BH6"/>
    <mergeCell ref="BB7:BH7"/>
    <mergeCell ref="L4:AF4"/>
    <mergeCell ref="C7:E7"/>
    <mergeCell ref="S6:Y6"/>
    <mergeCell ref="L6:R6"/>
  </mergeCells>
  <phoneticPr fontId="4" type="noConversion"/>
  <conditionalFormatting sqref="H10:H45">
    <cfRule type="dataBar" priority="10">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L8:BO9">
    <cfRule type="expression" dxfId="3" priority="53">
      <formula>L$8=TODAY()</formula>
    </cfRule>
  </conditionalFormatting>
  <conditionalFormatting sqref="L8:BO45">
    <cfRule type="expression" dxfId="2" priority="16">
      <formula>L$8=TODAY()</formula>
    </cfRule>
  </conditionalFormatting>
  <conditionalFormatting sqref="L10:BO45">
    <cfRule type="expression" dxfId="1" priority="56">
      <formula>AND($E10&lt;=L$8,ROUNDDOWN(($F10-$E10+1)*$H10,0)+$E10-1&gt;=L$8)</formula>
    </cfRule>
    <cfRule type="expression" dxfId="0" priority="57">
      <formula>AND(NOT(ISBLANK($E10)),$E10&lt;=L$8,$F10&gt;=L$8)</formula>
    </cfRule>
  </conditionalFormatting>
  <dataValidations count="2">
    <dataValidation allowBlank="1" showInputMessage="1" promptTitle="Display Week" prompt="Enter the week number to display first in the Gantt Chart. The weeks are numbered starting from the week containing the Project Start Date." sqref="H6" xr:uid="{00000000-0002-0000-0000-000000000000}"/>
    <dataValidation type="list" allowBlank="1" showInputMessage="1" showErrorMessage="1" sqref="J11:J21 J23:J27 J29:J33 J35:J39 J41:J45" xr:uid="{638B58BA-4DFB-4AEB-8919-4BC712B7A2F3}">
      <formula1>"Completed, On Track, At Risk, Delayed"</formula1>
    </dataValidation>
  </dataValidations>
  <pageMargins left="0.25" right="0.25" top="0.5" bottom="0.5" header="0.5" footer="0.25"/>
  <pageSetup scale="63" orientation="landscape" r:id="rId1"/>
  <headerFooter alignWithMargins="0"/>
  <ignoredErrors>
    <ignoredError sqref="B35 B36:B38 B29:B32 B23:B26 H16 G20 H18 E22 E28 E34 G19 G13 G22:H22 G28:H28 G34:H38 H26 H24 H25 H29:H32" unlockedFormula="1"/>
    <ignoredError sqref="A34 A28"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H10:H45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19852d-30be-49c4-8858-6cbc4a1ff376" xsi:nil="true"/>
    <lcf76f155ced4ddcb4097134ff3c332f xmlns="567ba4dc-eaa4-4764-9078-86fe8f265db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F662C8E6B1B4FB44BD71793BD93DB" ma:contentTypeVersion="12" ma:contentTypeDescription="Create a new document." ma:contentTypeScope="" ma:versionID="359edbd54b91f89f7b5967e5868cf57f">
  <xsd:schema xmlns:xsd="http://www.w3.org/2001/XMLSchema" xmlns:xs="http://www.w3.org/2001/XMLSchema" xmlns:p="http://schemas.microsoft.com/office/2006/metadata/properties" xmlns:ns2="567ba4dc-eaa4-4764-9078-86fe8f265db1" xmlns:ns3="7819852d-30be-49c4-8858-6cbc4a1ff376" targetNamespace="http://schemas.microsoft.com/office/2006/metadata/properties" ma:root="true" ma:fieldsID="0ca917debac4bbcfce4d1e996a62dbea" ns2:_="" ns3:_="">
    <xsd:import namespace="567ba4dc-eaa4-4764-9078-86fe8f265db1"/>
    <xsd:import namespace="7819852d-30be-49c4-8858-6cbc4a1ff3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ba4dc-eaa4-4764-9078-86fe8f265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f1a0d83-9611-4640-8550-972b60db5c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9852d-30be-49c4-8858-6cbc4a1ff37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b2544d4-0065-4ae2-a6d8-b9fecf82731d}" ma:internalName="TaxCatchAll" ma:showField="CatchAllData" ma:web="7819852d-30be-49c4-8858-6cbc4a1ff3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24635C-0BFF-4D95-8B97-7D93BBB65B6F}"/>
</file>

<file path=customXml/itemProps2.xml><?xml version="1.0" encoding="utf-8"?>
<ds:datastoreItem xmlns:ds="http://schemas.openxmlformats.org/officeDocument/2006/customXml" ds:itemID="{DC95A4AA-5747-4ED6-92D2-2F23553E9BF1}"/>
</file>

<file path=customXml/itemProps3.xml><?xml version="1.0" encoding="utf-8"?>
<ds:datastoreItem xmlns:ds="http://schemas.openxmlformats.org/officeDocument/2006/customXml" ds:itemID="{C6ECEFC8-D968-4F32-9088-83AD08D5DC59}"/>
</file>

<file path=docMetadata/LabelInfo.xml><?xml version="1.0" encoding="utf-8"?>
<clbl:labelList xmlns:clbl="http://schemas.microsoft.com/office/2020/mipLabelMetadata">
  <clbl:label id="{50f40674-931c-4d09-ae8a-bb8fde36b912}" enabled="0" method="" siteId="{50f40674-931c-4d09-ae8a-bb8fde36b91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subject/>
  <dc:creator>Vertex42.com</dc:creator>
  <cp:keywords/>
  <dc:description>(c) 2006-2025 Vertex42 LLC. All Rights Reserved.</dc:description>
  <cp:lastModifiedBy>Vinaya Simha Reddy</cp:lastModifiedBy>
  <cp:revision/>
  <dcterms:created xsi:type="dcterms:W3CDTF">2010-06-09T16:05:03Z</dcterms:created>
  <dcterms:modified xsi:type="dcterms:W3CDTF">2025-12-12T11:10:22Z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ContentTypeId">
    <vt:lpwstr>0x01010055BF662C8E6B1B4FB44BD71793BD93DB</vt:lpwstr>
  </property>
  <property fmtid="{D5CDD505-2E9C-101B-9397-08002B2CF9AE}" pid="6" name="MediaServiceImageTags">
    <vt:lpwstr/>
  </property>
</Properties>
</file>