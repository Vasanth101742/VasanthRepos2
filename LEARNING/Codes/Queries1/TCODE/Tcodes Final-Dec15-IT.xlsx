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2.xml" ContentType="application/vnd.openxmlformats-officedocument.spreadsheetml.comment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120" yWindow="90" windowWidth="15180" windowHeight="7755" activeTab="1"/>
  </bookViews>
  <sheets>
    <sheet name="Comp" sheetId="5" r:id="rId1"/>
    <sheet name="Fin-Report" sheetId="1" r:id="rId2"/>
    <sheet name="Master" sheetId="3" r:id="rId3"/>
    <sheet name="Loc, GAAP and Conversion TB-Dec" sheetId="8" r:id="rId4"/>
    <sheet name="ICT-DEC15" sheetId="9" r:id="rId5"/>
    <sheet name="Cons-ICT-Dec15" sheetId="10" r:id="rId6"/>
  </sheets>
  <externalReferences>
    <externalReference r:id="rId7"/>
  </externalReferences>
  <definedNames>
    <definedName name="_xlnm._FilterDatabase" localSheetId="3" hidden="1">'Loc, GAAP and Conversion TB-Dec'!$A$8:$M$8</definedName>
    <definedName name="_Key1" hidden="1">'[1]Elgi Accts'!#REF!</definedName>
    <definedName name="_Key2" hidden="1">'[1]Elgi Accts'!#REF!</definedName>
    <definedName name="_Sort" hidden="1">'[1]Elgi Accts'!#REF!</definedName>
    <definedName name="_xlnm.Print_Area" localSheetId="3">'Loc, GAAP and Conversion TB-Dec'!$B$2:$L$1547</definedName>
  </definedNames>
  <calcPr calcId="124519"/>
</workbook>
</file>

<file path=xl/calcChain.xml><?xml version="1.0" encoding="utf-8"?>
<calcChain xmlns="http://schemas.openxmlformats.org/spreadsheetml/2006/main">
  <c r="E177" i="9"/>
  <c r="E256"/>
  <c r="X363" i="3" l="1"/>
  <c r="F363"/>
  <c r="G363" s="1"/>
  <c r="X362"/>
  <c r="E170"/>
  <c r="E171" s="1"/>
  <c r="F169"/>
  <c r="E6"/>
  <c r="E7" s="1"/>
  <c r="B6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B33" s="1"/>
  <c r="B34" s="1"/>
  <c r="B35" s="1"/>
  <c r="B36" s="1"/>
  <c r="B37" s="1"/>
  <c r="B38" s="1"/>
  <c r="B39" s="1"/>
  <c r="B40" s="1"/>
  <c r="B41" s="1"/>
  <c r="B42" s="1"/>
  <c r="B43" s="1"/>
  <c r="B44" s="1"/>
  <c r="B45" s="1"/>
  <c r="B46" s="1"/>
  <c r="B47" s="1"/>
  <c r="B48" s="1"/>
  <c r="B49" s="1"/>
  <c r="B50" s="1"/>
  <c r="B51" s="1"/>
  <c r="B52" s="1"/>
  <c r="B53" s="1"/>
  <c r="B54" s="1"/>
  <c r="B55" s="1"/>
  <c r="B56" s="1"/>
  <c r="B57" s="1"/>
  <c r="B58" s="1"/>
  <c r="B59" s="1"/>
  <c r="B60" s="1"/>
  <c r="B61" s="1"/>
  <c r="B62" s="1"/>
  <c r="B63" s="1"/>
  <c r="B64" s="1"/>
  <c r="B65" s="1"/>
  <c r="B66" s="1"/>
  <c r="B67" s="1"/>
  <c r="B68" s="1"/>
  <c r="B69" s="1"/>
  <c r="B70" s="1"/>
  <c r="B71" s="1"/>
  <c r="B72" s="1"/>
  <c r="B73" s="1"/>
  <c r="B74" s="1"/>
  <c r="B75" s="1"/>
  <c r="B76" s="1"/>
  <c r="B77" s="1"/>
  <c r="B78" s="1"/>
  <c r="B79" s="1"/>
  <c r="B80" s="1"/>
  <c r="B81" s="1"/>
  <c r="B82" s="1"/>
  <c r="B83" s="1"/>
  <c r="B84" s="1"/>
  <c r="B85" s="1"/>
  <c r="B86" s="1"/>
  <c r="B87" s="1"/>
  <c r="B88" s="1"/>
  <c r="B89" s="1"/>
  <c r="B90" s="1"/>
  <c r="B91" s="1"/>
  <c r="B92" s="1"/>
  <c r="B93" s="1"/>
  <c r="B94" s="1"/>
  <c r="B95" s="1"/>
  <c r="B96" s="1"/>
  <c r="B97" s="1"/>
  <c r="B98" s="1"/>
  <c r="B99" s="1"/>
  <c r="B100" s="1"/>
  <c r="B101" s="1"/>
  <c r="B102" s="1"/>
  <c r="B103" s="1"/>
  <c r="B104" s="1"/>
  <c r="B105" s="1"/>
  <c r="B106" s="1"/>
  <c r="B107" s="1"/>
  <c r="B108" s="1"/>
  <c r="B109" s="1"/>
  <c r="B110" s="1"/>
  <c r="B111" s="1"/>
  <c r="B112" s="1"/>
  <c r="B113" s="1"/>
  <c r="B114" s="1"/>
  <c r="B115" s="1"/>
  <c r="B116" s="1"/>
  <c r="B117" s="1"/>
  <c r="B118" s="1"/>
  <c r="B119" s="1"/>
  <c r="B120" s="1"/>
  <c r="B121" s="1"/>
  <c r="B122" s="1"/>
  <c r="B123" s="1"/>
  <c r="B124" s="1"/>
  <c r="B125" s="1"/>
  <c r="B126" s="1"/>
  <c r="B127" s="1"/>
  <c r="B128" s="1"/>
  <c r="B129" s="1"/>
  <c r="B130" s="1"/>
  <c r="B131" s="1"/>
  <c r="B132" s="1"/>
  <c r="B133" s="1"/>
  <c r="B134" s="1"/>
  <c r="B135" s="1"/>
  <c r="B136" s="1"/>
  <c r="B137" s="1"/>
  <c r="B138" s="1"/>
  <c r="B139" s="1"/>
  <c r="B140" s="1"/>
  <c r="B141" s="1"/>
  <c r="B142" s="1"/>
  <c r="B143" s="1"/>
  <c r="B144" s="1"/>
  <c r="B145" s="1"/>
  <c r="B146" s="1"/>
  <c r="B147" s="1"/>
  <c r="B148" s="1"/>
  <c r="B149" s="1"/>
  <c r="B150" s="1"/>
  <c r="B151" s="1"/>
  <c r="B152" s="1"/>
  <c r="B153" s="1"/>
  <c r="B154" s="1"/>
  <c r="B155" s="1"/>
  <c r="B156" s="1"/>
  <c r="B157" s="1"/>
  <c r="B158" s="1"/>
  <c r="B159" s="1"/>
  <c r="B160" s="1"/>
  <c r="B161" s="1"/>
  <c r="B162" s="1"/>
  <c r="B163" s="1"/>
  <c r="B164" s="1"/>
  <c r="B165" s="1"/>
  <c r="B166" s="1"/>
  <c r="B167" s="1"/>
  <c r="B168" s="1"/>
  <c r="B169" s="1"/>
  <c r="B170" s="1"/>
  <c r="B171" s="1"/>
  <c r="B172" s="1"/>
  <c r="B173" s="1"/>
  <c r="B174" s="1"/>
  <c r="B175" s="1"/>
  <c r="B176" s="1"/>
  <c r="B177" s="1"/>
  <c r="B178" s="1"/>
  <c r="B179" s="1"/>
  <c r="B180" s="1"/>
  <c r="B181" s="1"/>
  <c r="B182" s="1"/>
  <c r="B183" s="1"/>
  <c r="B184" s="1"/>
  <c r="B185" s="1"/>
  <c r="B186" s="1"/>
  <c r="B187" s="1"/>
  <c r="B188" s="1"/>
  <c r="B189" s="1"/>
  <c r="B190" s="1"/>
  <c r="B191" s="1"/>
  <c r="B192" s="1"/>
  <c r="B193" s="1"/>
  <c r="B194" s="1"/>
  <c r="B195" s="1"/>
  <c r="B196" s="1"/>
  <c r="B197" s="1"/>
  <c r="B198" s="1"/>
  <c r="B199" s="1"/>
  <c r="B200" s="1"/>
  <c r="B201" s="1"/>
  <c r="B202" s="1"/>
  <c r="B203" s="1"/>
  <c r="B204" s="1"/>
  <c r="B205" s="1"/>
  <c r="B206" s="1"/>
  <c r="B207" s="1"/>
  <c r="B208" s="1"/>
  <c r="B209" s="1"/>
  <c r="B210" s="1"/>
  <c r="B211" s="1"/>
  <c r="B212" s="1"/>
  <c r="B213" s="1"/>
  <c r="B214" s="1"/>
  <c r="B215" s="1"/>
  <c r="B216" s="1"/>
  <c r="B217" s="1"/>
  <c r="B218" s="1"/>
  <c r="B219" s="1"/>
  <c r="B220" s="1"/>
  <c r="B221" s="1"/>
  <c r="B222" s="1"/>
  <c r="B223" s="1"/>
  <c r="B224" s="1"/>
  <c r="B225" s="1"/>
  <c r="B226" s="1"/>
  <c r="B227" s="1"/>
  <c r="B228" s="1"/>
  <c r="B229" s="1"/>
  <c r="B230" s="1"/>
  <c r="B231" s="1"/>
  <c r="B232" s="1"/>
  <c r="B233" s="1"/>
  <c r="B234" s="1"/>
  <c r="B235" s="1"/>
  <c r="B236" s="1"/>
  <c r="B237" s="1"/>
  <c r="B238" s="1"/>
  <c r="B239" s="1"/>
  <c r="B240" s="1"/>
  <c r="B241" s="1"/>
  <c r="B242" s="1"/>
  <c r="B243" s="1"/>
  <c r="B244" s="1"/>
  <c r="B245" s="1"/>
  <c r="B246" s="1"/>
  <c r="B247" s="1"/>
  <c r="B248" s="1"/>
  <c r="B249" s="1"/>
  <c r="B250" s="1"/>
  <c r="B251" s="1"/>
  <c r="B252" s="1"/>
  <c r="B253" s="1"/>
  <c r="B254" s="1"/>
  <c r="B255" s="1"/>
  <c r="B256" s="1"/>
  <c r="B257" s="1"/>
  <c r="B258" s="1"/>
  <c r="B259" s="1"/>
  <c r="B260" s="1"/>
  <c r="B261" s="1"/>
  <c r="B262" s="1"/>
  <c r="B263" s="1"/>
  <c r="B264" s="1"/>
  <c r="B265" s="1"/>
  <c r="B266" s="1"/>
  <c r="B267" s="1"/>
  <c r="B268" s="1"/>
  <c r="B269" s="1"/>
  <c r="B270" s="1"/>
  <c r="B271" s="1"/>
  <c r="B272" s="1"/>
  <c r="B273" s="1"/>
  <c r="B274" s="1"/>
  <c r="B275" s="1"/>
  <c r="B276" s="1"/>
  <c r="B277" s="1"/>
  <c r="B278" s="1"/>
  <c r="B279" s="1"/>
  <c r="B280" s="1"/>
  <c r="B281" s="1"/>
  <c r="B282" s="1"/>
  <c r="B283" s="1"/>
  <c r="B284" s="1"/>
  <c r="B285" s="1"/>
  <c r="B286" s="1"/>
  <c r="B287" s="1"/>
  <c r="B288" s="1"/>
  <c r="B289" s="1"/>
  <c r="B290" s="1"/>
  <c r="B291" s="1"/>
  <c r="B292" s="1"/>
  <c r="B293" s="1"/>
  <c r="B294" s="1"/>
  <c r="B295" s="1"/>
  <c r="B296" s="1"/>
  <c r="B297" s="1"/>
  <c r="B298" s="1"/>
  <c r="B299" s="1"/>
  <c r="B300" s="1"/>
  <c r="B301" s="1"/>
  <c r="B302" s="1"/>
  <c r="B303" s="1"/>
  <c r="B304" s="1"/>
  <c r="B305" s="1"/>
  <c r="B306" s="1"/>
  <c r="B307" s="1"/>
  <c r="B308" s="1"/>
  <c r="B309" s="1"/>
  <c r="B310" s="1"/>
  <c r="B311" s="1"/>
  <c r="B312" s="1"/>
  <c r="B313" s="1"/>
  <c r="B314" s="1"/>
  <c r="B315" s="1"/>
  <c r="B316" s="1"/>
  <c r="B317" s="1"/>
  <c r="B318" s="1"/>
  <c r="B319" s="1"/>
  <c r="B320" s="1"/>
  <c r="B321" s="1"/>
  <c r="B322" s="1"/>
  <c r="B323" s="1"/>
  <c r="B324" s="1"/>
  <c r="B325" s="1"/>
  <c r="B326" s="1"/>
  <c r="B327" s="1"/>
  <c r="B328" s="1"/>
  <c r="B329" s="1"/>
  <c r="B330" s="1"/>
  <c r="B331" s="1"/>
  <c r="B332" s="1"/>
  <c r="B333" s="1"/>
  <c r="B334" s="1"/>
  <c r="B335" s="1"/>
  <c r="B336" s="1"/>
  <c r="B337" s="1"/>
  <c r="B338" s="1"/>
  <c r="B339" s="1"/>
  <c r="B340" s="1"/>
  <c r="B341" s="1"/>
  <c r="B342" s="1"/>
  <c r="B343" s="1"/>
  <c r="B344" s="1"/>
  <c r="B345" s="1"/>
  <c r="B346" s="1"/>
  <c r="B347" s="1"/>
  <c r="B348" s="1"/>
  <c r="B349" s="1"/>
  <c r="B350" s="1"/>
  <c r="B351" s="1"/>
  <c r="B352" s="1"/>
  <c r="B353" s="1"/>
  <c r="B354" s="1"/>
  <c r="B355" s="1"/>
  <c r="B356" s="1"/>
  <c r="B357" s="1"/>
  <c r="B358" s="1"/>
  <c r="B359" s="1"/>
  <c r="B360" s="1"/>
  <c r="B361" s="1"/>
  <c r="B362" s="1"/>
  <c r="B363" s="1"/>
  <c r="F5"/>
  <c r="G5" s="1"/>
  <c r="H2"/>
  <c r="E97" i="1"/>
  <c r="E463"/>
  <c r="E88"/>
  <c r="E89"/>
  <c r="E120"/>
  <c r="E10" s="1"/>
  <c r="E171"/>
  <c r="E189"/>
  <c r="E18" s="1"/>
  <c r="E273"/>
  <c r="E40" s="1"/>
  <c r="E67"/>
  <c r="E151" l="1"/>
  <c r="E141"/>
  <c r="E131"/>
  <c r="E325"/>
  <c r="E45" s="1"/>
  <c r="E217"/>
  <c r="E23" s="1"/>
  <c r="E488"/>
  <c r="E70" s="1"/>
  <c r="E406"/>
  <c r="E49" s="1"/>
  <c r="E372"/>
  <c r="E48" s="1"/>
  <c r="E308"/>
  <c r="E41" s="1"/>
  <c r="E156"/>
  <c r="E146"/>
  <c r="E136"/>
  <c r="E126"/>
  <c r="E444"/>
  <c r="E448"/>
  <c r="E412"/>
  <c r="E50" s="1"/>
  <c r="E358"/>
  <c r="E47" s="1"/>
  <c r="E335"/>
  <c r="E46" s="1"/>
  <c r="E315"/>
  <c r="E42" s="1"/>
  <c r="E199"/>
  <c r="E19" s="1"/>
  <c r="E269"/>
  <c r="E39" s="1"/>
  <c r="E256"/>
  <c r="E26" s="1"/>
  <c r="E242"/>
  <c r="E25" s="1"/>
  <c r="E225"/>
  <c r="E24" s="1"/>
  <c r="E208"/>
  <c r="E20" s="1"/>
  <c r="E185"/>
  <c r="E17" s="1"/>
  <c r="E90"/>
  <c r="E419"/>
  <c r="E58" s="1"/>
  <c r="E60" s="1"/>
  <c r="G169" i="3"/>
  <c r="E8"/>
  <c r="F7"/>
  <c r="H7" s="1"/>
  <c r="H363"/>
  <c r="H169"/>
  <c r="H5"/>
  <c r="F6"/>
  <c r="E172"/>
  <c r="F171"/>
  <c r="I2"/>
  <c r="F170"/>
  <c r="E494" i="1"/>
  <c r="E71" s="1"/>
  <c r="E458"/>
  <c r="E464" s="1"/>
  <c r="E68" s="1"/>
  <c r="E549"/>
  <c r="E73" s="1"/>
  <c r="E481"/>
  <c r="E69" s="1"/>
  <c r="E439"/>
  <c r="E61" s="1"/>
  <c r="E63" l="1"/>
  <c r="E52"/>
  <c r="E449"/>
  <c r="E66" s="1"/>
  <c r="E75" s="1"/>
  <c r="G170" i="3"/>
  <c r="G171"/>
  <c r="G6"/>
  <c r="G7"/>
  <c r="H171"/>
  <c r="I363"/>
  <c r="I171"/>
  <c r="I170"/>
  <c r="I169"/>
  <c r="I7"/>
  <c r="I6"/>
  <c r="I5"/>
  <c r="J2"/>
  <c r="E173"/>
  <c r="F172"/>
  <c r="H6"/>
  <c r="H170"/>
  <c r="E9"/>
  <c r="F8"/>
  <c r="E77" i="1" l="1"/>
  <c r="E81" s="1"/>
  <c r="E85" s="1"/>
  <c r="E91" s="1"/>
  <c r="E99" s="1"/>
  <c r="E107" s="1"/>
  <c r="E162"/>
  <c r="E173" s="1"/>
  <c r="E11" s="1"/>
  <c r="E28" s="1"/>
  <c r="E3" s="1"/>
  <c r="E10" i="3"/>
  <c r="F9"/>
  <c r="E174"/>
  <c r="F173"/>
  <c r="G8"/>
  <c r="H8"/>
  <c r="G172"/>
  <c r="H172"/>
  <c r="J363"/>
  <c r="J173"/>
  <c r="J172"/>
  <c r="J171"/>
  <c r="J170"/>
  <c r="J169"/>
  <c r="K2"/>
  <c r="J9"/>
  <c r="J8"/>
  <c r="J7"/>
  <c r="J6"/>
  <c r="J5"/>
  <c r="I8"/>
  <c r="I172"/>
  <c r="E103" i="1" l="1"/>
  <c r="E108"/>
  <c r="E104"/>
  <c r="G173" i="3"/>
  <c r="H173"/>
  <c r="I173"/>
  <c r="G9"/>
  <c r="H9"/>
  <c r="I9"/>
  <c r="K363"/>
  <c r="K173"/>
  <c r="K172"/>
  <c r="K171"/>
  <c r="K170"/>
  <c r="K169"/>
  <c r="K9"/>
  <c r="K8"/>
  <c r="K7"/>
  <c r="K6"/>
  <c r="K5"/>
  <c r="L2"/>
  <c r="E175"/>
  <c r="F174"/>
  <c r="E11"/>
  <c r="F10"/>
  <c r="G10" l="1"/>
  <c r="H10"/>
  <c r="I10"/>
  <c r="J10"/>
  <c r="G174"/>
  <c r="H174"/>
  <c r="I174"/>
  <c r="J174"/>
  <c r="L363"/>
  <c r="L174"/>
  <c r="L173"/>
  <c r="L172"/>
  <c r="L171"/>
  <c r="L170"/>
  <c r="L169"/>
  <c r="M2"/>
  <c r="L10"/>
  <c r="L9"/>
  <c r="L8"/>
  <c r="L7"/>
  <c r="L6"/>
  <c r="L5"/>
  <c r="K10"/>
  <c r="K174"/>
  <c r="E12"/>
  <c r="F11"/>
  <c r="E176"/>
  <c r="F175"/>
  <c r="G175" l="1"/>
  <c r="H175"/>
  <c r="I175"/>
  <c r="J175"/>
  <c r="K175"/>
  <c r="G11"/>
  <c r="H11"/>
  <c r="I11"/>
  <c r="J11"/>
  <c r="K11"/>
  <c r="L11"/>
  <c r="M363"/>
  <c r="M175"/>
  <c r="M174"/>
  <c r="M173"/>
  <c r="M172"/>
  <c r="M171"/>
  <c r="M170"/>
  <c r="M169"/>
  <c r="M11"/>
  <c r="M10"/>
  <c r="M9"/>
  <c r="M8"/>
  <c r="M7"/>
  <c r="M6"/>
  <c r="M5"/>
  <c r="N2"/>
  <c r="E177"/>
  <c r="F176"/>
  <c r="E13"/>
  <c r="F12"/>
  <c r="L175"/>
  <c r="M12" l="1"/>
  <c r="E14"/>
  <c r="F13"/>
  <c r="E178"/>
  <c r="F177"/>
  <c r="G12"/>
  <c r="H12"/>
  <c r="I12"/>
  <c r="J12"/>
  <c r="K12"/>
  <c r="L12"/>
  <c r="G176"/>
  <c r="H176"/>
  <c r="I176"/>
  <c r="J176"/>
  <c r="K176"/>
  <c r="L176"/>
  <c r="N363"/>
  <c r="N176"/>
  <c r="N175"/>
  <c r="N174"/>
  <c r="N173"/>
  <c r="N172"/>
  <c r="N171"/>
  <c r="N170"/>
  <c r="N169"/>
  <c r="O2"/>
  <c r="N12"/>
  <c r="N11"/>
  <c r="N10"/>
  <c r="N9"/>
  <c r="N8"/>
  <c r="N7"/>
  <c r="N6"/>
  <c r="N5"/>
  <c r="M176"/>
  <c r="N13" l="1"/>
  <c r="O363"/>
  <c r="O177"/>
  <c r="O176"/>
  <c r="O175"/>
  <c r="O174"/>
  <c r="O173"/>
  <c r="O172"/>
  <c r="O171"/>
  <c r="O170"/>
  <c r="O169"/>
  <c r="O13"/>
  <c r="O12"/>
  <c r="O11"/>
  <c r="O10"/>
  <c r="O9"/>
  <c r="O8"/>
  <c r="O7"/>
  <c r="O6"/>
  <c r="O5"/>
  <c r="P2"/>
  <c r="G177"/>
  <c r="H177"/>
  <c r="I177"/>
  <c r="J177"/>
  <c r="K177"/>
  <c r="L177"/>
  <c r="M177"/>
  <c r="G13"/>
  <c r="H13"/>
  <c r="I13"/>
  <c r="J13"/>
  <c r="K13"/>
  <c r="L13"/>
  <c r="M13"/>
  <c r="N177"/>
  <c r="E179"/>
  <c r="F178"/>
  <c r="E15"/>
  <c r="F14"/>
  <c r="G14" l="1"/>
  <c r="H14"/>
  <c r="I14"/>
  <c r="J14"/>
  <c r="K14"/>
  <c r="L14"/>
  <c r="M14"/>
  <c r="N14"/>
  <c r="G178"/>
  <c r="H178"/>
  <c r="I178"/>
  <c r="J178"/>
  <c r="K178"/>
  <c r="L178"/>
  <c r="M178"/>
  <c r="N178"/>
  <c r="E16"/>
  <c r="F15"/>
  <c r="E180"/>
  <c r="F179"/>
  <c r="P363"/>
  <c r="P179"/>
  <c r="P178"/>
  <c r="P177"/>
  <c r="P176"/>
  <c r="P175"/>
  <c r="P174"/>
  <c r="P173"/>
  <c r="P172"/>
  <c r="P171"/>
  <c r="P170"/>
  <c r="P169"/>
  <c r="Q2"/>
  <c r="P15"/>
  <c r="P14"/>
  <c r="P13"/>
  <c r="P12"/>
  <c r="P11"/>
  <c r="P10"/>
  <c r="P9"/>
  <c r="P8"/>
  <c r="P7"/>
  <c r="P6"/>
  <c r="P5"/>
  <c r="O14"/>
  <c r="O178"/>
  <c r="Q363" l="1"/>
  <c r="Q179"/>
  <c r="Q178"/>
  <c r="Q177"/>
  <c r="Q176"/>
  <c r="Q175"/>
  <c r="Q174"/>
  <c r="Q173"/>
  <c r="Q172"/>
  <c r="Q171"/>
  <c r="Q170"/>
  <c r="Q169"/>
  <c r="Q15"/>
  <c r="Q14"/>
  <c r="Q13"/>
  <c r="Q12"/>
  <c r="Q11"/>
  <c r="Q10"/>
  <c r="Q9"/>
  <c r="Q8"/>
  <c r="Q7"/>
  <c r="Q6"/>
  <c r="Q5"/>
  <c r="R2"/>
  <c r="G179"/>
  <c r="H179"/>
  <c r="I179"/>
  <c r="J179"/>
  <c r="K179"/>
  <c r="L179"/>
  <c r="M179"/>
  <c r="N179"/>
  <c r="O179"/>
  <c r="G15"/>
  <c r="H15"/>
  <c r="I15"/>
  <c r="J15"/>
  <c r="K15"/>
  <c r="L15"/>
  <c r="M15"/>
  <c r="N15"/>
  <c r="O15"/>
  <c r="E181"/>
  <c r="F180"/>
  <c r="E17"/>
  <c r="F16"/>
  <c r="G180" l="1"/>
  <c r="H180"/>
  <c r="I180"/>
  <c r="J180"/>
  <c r="K180"/>
  <c r="L180"/>
  <c r="M180"/>
  <c r="N180"/>
  <c r="O180"/>
  <c r="P180"/>
  <c r="R363"/>
  <c r="R180"/>
  <c r="R179"/>
  <c r="R178"/>
  <c r="R177"/>
  <c r="R176"/>
  <c r="R175"/>
  <c r="R174"/>
  <c r="R173"/>
  <c r="R172"/>
  <c r="R171"/>
  <c r="R170"/>
  <c r="R169"/>
  <c r="S2"/>
  <c r="R16"/>
  <c r="R15"/>
  <c r="R14"/>
  <c r="R13"/>
  <c r="R12"/>
  <c r="R11"/>
  <c r="R10"/>
  <c r="R9"/>
  <c r="R8"/>
  <c r="R7"/>
  <c r="R6"/>
  <c r="R5"/>
  <c r="Q180"/>
  <c r="G16"/>
  <c r="H16"/>
  <c r="I16"/>
  <c r="J16"/>
  <c r="K16"/>
  <c r="L16"/>
  <c r="M16"/>
  <c r="N16"/>
  <c r="O16"/>
  <c r="P16"/>
  <c r="E18"/>
  <c r="F17"/>
  <c r="E182"/>
  <c r="F181"/>
  <c r="Q16"/>
  <c r="R17" l="1"/>
  <c r="G181"/>
  <c r="H181"/>
  <c r="I181"/>
  <c r="J181"/>
  <c r="K181"/>
  <c r="L181"/>
  <c r="M181"/>
  <c r="N181"/>
  <c r="O181"/>
  <c r="P181"/>
  <c r="Q181"/>
  <c r="E183"/>
  <c r="F182"/>
  <c r="E19"/>
  <c r="F18"/>
  <c r="S363"/>
  <c r="S182"/>
  <c r="S181"/>
  <c r="S180"/>
  <c r="S179"/>
  <c r="S178"/>
  <c r="S177"/>
  <c r="S176"/>
  <c r="S175"/>
  <c r="S174"/>
  <c r="S173"/>
  <c r="S172"/>
  <c r="S171"/>
  <c r="S170"/>
  <c r="S169"/>
  <c r="S18"/>
  <c r="S17"/>
  <c r="S16"/>
  <c r="S15"/>
  <c r="S14"/>
  <c r="S13"/>
  <c r="S12"/>
  <c r="S11"/>
  <c r="S10"/>
  <c r="S9"/>
  <c r="S8"/>
  <c r="S7"/>
  <c r="S6"/>
  <c r="S5"/>
  <c r="T2"/>
  <c r="G17"/>
  <c r="H17"/>
  <c r="I17"/>
  <c r="J17"/>
  <c r="K17"/>
  <c r="L17"/>
  <c r="M17"/>
  <c r="N17"/>
  <c r="O17"/>
  <c r="P17"/>
  <c r="Q17"/>
  <c r="R181"/>
  <c r="E20" l="1"/>
  <c r="F19"/>
  <c r="E184"/>
  <c r="F183"/>
  <c r="T363"/>
  <c r="T183"/>
  <c r="T182"/>
  <c r="T181"/>
  <c r="T180"/>
  <c r="T179"/>
  <c r="T178"/>
  <c r="T177"/>
  <c r="T176"/>
  <c r="T175"/>
  <c r="T174"/>
  <c r="T173"/>
  <c r="T172"/>
  <c r="T171"/>
  <c r="T170"/>
  <c r="T169"/>
  <c r="U2"/>
  <c r="T19"/>
  <c r="T18"/>
  <c r="T17"/>
  <c r="T16"/>
  <c r="T15"/>
  <c r="T14"/>
  <c r="T13"/>
  <c r="T12"/>
  <c r="T11"/>
  <c r="T10"/>
  <c r="T9"/>
  <c r="T8"/>
  <c r="T7"/>
  <c r="T6"/>
  <c r="T5"/>
  <c r="G18"/>
  <c r="H18"/>
  <c r="I18"/>
  <c r="J18"/>
  <c r="K18"/>
  <c r="L18"/>
  <c r="M18"/>
  <c r="N18"/>
  <c r="O18"/>
  <c r="P18"/>
  <c r="Q18"/>
  <c r="R18"/>
  <c r="G182"/>
  <c r="H182"/>
  <c r="I182"/>
  <c r="J182"/>
  <c r="K182"/>
  <c r="L182"/>
  <c r="M182"/>
  <c r="N182"/>
  <c r="O182"/>
  <c r="P182"/>
  <c r="Q182"/>
  <c r="R182"/>
  <c r="U363" l="1"/>
  <c r="U183"/>
  <c r="U182"/>
  <c r="U181"/>
  <c r="U180"/>
  <c r="U179"/>
  <c r="U178"/>
  <c r="U177"/>
  <c r="U176"/>
  <c r="U175"/>
  <c r="U174"/>
  <c r="U173"/>
  <c r="U172"/>
  <c r="U171"/>
  <c r="U170"/>
  <c r="U169"/>
  <c r="U19"/>
  <c r="U18"/>
  <c r="U17"/>
  <c r="U16"/>
  <c r="U15"/>
  <c r="U14"/>
  <c r="U13"/>
  <c r="U12"/>
  <c r="U11"/>
  <c r="U10"/>
  <c r="U9"/>
  <c r="U8"/>
  <c r="U7"/>
  <c r="U6"/>
  <c r="U5"/>
  <c r="V2"/>
  <c r="G183"/>
  <c r="H183"/>
  <c r="I183"/>
  <c r="J183"/>
  <c r="K183"/>
  <c r="L183"/>
  <c r="M183"/>
  <c r="N183"/>
  <c r="O183"/>
  <c r="P183"/>
  <c r="Q183"/>
  <c r="R183"/>
  <c r="S183"/>
  <c r="G19"/>
  <c r="H19"/>
  <c r="I19"/>
  <c r="J19"/>
  <c r="K19"/>
  <c r="L19"/>
  <c r="M19"/>
  <c r="N19"/>
  <c r="O19"/>
  <c r="P19"/>
  <c r="Q19"/>
  <c r="R19"/>
  <c r="S19"/>
  <c r="E185"/>
  <c r="F184"/>
  <c r="E21"/>
  <c r="F20"/>
  <c r="G20" l="1"/>
  <c r="H20"/>
  <c r="I20"/>
  <c r="J20"/>
  <c r="K20"/>
  <c r="L20"/>
  <c r="M20"/>
  <c r="N20"/>
  <c r="O20"/>
  <c r="P20"/>
  <c r="Q20"/>
  <c r="R20"/>
  <c r="S20"/>
  <c r="T20"/>
  <c r="G184"/>
  <c r="H184"/>
  <c r="I184"/>
  <c r="J184"/>
  <c r="K184"/>
  <c r="L184"/>
  <c r="M184"/>
  <c r="N184"/>
  <c r="O184"/>
  <c r="P184"/>
  <c r="Q184"/>
  <c r="R184"/>
  <c r="S184"/>
  <c r="T184"/>
  <c r="V363"/>
  <c r="V184"/>
  <c r="V183"/>
  <c r="V182"/>
  <c r="V181"/>
  <c r="V180"/>
  <c r="V179"/>
  <c r="V178"/>
  <c r="V177"/>
  <c r="V176"/>
  <c r="V175"/>
  <c r="V174"/>
  <c r="V173"/>
  <c r="V172"/>
  <c r="V171"/>
  <c r="V170"/>
  <c r="V169"/>
  <c r="W2"/>
  <c r="V20"/>
  <c r="V19"/>
  <c r="V18"/>
  <c r="V17"/>
  <c r="V16"/>
  <c r="V15"/>
  <c r="V14"/>
  <c r="V13"/>
  <c r="V12"/>
  <c r="V11"/>
  <c r="V10"/>
  <c r="V9"/>
  <c r="V8"/>
  <c r="V7"/>
  <c r="V6"/>
  <c r="V5"/>
  <c r="U184"/>
  <c r="E22"/>
  <c r="F21"/>
  <c r="E186"/>
  <c r="F185"/>
  <c r="U20"/>
  <c r="G21" l="1"/>
  <c r="H21"/>
  <c r="I21"/>
  <c r="J21"/>
  <c r="K21"/>
  <c r="L21"/>
  <c r="M21"/>
  <c r="N21"/>
  <c r="O21"/>
  <c r="P21"/>
  <c r="Q21"/>
  <c r="R21"/>
  <c r="S21"/>
  <c r="T21"/>
  <c r="U21"/>
  <c r="E187"/>
  <c r="F186"/>
  <c r="E23"/>
  <c r="F22"/>
  <c r="V21"/>
  <c r="W363"/>
  <c r="W186"/>
  <c r="W185"/>
  <c r="W184"/>
  <c r="W183"/>
  <c r="W182"/>
  <c r="W181"/>
  <c r="W180"/>
  <c r="W179"/>
  <c r="W178"/>
  <c r="W177"/>
  <c r="W176"/>
  <c r="W175"/>
  <c r="W174"/>
  <c r="W173"/>
  <c r="W172"/>
  <c r="W171"/>
  <c r="W170"/>
  <c r="W169"/>
  <c r="W21"/>
  <c r="W20"/>
  <c r="W19"/>
  <c r="W18"/>
  <c r="W17"/>
  <c r="W16"/>
  <c r="W15"/>
  <c r="W14"/>
  <c r="W13"/>
  <c r="W12"/>
  <c r="W11"/>
  <c r="W10"/>
  <c r="W9"/>
  <c r="W8"/>
  <c r="W7"/>
  <c r="W6"/>
  <c r="W5"/>
  <c r="G185"/>
  <c r="H185"/>
  <c r="I185"/>
  <c r="J185"/>
  <c r="K185"/>
  <c r="L185"/>
  <c r="M185"/>
  <c r="N185"/>
  <c r="O185"/>
  <c r="P185"/>
  <c r="Q185"/>
  <c r="R185"/>
  <c r="S185"/>
  <c r="T185"/>
  <c r="U185"/>
  <c r="V185"/>
  <c r="W22" l="1"/>
  <c r="E24"/>
  <c r="F23"/>
  <c r="E188"/>
  <c r="F187"/>
  <c r="G22"/>
  <c r="H22"/>
  <c r="I22"/>
  <c r="J22"/>
  <c r="K22"/>
  <c r="L22"/>
  <c r="M22"/>
  <c r="N22"/>
  <c r="O22"/>
  <c r="P22"/>
  <c r="Q22"/>
  <c r="R22"/>
  <c r="S22"/>
  <c r="T22"/>
  <c r="U22"/>
  <c r="V22"/>
  <c r="G186"/>
  <c r="H186"/>
  <c r="I186"/>
  <c r="J186"/>
  <c r="K186"/>
  <c r="L186"/>
  <c r="M186"/>
  <c r="N186"/>
  <c r="O186"/>
  <c r="P186"/>
  <c r="Q186"/>
  <c r="R186"/>
  <c r="S186"/>
  <c r="T186"/>
  <c r="U186"/>
  <c r="V186"/>
  <c r="G187" l="1"/>
  <c r="H187"/>
  <c r="I187"/>
  <c r="J187"/>
  <c r="K187"/>
  <c r="L187"/>
  <c r="M187"/>
  <c r="N187"/>
  <c r="O187"/>
  <c r="P187"/>
  <c r="Q187"/>
  <c r="R187"/>
  <c r="S187"/>
  <c r="T187"/>
  <c r="U187"/>
  <c r="V187"/>
  <c r="W187"/>
  <c r="G23"/>
  <c r="H23"/>
  <c r="I23"/>
  <c r="J23"/>
  <c r="K23"/>
  <c r="L23"/>
  <c r="M23"/>
  <c r="N23"/>
  <c r="O23"/>
  <c r="P23"/>
  <c r="Q23"/>
  <c r="R23"/>
  <c r="S23"/>
  <c r="T23"/>
  <c r="U23"/>
  <c r="V23"/>
  <c r="W23"/>
  <c r="E189"/>
  <c r="F188"/>
  <c r="E25"/>
  <c r="F24"/>
  <c r="G188" l="1"/>
  <c r="H188"/>
  <c r="I188"/>
  <c r="J188"/>
  <c r="K188"/>
  <c r="L188"/>
  <c r="M188"/>
  <c r="N188"/>
  <c r="O188"/>
  <c r="P188"/>
  <c r="Q188"/>
  <c r="R188"/>
  <c r="S188"/>
  <c r="T188"/>
  <c r="U188"/>
  <c r="V188"/>
  <c r="W188"/>
  <c r="G24"/>
  <c r="H24"/>
  <c r="I24"/>
  <c r="J24"/>
  <c r="K24"/>
  <c r="L24"/>
  <c r="M24"/>
  <c r="N24"/>
  <c r="O24"/>
  <c r="P24"/>
  <c r="Q24"/>
  <c r="R24"/>
  <c r="S24"/>
  <c r="T24"/>
  <c r="U24"/>
  <c r="V24"/>
  <c r="W24"/>
  <c r="E26"/>
  <c r="F25"/>
  <c r="E190"/>
  <c r="F189"/>
  <c r="G189" l="1"/>
  <c r="H189"/>
  <c r="I189"/>
  <c r="J189"/>
  <c r="K189"/>
  <c r="L189"/>
  <c r="M189"/>
  <c r="N189"/>
  <c r="O189"/>
  <c r="P189"/>
  <c r="Q189"/>
  <c r="R189"/>
  <c r="S189"/>
  <c r="T189"/>
  <c r="U189"/>
  <c r="V189"/>
  <c r="W189"/>
  <c r="G25"/>
  <c r="H25"/>
  <c r="I25"/>
  <c r="J25"/>
  <c r="K25"/>
  <c r="L25"/>
  <c r="M25"/>
  <c r="N25"/>
  <c r="O25"/>
  <c r="P25"/>
  <c r="Q25"/>
  <c r="R25"/>
  <c r="S25"/>
  <c r="T25"/>
  <c r="U25"/>
  <c r="V25"/>
  <c r="W25"/>
  <c r="E191"/>
  <c r="F190"/>
  <c r="E27"/>
  <c r="F26"/>
  <c r="G26" l="1"/>
  <c r="H26"/>
  <c r="I26"/>
  <c r="J26"/>
  <c r="K26"/>
  <c r="L26"/>
  <c r="M26"/>
  <c r="N26"/>
  <c r="O26"/>
  <c r="P26"/>
  <c r="Q26"/>
  <c r="R26"/>
  <c r="S26"/>
  <c r="T26"/>
  <c r="U26"/>
  <c r="V26"/>
  <c r="W26"/>
  <c r="G190"/>
  <c r="H190"/>
  <c r="I190"/>
  <c r="J190"/>
  <c r="K190"/>
  <c r="L190"/>
  <c r="M190"/>
  <c r="N190"/>
  <c r="O190"/>
  <c r="P190"/>
  <c r="Q190"/>
  <c r="R190"/>
  <c r="S190"/>
  <c r="T190"/>
  <c r="U190"/>
  <c r="V190"/>
  <c r="W190"/>
  <c r="E28"/>
  <c r="F27"/>
  <c r="E192"/>
  <c r="F191"/>
  <c r="G191" l="1"/>
  <c r="H191"/>
  <c r="I191"/>
  <c r="J191"/>
  <c r="K191"/>
  <c r="L191"/>
  <c r="M191"/>
  <c r="N191"/>
  <c r="O191"/>
  <c r="P191"/>
  <c r="Q191"/>
  <c r="R191"/>
  <c r="S191"/>
  <c r="T191"/>
  <c r="U191"/>
  <c r="V191"/>
  <c r="W191"/>
  <c r="G27"/>
  <c r="H27"/>
  <c r="I27"/>
  <c r="J27"/>
  <c r="K27"/>
  <c r="L27"/>
  <c r="M27"/>
  <c r="N27"/>
  <c r="O27"/>
  <c r="P27"/>
  <c r="Q27"/>
  <c r="R27"/>
  <c r="S27"/>
  <c r="T27"/>
  <c r="U27"/>
  <c r="V27"/>
  <c r="W27"/>
  <c r="E193"/>
  <c r="F192"/>
  <c r="E29"/>
  <c r="F28"/>
  <c r="G28" l="1"/>
  <c r="H28"/>
  <c r="I28"/>
  <c r="J28"/>
  <c r="K28"/>
  <c r="L28"/>
  <c r="M28"/>
  <c r="N28"/>
  <c r="O28"/>
  <c r="P28"/>
  <c r="Q28"/>
  <c r="R28"/>
  <c r="S28"/>
  <c r="T28"/>
  <c r="U28"/>
  <c r="V28"/>
  <c r="W28"/>
  <c r="G192"/>
  <c r="H192"/>
  <c r="I192"/>
  <c r="J192"/>
  <c r="K192"/>
  <c r="L192"/>
  <c r="M192"/>
  <c r="N192"/>
  <c r="O192"/>
  <c r="P192"/>
  <c r="Q192"/>
  <c r="R192"/>
  <c r="S192"/>
  <c r="T192"/>
  <c r="U192"/>
  <c r="V192"/>
  <c r="W192"/>
  <c r="E30"/>
  <c r="F29"/>
  <c r="E194"/>
  <c r="F193"/>
  <c r="G193" l="1"/>
  <c r="H193"/>
  <c r="I193"/>
  <c r="J193"/>
  <c r="K193"/>
  <c r="L193"/>
  <c r="M193"/>
  <c r="N193"/>
  <c r="O193"/>
  <c r="P193"/>
  <c r="Q193"/>
  <c r="R193"/>
  <c r="S193"/>
  <c r="T193"/>
  <c r="U193"/>
  <c r="V193"/>
  <c r="W193"/>
  <c r="G29"/>
  <c r="H29"/>
  <c r="I29"/>
  <c r="J29"/>
  <c r="K29"/>
  <c r="L29"/>
  <c r="M29"/>
  <c r="N29"/>
  <c r="O29"/>
  <c r="P29"/>
  <c r="Q29"/>
  <c r="R29"/>
  <c r="S29"/>
  <c r="T29"/>
  <c r="U29"/>
  <c r="V29"/>
  <c r="W29"/>
  <c r="E195"/>
  <c r="F194"/>
  <c r="E31"/>
  <c r="F30"/>
  <c r="G30" l="1"/>
  <c r="H30"/>
  <c r="I30"/>
  <c r="J30"/>
  <c r="K30"/>
  <c r="L30"/>
  <c r="M30"/>
  <c r="N30"/>
  <c r="O30"/>
  <c r="P30"/>
  <c r="Q30"/>
  <c r="R30"/>
  <c r="S30"/>
  <c r="T30"/>
  <c r="U30"/>
  <c r="V30"/>
  <c r="W30"/>
  <c r="G194"/>
  <c r="H194"/>
  <c r="I194"/>
  <c r="J194"/>
  <c r="K194"/>
  <c r="L194"/>
  <c r="M194"/>
  <c r="N194"/>
  <c r="O194"/>
  <c r="P194"/>
  <c r="Q194"/>
  <c r="R194"/>
  <c r="S194"/>
  <c r="T194"/>
  <c r="U194"/>
  <c r="V194"/>
  <c r="W194"/>
  <c r="E32"/>
  <c r="F31"/>
  <c r="E196"/>
  <c r="F195"/>
  <c r="G195" l="1"/>
  <c r="H195"/>
  <c r="I195"/>
  <c r="J195"/>
  <c r="K195"/>
  <c r="L195"/>
  <c r="M195"/>
  <c r="N195"/>
  <c r="O195"/>
  <c r="P195"/>
  <c r="Q195"/>
  <c r="R195"/>
  <c r="S195"/>
  <c r="T195"/>
  <c r="U195"/>
  <c r="V195"/>
  <c r="W195"/>
  <c r="G31"/>
  <c r="H31"/>
  <c r="I31"/>
  <c r="J31"/>
  <c r="K31"/>
  <c r="L31"/>
  <c r="M31"/>
  <c r="N31"/>
  <c r="O31"/>
  <c r="P31"/>
  <c r="Q31"/>
  <c r="R31"/>
  <c r="S31"/>
  <c r="T31"/>
  <c r="U31"/>
  <c r="V31"/>
  <c r="W31"/>
  <c r="E197"/>
  <c r="F196"/>
  <c r="E33"/>
  <c r="F32"/>
  <c r="G32" l="1"/>
  <c r="H32"/>
  <c r="I32"/>
  <c r="J32"/>
  <c r="K32"/>
  <c r="L32"/>
  <c r="M32"/>
  <c r="N32"/>
  <c r="O32"/>
  <c r="P32"/>
  <c r="Q32"/>
  <c r="R32"/>
  <c r="S32"/>
  <c r="T32"/>
  <c r="U32"/>
  <c r="V32"/>
  <c r="W32"/>
  <c r="G196"/>
  <c r="H196"/>
  <c r="I196"/>
  <c r="J196"/>
  <c r="K196"/>
  <c r="L196"/>
  <c r="M196"/>
  <c r="N196"/>
  <c r="O196"/>
  <c r="P196"/>
  <c r="Q196"/>
  <c r="R196"/>
  <c r="S196"/>
  <c r="T196"/>
  <c r="U196"/>
  <c r="V196"/>
  <c r="W196"/>
  <c r="E34"/>
  <c r="F33"/>
  <c r="E198"/>
  <c r="F197"/>
  <c r="G197" l="1"/>
  <c r="H197"/>
  <c r="I197"/>
  <c r="J197"/>
  <c r="K197"/>
  <c r="L197"/>
  <c r="M197"/>
  <c r="N197"/>
  <c r="O197"/>
  <c r="P197"/>
  <c r="Q197"/>
  <c r="R197"/>
  <c r="S197"/>
  <c r="T197"/>
  <c r="U197"/>
  <c r="V197"/>
  <c r="W197"/>
  <c r="G33"/>
  <c r="H33"/>
  <c r="I33"/>
  <c r="J33"/>
  <c r="K33"/>
  <c r="L33"/>
  <c r="M33"/>
  <c r="N33"/>
  <c r="O33"/>
  <c r="P33"/>
  <c r="Q33"/>
  <c r="R33"/>
  <c r="S33"/>
  <c r="T33"/>
  <c r="U33"/>
  <c r="V33"/>
  <c r="W33"/>
  <c r="E199"/>
  <c r="F198"/>
  <c r="E35"/>
  <c r="F34"/>
  <c r="E36" l="1"/>
  <c r="F35"/>
  <c r="G34"/>
  <c r="H34"/>
  <c r="I34"/>
  <c r="J34"/>
  <c r="K34"/>
  <c r="L34"/>
  <c r="M34"/>
  <c r="N34"/>
  <c r="O34"/>
  <c r="P34"/>
  <c r="Q34"/>
  <c r="R34"/>
  <c r="S34"/>
  <c r="T34"/>
  <c r="U34"/>
  <c r="V34"/>
  <c r="W34"/>
  <c r="G198"/>
  <c r="H198"/>
  <c r="I198"/>
  <c r="J198"/>
  <c r="K198"/>
  <c r="L198"/>
  <c r="M198"/>
  <c r="N198"/>
  <c r="O198"/>
  <c r="P198"/>
  <c r="Q198"/>
  <c r="R198"/>
  <c r="S198"/>
  <c r="T198"/>
  <c r="U198"/>
  <c r="V198"/>
  <c r="W198"/>
  <c r="E200"/>
  <c r="F199"/>
  <c r="G35" l="1"/>
  <c r="H35"/>
  <c r="I35"/>
  <c r="J35"/>
  <c r="K35"/>
  <c r="L35"/>
  <c r="M35"/>
  <c r="N35"/>
  <c r="O35"/>
  <c r="P35"/>
  <c r="Q35"/>
  <c r="R35"/>
  <c r="S35"/>
  <c r="T35"/>
  <c r="U35"/>
  <c r="V35"/>
  <c r="W35"/>
  <c r="G199"/>
  <c r="H199"/>
  <c r="I199"/>
  <c r="J199"/>
  <c r="K199"/>
  <c r="L199"/>
  <c r="M199"/>
  <c r="N199"/>
  <c r="O199"/>
  <c r="P199"/>
  <c r="Q199"/>
  <c r="R199"/>
  <c r="S199"/>
  <c r="T199"/>
  <c r="U199"/>
  <c r="V199"/>
  <c r="W199"/>
  <c r="E201"/>
  <c r="F200"/>
  <c r="E37"/>
  <c r="F36"/>
  <c r="G36" l="1"/>
  <c r="H36"/>
  <c r="I36"/>
  <c r="J36"/>
  <c r="K36"/>
  <c r="L36"/>
  <c r="M36"/>
  <c r="N36"/>
  <c r="O36"/>
  <c r="P36"/>
  <c r="Q36"/>
  <c r="R36"/>
  <c r="S36"/>
  <c r="T36"/>
  <c r="U36"/>
  <c r="V36"/>
  <c r="W36"/>
  <c r="G200"/>
  <c r="H200"/>
  <c r="I200"/>
  <c r="J200"/>
  <c r="K200"/>
  <c r="L200"/>
  <c r="M200"/>
  <c r="N200"/>
  <c r="O200"/>
  <c r="P200"/>
  <c r="Q200"/>
  <c r="R200"/>
  <c r="S200"/>
  <c r="T200"/>
  <c r="U200"/>
  <c r="V200"/>
  <c r="W200"/>
  <c r="E38"/>
  <c r="F37"/>
  <c r="E202"/>
  <c r="F201"/>
  <c r="G201" l="1"/>
  <c r="H201"/>
  <c r="I201"/>
  <c r="J201"/>
  <c r="K201"/>
  <c r="L201"/>
  <c r="M201"/>
  <c r="N201"/>
  <c r="O201"/>
  <c r="P201"/>
  <c r="Q201"/>
  <c r="R201"/>
  <c r="S201"/>
  <c r="T201"/>
  <c r="U201"/>
  <c r="V201"/>
  <c r="W201"/>
  <c r="G37"/>
  <c r="H37"/>
  <c r="I37"/>
  <c r="J37"/>
  <c r="K37"/>
  <c r="L37"/>
  <c r="M37"/>
  <c r="N37"/>
  <c r="O37"/>
  <c r="P37"/>
  <c r="Q37"/>
  <c r="R37"/>
  <c r="S37"/>
  <c r="T37"/>
  <c r="U37"/>
  <c r="V37"/>
  <c r="W37"/>
  <c r="E203"/>
  <c r="F202"/>
  <c r="E39"/>
  <c r="F38"/>
  <c r="G38" l="1"/>
  <c r="H38"/>
  <c r="I38"/>
  <c r="J38"/>
  <c r="K38"/>
  <c r="L38"/>
  <c r="M38"/>
  <c r="N38"/>
  <c r="O38"/>
  <c r="P38"/>
  <c r="Q38"/>
  <c r="R38"/>
  <c r="S38"/>
  <c r="T38"/>
  <c r="U38"/>
  <c r="V38"/>
  <c r="W38"/>
  <c r="G202"/>
  <c r="H202"/>
  <c r="I202"/>
  <c r="J202"/>
  <c r="K202"/>
  <c r="L202"/>
  <c r="M202"/>
  <c r="N202"/>
  <c r="O202"/>
  <c r="P202"/>
  <c r="Q202"/>
  <c r="R202"/>
  <c r="S202"/>
  <c r="T202"/>
  <c r="U202"/>
  <c r="V202"/>
  <c r="W202"/>
  <c r="E40"/>
  <c r="F39"/>
  <c r="E204"/>
  <c r="F203"/>
  <c r="G203" l="1"/>
  <c r="H203"/>
  <c r="I203"/>
  <c r="J203"/>
  <c r="K203"/>
  <c r="L203"/>
  <c r="M203"/>
  <c r="N203"/>
  <c r="O203"/>
  <c r="P203"/>
  <c r="Q203"/>
  <c r="R203"/>
  <c r="S203"/>
  <c r="T203"/>
  <c r="U203"/>
  <c r="V203"/>
  <c r="W203"/>
  <c r="G39"/>
  <c r="H39"/>
  <c r="I39"/>
  <c r="J39"/>
  <c r="K39"/>
  <c r="L39"/>
  <c r="M39"/>
  <c r="N39"/>
  <c r="O39"/>
  <c r="P39"/>
  <c r="Q39"/>
  <c r="R39"/>
  <c r="S39"/>
  <c r="T39"/>
  <c r="U39"/>
  <c r="V39"/>
  <c r="W39"/>
  <c r="E205"/>
  <c r="F204"/>
  <c r="E41"/>
  <c r="F40"/>
  <c r="G40" l="1"/>
  <c r="H40"/>
  <c r="I40"/>
  <c r="J40"/>
  <c r="K40"/>
  <c r="L40"/>
  <c r="M40"/>
  <c r="N40"/>
  <c r="O40"/>
  <c r="P40"/>
  <c r="Q40"/>
  <c r="R40"/>
  <c r="S40"/>
  <c r="T40"/>
  <c r="U40"/>
  <c r="V40"/>
  <c r="W40"/>
  <c r="G204"/>
  <c r="H204"/>
  <c r="I204"/>
  <c r="J204"/>
  <c r="K204"/>
  <c r="L204"/>
  <c r="M204"/>
  <c r="N204"/>
  <c r="O204"/>
  <c r="P204"/>
  <c r="Q204"/>
  <c r="R204"/>
  <c r="S204"/>
  <c r="T204"/>
  <c r="U204"/>
  <c r="V204"/>
  <c r="W204"/>
  <c r="E42"/>
  <c r="F41"/>
  <c r="E206"/>
  <c r="F205"/>
  <c r="G41" l="1"/>
  <c r="H41"/>
  <c r="I41"/>
  <c r="J41"/>
  <c r="K41"/>
  <c r="L41"/>
  <c r="M41"/>
  <c r="N41"/>
  <c r="O41"/>
  <c r="P41"/>
  <c r="Q41"/>
  <c r="R41"/>
  <c r="S41"/>
  <c r="T41"/>
  <c r="U41"/>
  <c r="V41"/>
  <c r="W41"/>
  <c r="G205"/>
  <c r="H205"/>
  <c r="I205"/>
  <c r="J205"/>
  <c r="K205"/>
  <c r="L205"/>
  <c r="M205"/>
  <c r="N205"/>
  <c r="O205"/>
  <c r="P205"/>
  <c r="Q205"/>
  <c r="R205"/>
  <c r="S205"/>
  <c r="T205"/>
  <c r="U205"/>
  <c r="V205"/>
  <c r="W205"/>
  <c r="E207"/>
  <c r="F206"/>
  <c r="E43"/>
  <c r="F42"/>
  <c r="G42" l="1"/>
  <c r="H42"/>
  <c r="I42"/>
  <c r="J42"/>
  <c r="K42"/>
  <c r="L42"/>
  <c r="M42"/>
  <c r="N42"/>
  <c r="O42"/>
  <c r="P42"/>
  <c r="Q42"/>
  <c r="R42"/>
  <c r="S42"/>
  <c r="T42"/>
  <c r="U42"/>
  <c r="V42"/>
  <c r="W42"/>
  <c r="G206"/>
  <c r="H206"/>
  <c r="I206"/>
  <c r="J206"/>
  <c r="K206"/>
  <c r="L206"/>
  <c r="M206"/>
  <c r="N206"/>
  <c r="O206"/>
  <c r="P206"/>
  <c r="Q206"/>
  <c r="R206"/>
  <c r="S206"/>
  <c r="T206"/>
  <c r="U206"/>
  <c r="V206"/>
  <c r="W206"/>
  <c r="E44"/>
  <c r="F43"/>
  <c r="E208"/>
  <c r="F207"/>
  <c r="G207" l="1"/>
  <c r="H207"/>
  <c r="I207"/>
  <c r="J207"/>
  <c r="K207"/>
  <c r="L207"/>
  <c r="M207"/>
  <c r="N207"/>
  <c r="O207"/>
  <c r="P207"/>
  <c r="Q207"/>
  <c r="R207"/>
  <c r="S207"/>
  <c r="T207"/>
  <c r="U207"/>
  <c r="V207"/>
  <c r="W207"/>
  <c r="G43"/>
  <c r="H43"/>
  <c r="I43"/>
  <c r="J43"/>
  <c r="K43"/>
  <c r="L43"/>
  <c r="M43"/>
  <c r="N43"/>
  <c r="O43"/>
  <c r="P43"/>
  <c r="Q43"/>
  <c r="R43"/>
  <c r="S43"/>
  <c r="T43"/>
  <c r="U43"/>
  <c r="V43"/>
  <c r="W43"/>
  <c r="E209"/>
  <c r="F208"/>
  <c r="F44"/>
  <c r="E45"/>
  <c r="F45" l="1"/>
  <c r="E46"/>
  <c r="G208"/>
  <c r="H208"/>
  <c r="I208"/>
  <c r="J208"/>
  <c r="K208"/>
  <c r="L208"/>
  <c r="M208"/>
  <c r="N208"/>
  <c r="O208"/>
  <c r="P208"/>
  <c r="Q208"/>
  <c r="R208"/>
  <c r="S208"/>
  <c r="T208"/>
  <c r="U208"/>
  <c r="V208"/>
  <c r="W208"/>
  <c r="G44"/>
  <c r="H44"/>
  <c r="I44"/>
  <c r="J44"/>
  <c r="K44"/>
  <c r="L44"/>
  <c r="M44"/>
  <c r="N44"/>
  <c r="O44"/>
  <c r="P44"/>
  <c r="Q44"/>
  <c r="R44"/>
  <c r="S44"/>
  <c r="T44"/>
  <c r="U44"/>
  <c r="V44"/>
  <c r="W44"/>
  <c r="E210"/>
  <c r="F209"/>
  <c r="G209" l="1"/>
  <c r="H209"/>
  <c r="I209"/>
  <c r="J209"/>
  <c r="K209"/>
  <c r="L209"/>
  <c r="M209"/>
  <c r="N209"/>
  <c r="O209"/>
  <c r="P209"/>
  <c r="Q209"/>
  <c r="R209"/>
  <c r="S209"/>
  <c r="T209"/>
  <c r="U209"/>
  <c r="V209"/>
  <c r="W209"/>
  <c r="F46"/>
  <c r="E47"/>
  <c r="E211"/>
  <c r="F210"/>
  <c r="G45"/>
  <c r="H45"/>
  <c r="I45"/>
  <c r="J45"/>
  <c r="K45"/>
  <c r="L45"/>
  <c r="M45"/>
  <c r="N45"/>
  <c r="O45"/>
  <c r="P45"/>
  <c r="Q45"/>
  <c r="R45"/>
  <c r="S45"/>
  <c r="T45"/>
  <c r="U45"/>
  <c r="V45"/>
  <c r="W45"/>
  <c r="E212" l="1"/>
  <c r="F211"/>
  <c r="G46"/>
  <c r="H46"/>
  <c r="I46"/>
  <c r="J46"/>
  <c r="K46"/>
  <c r="L46"/>
  <c r="M46"/>
  <c r="N46"/>
  <c r="O46"/>
  <c r="P46"/>
  <c r="Q46"/>
  <c r="R46"/>
  <c r="S46"/>
  <c r="T46"/>
  <c r="U46"/>
  <c r="V46"/>
  <c r="W46"/>
  <c r="G210"/>
  <c r="H210"/>
  <c r="I210"/>
  <c r="J210"/>
  <c r="K210"/>
  <c r="L210"/>
  <c r="M210"/>
  <c r="N210"/>
  <c r="O210"/>
  <c r="P210"/>
  <c r="Q210"/>
  <c r="R210"/>
  <c r="S210"/>
  <c r="T210"/>
  <c r="U210"/>
  <c r="V210"/>
  <c r="W210"/>
  <c r="F47"/>
  <c r="E48"/>
  <c r="F48" l="1"/>
  <c r="E49"/>
  <c r="G211"/>
  <c r="H211"/>
  <c r="I211"/>
  <c r="J211"/>
  <c r="K211"/>
  <c r="L211"/>
  <c r="M211"/>
  <c r="N211"/>
  <c r="O211"/>
  <c r="P211"/>
  <c r="Q211"/>
  <c r="R211"/>
  <c r="S211"/>
  <c r="T211"/>
  <c r="U211"/>
  <c r="V211"/>
  <c r="W211"/>
  <c r="G47"/>
  <c r="H47"/>
  <c r="I47"/>
  <c r="J47"/>
  <c r="K47"/>
  <c r="L47"/>
  <c r="M47"/>
  <c r="N47"/>
  <c r="O47"/>
  <c r="P47"/>
  <c r="Q47"/>
  <c r="R47"/>
  <c r="S47"/>
  <c r="T47"/>
  <c r="U47"/>
  <c r="V47"/>
  <c r="W47"/>
  <c r="E213"/>
  <c r="F212"/>
  <c r="G212" l="1"/>
  <c r="H212"/>
  <c r="I212"/>
  <c r="J212"/>
  <c r="K212"/>
  <c r="L212"/>
  <c r="M212"/>
  <c r="N212"/>
  <c r="O212"/>
  <c r="P212"/>
  <c r="Q212"/>
  <c r="R212"/>
  <c r="S212"/>
  <c r="T212"/>
  <c r="U212"/>
  <c r="V212"/>
  <c r="W212"/>
  <c r="F49"/>
  <c r="E50"/>
  <c r="E214"/>
  <c r="F213"/>
  <c r="G48"/>
  <c r="H48"/>
  <c r="I48"/>
  <c r="J48"/>
  <c r="K48"/>
  <c r="L48"/>
  <c r="M48"/>
  <c r="N48"/>
  <c r="O48"/>
  <c r="P48"/>
  <c r="Q48"/>
  <c r="R48"/>
  <c r="S48"/>
  <c r="T48"/>
  <c r="U48"/>
  <c r="V48"/>
  <c r="W48"/>
  <c r="E215" l="1"/>
  <c r="F214"/>
  <c r="G49"/>
  <c r="H49"/>
  <c r="I49"/>
  <c r="J49"/>
  <c r="K49"/>
  <c r="L49"/>
  <c r="M49"/>
  <c r="N49"/>
  <c r="O49"/>
  <c r="P49"/>
  <c r="Q49"/>
  <c r="R49"/>
  <c r="S49"/>
  <c r="T49"/>
  <c r="U49"/>
  <c r="V49"/>
  <c r="W49"/>
  <c r="G213"/>
  <c r="H213"/>
  <c r="I213"/>
  <c r="J213"/>
  <c r="K213"/>
  <c r="L213"/>
  <c r="M213"/>
  <c r="N213"/>
  <c r="O213"/>
  <c r="P213"/>
  <c r="Q213"/>
  <c r="R213"/>
  <c r="S213"/>
  <c r="T213"/>
  <c r="U213"/>
  <c r="V213"/>
  <c r="W213"/>
  <c r="F50"/>
  <c r="E51"/>
  <c r="F51" l="1"/>
  <c r="E52"/>
  <c r="G214"/>
  <c r="H214"/>
  <c r="I214"/>
  <c r="J214"/>
  <c r="K214"/>
  <c r="L214"/>
  <c r="M214"/>
  <c r="N214"/>
  <c r="O214"/>
  <c r="P214"/>
  <c r="Q214"/>
  <c r="R214"/>
  <c r="S214"/>
  <c r="T214"/>
  <c r="U214"/>
  <c r="V214"/>
  <c r="W214"/>
  <c r="G50"/>
  <c r="H50"/>
  <c r="I50"/>
  <c r="J50"/>
  <c r="K50"/>
  <c r="L50"/>
  <c r="M50"/>
  <c r="N50"/>
  <c r="O50"/>
  <c r="P50"/>
  <c r="Q50"/>
  <c r="R50"/>
  <c r="S50"/>
  <c r="T50"/>
  <c r="U50"/>
  <c r="V50"/>
  <c r="W50"/>
  <c r="E216"/>
  <c r="F215"/>
  <c r="G215" l="1"/>
  <c r="H215"/>
  <c r="I215"/>
  <c r="J215"/>
  <c r="K215"/>
  <c r="L215"/>
  <c r="M215"/>
  <c r="N215"/>
  <c r="O215"/>
  <c r="P215"/>
  <c r="Q215"/>
  <c r="R215"/>
  <c r="S215"/>
  <c r="T215"/>
  <c r="U215"/>
  <c r="V215"/>
  <c r="W215"/>
  <c r="F52"/>
  <c r="E53"/>
  <c r="E217"/>
  <c r="F216"/>
  <c r="G51"/>
  <c r="H51"/>
  <c r="I51"/>
  <c r="J51"/>
  <c r="K51"/>
  <c r="L51"/>
  <c r="M51"/>
  <c r="N51"/>
  <c r="O51"/>
  <c r="P51"/>
  <c r="Q51"/>
  <c r="R51"/>
  <c r="S51"/>
  <c r="T51"/>
  <c r="U51"/>
  <c r="V51"/>
  <c r="W51"/>
  <c r="E218" l="1"/>
  <c r="F217"/>
  <c r="G52"/>
  <c r="H52"/>
  <c r="I52"/>
  <c r="J52"/>
  <c r="K52"/>
  <c r="L52"/>
  <c r="M52"/>
  <c r="N52"/>
  <c r="O52"/>
  <c r="P52"/>
  <c r="Q52"/>
  <c r="R52"/>
  <c r="S52"/>
  <c r="T52"/>
  <c r="U52"/>
  <c r="V52"/>
  <c r="W52"/>
  <c r="G216"/>
  <c r="H216"/>
  <c r="I216"/>
  <c r="J216"/>
  <c r="K216"/>
  <c r="L216"/>
  <c r="M216"/>
  <c r="N216"/>
  <c r="O216"/>
  <c r="P216"/>
  <c r="Q216"/>
  <c r="R216"/>
  <c r="S216"/>
  <c r="T216"/>
  <c r="U216"/>
  <c r="V216"/>
  <c r="W216"/>
  <c r="F53"/>
  <c r="E54"/>
  <c r="F54" l="1"/>
  <c r="E55"/>
  <c r="G217"/>
  <c r="H217"/>
  <c r="I217"/>
  <c r="J217"/>
  <c r="K217"/>
  <c r="L217"/>
  <c r="M217"/>
  <c r="N217"/>
  <c r="O217"/>
  <c r="P217"/>
  <c r="Q217"/>
  <c r="R217"/>
  <c r="S217"/>
  <c r="T217"/>
  <c r="U217"/>
  <c r="V217"/>
  <c r="W217"/>
  <c r="G53"/>
  <c r="H53"/>
  <c r="I53"/>
  <c r="J53"/>
  <c r="K53"/>
  <c r="L53"/>
  <c r="M53"/>
  <c r="N53"/>
  <c r="O53"/>
  <c r="P53"/>
  <c r="Q53"/>
  <c r="R53"/>
  <c r="S53"/>
  <c r="T53"/>
  <c r="U53"/>
  <c r="V53"/>
  <c r="W53"/>
  <c r="E219"/>
  <c r="F218"/>
  <c r="G218" l="1"/>
  <c r="H218"/>
  <c r="I218"/>
  <c r="J218"/>
  <c r="K218"/>
  <c r="L218"/>
  <c r="M218"/>
  <c r="N218"/>
  <c r="O218"/>
  <c r="P218"/>
  <c r="Q218"/>
  <c r="R218"/>
  <c r="S218"/>
  <c r="T218"/>
  <c r="U218"/>
  <c r="V218"/>
  <c r="W218"/>
  <c r="F55"/>
  <c r="E56"/>
  <c r="E220"/>
  <c r="F219"/>
  <c r="G54"/>
  <c r="H54"/>
  <c r="I54"/>
  <c r="J54"/>
  <c r="K54"/>
  <c r="L54"/>
  <c r="M54"/>
  <c r="N54"/>
  <c r="O54"/>
  <c r="P54"/>
  <c r="Q54"/>
  <c r="R54"/>
  <c r="S54"/>
  <c r="T54"/>
  <c r="U54"/>
  <c r="V54"/>
  <c r="W54"/>
  <c r="E221" l="1"/>
  <c r="F220"/>
  <c r="G55"/>
  <c r="H55"/>
  <c r="I55"/>
  <c r="J55"/>
  <c r="K55"/>
  <c r="L55"/>
  <c r="M55"/>
  <c r="N55"/>
  <c r="O55"/>
  <c r="P55"/>
  <c r="Q55"/>
  <c r="R55"/>
  <c r="S55"/>
  <c r="T55"/>
  <c r="U55"/>
  <c r="V55"/>
  <c r="W55"/>
  <c r="G219"/>
  <c r="H219"/>
  <c r="I219"/>
  <c r="J219"/>
  <c r="K219"/>
  <c r="L219"/>
  <c r="M219"/>
  <c r="N219"/>
  <c r="O219"/>
  <c r="P219"/>
  <c r="Q219"/>
  <c r="R219"/>
  <c r="S219"/>
  <c r="T219"/>
  <c r="U219"/>
  <c r="V219"/>
  <c r="W219"/>
  <c r="F56"/>
  <c r="E57"/>
  <c r="F57" l="1"/>
  <c r="E58"/>
  <c r="G220"/>
  <c r="H220"/>
  <c r="I220"/>
  <c r="J220"/>
  <c r="K220"/>
  <c r="L220"/>
  <c r="M220"/>
  <c r="N220"/>
  <c r="O220"/>
  <c r="P220"/>
  <c r="Q220"/>
  <c r="R220"/>
  <c r="S220"/>
  <c r="T220"/>
  <c r="U220"/>
  <c r="V220"/>
  <c r="W220"/>
  <c r="G56"/>
  <c r="H56"/>
  <c r="I56"/>
  <c r="J56"/>
  <c r="K56"/>
  <c r="L56"/>
  <c r="M56"/>
  <c r="N56"/>
  <c r="O56"/>
  <c r="P56"/>
  <c r="Q56"/>
  <c r="R56"/>
  <c r="S56"/>
  <c r="T56"/>
  <c r="U56"/>
  <c r="V56"/>
  <c r="W56"/>
  <c r="E222"/>
  <c r="F221"/>
  <c r="G221" l="1"/>
  <c r="H221"/>
  <c r="I221"/>
  <c r="J221"/>
  <c r="K221"/>
  <c r="L221"/>
  <c r="M221"/>
  <c r="N221"/>
  <c r="O221"/>
  <c r="P221"/>
  <c r="Q221"/>
  <c r="R221"/>
  <c r="S221"/>
  <c r="T221"/>
  <c r="U221"/>
  <c r="V221"/>
  <c r="W221"/>
  <c r="F58"/>
  <c r="E59"/>
  <c r="E223"/>
  <c r="F222"/>
  <c r="G57"/>
  <c r="H57"/>
  <c r="I57"/>
  <c r="J57"/>
  <c r="K57"/>
  <c r="L57"/>
  <c r="M57"/>
  <c r="N57"/>
  <c r="O57"/>
  <c r="P57"/>
  <c r="Q57"/>
  <c r="R57"/>
  <c r="S57"/>
  <c r="T57"/>
  <c r="U57"/>
  <c r="V57"/>
  <c r="W57"/>
  <c r="E224" l="1"/>
  <c r="F223"/>
  <c r="G58"/>
  <c r="H58"/>
  <c r="I58"/>
  <c r="J58"/>
  <c r="K58"/>
  <c r="L58"/>
  <c r="M58"/>
  <c r="N58"/>
  <c r="O58"/>
  <c r="P58"/>
  <c r="Q58"/>
  <c r="R58"/>
  <c r="S58"/>
  <c r="T58"/>
  <c r="U58"/>
  <c r="V58"/>
  <c r="W58"/>
  <c r="G222"/>
  <c r="H222"/>
  <c r="I222"/>
  <c r="J222"/>
  <c r="K222"/>
  <c r="L222"/>
  <c r="M222"/>
  <c r="N222"/>
  <c r="O222"/>
  <c r="P222"/>
  <c r="Q222"/>
  <c r="R222"/>
  <c r="S222"/>
  <c r="T222"/>
  <c r="U222"/>
  <c r="V222"/>
  <c r="W222"/>
  <c r="F59"/>
  <c r="E60"/>
  <c r="F60" l="1"/>
  <c r="E61"/>
  <c r="G223"/>
  <c r="H223"/>
  <c r="I223"/>
  <c r="J223"/>
  <c r="K223"/>
  <c r="L223"/>
  <c r="M223"/>
  <c r="N223"/>
  <c r="O223"/>
  <c r="P223"/>
  <c r="Q223"/>
  <c r="R223"/>
  <c r="S223"/>
  <c r="T223"/>
  <c r="U223"/>
  <c r="V223"/>
  <c r="W223"/>
  <c r="G59"/>
  <c r="H59"/>
  <c r="I59"/>
  <c r="J59"/>
  <c r="K59"/>
  <c r="L59"/>
  <c r="M59"/>
  <c r="N59"/>
  <c r="O59"/>
  <c r="P59"/>
  <c r="Q59"/>
  <c r="R59"/>
  <c r="S59"/>
  <c r="T59"/>
  <c r="U59"/>
  <c r="V59"/>
  <c r="W59"/>
  <c r="E225"/>
  <c r="F224"/>
  <c r="G224" l="1"/>
  <c r="H224"/>
  <c r="I224"/>
  <c r="J224"/>
  <c r="K224"/>
  <c r="L224"/>
  <c r="M224"/>
  <c r="N224"/>
  <c r="O224"/>
  <c r="P224"/>
  <c r="Q224"/>
  <c r="R224"/>
  <c r="S224"/>
  <c r="T224"/>
  <c r="U224"/>
  <c r="V224"/>
  <c r="W224"/>
  <c r="F61"/>
  <c r="E62"/>
  <c r="E226"/>
  <c r="F225"/>
  <c r="G60"/>
  <c r="H60"/>
  <c r="I60"/>
  <c r="J60"/>
  <c r="K60"/>
  <c r="L60"/>
  <c r="M60"/>
  <c r="N60"/>
  <c r="O60"/>
  <c r="P60"/>
  <c r="Q60"/>
  <c r="R60"/>
  <c r="S60"/>
  <c r="T60"/>
  <c r="U60"/>
  <c r="V60"/>
  <c r="W60"/>
  <c r="E227" l="1"/>
  <c r="F226"/>
  <c r="G61"/>
  <c r="H61"/>
  <c r="I61"/>
  <c r="J61"/>
  <c r="K61"/>
  <c r="L61"/>
  <c r="M61"/>
  <c r="N61"/>
  <c r="O61"/>
  <c r="P61"/>
  <c r="Q61"/>
  <c r="R61"/>
  <c r="S61"/>
  <c r="T61"/>
  <c r="U61"/>
  <c r="V61"/>
  <c r="W61"/>
  <c r="G225"/>
  <c r="H225"/>
  <c r="I225"/>
  <c r="J225"/>
  <c r="K225"/>
  <c r="L225"/>
  <c r="M225"/>
  <c r="N225"/>
  <c r="O225"/>
  <c r="P225"/>
  <c r="Q225"/>
  <c r="R225"/>
  <c r="S225"/>
  <c r="T225"/>
  <c r="U225"/>
  <c r="V225"/>
  <c r="W225"/>
  <c r="F62"/>
  <c r="E63"/>
  <c r="F63" l="1"/>
  <c r="E64"/>
  <c r="G226"/>
  <c r="H226"/>
  <c r="I226"/>
  <c r="J226"/>
  <c r="K226"/>
  <c r="L226"/>
  <c r="M226"/>
  <c r="N226"/>
  <c r="O226"/>
  <c r="P226"/>
  <c r="Q226"/>
  <c r="R226"/>
  <c r="S226"/>
  <c r="T226"/>
  <c r="U226"/>
  <c r="V226"/>
  <c r="W226"/>
  <c r="G62"/>
  <c r="H62"/>
  <c r="I62"/>
  <c r="J62"/>
  <c r="K62"/>
  <c r="L62"/>
  <c r="M62"/>
  <c r="N62"/>
  <c r="O62"/>
  <c r="P62"/>
  <c r="Q62"/>
  <c r="R62"/>
  <c r="S62"/>
  <c r="T62"/>
  <c r="U62"/>
  <c r="V62"/>
  <c r="W62"/>
  <c r="E228"/>
  <c r="F227"/>
  <c r="G227" l="1"/>
  <c r="H227"/>
  <c r="I227"/>
  <c r="J227"/>
  <c r="K227"/>
  <c r="L227"/>
  <c r="M227"/>
  <c r="N227"/>
  <c r="O227"/>
  <c r="P227"/>
  <c r="Q227"/>
  <c r="R227"/>
  <c r="S227"/>
  <c r="T227"/>
  <c r="U227"/>
  <c r="V227"/>
  <c r="W227"/>
  <c r="F64"/>
  <c r="E65"/>
  <c r="E229"/>
  <c r="F228"/>
  <c r="G63"/>
  <c r="H63"/>
  <c r="I63"/>
  <c r="J63"/>
  <c r="K63"/>
  <c r="L63"/>
  <c r="M63"/>
  <c r="N63"/>
  <c r="O63"/>
  <c r="P63"/>
  <c r="Q63"/>
  <c r="R63"/>
  <c r="S63"/>
  <c r="T63"/>
  <c r="U63"/>
  <c r="V63"/>
  <c r="W63"/>
  <c r="E230" l="1"/>
  <c r="F229"/>
  <c r="G64"/>
  <c r="H64"/>
  <c r="I64"/>
  <c r="J64"/>
  <c r="K64"/>
  <c r="L64"/>
  <c r="M64"/>
  <c r="N64"/>
  <c r="O64"/>
  <c r="P64"/>
  <c r="Q64"/>
  <c r="R64"/>
  <c r="S64"/>
  <c r="T64"/>
  <c r="U64"/>
  <c r="V64"/>
  <c r="W64"/>
  <c r="G228"/>
  <c r="H228"/>
  <c r="I228"/>
  <c r="J228"/>
  <c r="K228"/>
  <c r="L228"/>
  <c r="M228"/>
  <c r="N228"/>
  <c r="O228"/>
  <c r="P228"/>
  <c r="Q228"/>
  <c r="R228"/>
  <c r="S228"/>
  <c r="T228"/>
  <c r="U228"/>
  <c r="V228"/>
  <c r="W228"/>
  <c r="F65"/>
  <c r="E66"/>
  <c r="F66" l="1"/>
  <c r="E67"/>
  <c r="G229"/>
  <c r="H229"/>
  <c r="I229"/>
  <c r="J229"/>
  <c r="K229"/>
  <c r="L229"/>
  <c r="M229"/>
  <c r="N229"/>
  <c r="O229"/>
  <c r="P229"/>
  <c r="Q229"/>
  <c r="R229"/>
  <c r="S229"/>
  <c r="T229"/>
  <c r="U229"/>
  <c r="V229"/>
  <c r="W229"/>
  <c r="G65"/>
  <c r="H65"/>
  <c r="I65"/>
  <c r="J65"/>
  <c r="K65"/>
  <c r="L65"/>
  <c r="M65"/>
  <c r="N65"/>
  <c r="O65"/>
  <c r="P65"/>
  <c r="Q65"/>
  <c r="R65"/>
  <c r="S65"/>
  <c r="T65"/>
  <c r="U65"/>
  <c r="V65"/>
  <c r="W65"/>
  <c r="E231"/>
  <c r="F230"/>
  <c r="E232" l="1"/>
  <c r="F231"/>
  <c r="G230"/>
  <c r="H230"/>
  <c r="I230"/>
  <c r="J230"/>
  <c r="K230"/>
  <c r="L230"/>
  <c r="M230"/>
  <c r="N230"/>
  <c r="O230"/>
  <c r="P230"/>
  <c r="Q230"/>
  <c r="R230"/>
  <c r="S230"/>
  <c r="T230"/>
  <c r="U230"/>
  <c r="V230"/>
  <c r="W230"/>
  <c r="F67"/>
  <c r="E68"/>
  <c r="G66"/>
  <c r="H66"/>
  <c r="I66"/>
  <c r="J66"/>
  <c r="K66"/>
  <c r="L66"/>
  <c r="M66"/>
  <c r="N66"/>
  <c r="O66"/>
  <c r="P66"/>
  <c r="Q66"/>
  <c r="R66"/>
  <c r="S66"/>
  <c r="T66"/>
  <c r="U66"/>
  <c r="V66"/>
  <c r="W66"/>
  <c r="G67" l="1"/>
  <c r="H67"/>
  <c r="I67"/>
  <c r="J67"/>
  <c r="K67"/>
  <c r="L67"/>
  <c r="M67"/>
  <c r="N67"/>
  <c r="O67"/>
  <c r="P67"/>
  <c r="Q67"/>
  <c r="R67"/>
  <c r="S67"/>
  <c r="T67"/>
  <c r="U67"/>
  <c r="V67"/>
  <c r="W67"/>
  <c r="G231"/>
  <c r="H231"/>
  <c r="I231"/>
  <c r="J231"/>
  <c r="K231"/>
  <c r="L231"/>
  <c r="M231"/>
  <c r="N231"/>
  <c r="O231"/>
  <c r="P231"/>
  <c r="Q231"/>
  <c r="R231"/>
  <c r="S231"/>
  <c r="T231"/>
  <c r="U231"/>
  <c r="V231"/>
  <c r="W231"/>
  <c r="F68"/>
  <c r="E69"/>
  <c r="E233"/>
  <c r="F232"/>
  <c r="G232" l="1"/>
  <c r="H232"/>
  <c r="I232"/>
  <c r="J232"/>
  <c r="K232"/>
  <c r="L232"/>
  <c r="M232"/>
  <c r="N232"/>
  <c r="O232"/>
  <c r="P232"/>
  <c r="Q232"/>
  <c r="R232"/>
  <c r="S232"/>
  <c r="T232"/>
  <c r="U232"/>
  <c r="V232"/>
  <c r="W232"/>
  <c r="F69"/>
  <c r="E70"/>
  <c r="E234"/>
  <c r="F233"/>
  <c r="G68"/>
  <c r="H68"/>
  <c r="I68"/>
  <c r="J68"/>
  <c r="K68"/>
  <c r="L68"/>
  <c r="M68"/>
  <c r="N68"/>
  <c r="O68"/>
  <c r="P68"/>
  <c r="Q68"/>
  <c r="R68"/>
  <c r="S68"/>
  <c r="T68"/>
  <c r="U68"/>
  <c r="V68"/>
  <c r="W68"/>
  <c r="E235" l="1"/>
  <c r="F234"/>
  <c r="G69"/>
  <c r="H69"/>
  <c r="I69"/>
  <c r="J69"/>
  <c r="K69"/>
  <c r="L69"/>
  <c r="M69"/>
  <c r="N69"/>
  <c r="O69"/>
  <c r="P69"/>
  <c r="Q69"/>
  <c r="R69"/>
  <c r="S69"/>
  <c r="T69"/>
  <c r="U69"/>
  <c r="V69"/>
  <c r="W69"/>
  <c r="G233"/>
  <c r="H233"/>
  <c r="I233"/>
  <c r="J233"/>
  <c r="K233"/>
  <c r="L233"/>
  <c r="M233"/>
  <c r="N233"/>
  <c r="O233"/>
  <c r="P233"/>
  <c r="Q233"/>
  <c r="R233"/>
  <c r="S233"/>
  <c r="T233"/>
  <c r="U233"/>
  <c r="V233"/>
  <c r="W233"/>
  <c r="F70"/>
  <c r="E71"/>
  <c r="F71" l="1"/>
  <c r="E72"/>
  <c r="G234"/>
  <c r="H234"/>
  <c r="I234"/>
  <c r="J234"/>
  <c r="K234"/>
  <c r="L234"/>
  <c r="M234"/>
  <c r="N234"/>
  <c r="O234"/>
  <c r="P234"/>
  <c r="Q234"/>
  <c r="R234"/>
  <c r="S234"/>
  <c r="T234"/>
  <c r="U234"/>
  <c r="V234"/>
  <c r="W234"/>
  <c r="G70"/>
  <c r="H70"/>
  <c r="I70"/>
  <c r="J70"/>
  <c r="K70"/>
  <c r="L70"/>
  <c r="M70"/>
  <c r="N70"/>
  <c r="O70"/>
  <c r="P70"/>
  <c r="Q70"/>
  <c r="R70"/>
  <c r="S70"/>
  <c r="T70"/>
  <c r="U70"/>
  <c r="V70"/>
  <c r="W70"/>
  <c r="E236"/>
  <c r="F235"/>
  <c r="G235" l="1"/>
  <c r="H235"/>
  <c r="I235"/>
  <c r="J235"/>
  <c r="K235"/>
  <c r="L235"/>
  <c r="M235"/>
  <c r="N235"/>
  <c r="O235"/>
  <c r="P235"/>
  <c r="Q235"/>
  <c r="R235"/>
  <c r="S235"/>
  <c r="T235"/>
  <c r="U235"/>
  <c r="V235"/>
  <c r="W235"/>
  <c r="F72"/>
  <c r="E73"/>
  <c r="E237"/>
  <c r="F236"/>
  <c r="G71"/>
  <c r="H71"/>
  <c r="I71"/>
  <c r="J71"/>
  <c r="K71"/>
  <c r="L71"/>
  <c r="M71"/>
  <c r="N71"/>
  <c r="O71"/>
  <c r="P71"/>
  <c r="Q71"/>
  <c r="R71"/>
  <c r="S71"/>
  <c r="T71"/>
  <c r="U71"/>
  <c r="V71"/>
  <c r="W71"/>
  <c r="E238" l="1"/>
  <c r="F237"/>
  <c r="G72"/>
  <c r="H72"/>
  <c r="I72"/>
  <c r="J72"/>
  <c r="K72"/>
  <c r="L72"/>
  <c r="M72"/>
  <c r="N72"/>
  <c r="O72"/>
  <c r="P72"/>
  <c r="Q72"/>
  <c r="R72"/>
  <c r="S72"/>
  <c r="T72"/>
  <c r="U72"/>
  <c r="V72"/>
  <c r="W72"/>
  <c r="G236"/>
  <c r="H236"/>
  <c r="I236"/>
  <c r="J236"/>
  <c r="K236"/>
  <c r="L236"/>
  <c r="M236"/>
  <c r="N236"/>
  <c r="O236"/>
  <c r="P236"/>
  <c r="Q236"/>
  <c r="R236"/>
  <c r="S236"/>
  <c r="T236"/>
  <c r="U236"/>
  <c r="V236"/>
  <c r="W236"/>
  <c r="F73"/>
  <c r="E74"/>
  <c r="F74" l="1"/>
  <c r="E75"/>
  <c r="G237"/>
  <c r="H237"/>
  <c r="I237"/>
  <c r="J237"/>
  <c r="K237"/>
  <c r="L237"/>
  <c r="M237"/>
  <c r="N237"/>
  <c r="O237"/>
  <c r="P237"/>
  <c r="Q237"/>
  <c r="R237"/>
  <c r="S237"/>
  <c r="T237"/>
  <c r="U237"/>
  <c r="V237"/>
  <c r="W237"/>
  <c r="G73"/>
  <c r="H73"/>
  <c r="I73"/>
  <c r="J73"/>
  <c r="K73"/>
  <c r="L73"/>
  <c r="M73"/>
  <c r="N73"/>
  <c r="O73"/>
  <c r="P73"/>
  <c r="Q73"/>
  <c r="R73"/>
  <c r="S73"/>
  <c r="T73"/>
  <c r="U73"/>
  <c r="V73"/>
  <c r="W73"/>
  <c r="E239"/>
  <c r="F238"/>
  <c r="G238" l="1"/>
  <c r="H238"/>
  <c r="I238"/>
  <c r="J238"/>
  <c r="K238"/>
  <c r="L238"/>
  <c r="M238"/>
  <c r="N238"/>
  <c r="O238"/>
  <c r="P238"/>
  <c r="Q238"/>
  <c r="R238"/>
  <c r="S238"/>
  <c r="T238"/>
  <c r="U238"/>
  <c r="V238"/>
  <c r="W238"/>
  <c r="F75"/>
  <c r="E76"/>
  <c r="E240"/>
  <c r="F239"/>
  <c r="G74"/>
  <c r="H74"/>
  <c r="I74"/>
  <c r="J74"/>
  <c r="K74"/>
  <c r="L74"/>
  <c r="M74"/>
  <c r="N74"/>
  <c r="O74"/>
  <c r="P74"/>
  <c r="Q74"/>
  <c r="R74"/>
  <c r="S74"/>
  <c r="T74"/>
  <c r="U74"/>
  <c r="V74"/>
  <c r="W74"/>
  <c r="E241" l="1"/>
  <c r="F240"/>
  <c r="G75"/>
  <c r="H75"/>
  <c r="I75"/>
  <c r="J75"/>
  <c r="K75"/>
  <c r="L75"/>
  <c r="M75"/>
  <c r="N75"/>
  <c r="O75"/>
  <c r="P75"/>
  <c r="Q75"/>
  <c r="R75"/>
  <c r="S75"/>
  <c r="T75"/>
  <c r="U75"/>
  <c r="V75"/>
  <c r="W75"/>
  <c r="G239"/>
  <c r="H239"/>
  <c r="I239"/>
  <c r="J239"/>
  <c r="K239"/>
  <c r="L239"/>
  <c r="M239"/>
  <c r="N239"/>
  <c r="O239"/>
  <c r="P239"/>
  <c r="Q239"/>
  <c r="R239"/>
  <c r="S239"/>
  <c r="T239"/>
  <c r="U239"/>
  <c r="V239"/>
  <c r="W239"/>
  <c r="F76"/>
  <c r="E77"/>
  <c r="F77" l="1"/>
  <c r="E78"/>
  <c r="G240"/>
  <c r="H240"/>
  <c r="I240"/>
  <c r="J240"/>
  <c r="K240"/>
  <c r="L240"/>
  <c r="M240"/>
  <c r="N240"/>
  <c r="O240"/>
  <c r="P240"/>
  <c r="Q240"/>
  <c r="R240"/>
  <c r="S240"/>
  <c r="T240"/>
  <c r="U240"/>
  <c r="V240"/>
  <c r="W240"/>
  <c r="G76"/>
  <c r="H76"/>
  <c r="I76"/>
  <c r="J76"/>
  <c r="K76"/>
  <c r="L76"/>
  <c r="M76"/>
  <c r="N76"/>
  <c r="O76"/>
  <c r="P76"/>
  <c r="Q76"/>
  <c r="R76"/>
  <c r="S76"/>
  <c r="T76"/>
  <c r="U76"/>
  <c r="V76"/>
  <c r="W76"/>
  <c r="E242"/>
  <c r="F241"/>
  <c r="G241" l="1"/>
  <c r="H241"/>
  <c r="I241"/>
  <c r="J241"/>
  <c r="K241"/>
  <c r="L241"/>
  <c r="M241"/>
  <c r="N241"/>
  <c r="O241"/>
  <c r="P241"/>
  <c r="Q241"/>
  <c r="R241"/>
  <c r="S241"/>
  <c r="T241"/>
  <c r="U241"/>
  <c r="V241"/>
  <c r="W241"/>
  <c r="F78"/>
  <c r="E79"/>
  <c r="E243"/>
  <c r="F242"/>
  <c r="G77"/>
  <c r="H77"/>
  <c r="I77"/>
  <c r="J77"/>
  <c r="K77"/>
  <c r="L77"/>
  <c r="M77"/>
  <c r="N77"/>
  <c r="O77"/>
  <c r="P77"/>
  <c r="Q77"/>
  <c r="R77"/>
  <c r="S77"/>
  <c r="T77"/>
  <c r="U77"/>
  <c r="V77"/>
  <c r="W77"/>
  <c r="E244" l="1"/>
  <c r="F243"/>
  <c r="G78"/>
  <c r="H78"/>
  <c r="I78"/>
  <c r="J78"/>
  <c r="K78"/>
  <c r="L78"/>
  <c r="M78"/>
  <c r="N78"/>
  <c r="O78"/>
  <c r="P78"/>
  <c r="Q78"/>
  <c r="R78"/>
  <c r="S78"/>
  <c r="T78"/>
  <c r="U78"/>
  <c r="V78"/>
  <c r="W78"/>
  <c r="G242"/>
  <c r="H242"/>
  <c r="I242"/>
  <c r="J242"/>
  <c r="K242"/>
  <c r="L242"/>
  <c r="M242"/>
  <c r="N242"/>
  <c r="O242"/>
  <c r="P242"/>
  <c r="Q242"/>
  <c r="R242"/>
  <c r="S242"/>
  <c r="T242"/>
  <c r="U242"/>
  <c r="V242"/>
  <c r="W242"/>
  <c r="F79"/>
  <c r="E80"/>
  <c r="F80" l="1"/>
  <c r="E81"/>
  <c r="G243"/>
  <c r="H243"/>
  <c r="I243"/>
  <c r="J243"/>
  <c r="K243"/>
  <c r="L243"/>
  <c r="M243"/>
  <c r="N243"/>
  <c r="O243"/>
  <c r="P243"/>
  <c r="Q243"/>
  <c r="R243"/>
  <c r="S243"/>
  <c r="T243"/>
  <c r="U243"/>
  <c r="V243"/>
  <c r="W243"/>
  <c r="G79"/>
  <c r="H79"/>
  <c r="I79"/>
  <c r="J79"/>
  <c r="K79"/>
  <c r="L79"/>
  <c r="M79"/>
  <c r="N79"/>
  <c r="O79"/>
  <c r="P79"/>
  <c r="Q79"/>
  <c r="R79"/>
  <c r="S79"/>
  <c r="T79"/>
  <c r="U79"/>
  <c r="V79"/>
  <c r="W79"/>
  <c r="E245"/>
  <c r="F244"/>
  <c r="G244" l="1"/>
  <c r="H244"/>
  <c r="I244"/>
  <c r="J244"/>
  <c r="K244"/>
  <c r="L244"/>
  <c r="M244"/>
  <c r="N244"/>
  <c r="O244"/>
  <c r="P244"/>
  <c r="Q244"/>
  <c r="R244"/>
  <c r="S244"/>
  <c r="T244"/>
  <c r="U244"/>
  <c r="V244"/>
  <c r="W244"/>
  <c r="F81"/>
  <c r="E82"/>
  <c r="E246"/>
  <c r="F245"/>
  <c r="G80"/>
  <c r="H80"/>
  <c r="I80"/>
  <c r="J80"/>
  <c r="K80"/>
  <c r="L80"/>
  <c r="M80"/>
  <c r="N80"/>
  <c r="O80"/>
  <c r="P80"/>
  <c r="Q80"/>
  <c r="R80"/>
  <c r="S80"/>
  <c r="T80"/>
  <c r="U80"/>
  <c r="V80"/>
  <c r="W80"/>
  <c r="E247" l="1"/>
  <c r="F246"/>
  <c r="G81"/>
  <c r="H81"/>
  <c r="I81"/>
  <c r="J81"/>
  <c r="K81"/>
  <c r="L81"/>
  <c r="M81"/>
  <c r="N81"/>
  <c r="O81"/>
  <c r="P81"/>
  <c r="Q81"/>
  <c r="R81"/>
  <c r="S81"/>
  <c r="T81"/>
  <c r="U81"/>
  <c r="V81"/>
  <c r="W81"/>
  <c r="G245"/>
  <c r="H245"/>
  <c r="I245"/>
  <c r="J245"/>
  <c r="K245"/>
  <c r="L245"/>
  <c r="M245"/>
  <c r="N245"/>
  <c r="O245"/>
  <c r="P245"/>
  <c r="Q245"/>
  <c r="R245"/>
  <c r="S245"/>
  <c r="T245"/>
  <c r="U245"/>
  <c r="V245"/>
  <c r="W245"/>
  <c r="F82"/>
  <c r="E83"/>
  <c r="F83" l="1"/>
  <c r="E84"/>
  <c r="G246"/>
  <c r="H246"/>
  <c r="I246"/>
  <c r="J246"/>
  <c r="K246"/>
  <c r="L246"/>
  <c r="M246"/>
  <c r="N246"/>
  <c r="O246"/>
  <c r="P246"/>
  <c r="Q246"/>
  <c r="R246"/>
  <c r="S246"/>
  <c r="T246"/>
  <c r="U246"/>
  <c r="V246"/>
  <c r="W246"/>
  <c r="G82"/>
  <c r="H82"/>
  <c r="I82"/>
  <c r="J82"/>
  <c r="K82"/>
  <c r="L82"/>
  <c r="M82"/>
  <c r="N82"/>
  <c r="O82"/>
  <c r="P82"/>
  <c r="Q82"/>
  <c r="R82"/>
  <c r="S82"/>
  <c r="T82"/>
  <c r="U82"/>
  <c r="V82"/>
  <c r="W82"/>
  <c r="E248"/>
  <c r="F247"/>
  <c r="G247" l="1"/>
  <c r="H247"/>
  <c r="I247"/>
  <c r="J247"/>
  <c r="K247"/>
  <c r="L247"/>
  <c r="M247"/>
  <c r="N247"/>
  <c r="O247"/>
  <c r="P247"/>
  <c r="Q247"/>
  <c r="R247"/>
  <c r="S247"/>
  <c r="T247"/>
  <c r="U247"/>
  <c r="V247"/>
  <c r="W247"/>
  <c r="F84"/>
  <c r="E85"/>
  <c r="F248"/>
  <c r="E249"/>
  <c r="G83"/>
  <c r="H83"/>
  <c r="I83"/>
  <c r="J83"/>
  <c r="K83"/>
  <c r="L83"/>
  <c r="M83"/>
  <c r="N83"/>
  <c r="O83"/>
  <c r="P83"/>
  <c r="Q83"/>
  <c r="R83"/>
  <c r="S83"/>
  <c r="T83"/>
  <c r="U83"/>
  <c r="V83"/>
  <c r="W83"/>
  <c r="G248" l="1"/>
  <c r="H248"/>
  <c r="I248"/>
  <c r="J248"/>
  <c r="K248"/>
  <c r="L248"/>
  <c r="M248"/>
  <c r="N248"/>
  <c r="O248"/>
  <c r="P248"/>
  <c r="Q248"/>
  <c r="R248"/>
  <c r="S248"/>
  <c r="T248"/>
  <c r="U248"/>
  <c r="V248"/>
  <c r="W248"/>
  <c r="G84"/>
  <c r="H84"/>
  <c r="I84"/>
  <c r="J84"/>
  <c r="K84"/>
  <c r="L84"/>
  <c r="M84"/>
  <c r="N84"/>
  <c r="O84"/>
  <c r="P84"/>
  <c r="Q84"/>
  <c r="R84"/>
  <c r="S84"/>
  <c r="T84"/>
  <c r="U84"/>
  <c r="V84"/>
  <c r="W84"/>
  <c r="F249"/>
  <c r="E250"/>
  <c r="F85"/>
  <c r="E86"/>
  <c r="G85" l="1"/>
  <c r="H85"/>
  <c r="I85"/>
  <c r="J85"/>
  <c r="K85"/>
  <c r="L85"/>
  <c r="M85"/>
  <c r="N85"/>
  <c r="O85"/>
  <c r="P85"/>
  <c r="Q85"/>
  <c r="R85"/>
  <c r="S85"/>
  <c r="T85"/>
  <c r="U85"/>
  <c r="V85"/>
  <c r="W85"/>
  <c r="F86"/>
  <c r="E87"/>
  <c r="F250"/>
  <c r="E251"/>
  <c r="G249"/>
  <c r="H249"/>
  <c r="I249"/>
  <c r="J249"/>
  <c r="K249"/>
  <c r="L249"/>
  <c r="M249"/>
  <c r="N249"/>
  <c r="O249"/>
  <c r="P249"/>
  <c r="Q249"/>
  <c r="R249"/>
  <c r="S249"/>
  <c r="T249"/>
  <c r="U249"/>
  <c r="V249"/>
  <c r="W249"/>
  <c r="G250" l="1"/>
  <c r="H250"/>
  <c r="I250"/>
  <c r="J250"/>
  <c r="K250"/>
  <c r="L250"/>
  <c r="M250"/>
  <c r="N250"/>
  <c r="O250"/>
  <c r="P250"/>
  <c r="Q250"/>
  <c r="R250"/>
  <c r="S250"/>
  <c r="T250"/>
  <c r="U250"/>
  <c r="V250"/>
  <c r="W250"/>
  <c r="G86"/>
  <c r="H86"/>
  <c r="I86"/>
  <c r="J86"/>
  <c r="K86"/>
  <c r="L86"/>
  <c r="M86"/>
  <c r="N86"/>
  <c r="O86"/>
  <c r="P86"/>
  <c r="Q86"/>
  <c r="R86"/>
  <c r="S86"/>
  <c r="T86"/>
  <c r="U86"/>
  <c r="V86"/>
  <c r="W86"/>
  <c r="F251"/>
  <c r="E252"/>
  <c r="F87"/>
  <c r="E88"/>
  <c r="F88" l="1"/>
  <c r="E89"/>
  <c r="F252"/>
  <c r="E253"/>
  <c r="G87"/>
  <c r="H87"/>
  <c r="I87"/>
  <c r="J87"/>
  <c r="K87"/>
  <c r="L87"/>
  <c r="M87"/>
  <c r="N87"/>
  <c r="O87"/>
  <c r="P87"/>
  <c r="Q87"/>
  <c r="R87"/>
  <c r="S87"/>
  <c r="T87"/>
  <c r="U87"/>
  <c r="V87"/>
  <c r="W87"/>
  <c r="G251"/>
  <c r="H251"/>
  <c r="I251"/>
  <c r="J251"/>
  <c r="K251"/>
  <c r="L251"/>
  <c r="M251"/>
  <c r="N251"/>
  <c r="O251"/>
  <c r="P251"/>
  <c r="Q251"/>
  <c r="R251"/>
  <c r="S251"/>
  <c r="T251"/>
  <c r="U251"/>
  <c r="V251"/>
  <c r="W251"/>
  <c r="F253" l="1"/>
  <c r="E254"/>
  <c r="F89"/>
  <c r="E90"/>
  <c r="G252"/>
  <c r="H252"/>
  <c r="I252"/>
  <c r="J252"/>
  <c r="K252"/>
  <c r="L252"/>
  <c r="M252"/>
  <c r="N252"/>
  <c r="O252"/>
  <c r="P252"/>
  <c r="Q252"/>
  <c r="R252"/>
  <c r="S252"/>
  <c r="T252"/>
  <c r="U252"/>
  <c r="V252"/>
  <c r="W252"/>
  <c r="G88"/>
  <c r="H88"/>
  <c r="I88"/>
  <c r="J88"/>
  <c r="K88"/>
  <c r="L88"/>
  <c r="M88"/>
  <c r="N88"/>
  <c r="O88"/>
  <c r="P88"/>
  <c r="Q88"/>
  <c r="R88"/>
  <c r="S88"/>
  <c r="T88"/>
  <c r="U88"/>
  <c r="V88"/>
  <c r="W88"/>
  <c r="F90" l="1"/>
  <c r="E91"/>
  <c r="F254"/>
  <c r="E255"/>
  <c r="G89"/>
  <c r="H89"/>
  <c r="I89"/>
  <c r="J89"/>
  <c r="K89"/>
  <c r="L89"/>
  <c r="M89"/>
  <c r="N89"/>
  <c r="O89"/>
  <c r="P89"/>
  <c r="Q89"/>
  <c r="R89"/>
  <c r="S89"/>
  <c r="T89"/>
  <c r="U89"/>
  <c r="V89"/>
  <c r="W89"/>
  <c r="G253"/>
  <c r="H253"/>
  <c r="I253"/>
  <c r="J253"/>
  <c r="K253"/>
  <c r="L253"/>
  <c r="M253"/>
  <c r="N253"/>
  <c r="O253"/>
  <c r="P253"/>
  <c r="Q253"/>
  <c r="R253"/>
  <c r="S253"/>
  <c r="T253"/>
  <c r="U253"/>
  <c r="V253"/>
  <c r="W253"/>
  <c r="F255" l="1"/>
  <c r="E266"/>
  <c r="F91"/>
  <c r="E92"/>
  <c r="G254"/>
  <c r="H254"/>
  <c r="I254"/>
  <c r="J254"/>
  <c r="K254"/>
  <c r="L254"/>
  <c r="M254"/>
  <c r="N254"/>
  <c r="O254"/>
  <c r="P254"/>
  <c r="Q254"/>
  <c r="R254"/>
  <c r="S254"/>
  <c r="T254"/>
  <c r="U254"/>
  <c r="V254"/>
  <c r="W254"/>
  <c r="G90"/>
  <c r="H90"/>
  <c r="I90"/>
  <c r="J90"/>
  <c r="K90"/>
  <c r="L90"/>
  <c r="M90"/>
  <c r="N90"/>
  <c r="O90"/>
  <c r="P90"/>
  <c r="Q90"/>
  <c r="R90"/>
  <c r="S90"/>
  <c r="T90"/>
  <c r="U90"/>
  <c r="V90"/>
  <c r="W90"/>
  <c r="F92" l="1"/>
  <c r="E93"/>
  <c r="F266"/>
  <c r="E267"/>
  <c r="G91"/>
  <c r="H91"/>
  <c r="I91"/>
  <c r="J91"/>
  <c r="K91"/>
  <c r="L91"/>
  <c r="M91"/>
  <c r="N91"/>
  <c r="O91"/>
  <c r="P91"/>
  <c r="Q91"/>
  <c r="R91"/>
  <c r="S91"/>
  <c r="T91"/>
  <c r="U91"/>
  <c r="V91"/>
  <c r="W91"/>
  <c r="G255"/>
  <c r="H255"/>
  <c r="I255"/>
  <c r="J255"/>
  <c r="K255"/>
  <c r="L255"/>
  <c r="M255"/>
  <c r="N255"/>
  <c r="O255"/>
  <c r="P255"/>
  <c r="Q255"/>
  <c r="R255"/>
  <c r="S255"/>
  <c r="T255"/>
  <c r="U255"/>
  <c r="V255"/>
  <c r="W255"/>
  <c r="F267" l="1"/>
  <c r="E268"/>
  <c r="F93"/>
  <c r="E94"/>
  <c r="G266"/>
  <c r="H266"/>
  <c r="I266"/>
  <c r="J266"/>
  <c r="K266"/>
  <c r="L266"/>
  <c r="M266"/>
  <c r="N266"/>
  <c r="O266"/>
  <c r="P266"/>
  <c r="Q266"/>
  <c r="R266"/>
  <c r="S266"/>
  <c r="T266"/>
  <c r="U266"/>
  <c r="V266"/>
  <c r="W266"/>
  <c r="G92"/>
  <c r="H92"/>
  <c r="I92"/>
  <c r="J92"/>
  <c r="K92"/>
  <c r="L92"/>
  <c r="M92"/>
  <c r="N92"/>
  <c r="O92"/>
  <c r="P92"/>
  <c r="Q92"/>
  <c r="R92"/>
  <c r="S92"/>
  <c r="T92"/>
  <c r="U92"/>
  <c r="V92"/>
  <c r="W92"/>
  <c r="F94" l="1"/>
  <c r="E95"/>
  <c r="F268"/>
  <c r="E269"/>
  <c r="G93"/>
  <c r="H93"/>
  <c r="I93"/>
  <c r="J93"/>
  <c r="K93"/>
  <c r="L93"/>
  <c r="M93"/>
  <c r="N93"/>
  <c r="O93"/>
  <c r="P93"/>
  <c r="Q93"/>
  <c r="R93"/>
  <c r="S93"/>
  <c r="T93"/>
  <c r="U93"/>
  <c r="V93"/>
  <c r="W93"/>
  <c r="G267"/>
  <c r="H267"/>
  <c r="I267"/>
  <c r="J267"/>
  <c r="K267"/>
  <c r="L267"/>
  <c r="M267"/>
  <c r="N267"/>
  <c r="O267"/>
  <c r="P267"/>
  <c r="Q267"/>
  <c r="R267"/>
  <c r="S267"/>
  <c r="T267"/>
  <c r="U267"/>
  <c r="V267"/>
  <c r="W267"/>
  <c r="F269" l="1"/>
  <c r="E270"/>
  <c r="F95"/>
  <c r="E96"/>
  <c r="G268"/>
  <c r="H268"/>
  <c r="I268"/>
  <c r="J268"/>
  <c r="K268"/>
  <c r="L268"/>
  <c r="M268"/>
  <c r="N268"/>
  <c r="O268"/>
  <c r="P268"/>
  <c r="Q268"/>
  <c r="R268"/>
  <c r="S268"/>
  <c r="T268"/>
  <c r="U268"/>
  <c r="V268"/>
  <c r="W268"/>
  <c r="G94"/>
  <c r="H94"/>
  <c r="I94"/>
  <c r="J94"/>
  <c r="K94"/>
  <c r="L94"/>
  <c r="M94"/>
  <c r="N94"/>
  <c r="O94"/>
  <c r="P94"/>
  <c r="Q94"/>
  <c r="R94"/>
  <c r="S94"/>
  <c r="T94"/>
  <c r="U94"/>
  <c r="V94"/>
  <c r="W94"/>
  <c r="F96" l="1"/>
  <c r="E97"/>
  <c r="F270"/>
  <c r="E271"/>
  <c r="G95"/>
  <c r="H95"/>
  <c r="I95"/>
  <c r="J95"/>
  <c r="K95"/>
  <c r="L95"/>
  <c r="M95"/>
  <c r="N95"/>
  <c r="O95"/>
  <c r="P95"/>
  <c r="Q95"/>
  <c r="R95"/>
  <c r="S95"/>
  <c r="T95"/>
  <c r="U95"/>
  <c r="V95"/>
  <c r="W95"/>
  <c r="G269"/>
  <c r="H269"/>
  <c r="I269"/>
  <c r="J269"/>
  <c r="K269"/>
  <c r="L269"/>
  <c r="M269"/>
  <c r="N269"/>
  <c r="O269"/>
  <c r="P269"/>
  <c r="Q269"/>
  <c r="R269"/>
  <c r="S269"/>
  <c r="T269"/>
  <c r="U269"/>
  <c r="V269"/>
  <c r="W269"/>
  <c r="F271" l="1"/>
  <c r="E272"/>
  <c r="F97"/>
  <c r="E98"/>
  <c r="G270"/>
  <c r="H270"/>
  <c r="I270"/>
  <c r="J270"/>
  <c r="K270"/>
  <c r="L270"/>
  <c r="M270"/>
  <c r="N270"/>
  <c r="O270"/>
  <c r="P270"/>
  <c r="Q270"/>
  <c r="R270"/>
  <c r="S270"/>
  <c r="T270"/>
  <c r="U270"/>
  <c r="V270"/>
  <c r="W270"/>
  <c r="G96"/>
  <c r="H96"/>
  <c r="I96"/>
  <c r="J96"/>
  <c r="K96"/>
  <c r="L96"/>
  <c r="M96"/>
  <c r="N96"/>
  <c r="O96"/>
  <c r="P96"/>
  <c r="Q96"/>
  <c r="R96"/>
  <c r="S96"/>
  <c r="T96"/>
  <c r="U96"/>
  <c r="V96"/>
  <c r="W96"/>
  <c r="F98" l="1"/>
  <c r="E99"/>
  <c r="F272"/>
  <c r="E273"/>
  <c r="G97"/>
  <c r="H97"/>
  <c r="I97"/>
  <c r="J97"/>
  <c r="K97"/>
  <c r="L97"/>
  <c r="M97"/>
  <c r="N97"/>
  <c r="O97"/>
  <c r="P97"/>
  <c r="Q97"/>
  <c r="R97"/>
  <c r="S97"/>
  <c r="T97"/>
  <c r="U97"/>
  <c r="V97"/>
  <c r="W97"/>
  <c r="G271"/>
  <c r="H271"/>
  <c r="I271"/>
  <c r="J271"/>
  <c r="K271"/>
  <c r="L271"/>
  <c r="M271"/>
  <c r="N271"/>
  <c r="O271"/>
  <c r="P271"/>
  <c r="Q271"/>
  <c r="R271"/>
  <c r="S271"/>
  <c r="T271"/>
  <c r="U271"/>
  <c r="V271"/>
  <c r="W271"/>
  <c r="F273" l="1"/>
  <c r="E274"/>
  <c r="F99"/>
  <c r="E100"/>
  <c r="G272"/>
  <c r="H272"/>
  <c r="I272"/>
  <c r="J272"/>
  <c r="K272"/>
  <c r="L272"/>
  <c r="M272"/>
  <c r="N272"/>
  <c r="O272"/>
  <c r="P272"/>
  <c r="Q272"/>
  <c r="R272"/>
  <c r="S272"/>
  <c r="T272"/>
  <c r="U272"/>
  <c r="V272"/>
  <c r="W272"/>
  <c r="G98"/>
  <c r="H98"/>
  <c r="I98"/>
  <c r="J98"/>
  <c r="K98"/>
  <c r="L98"/>
  <c r="M98"/>
  <c r="N98"/>
  <c r="O98"/>
  <c r="P98"/>
  <c r="Q98"/>
  <c r="R98"/>
  <c r="S98"/>
  <c r="T98"/>
  <c r="U98"/>
  <c r="V98"/>
  <c r="W98"/>
  <c r="F100" l="1"/>
  <c r="E101"/>
  <c r="F274"/>
  <c r="E275"/>
  <c r="G99"/>
  <c r="H99"/>
  <c r="I99"/>
  <c r="J99"/>
  <c r="K99"/>
  <c r="L99"/>
  <c r="M99"/>
  <c r="N99"/>
  <c r="O99"/>
  <c r="P99"/>
  <c r="Q99"/>
  <c r="R99"/>
  <c r="S99"/>
  <c r="T99"/>
  <c r="U99"/>
  <c r="V99"/>
  <c r="W99"/>
  <c r="G273"/>
  <c r="H273"/>
  <c r="I273"/>
  <c r="J273"/>
  <c r="K273"/>
  <c r="L273"/>
  <c r="M273"/>
  <c r="N273"/>
  <c r="O273"/>
  <c r="P273"/>
  <c r="Q273"/>
  <c r="R273"/>
  <c r="S273"/>
  <c r="T273"/>
  <c r="U273"/>
  <c r="V273"/>
  <c r="W273"/>
  <c r="F275" l="1"/>
  <c r="E276"/>
  <c r="F101"/>
  <c r="E102"/>
  <c r="G274"/>
  <c r="H274"/>
  <c r="I274"/>
  <c r="J274"/>
  <c r="K274"/>
  <c r="L274"/>
  <c r="M274"/>
  <c r="N274"/>
  <c r="O274"/>
  <c r="P274"/>
  <c r="Q274"/>
  <c r="R274"/>
  <c r="S274"/>
  <c r="T274"/>
  <c r="U274"/>
  <c r="V274"/>
  <c r="W274"/>
  <c r="G100"/>
  <c r="H100"/>
  <c r="I100"/>
  <c r="J100"/>
  <c r="K100"/>
  <c r="L100"/>
  <c r="M100"/>
  <c r="N100"/>
  <c r="O100"/>
  <c r="P100"/>
  <c r="Q100"/>
  <c r="R100"/>
  <c r="S100"/>
  <c r="T100"/>
  <c r="U100"/>
  <c r="V100"/>
  <c r="W100"/>
  <c r="F102" l="1"/>
  <c r="E103"/>
  <c r="F276"/>
  <c r="E277"/>
  <c r="G101"/>
  <c r="H101"/>
  <c r="I101"/>
  <c r="J101"/>
  <c r="K101"/>
  <c r="L101"/>
  <c r="M101"/>
  <c r="N101"/>
  <c r="O101"/>
  <c r="P101"/>
  <c r="Q101"/>
  <c r="R101"/>
  <c r="S101"/>
  <c r="T101"/>
  <c r="U101"/>
  <c r="V101"/>
  <c r="W101"/>
  <c r="G275"/>
  <c r="H275"/>
  <c r="I275"/>
  <c r="J275"/>
  <c r="K275"/>
  <c r="L275"/>
  <c r="M275"/>
  <c r="N275"/>
  <c r="O275"/>
  <c r="P275"/>
  <c r="Q275"/>
  <c r="R275"/>
  <c r="S275"/>
  <c r="T275"/>
  <c r="U275"/>
  <c r="V275"/>
  <c r="W275"/>
  <c r="F277" l="1"/>
  <c r="E278"/>
  <c r="F103"/>
  <c r="E104"/>
  <c r="G276"/>
  <c r="H276"/>
  <c r="I276"/>
  <c r="J276"/>
  <c r="K276"/>
  <c r="L276"/>
  <c r="M276"/>
  <c r="N276"/>
  <c r="O276"/>
  <c r="P276"/>
  <c r="Q276"/>
  <c r="R276"/>
  <c r="S276"/>
  <c r="T276"/>
  <c r="U276"/>
  <c r="V276"/>
  <c r="W276"/>
  <c r="G102"/>
  <c r="H102"/>
  <c r="I102"/>
  <c r="J102"/>
  <c r="K102"/>
  <c r="L102"/>
  <c r="M102"/>
  <c r="N102"/>
  <c r="O102"/>
  <c r="P102"/>
  <c r="Q102"/>
  <c r="R102"/>
  <c r="S102"/>
  <c r="T102"/>
  <c r="U102"/>
  <c r="V102"/>
  <c r="W102"/>
  <c r="F104" l="1"/>
  <c r="E105"/>
  <c r="F278"/>
  <c r="E279"/>
  <c r="G103"/>
  <c r="H103"/>
  <c r="I103"/>
  <c r="J103"/>
  <c r="K103"/>
  <c r="L103"/>
  <c r="M103"/>
  <c r="N103"/>
  <c r="O103"/>
  <c r="P103"/>
  <c r="Q103"/>
  <c r="R103"/>
  <c r="S103"/>
  <c r="T103"/>
  <c r="U103"/>
  <c r="V103"/>
  <c r="W103"/>
  <c r="G277"/>
  <c r="H277"/>
  <c r="I277"/>
  <c r="J277"/>
  <c r="K277"/>
  <c r="L277"/>
  <c r="M277"/>
  <c r="N277"/>
  <c r="O277"/>
  <c r="P277"/>
  <c r="Q277"/>
  <c r="R277"/>
  <c r="S277"/>
  <c r="T277"/>
  <c r="U277"/>
  <c r="V277"/>
  <c r="W277"/>
  <c r="F279" l="1"/>
  <c r="E280"/>
  <c r="F105"/>
  <c r="E106"/>
  <c r="G278"/>
  <c r="H278"/>
  <c r="I278"/>
  <c r="J278"/>
  <c r="K278"/>
  <c r="L278"/>
  <c r="M278"/>
  <c r="N278"/>
  <c r="O278"/>
  <c r="P278"/>
  <c r="Q278"/>
  <c r="R278"/>
  <c r="S278"/>
  <c r="T278"/>
  <c r="U278"/>
  <c r="V278"/>
  <c r="W278"/>
  <c r="G104"/>
  <c r="H104"/>
  <c r="I104"/>
  <c r="J104"/>
  <c r="K104"/>
  <c r="L104"/>
  <c r="M104"/>
  <c r="N104"/>
  <c r="O104"/>
  <c r="P104"/>
  <c r="Q104"/>
  <c r="R104"/>
  <c r="S104"/>
  <c r="T104"/>
  <c r="U104"/>
  <c r="V104"/>
  <c r="W104"/>
  <c r="F106" l="1"/>
  <c r="E107"/>
  <c r="F280"/>
  <c r="E281"/>
  <c r="G105"/>
  <c r="H105"/>
  <c r="I105"/>
  <c r="J105"/>
  <c r="K105"/>
  <c r="L105"/>
  <c r="M105"/>
  <c r="N105"/>
  <c r="O105"/>
  <c r="P105"/>
  <c r="Q105"/>
  <c r="R105"/>
  <c r="S105"/>
  <c r="T105"/>
  <c r="U105"/>
  <c r="V105"/>
  <c r="W105"/>
  <c r="G279"/>
  <c r="H279"/>
  <c r="I279"/>
  <c r="J279"/>
  <c r="K279"/>
  <c r="L279"/>
  <c r="M279"/>
  <c r="N279"/>
  <c r="O279"/>
  <c r="P279"/>
  <c r="Q279"/>
  <c r="R279"/>
  <c r="S279"/>
  <c r="T279"/>
  <c r="U279"/>
  <c r="V279"/>
  <c r="W279"/>
  <c r="E282" l="1"/>
  <c r="F281"/>
  <c r="F107"/>
  <c r="E108"/>
  <c r="G280"/>
  <c r="H280"/>
  <c r="I280"/>
  <c r="J280"/>
  <c r="K280"/>
  <c r="L280"/>
  <c r="M280"/>
  <c r="N280"/>
  <c r="O280"/>
  <c r="P280"/>
  <c r="Q280"/>
  <c r="R280"/>
  <c r="S280"/>
  <c r="T280"/>
  <c r="U280"/>
  <c r="V280"/>
  <c r="W280"/>
  <c r="G106"/>
  <c r="H106"/>
  <c r="I106"/>
  <c r="J106"/>
  <c r="K106"/>
  <c r="L106"/>
  <c r="M106"/>
  <c r="N106"/>
  <c r="O106"/>
  <c r="P106"/>
  <c r="Q106"/>
  <c r="R106"/>
  <c r="S106"/>
  <c r="T106"/>
  <c r="U106"/>
  <c r="V106"/>
  <c r="W106"/>
  <c r="F108" l="1"/>
  <c r="E109"/>
  <c r="G281"/>
  <c r="H281"/>
  <c r="I281"/>
  <c r="J281"/>
  <c r="K281"/>
  <c r="L281"/>
  <c r="M281"/>
  <c r="N281"/>
  <c r="O281"/>
  <c r="P281"/>
  <c r="Q281"/>
  <c r="R281"/>
  <c r="S281"/>
  <c r="T281"/>
  <c r="U281"/>
  <c r="V281"/>
  <c r="W281"/>
  <c r="G107"/>
  <c r="H107"/>
  <c r="I107"/>
  <c r="J107"/>
  <c r="K107"/>
  <c r="L107"/>
  <c r="M107"/>
  <c r="N107"/>
  <c r="O107"/>
  <c r="P107"/>
  <c r="Q107"/>
  <c r="R107"/>
  <c r="S107"/>
  <c r="T107"/>
  <c r="U107"/>
  <c r="V107"/>
  <c r="W107"/>
  <c r="E283"/>
  <c r="F282"/>
  <c r="G282" l="1"/>
  <c r="H282"/>
  <c r="I282"/>
  <c r="J282"/>
  <c r="K282"/>
  <c r="L282"/>
  <c r="M282"/>
  <c r="N282"/>
  <c r="O282"/>
  <c r="P282"/>
  <c r="Q282"/>
  <c r="R282"/>
  <c r="S282"/>
  <c r="T282"/>
  <c r="U282"/>
  <c r="V282"/>
  <c r="W282"/>
  <c r="F109"/>
  <c r="E110"/>
  <c r="E309"/>
  <c r="F283"/>
  <c r="G108"/>
  <c r="H108"/>
  <c r="I108"/>
  <c r="J108"/>
  <c r="K108"/>
  <c r="L108"/>
  <c r="M108"/>
  <c r="N108"/>
  <c r="O108"/>
  <c r="P108"/>
  <c r="Q108"/>
  <c r="R108"/>
  <c r="S108"/>
  <c r="T108"/>
  <c r="U108"/>
  <c r="V108"/>
  <c r="W108"/>
  <c r="E310" l="1"/>
  <c r="F309"/>
  <c r="G109"/>
  <c r="H109"/>
  <c r="I109"/>
  <c r="J109"/>
  <c r="K109"/>
  <c r="L109"/>
  <c r="M109"/>
  <c r="N109"/>
  <c r="O109"/>
  <c r="P109"/>
  <c r="Q109"/>
  <c r="R109"/>
  <c r="S109"/>
  <c r="T109"/>
  <c r="U109"/>
  <c r="V109"/>
  <c r="W109"/>
  <c r="G283"/>
  <c r="H283"/>
  <c r="I283"/>
  <c r="J283"/>
  <c r="K283"/>
  <c r="L283"/>
  <c r="M283"/>
  <c r="N283"/>
  <c r="O283"/>
  <c r="P283"/>
  <c r="Q283"/>
  <c r="R283"/>
  <c r="S283"/>
  <c r="T283"/>
  <c r="U283"/>
  <c r="V283"/>
  <c r="W283"/>
  <c r="F110"/>
  <c r="E111"/>
  <c r="F111" l="1"/>
  <c r="E112"/>
  <c r="G309"/>
  <c r="H309"/>
  <c r="I309"/>
  <c r="J309"/>
  <c r="K309"/>
  <c r="L309"/>
  <c r="M309"/>
  <c r="N309"/>
  <c r="O309"/>
  <c r="P309"/>
  <c r="Q309"/>
  <c r="R309"/>
  <c r="S309"/>
  <c r="T309"/>
  <c r="U309"/>
  <c r="V309"/>
  <c r="W309"/>
  <c r="G110"/>
  <c r="H110"/>
  <c r="I110"/>
  <c r="J110"/>
  <c r="K110"/>
  <c r="L110"/>
  <c r="M110"/>
  <c r="N110"/>
  <c r="O110"/>
  <c r="P110"/>
  <c r="Q110"/>
  <c r="R110"/>
  <c r="S110"/>
  <c r="T110"/>
  <c r="U110"/>
  <c r="V110"/>
  <c r="W110"/>
  <c r="E311"/>
  <c r="F310"/>
  <c r="G310" l="1"/>
  <c r="H310"/>
  <c r="I310"/>
  <c r="J310"/>
  <c r="K310"/>
  <c r="L310"/>
  <c r="M310"/>
  <c r="N310"/>
  <c r="O310"/>
  <c r="P310"/>
  <c r="Q310"/>
  <c r="R310"/>
  <c r="S310"/>
  <c r="T310"/>
  <c r="U310"/>
  <c r="V310"/>
  <c r="W310"/>
  <c r="F112"/>
  <c r="E113"/>
  <c r="E316"/>
  <c r="F311"/>
  <c r="G111"/>
  <c r="H111"/>
  <c r="I111"/>
  <c r="J111"/>
  <c r="K111"/>
  <c r="L111"/>
  <c r="M111"/>
  <c r="N111"/>
  <c r="O111"/>
  <c r="P111"/>
  <c r="Q111"/>
  <c r="R111"/>
  <c r="S111"/>
  <c r="T111"/>
  <c r="U111"/>
  <c r="V111"/>
  <c r="W111"/>
  <c r="E338" l="1"/>
  <c r="F316"/>
  <c r="G112"/>
  <c r="H112"/>
  <c r="I112"/>
  <c r="J112"/>
  <c r="K112"/>
  <c r="L112"/>
  <c r="M112"/>
  <c r="N112"/>
  <c r="O112"/>
  <c r="P112"/>
  <c r="Q112"/>
  <c r="R112"/>
  <c r="S112"/>
  <c r="T112"/>
  <c r="U112"/>
  <c r="V112"/>
  <c r="W112"/>
  <c r="G311"/>
  <c r="H311"/>
  <c r="I311"/>
  <c r="J311"/>
  <c r="K311"/>
  <c r="L311"/>
  <c r="M311"/>
  <c r="N311"/>
  <c r="O311"/>
  <c r="P311"/>
  <c r="Q311"/>
  <c r="R311"/>
  <c r="S311"/>
  <c r="T311"/>
  <c r="U311"/>
  <c r="V311"/>
  <c r="W311"/>
  <c r="F113"/>
  <c r="E114"/>
  <c r="F114" l="1"/>
  <c r="E115"/>
  <c r="G316"/>
  <c r="H316"/>
  <c r="I316"/>
  <c r="J316"/>
  <c r="K316"/>
  <c r="L316"/>
  <c r="M316"/>
  <c r="N316"/>
  <c r="O316"/>
  <c r="P316"/>
  <c r="Q316"/>
  <c r="R316"/>
  <c r="S316"/>
  <c r="T316"/>
  <c r="U316"/>
  <c r="V316"/>
  <c r="W316"/>
  <c r="G113"/>
  <c r="H113"/>
  <c r="I113"/>
  <c r="J113"/>
  <c r="K113"/>
  <c r="L113"/>
  <c r="M113"/>
  <c r="N113"/>
  <c r="O113"/>
  <c r="P113"/>
  <c r="Q113"/>
  <c r="R113"/>
  <c r="S113"/>
  <c r="T113"/>
  <c r="U113"/>
  <c r="V113"/>
  <c r="W113"/>
  <c r="F338"/>
  <c r="E339"/>
  <c r="G338" l="1"/>
  <c r="H338"/>
  <c r="I338"/>
  <c r="J338"/>
  <c r="K338"/>
  <c r="L338"/>
  <c r="M338"/>
  <c r="N338"/>
  <c r="O338"/>
  <c r="P338"/>
  <c r="Q338"/>
  <c r="R338"/>
  <c r="S338"/>
  <c r="T338"/>
  <c r="U338"/>
  <c r="V338"/>
  <c r="W338"/>
  <c r="F339"/>
  <c r="E340"/>
  <c r="F115"/>
  <c r="E116"/>
  <c r="G114"/>
  <c r="H114"/>
  <c r="I114"/>
  <c r="J114"/>
  <c r="K114"/>
  <c r="L114"/>
  <c r="M114"/>
  <c r="N114"/>
  <c r="O114"/>
  <c r="P114"/>
  <c r="Q114"/>
  <c r="R114"/>
  <c r="S114"/>
  <c r="T114"/>
  <c r="U114"/>
  <c r="V114"/>
  <c r="W114"/>
  <c r="G115" l="1"/>
  <c r="H115"/>
  <c r="I115"/>
  <c r="J115"/>
  <c r="K115"/>
  <c r="L115"/>
  <c r="M115"/>
  <c r="N115"/>
  <c r="O115"/>
  <c r="P115"/>
  <c r="Q115"/>
  <c r="R115"/>
  <c r="S115"/>
  <c r="T115"/>
  <c r="U115"/>
  <c r="V115"/>
  <c r="W115"/>
  <c r="G339"/>
  <c r="H339"/>
  <c r="I339"/>
  <c r="J339"/>
  <c r="K339"/>
  <c r="L339"/>
  <c r="M339"/>
  <c r="N339"/>
  <c r="O339"/>
  <c r="P339"/>
  <c r="Q339"/>
  <c r="R339"/>
  <c r="S339"/>
  <c r="T339"/>
  <c r="U339"/>
  <c r="V339"/>
  <c r="W339"/>
  <c r="F116"/>
  <c r="E117"/>
  <c r="F340"/>
  <c r="E342"/>
  <c r="G340" l="1"/>
  <c r="H340"/>
  <c r="I340"/>
  <c r="J340"/>
  <c r="K340"/>
  <c r="L340"/>
  <c r="M340"/>
  <c r="N340"/>
  <c r="O340"/>
  <c r="P340"/>
  <c r="Q340"/>
  <c r="R340"/>
  <c r="S340"/>
  <c r="T340"/>
  <c r="U340"/>
  <c r="V340"/>
  <c r="W340"/>
  <c r="E349"/>
  <c r="F342"/>
  <c r="F117"/>
  <c r="E118"/>
  <c r="G116"/>
  <c r="H116"/>
  <c r="I116"/>
  <c r="J116"/>
  <c r="K116"/>
  <c r="L116"/>
  <c r="M116"/>
  <c r="N116"/>
  <c r="O116"/>
  <c r="P116"/>
  <c r="Q116"/>
  <c r="R116"/>
  <c r="S116"/>
  <c r="T116"/>
  <c r="U116"/>
  <c r="V116"/>
  <c r="W116"/>
  <c r="G117" l="1"/>
  <c r="H117"/>
  <c r="I117"/>
  <c r="J117"/>
  <c r="K117"/>
  <c r="L117"/>
  <c r="M117"/>
  <c r="N117"/>
  <c r="O117"/>
  <c r="P117"/>
  <c r="Q117"/>
  <c r="R117"/>
  <c r="S117"/>
  <c r="T117"/>
  <c r="U117"/>
  <c r="V117"/>
  <c r="W117"/>
  <c r="E350"/>
  <c r="F349"/>
  <c r="F118"/>
  <c r="E119"/>
  <c r="G342"/>
  <c r="H342"/>
  <c r="I342"/>
  <c r="J342"/>
  <c r="K342"/>
  <c r="L342"/>
  <c r="M342"/>
  <c r="N342"/>
  <c r="O342"/>
  <c r="P342"/>
  <c r="Q342"/>
  <c r="R342"/>
  <c r="S342"/>
  <c r="T342"/>
  <c r="U342"/>
  <c r="V342"/>
  <c r="W342"/>
  <c r="G118" l="1"/>
  <c r="H118"/>
  <c r="I118"/>
  <c r="J118"/>
  <c r="K118"/>
  <c r="L118"/>
  <c r="M118"/>
  <c r="N118"/>
  <c r="O118"/>
  <c r="P118"/>
  <c r="Q118"/>
  <c r="R118"/>
  <c r="S118"/>
  <c r="T118"/>
  <c r="U118"/>
  <c r="V118"/>
  <c r="W118"/>
  <c r="E351"/>
  <c r="F350"/>
  <c r="F119"/>
  <c r="E120"/>
  <c r="G349"/>
  <c r="H349"/>
  <c r="I349"/>
  <c r="J349"/>
  <c r="K349"/>
  <c r="L349"/>
  <c r="M349"/>
  <c r="N349"/>
  <c r="O349"/>
  <c r="P349"/>
  <c r="Q349"/>
  <c r="R349"/>
  <c r="S349"/>
  <c r="T349"/>
  <c r="U349"/>
  <c r="V349"/>
  <c r="W349"/>
  <c r="G119" l="1"/>
  <c r="H119"/>
  <c r="I119"/>
  <c r="J119"/>
  <c r="K119"/>
  <c r="L119"/>
  <c r="M119"/>
  <c r="N119"/>
  <c r="O119"/>
  <c r="P119"/>
  <c r="Q119"/>
  <c r="R119"/>
  <c r="S119"/>
  <c r="T119"/>
  <c r="U119"/>
  <c r="V119"/>
  <c r="W119"/>
  <c r="E352"/>
  <c r="F351"/>
  <c r="F120"/>
  <c r="E121"/>
  <c r="G350"/>
  <c r="H350"/>
  <c r="I350"/>
  <c r="J350"/>
  <c r="K350"/>
  <c r="L350"/>
  <c r="M350"/>
  <c r="N350"/>
  <c r="O350"/>
  <c r="P350"/>
  <c r="Q350"/>
  <c r="R350"/>
  <c r="S350"/>
  <c r="T350"/>
  <c r="U350"/>
  <c r="V350"/>
  <c r="W350"/>
  <c r="G120" l="1"/>
  <c r="H120"/>
  <c r="I120"/>
  <c r="J120"/>
  <c r="K120"/>
  <c r="L120"/>
  <c r="M120"/>
  <c r="N120"/>
  <c r="O120"/>
  <c r="P120"/>
  <c r="Q120"/>
  <c r="R120"/>
  <c r="S120"/>
  <c r="T120"/>
  <c r="U120"/>
  <c r="V120"/>
  <c r="W120"/>
  <c r="E353"/>
  <c r="F352"/>
  <c r="F121"/>
  <c r="E122"/>
  <c r="G351"/>
  <c r="H351"/>
  <c r="I351"/>
  <c r="J351"/>
  <c r="K351"/>
  <c r="L351"/>
  <c r="M351"/>
  <c r="N351"/>
  <c r="O351"/>
  <c r="P351"/>
  <c r="Q351"/>
  <c r="R351"/>
  <c r="S351"/>
  <c r="T351"/>
  <c r="U351"/>
  <c r="V351"/>
  <c r="W351"/>
  <c r="G121" l="1"/>
  <c r="H121"/>
  <c r="I121"/>
  <c r="J121"/>
  <c r="K121"/>
  <c r="L121"/>
  <c r="M121"/>
  <c r="N121"/>
  <c r="O121"/>
  <c r="P121"/>
  <c r="Q121"/>
  <c r="R121"/>
  <c r="S121"/>
  <c r="T121"/>
  <c r="U121"/>
  <c r="V121"/>
  <c r="W121"/>
  <c r="E354"/>
  <c r="F353"/>
  <c r="F122"/>
  <c r="E123"/>
  <c r="G352"/>
  <c r="H352"/>
  <c r="I352"/>
  <c r="J352"/>
  <c r="K352"/>
  <c r="L352"/>
  <c r="M352"/>
  <c r="N352"/>
  <c r="O352"/>
  <c r="P352"/>
  <c r="Q352"/>
  <c r="R352"/>
  <c r="S352"/>
  <c r="T352"/>
  <c r="U352"/>
  <c r="V352"/>
  <c r="W352"/>
  <c r="G122" l="1"/>
  <c r="H122"/>
  <c r="I122"/>
  <c r="J122"/>
  <c r="K122"/>
  <c r="L122"/>
  <c r="M122"/>
  <c r="N122"/>
  <c r="O122"/>
  <c r="P122"/>
  <c r="Q122"/>
  <c r="R122"/>
  <c r="S122"/>
  <c r="T122"/>
  <c r="U122"/>
  <c r="V122"/>
  <c r="W122"/>
  <c r="E355"/>
  <c r="F354"/>
  <c r="F123"/>
  <c r="E124"/>
  <c r="G353"/>
  <c r="H353"/>
  <c r="I353"/>
  <c r="J353"/>
  <c r="K353"/>
  <c r="L353"/>
  <c r="M353"/>
  <c r="N353"/>
  <c r="O353"/>
  <c r="P353"/>
  <c r="Q353"/>
  <c r="R353"/>
  <c r="S353"/>
  <c r="T353"/>
  <c r="U353"/>
  <c r="V353"/>
  <c r="W353"/>
  <c r="G123" l="1"/>
  <c r="H123"/>
  <c r="I123"/>
  <c r="J123"/>
  <c r="K123"/>
  <c r="L123"/>
  <c r="M123"/>
  <c r="N123"/>
  <c r="O123"/>
  <c r="P123"/>
  <c r="Q123"/>
  <c r="R123"/>
  <c r="S123"/>
  <c r="T123"/>
  <c r="U123"/>
  <c r="V123"/>
  <c r="W123"/>
  <c r="E356"/>
  <c r="F355"/>
  <c r="F124"/>
  <c r="E125"/>
  <c r="G354"/>
  <c r="H354"/>
  <c r="I354"/>
  <c r="J354"/>
  <c r="K354"/>
  <c r="L354"/>
  <c r="M354"/>
  <c r="N354"/>
  <c r="O354"/>
  <c r="P354"/>
  <c r="Q354"/>
  <c r="R354"/>
  <c r="S354"/>
  <c r="T354"/>
  <c r="U354"/>
  <c r="V354"/>
  <c r="W354"/>
  <c r="G124" l="1"/>
  <c r="H124"/>
  <c r="I124"/>
  <c r="J124"/>
  <c r="K124"/>
  <c r="L124"/>
  <c r="M124"/>
  <c r="N124"/>
  <c r="O124"/>
  <c r="P124"/>
  <c r="Q124"/>
  <c r="R124"/>
  <c r="S124"/>
  <c r="T124"/>
  <c r="U124"/>
  <c r="V124"/>
  <c r="W124"/>
  <c r="E357"/>
  <c r="F356"/>
  <c r="F125"/>
  <c r="E126"/>
  <c r="G355"/>
  <c r="H355"/>
  <c r="I355"/>
  <c r="J355"/>
  <c r="K355"/>
  <c r="L355"/>
  <c r="M355"/>
  <c r="N355"/>
  <c r="O355"/>
  <c r="P355"/>
  <c r="Q355"/>
  <c r="R355"/>
  <c r="S355"/>
  <c r="T355"/>
  <c r="U355"/>
  <c r="V355"/>
  <c r="W355"/>
  <c r="G125" l="1"/>
  <c r="H125"/>
  <c r="I125"/>
  <c r="J125"/>
  <c r="K125"/>
  <c r="L125"/>
  <c r="M125"/>
  <c r="N125"/>
  <c r="O125"/>
  <c r="P125"/>
  <c r="Q125"/>
  <c r="R125"/>
  <c r="S125"/>
  <c r="T125"/>
  <c r="U125"/>
  <c r="V125"/>
  <c r="W125"/>
  <c r="E359"/>
  <c r="F357"/>
  <c r="F126"/>
  <c r="E127"/>
  <c r="G356"/>
  <c r="H356"/>
  <c r="I356"/>
  <c r="J356"/>
  <c r="K356"/>
  <c r="L356"/>
  <c r="M356"/>
  <c r="N356"/>
  <c r="O356"/>
  <c r="P356"/>
  <c r="Q356"/>
  <c r="R356"/>
  <c r="S356"/>
  <c r="T356"/>
  <c r="U356"/>
  <c r="V356"/>
  <c r="W356"/>
  <c r="G126" l="1"/>
  <c r="H126"/>
  <c r="I126"/>
  <c r="J126"/>
  <c r="K126"/>
  <c r="L126"/>
  <c r="M126"/>
  <c r="N126"/>
  <c r="O126"/>
  <c r="P126"/>
  <c r="Q126"/>
  <c r="R126"/>
  <c r="S126"/>
  <c r="T126"/>
  <c r="U126"/>
  <c r="V126"/>
  <c r="W126"/>
  <c r="E362"/>
  <c r="F362" s="1"/>
  <c r="F359"/>
  <c r="F127"/>
  <c r="E128"/>
  <c r="G357"/>
  <c r="H357"/>
  <c r="I357"/>
  <c r="J357"/>
  <c r="K357"/>
  <c r="L357"/>
  <c r="M357"/>
  <c r="N357"/>
  <c r="O357"/>
  <c r="P357"/>
  <c r="Q357"/>
  <c r="R357"/>
  <c r="S357"/>
  <c r="T357"/>
  <c r="U357"/>
  <c r="V357"/>
  <c r="W357"/>
  <c r="G127" l="1"/>
  <c r="H127"/>
  <c r="I127"/>
  <c r="J127"/>
  <c r="K127"/>
  <c r="L127"/>
  <c r="M127"/>
  <c r="N127"/>
  <c r="O127"/>
  <c r="P127"/>
  <c r="Q127"/>
  <c r="R127"/>
  <c r="S127"/>
  <c r="T127"/>
  <c r="U127"/>
  <c r="V127"/>
  <c r="W127"/>
  <c r="G362"/>
  <c r="H362"/>
  <c r="I362"/>
  <c r="J362"/>
  <c r="K362"/>
  <c r="L362"/>
  <c r="M362"/>
  <c r="N362"/>
  <c r="O362"/>
  <c r="P362"/>
  <c r="Q362"/>
  <c r="R362"/>
  <c r="S362"/>
  <c r="T362"/>
  <c r="U362"/>
  <c r="V362"/>
  <c r="W362"/>
  <c r="F128"/>
  <c r="E129"/>
  <c r="G359"/>
  <c r="H359"/>
  <c r="I359"/>
  <c r="J359"/>
  <c r="K359"/>
  <c r="L359"/>
  <c r="M359"/>
  <c r="N359"/>
  <c r="O359"/>
  <c r="P359"/>
  <c r="Q359"/>
  <c r="R359"/>
  <c r="S359"/>
  <c r="T359"/>
  <c r="U359"/>
  <c r="V359"/>
  <c r="W359"/>
  <c r="F129" l="1"/>
  <c r="E130"/>
  <c r="G128"/>
  <c r="H128"/>
  <c r="I128"/>
  <c r="J128"/>
  <c r="K128"/>
  <c r="L128"/>
  <c r="M128"/>
  <c r="N128"/>
  <c r="O128"/>
  <c r="P128"/>
  <c r="Q128"/>
  <c r="R128"/>
  <c r="S128"/>
  <c r="T128"/>
  <c r="U128"/>
  <c r="V128"/>
  <c r="W128"/>
  <c r="F130" l="1"/>
  <c r="E131"/>
  <c r="G129"/>
  <c r="H129"/>
  <c r="I129"/>
  <c r="J129"/>
  <c r="K129"/>
  <c r="L129"/>
  <c r="M129"/>
  <c r="N129"/>
  <c r="O129"/>
  <c r="P129"/>
  <c r="Q129"/>
  <c r="R129"/>
  <c r="S129"/>
  <c r="T129"/>
  <c r="U129"/>
  <c r="V129"/>
  <c r="W129"/>
  <c r="F131" l="1"/>
  <c r="E132"/>
  <c r="G130"/>
  <c r="H130"/>
  <c r="I130"/>
  <c r="J130"/>
  <c r="K130"/>
  <c r="L130"/>
  <c r="M130"/>
  <c r="N130"/>
  <c r="O130"/>
  <c r="P130"/>
  <c r="Q130"/>
  <c r="R130"/>
  <c r="S130"/>
  <c r="T130"/>
  <c r="U130"/>
  <c r="V130"/>
  <c r="W130"/>
  <c r="F132" l="1"/>
  <c r="E133"/>
  <c r="G131"/>
  <c r="H131"/>
  <c r="I131"/>
  <c r="J131"/>
  <c r="K131"/>
  <c r="L131"/>
  <c r="M131"/>
  <c r="N131"/>
  <c r="O131"/>
  <c r="P131"/>
  <c r="Q131"/>
  <c r="R131"/>
  <c r="S131"/>
  <c r="T131"/>
  <c r="U131"/>
  <c r="V131"/>
  <c r="W131"/>
  <c r="F133" l="1"/>
  <c r="E134"/>
  <c r="G132"/>
  <c r="H132"/>
  <c r="I132"/>
  <c r="J132"/>
  <c r="K132"/>
  <c r="L132"/>
  <c r="M132"/>
  <c r="N132"/>
  <c r="O132"/>
  <c r="P132"/>
  <c r="Q132"/>
  <c r="R132"/>
  <c r="S132"/>
  <c r="T132"/>
  <c r="U132"/>
  <c r="V132"/>
  <c r="W132"/>
  <c r="F134" l="1"/>
  <c r="E135"/>
  <c r="G133"/>
  <c r="H133"/>
  <c r="I133"/>
  <c r="J133"/>
  <c r="K133"/>
  <c r="L133"/>
  <c r="M133"/>
  <c r="N133"/>
  <c r="O133"/>
  <c r="P133"/>
  <c r="Q133"/>
  <c r="R133"/>
  <c r="S133"/>
  <c r="T133"/>
  <c r="U133"/>
  <c r="V133"/>
  <c r="W133"/>
  <c r="F135" l="1"/>
  <c r="E136"/>
  <c r="G134"/>
  <c r="H134"/>
  <c r="I134"/>
  <c r="J134"/>
  <c r="K134"/>
  <c r="L134"/>
  <c r="M134"/>
  <c r="N134"/>
  <c r="O134"/>
  <c r="P134"/>
  <c r="Q134"/>
  <c r="R134"/>
  <c r="S134"/>
  <c r="T134"/>
  <c r="U134"/>
  <c r="V134"/>
  <c r="W134"/>
  <c r="F136" l="1"/>
  <c r="E137"/>
  <c r="G135"/>
  <c r="H135"/>
  <c r="I135"/>
  <c r="J135"/>
  <c r="K135"/>
  <c r="L135"/>
  <c r="M135"/>
  <c r="N135"/>
  <c r="O135"/>
  <c r="P135"/>
  <c r="Q135"/>
  <c r="R135"/>
  <c r="S135"/>
  <c r="T135"/>
  <c r="U135"/>
  <c r="V135"/>
  <c r="W135"/>
  <c r="F137" l="1"/>
  <c r="E138"/>
  <c r="G136"/>
  <c r="H136"/>
  <c r="I136"/>
  <c r="J136"/>
  <c r="K136"/>
  <c r="L136"/>
  <c r="M136"/>
  <c r="N136"/>
  <c r="O136"/>
  <c r="P136"/>
  <c r="Q136"/>
  <c r="R136"/>
  <c r="S136"/>
  <c r="T136"/>
  <c r="U136"/>
  <c r="V136"/>
  <c r="W136"/>
  <c r="F138" l="1"/>
  <c r="E139"/>
  <c r="G137"/>
  <c r="H137"/>
  <c r="I137"/>
  <c r="J137"/>
  <c r="K137"/>
  <c r="L137"/>
  <c r="M137"/>
  <c r="N137"/>
  <c r="O137"/>
  <c r="P137"/>
  <c r="Q137"/>
  <c r="R137"/>
  <c r="S137"/>
  <c r="T137"/>
  <c r="U137"/>
  <c r="V137"/>
  <c r="W137"/>
  <c r="F139" l="1"/>
  <c r="E140"/>
  <c r="G138"/>
  <c r="H138"/>
  <c r="I138"/>
  <c r="J138"/>
  <c r="K138"/>
  <c r="L138"/>
  <c r="M138"/>
  <c r="N138"/>
  <c r="O138"/>
  <c r="P138"/>
  <c r="Q138"/>
  <c r="R138"/>
  <c r="S138"/>
  <c r="T138"/>
  <c r="U138"/>
  <c r="V138"/>
  <c r="W138"/>
  <c r="F140" l="1"/>
  <c r="E141"/>
  <c r="G139"/>
  <c r="H139"/>
  <c r="I139"/>
  <c r="J139"/>
  <c r="K139"/>
  <c r="L139"/>
  <c r="M139"/>
  <c r="N139"/>
  <c r="O139"/>
  <c r="P139"/>
  <c r="Q139"/>
  <c r="R139"/>
  <c r="S139"/>
  <c r="T139"/>
  <c r="U139"/>
  <c r="V139"/>
  <c r="W139"/>
  <c r="F141" l="1"/>
  <c r="E142"/>
  <c r="G140"/>
  <c r="H140"/>
  <c r="I140"/>
  <c r="J140"/>
  <c r="K140"/>
  <c r="L140"/>
  <c r="M140"/>
  <c r="N140"/>
  <c r="O140"/>
  <c r="P140"/>
  <c r="Q140"/>
  <c r="R140"/>
  <c r="S140"/>
  <c r="T140"/>
  <c r="U140"/>
  <c r="V140"/>
  <c r="W140"/>
  <c r="F142" l="1"/>
  <c r="E143"/>
  <c r="G141"/>
  <c r="H141"/>
  <c r="I141"/>
  <c r="J141"/>
  <c r="K141"/>
  <c r="L141"/>
  <c r="M141"/>
  <c r="N141"/>
  <c r="O141"/>
  <c r="P141"/>
  <c r="Q141"/>
  <c r="R141"/>
  <c r="S141"/>
  <c r="T141"/>
  <c r="U141"/>
  <c r="V141"/>
  <c r="W141"/>
  <c r="F143" l="1"/>
  <c r="E144"/>
  <c r="G142"/>
  <c r="H142"/>
  <c r="I142"/>
  <c r="J142"/>
  <c r="K142"/>
  <c r="L142"/>
  <c r="M142"/>
  <c r="N142"/>
  <c r="O142"/>
  <c r="P142"/>
  <c r="Q142"/>
  <c r="R142"/>
  <c r="S142"/>
  <c r="T142"/>
  <c r="U142"/>
  <c r="V142"/>
  <c r="W142"/>
  <c r="F144" l="1"/>
  <c r="E145"/>
  <c r="G143"/>
  <c r="H143"/>
  <c r="I143"/>
  <c r="J143"/>
  <c r="K143"/>
  <c r="L143"/>
  <c r="M143"/>
  <c r="N143"/>
  <c r="O143"/>
  <c r="P143"/>
  <c r="Q143"/>
  <c r="R143"/>
  <c r="S143"/>
  <c r="T143"/>
  <c r="U143"/>
  <c r="V143"/>
  <c r="W143"/>
  <c r="F145" l="1"/>
  <c r="E146"/>
  <c r="G144"/>
  <c r="H144"/>
  <c r="I144"/>
  <c r="J144"/>
  <c r="K144"/>
  <c r="L144"/>
  <c r="M144"/>
  <c r="N144"/>
  <c r="O144"/>
  <c r="P144"/>
  <c r="Q144"/>
  <c r="R144"/>
  <c r="S144"/>
  <c r="T144"/>
  <c r="U144"/>
  <c r="V144"/>
  <c r="W144"/>
  <c r="F146" l="1"/>
  <c r="E147"/>
  <c r="G145"/>
  <c r="H145"/>
  <c r="I145"/>
  <c r="J145"/>
  <c r="K145"/>
  <c r="L145"/>
  <c r="M145"/>
  <c r="N145"/>
  <c r="O145"/>
  <c r="P145"/>
  <c r="Q145"/>
  <c r="R145"/>
  <c r="S145"/>
  <c r="T145"/>
  <c r="U145"/>
  <c r="V145"/>
  <c r="W145"/>
  <c r="F147" l="1"/>
  <c r="E148"/>
  <c r="G146"/>
  <c r="H146"/>
  <c r="I146"/>
  <c r="J146"/>
  <c r="K146"/>
  <c r="L146"/>
  <c r="M146"/>
  <c r="N146"/>
  <c r="O146"/>
  <c r="P146"/>
  <c r="Q146"/>
  <c r="R146"/>
  <c r="S146"/>
  <c r="T146"/>
  <c r="U146"/>
  <c r="V146"/>
  <c r="W146"/>
  <c r="F148" l="1"/>
  <c r="E149"/>
  <c r="G147"/>
  <c r="H147"/>
  <c r="I147"/>
  <c r="J147"/>
  <c r="K147"/>
  <c r="L147"/>
  <c r="M147"/>
  <c r="N147"/>
  <c r="O147"/>
  <c r="P147"/>
  <c r="Q147"/>
  <c r="R147"/>
  <c r="S147"/>
  <c r="T147"/>
  <c r="U147"/>
  <c r="V147"/>
  <c r="W147"/>
  <c r="F149" l="1"/>
  <c r="E150"/>
  <c r="G148"/>
  <c r="H148"/>
  <c r="I148"/>
  <c r="J148"/>
  <c r="K148"/>
  <c r="L148"/>
  <c r="M148"/>
  <c r="N148"/>
  <c r="O148"/>
  <c r="P148"/>
  <c r="Q148"/>
  <c r="R148"/>
  <c r="S148"/>
  <c r="T148"/>
  <c r="U148"/>
  <c r="V148"/>
  <c r="W148"/>
  <c r="F150" l="1"/>
  <c r="E151"/>
  <c r="G149"/>
  <c r="H149"/>
  <c r="I149"/>
  <c r="J149"/>
  <c r="K149"/>
  <c r="L149"/>
  <c r="M149"/>
  <c r="N149"/>
  <c r="O149"/>
  <c r="P149"/>
  <c r="Q149"/>
  <c r="R149"/>
  <c r="S149"/>
  <c r="T149"/>
  <c r="U149"/>
  <c r="V149"/>
  <c r="W149"/>
  <c r="F151" l="1"/>
  <c r="E152"/>
  <c r="G150"/>
  <c r="H150"/>
  <c r="I150"/>
  <c r="J150"/>
  <c r="K150"/>
  <c r="L150"/>
  <c r="M150"/>
  <c r="N150"/>
  <c r="O150"/>
  <c r="P150"/>
  <c r="Q150"/>
  <c r="R150"/>
  <c r="S150"/>
  <c r="T150"/>
  <c r="U150"/>
  <c r="V150"/>
  <c r="W150"/>
  <c r="F152" l="1"/>
  <c r="E153"/>
  <c r="G151"/>
  <c r="H151"/>
  <c r="I151"/>
  <c r="J151"/>
  <c r="K151"/>
  <c r="L151"/>
  <c r="M151"/>
  <c r="N151"/>
  <c r="O151"/>
  <c r="P151"/>
  <c r="Q151"/>
  <c r="R151"/>
  <c r="S151"/>
  <c r="T151"/>
  <c r="U151"/>
  <c r="V151"/>
  <c r="W151"/>
  <c r="F153" l="1"/>
  <c r="E154"/>
  <c r="G152"/>
  <c r="H152"/>
  <c r="I152"/>
  <c r="J152"/>
  <c r="K152"/>
  <c r="L152"/>
  <c r="M152"/>
  <c r="N152"/>
  <c r="O152"/>
  <c r="P152"/>
  <c r="Q152"/>
  <c r="R152"/>
  <c r="S152"/>
  <c r="T152"/>
  <c r="U152"/>
  <c r="V152"/>
  <c r="W152"/>
  <c r="F154" l="1"/>
  <c r="E155"/>
  <c r="G153"/>
  <c r="H153"/>
  <c r="I153"/>
  <c r="J153"/>
  <c r="K153"/>
  <c r="L153"/>
  <c r="M153"/>
  <c r="N153"/>
  <c r="O153"/>
  <c r="P153"/>
  <c r="Q153"/>
  <c r="R153"/>
  <c r="S153"/>
  <c r="T153"/>
  <c r="U153"/>
  <c r="V153"/>
  <c r="W153"/>
  <c r="F155" l="1"/>
  <c r="E156"/>
  <c r="G154"/>
  <c r="H154"/>
  <c r="I154"/>
  <c r="J154"/>
  <c r="K154"/>
  <c r="L154"/>
  <c r="M154"/>
  <c r="N154"/>
  <c r="O154"/>
  <c r="P154"/>
  <c r="Q154"/>
  <c r="R154"/>
  <c r="S154"/>
  <c r="T154"/>
  <c r="U154"/>
  <c r="V154"/>
  <c r="W154"/>
  <c r="F156" l="1"/>
  <c r="E157"/>
  <c r="G155"/>
  <c r="H155"/>
  <c r="I155"/>
  <c r="J155"/>
  <c r="K155"/>
  <c r="L155"/>
  <c r="M155"/>
  <c r="N155"/>
  <c r="O155"/>
  <c r="P155"/>
  <c r="Q155"/>
  <c r="R155"/>
  <c r="S155"/>
  <c r="T155"/>
  <c r="U155"/>
  <c r="V155"/>
  <c r="W155"/>
  <c r="F157" l="1"/>
  <c r="E158"/>
  <c r="G156"/>
  <c r="H156"/>
  <c r="I156"/>
  <c r="J156"/>
  <c r="K156"/>
  <c r="L156"/>
  <c r="M156"/>
  <c r="N156"/>
  <c r="O156"/>
  <c r="P156"/>
  <c r="Q156"/>
  <c r="R156"/>
  <c r="S156"/>
  <c r="T156"/>
  <c r="U156"/>
  <c r="V156"/>
  <c r="W156"/>
  <c r="F158" l="1"/>
  <c r="E159"/>
  <c r="G157"/>
  <c r="H157"/>
  <c r="I157"/>
  <c r="J157"/>
  <c r="K157"/>
  <c r="L157"/>
  <c r="M157"/>
  <c r="N157"/>
  <c r="O157"/>
  <c r="P157"/>
  <c r="Q157"/>
  <c r="R157"/>
  <c r="S157"/>
  <c r="T157"/>
  <c r="U157"/>
  <c r="V157"/>
  <c r="W157"/>
  <c r="F159" l="1"/>
  <c r="E160"/>
  <c r="G158"/>
  <c r="H158"/>
  <c r="I158"/>
  <c r="J158"/>
  <c r="K158"/>
  <c r="L158"/>
  <c r="M158"/>
  <c r="N158"/>
  <c r="O158"/>
  <c r="P158"/>
  <c r="Q158"/>
  <c r="R158"/>
  <c r="S158"/>
  <c r="T158"/>
  <c r="U158"/>
  <c r="V158"/>
  <c r="W158"/>
  <c r="F160" l="1"/>
  <c r="E161"/>
  <c r="G159"/>
  <c r="H159"/>
  <c r="I159"/>
  <c r="J159"/>
  <c r="K159"/>
  <c r="L159"/>
  <c r="M159"/>
  <c r="N159"/>
  <c r="O159"/>
  <c r="P159"/>
  <c r="Q159"/>
  <c r="R159"/>
  <c r="S159"/>
  <c r="T159"/>
  <c r="U159"/>
  <c r="V159"/>
  <c r="W159"/>
  <c r="F161" l="1"/>
  <c r="E162"/>
  <c r="G160"/>
  <c r="H160"/>
  <c r="I160"/>
  <c r="J160"/>
  <c r="K160"/>
  <c r="L160"/>
  <c r="M160"/>
  <c r="N160"/>
  <c r="O160"/>
  <c r="P160"/>
  <c r="Q160"/>
  <c r="R160"/>
  <c r="S160"/>
  <c r="T160"/>
  <c r="U160"/>
  <c r="V160"/>
  <c r="W160"/>
  <c r="F162" l="1"/>
  <c r="E163"/>
  <c r="G161"/>
  <c r="H161"/>
  <c r="I161"/>
  <c r="J161"/>
  <c r="K161"/>
  <c r="L161"/>
  <c r="M161"/>
  <c r="N161"/>
  <c r="O161"/>
  <c r="P161"/>
  <c r="Q161"/>
  <c r="R161"/>
  <c r="S161"/>
  <c r="T161"/>
  <c r="U161"/>
  <c r="V161"/>
  <c r="W161"/>
  <c r="F163" l="1"/>
  <c r="E164"/>
  <c r="G162"/>
  <c r="H162"/>
  <c r="I162"/>
  <c r="J162"/>
  <c r="K162"/>
  <c r="L162"/>
  <c r="M162"/>
  <c r="N162"/>
  <c r="O162"/>
  <c r="P162"/>
  <c r="Q162"/>
  <c r="R162"/>
  <c r="S162"/>
  <c r="T162"/>
  <c r="U162"/>
  <c r="V162"/>
  <c r="W162"/>
  <c r="F164" l="1"/>
  <c r="E165"/>
  <c r="G163"/>
  <c r="H163"/>
  <c r="I163"/>
  <c r="J163"/>
  <c r="K163"/>
  <c r="L163"/>
  <c r="M163"/>
  <c r="N163"/>
  <c r="O163"/>
  <c r="P163"/>
  <c r="Q163"/>
  <c r="R163"/>
  <c r="S163"/>
  <c r="T163"/>
  <c r="U163"/>
  <c r="V163"/>
  <c r="W163"/>
  <c r="F165" l="1"/>
  <c r="E166"/>
  <c r="G164"/>
  <c r="H164"/>
  <c r="I164"/>
  <c r="J164"/>
  <c r="K164"/>
  <c r="L164"/>
  <c r="M164"/>
  <c r="N164"/>
  <c r="O164"/>
  <c r="P164"/>
  <c r="Q164"/>
  <c r="R164"/>
  <c r="S164"/>
  <c r="T164"/>
  <c r="U164"/>
  <c r="V164"/>
  <c r="W164"/>
  <c r="F166" l="1"/>
  <c r="E167"/>
  <c r="G165"/>
  <c r="H165"/>
  <c r="I165"/>
  <c r="J165"/>
  <c r="K165"/>
  <c r="L165"/>
  <c r="M165"/>
  <c r="N165"/>
  <c r="O165"/>
  <c r="P165"/>
  <c r="Q165"/>
  <c r="R165"/>
  <c r="S165"/>
  <c r="T165"/>
  <c r="U165"/>
  <c r="V165"/>
  <c r="W165"/>
  <c r="F167" l="1"/>
  <c r="E168"/>
  <c r="G166"/>
  <c r="H166"/>
  <c r="I166"/>
  <c r="J166"/>
  <c r="K166"/>
  <c r="L166"/>
  <c r="M166"/>
  <c r="N166"/>
  <c r="O166"/>
  <c r="P166"/>
  <c r="Q166"/>
  <c r="R166"/>
  <c r="S166"/>
  <c r="T166"/>
  <c r="U166"/>
  <c r="V166"/>
  <c r="W166"/>
  <c r="E256" l="1"/>
  <c r="F168"/>
  <c r="G167"/>
  <c r="H167"/>
  <c r="I167"/>
  <c r="J167"/>
  <c r="K167"/>
  <c r="L167"/>
  <c r="M167"/>
  <c r="N167"/>
  <c r="O167"/>
  <c r="P167"/>
  <c r="Q167"/>
  <c r="R167"/>
  <c r="S167"/>
  <c r="T167"/>
  <c r="U167"/>
  <c r="V167"/>
  <c r="W167"/>
  <c r="G168" l="1"/>
  <c r="H168"/>
  <c r="I168"/>
  <c r="J168"/>
  <c r="K168"/>
  <c r="L168"/>
  <c r="M168"/>
  <c r="N168"/>
  <c r="O168"/>
  <c r="P168"/>
  <c r="Q168"/>
  <c r="R168"/>
  <c r="S168"/>
  <c r="T168"/>
  <c r="U168"/>
  <c r="V168"/>
  <c r="W168"/>
  <c r="F256"/>
  <c r="E257"/>
  <c r="G256" l="1"/>
  <c r="H256"/>
  <c r="I256"/>
  <c r="J256"/>
  <c r="K256"/>
  <c r="L256"/>
  <c r="M256"/>
  <c r="N256"/>
  <c r="O256"/>
  <c r="P256"/>
  <c r="Q256"/>
  <c r="R256"/>
  <c r="S256"/>
  <c r="T256"/>
  <c r="U256"/>
  <c r="V256"/>
  <c r="W256"/>
  <c r="F257"/>
  <c r="E258"/>
  <c r="F258" l="1"/>
  <c r="E259"/>
  <c r="G257"/>
  <c r="H257"/>
  <c r="I257"/>
  <c r="J257"/>
  <c r="K257"/>
  <c r="L257"/>
  <c r="M257"/>
  <c r="N257"/>
  <c r="O257"/>
  <c r="P257"/>
  <c r="Q257"/>
  <c r="R257"/>
  <c r="S257"/>
  <c r="T257"/>
  <c r="U257"/>
  <c r="V257"/>
  <c r="W257"/>
  <c r="F259" l="1"/>
  <c r="E260"/>
  <c r="G258"/>
  <c r="H258"/>
  <c r="I258"/>
  <c r="J258"/>
  <c r="K258"/>
  <c r="L258"/>
  <c r="M258"/>
  <c r="N258"/>
  <c r="O258"/>
  <c r="P258"/>
  <c r="Q258"/>
  <c r="R258"/>
  <c r="S258"/>
  <c r="T258"/>
  <c r="U258"/>
  <c r="V258"/>
  <c r="W258"/>
  <c r="F260" l="1"/>
  <c r="E261"/>
  <c r="G259"/>
  <c r="H259"/>
  <c r="I259"/>
  <c r="J259"/>
  <c r="K259"/>
  <c r="L259"/>
  <c r="M259"/>
  <c r="N259"/>
  <c r="O259"/>
  <c r="P259"/>
  <c r="Q259"/>
  <c r="R259"/>
  <c r="S259"/>
  <c r="T259"/>
  <c r="U259"/>
  <c r="V259"/>
  <c r="W259"/>
  <c r="F261" l="1"/>
  <c r="E262"/>
  <c r="G260"/>
  <c r="H260"/>
  <c r="I260"/>
  <c r="J260"/>
  <c r="K260"/>
  <c r="L260"/>
  <c r="M260"/>
  <c r="N260"/>
  <c r="O260"/>
  <c r="P260"/>
  <c r="Q260"/>
  <c r="R260"/>
  <c r="S260"/>
  <c r="T260"/>
  <c r="U260"/>
  <c r="V260"/>
  <c r="W260"/>
  <c r="F262" l="1"/>
  <c r="E263"/>
  <c r="G261"/>
  <c r="H261"/>
  <c r="I261"/>
  <c r="J261"/>
  <c r="K261"/>
  <c r="L261"/>
  <c r="M261"/>
  <c r="N261"/>
  <c r="O261"/>
  <c r="P261"/>
  <c r="Q261"/>
  <c r="R261"/>
  <c r="S261"/>
  <c r="T261"/>
  <c r="U261"/>
  <c r="V261"/>
  <c r="W261"/>
  <c r="F263" l="1"/>
  <c r="E264"/>
  <c r="G262"/>
  <c r="H262"/>
  <c r="I262"/>
  <c r="J262"/>
  <c r="K262"/>
  <c r="L262"/>
  <c r="M262"/>
  <c r="N262"/>
  <c r="O262"/>
  <c r="P262"/>
  <c r="Q262"/>
  <c r="R262"/>
  <c r="S262"/>
  <c r="T262"/>
  <c r="U262"/>
  <c r="V262"/>
  <c r="W262"/>
  <c r="F264" l="1"/>
  <c r="E265"/>
  <c r="G263"/>
  <c r="H263"/>
  <c r="I263"/>
  <c r="J263"/>
  <c r="K263"/>
  <c r="L263"/>
  <c r="M263"/>
  <c r="N263"/>
  <c r="O263"/>
  <c r="P263"/>
  <c r="Q263"/>
  <c r="R263"/>
  <c r="S263"/>
  <c r="T263"/>
  <c r="U263"/>
  <c r="V263"/>
  <c r="W263"/>
  <c r="E284" l="1"/>
  <c r="F265"/>
  <c r="G264"/>
  <c r="H264"/>
  <c r="I264"/>
  <c r="J264"/>
  <c r="K264"/>
  <c r="L264"/>
  <c r="M264"/>
  <c r="N264"/>
  <c r="O264"/>
  <c r="P264"/>
  <c r="Q264"/>
  <c r="R264"/>
  <c r="S264"/>
  <c r="T264"/>
  <c r="U264"/>
  <c r="V264"/>
  <c r="W264"/>
  <c r="G265" l="1"/>
  <c r="H265"/>
  <c r="I265"/>
  <c r="J265"/>
  <c r="K265"/>
  <c r="L265"/>
  <c r="M265"/>
  <c r="N265"/>
  <c r="O265"/>
  <c r="P265"/>
  <c r="Q265"/>
  <c r="R265"/>
  <c r="S265"/>
  <c r="T265"/>
  <c r="U265"/>
  <c r="V265"/>
  <c r="W265"/>
  <c r="E285"/>
  <c r="F284"/>
  <c r="G284" l="1"/>
  <c r="H284"/>
  <c r="I284"/>
  <c r="J284"/>
  <c r="K284"/>
  <c r="L284"/>
  <c r="M284"/>
  <c r="N284"/>
  <c r="O284"/>
  <c r="P284"/>
  <c r="Q284"/>
  <c r="R284"/>
  <c r="S284"/>
  <c r="T284"/>
  <c r="U284"/>
  <c r="V284"/>
  <c r="W284"/>
  <c r="E286"/>
  <c r="F285"/>
  <c r="E287" l="1"/>
  <c r="F286"/>
  <c r="G285"/>
  <c r="H285"/>
  <c r="I285"/>
  <c r="J285"/>
  <c r="K285"/>
  <c r="L285"/>
  <c r="M285"/>
  <c r="N285"/>
  <c r="O285"/>
  <c r="P285"/>
  <c r="Q285"/>
  <c r="R285"/>
  <c r="S285"/>
  <c r="T285"/>
  <c r="U285"/>
  <c r="V285"/>
  <c r="W285"/>
  <c r="G286" l="1"/>
  <c r="H286"/>
  <c r="I286"/>
  <c r="J286"/>
  <c r="K286"/>
  <c r="L286"/>
  <c r="M286"/>
  <c r="N286"/>
  <c r="O286"/>
  <c r="P286"/>
  <c r="Q286"/>
  <c r="R286"/>
  <c r="S286"/>
  <c r="T286"/>
  <c r="U286"/>
  <c r="V286"/>
  <c r="W286"/>
  <c r="E288"/>
  <c r="F287"/>
  <c r="G287" l="1"/>
  <c r="H287"/>
  <c r="I287"/>
  <c r="J287"/>
  <c r="K287"/>
  <c r="L287"/>
  <c r="M287"/>
  <c r="N287"/>
  <c r="O287"/>
  <c r="P287"/>
  <c r="Q287"/>
  <c r="R287"/>
  <c r="S287"/>
  <c r="T287"/>
  <c r="U287"/>
  <c r="V287"/>
  <c r="W287"/>
  <c r="E289"/>
  <c r="F288"/>
  <c r="G288" l="1"/>
  <c r="H288"/>
  <c r="I288"/>
  <c r="J288"/>
  <c r="K288"/>
  <c r="L288"/>
  <c r="M288"/>
  <c r="N288"/>
  <c r="O288"/>
  <c r="P288"/>
  <c r="Q288"/>
  <c r="R288"/>
  <c r="S288"/>
  <c r="T288"/>
  <c r="U288"/>
  <c r="V288"/>
  <c r="W288"/>
  <c r="E290"/>
  <c r="F289"/>
  <c r="G289" l="1"/>
  <c r="H289"/>
  <c r="I289"/>
  <c r="J289"/>
  <c r="K289"/>
  <c r="L289"/>
  <c r="M289"/>
  <c r="N289"/>
  <c r="O289"/>
  <c r="P289"/>
  <c r="Q289"/>
  <c r="R289"/>
  <c r="S289"/>
  <c r="T289"/>
  <c r="U289"/>
  <c r="V289"/>
  <c r="W289"/>
  <c r="E291"/>
  <c r="F290"/>
  <c r="E292" l="1"/>
  <c r="F291"/>
  <c r="G290"/>
  <c r="H290"/>
  <c r="I290"/>
  <c r="J290"/>
  <c r="K290"/>
  <c r="L290"/>
  <c r="M290"/>
  <c r="N290"/>
  <c r="O290"/>
  <c r="P290"/>
  <c r="Q290"/>
  <c r="R290"/>
  <c r="S290"/>
  <c r="T290"/>
  <c r="U290"/>
  <c r="V290"/>
  <c r="W290"/>
  <c r="G291" l="1"/>
  <c r="H291"/>
  <c r="I291"/>
  <c r="J291"/>
  <c r="K291"/>
  <c r="L291"/>
  <c r="M291"/>
  <c r="N291"/>
  <c r="O291"/>
  <c r="P291"/>
  <c r="Q291"/>
  <c r="R291"/>
  <c r="S291"/>
  <c r="T291"/>
  <c r="U291"/>
  <c r="V291"/>
  <c r="W291"/>
  <c r="E293"/>
  <c r="F292"/>
  <c r="G292" l="1"/>
  <c r="H292"/>
  <c r="I292"/>
  <c r="J292"/>
  <c r="K292"/>
  <c r="L292"/>
  <c r="M292"/>
  <c r="N292"/>
  <c r="O292"/>
  <c r="P292"/>
  <c r="Q292"/>
  <c r="R292"/>
  <c r="S292"/>
  <c r="T292"/>
  <c r="U292"/>
  <c r="V292"/>
  <c r="W292"/>
  <c r="E294"/>
  <c r="F293"/>
  <c r="G293" l="1"/>
  <c r="H293"/>
  <c r="I293"/>
  <c r="J293"/>
  <c r="K293"/>
  <c r="L293"/>
  <c r="M293"/>
  <c r="N293"/>
  <c r="O293"/>
  <c r="P293"/>
  <c r="Q293"/>
  <c r="R293"/>
  <c r="S293"/>
  <c r="T293"/>
  <c r="U293"/>
  <c r="V293"/>
  <c r="W293"/>
  <c r="E295"/>
  <c r="F294"/>
  <c r="E296" l="1"/>
  <c r="F295"/>
  <c r="G294"/>
  <c r="H294"/>
  <c r="I294"/>
  <c r="J294"/>
  <c r="K294"/>
  <c r="L294"/>
  <c r="M294"/>
  <c r="N294"/>
  <c r="O294"/>
  <c r="P294"/>
  <c r="Q294"/>
  <c r="R294"/>
  <c r="S294"/>
  <c r="T294"/>
  <c r="U294"/>
  <c r="V294"/>
  <c r="W294"/>
  <c r="G295" l="1"/>
  <c r="H295"/>
  <c r="I295"/>
  <c r="J295"/>
  <c r="K295"/>
  <c r="L295"/>
  <c r="M295"/>
  <c r="N295"/>
  <c r="O295"/>
  <c r="P295"/>
  <c r="Q295"/>
  <c r="R295"/>
  <c r="S295"/>
  <c r="T295"/>
  <c r="U295"/>
  <c r="V295"/>
  <c r="W295"/>
  <c r="E297"/>
  <c r="F296"/>
  <c r="G296" l="1"/>
  <c r="H296"/>
  <c r="I296"/>
  <c r="J296"/>
  <c r="K296"/>
  <c r="L296"/>
  <c r="M296"/>
  <c r="N296"/>
  <c r="O296"/>
  <c r="P296"/>
  <c r="Q296"/>
  <c r="R296"/>
  <c r="S296"/>
  <c r="T296"/>
  <c r="U296"/>
  <c r="V296"/>
  <c r="W296"/>
  <c r="E298"/>
  <c r="F297"/>
  <c r="G297" l="1"/>
  <c r="H297"/>
  <c r="I297"/>
  <c r="J297"/>
  <c r="K297"/>
  <c r="L297"/>
  <c r="M297"/>
  <c r="N297"/>
  <c r="O297"/>
  <c r="P297"/>
  <c r="Q297"/>
  <c r="R297"/>
  <c r="S297"/>
  <c r="T297"/>
  <c r="U297"/>
  <c r="V297"/>
  <c r="W297"/>
  <c r="E299"/>
  <c r="F298"/>
  <c r="G298" l="1"/>
  <c r="H298"/>
  <c r="I298"/>
  <c r="J298"/>
  <c r="K298"/>
  <c r="L298"/>
  <c r="M298"/>
  <c r="N298"/>
  <c r="O298"/>
  <c r="P298"/>
  <c r="Q298"/>
  <c r="R298"/>
  <c r="S298"/>
  <c r="T298"/>
  <c r="U298"/>
  <c r="V298"/>
  <c r="W298"/>
  <c r="E300"/>
  <c r="F299"/>
  <c r="G299" l="1"/>
  <c r="H299"/>
  <c r="I299"/>
  <c r="J299"/>
  <c r="K299"/>
  <c r="L299"/>
  <c r="M299"/>
  <c r="N299"/>
  <c r="O299"/>
  <c r="P299"/>
  <c r="Q299"/>
  <c r="R299"/>
  <c r="S299"/>
  <c r="T299"/>
  <c r="U299"/>
  <c r="V299"/>
  <c r="W299"/>
  <c r="E301"/>
  <c r="F300"/>
  <c r="G300" l="1"/>
  <c r="H300"/>
  <c r="I300"/>
  <c r="J300"/>
  <c r="K300"/>
  <c r="L300"/>
  <c r="M300"/>
  <c r="N300"/>
  <c r="O300"/>
  <c r="P300"/>
  <c r="Q300"/>
  <c r="R300"/>
  <c r="S300"/>
  <c r="T300"/>
  <c r="U300"/>
  <c r="V300"/>
  <c r="W300"/>
  <c r="E302"/>
  <c r="F301"/>
  <c r="E303" l="1"/>
  <c r="F302"/>
  <c r="G301"/>
  <c r="H301"/>
  <c r="I301"/>
  <c r="J301"/>
  <c r="K301"/>
  <c r="L301"/>
  <c r="M301"/>
  <c r="N301"/>
  <c r="O301"/>
  <c r="P301"/>
  <c r="Q301"/>
  <c r="R301"/>
  <c r="S301"/>
  <c r="T301"/>
  <c r="U301"/>
  <c r="V301"/>
  <c r="W301"/>
  <c r="G302" l="1"/>
  <c r="H302"/>
  <c r="I302"/>
  <c r="J302"/>
  <c r="K302"/>
  <c r="L302"/>
  <c r="M302"/>
  <c r="N302"/>
  <c r="O302"/>
  <c r="P302"/>
  <c r="Q302"/>
  <c r="R302"/>
  <c r="S302"/>
  <c r="T302"/>
  <c r="U302"/>
  <c r="V302"/>
  <c r="W302"/>
  <c r="E304"/>
  <c r="F303"/>
  <c r="G303" l="1"/>
  <c r="H303"/>
  <c r="I303"/>
  <c r="J303"/>
  <c r="K303"/>
  <c r="L303"/>
  <c r="M303"/>
  <c r="N303"/>
  <c r="O303"/>
  <c r="P303"/>
  <c r="Q303"/>
  <c r="R303"/>
  <c r="S303"/>
  <c r="T303"/>
  <c r="U303"/>
  <c r="V303"/>
  <c r="W303"/>
  <c r="E305"/>
  <c r="F304"/>
  <c r="G304" l="1"/>
  <c r="H304"/>
  <c r="I304"/>
  <c r="J304"/>
  <c r="K304"/>
  <c r="L304"/>
  <c r="M304"/>
  <c r="N304"/>
  <c r="O304"/>
  <c r="P304"/>
  <c r="Q304"/>
  <c r="R304"/>
  <c r="S304"/>
  <c r="T304"/>
  <c r="U304"/>
  <c r="V304"/>
  <c r="W304"/>
  <c r="E306"/>
  <c r="F305"/>
  <c r="G305" l="1"/>
  <c r="H305"/>
  <c r="I305"/>
  <c r="J305"/>
  <c r="K305"/>
  <c r="L305"/>
  <c r="M305"/>
  <c r="N305"/>
  <c r="O305"/>
  <c r="P305"/>
  <c r="Q305"/>
  <c r="R305"/>
  <c r="S305"/>
  <c r="T305"/>
  <c r="U305"/>
  <c r="V305"/>
  <c r="W305"/>
  <c r="E307"/>
  <c r="F306"/>
  <c r="G306" l="1"/>
  <c r="H306"/>
  <c r="I306"/>
  <c r="J306"/>
  <c r="K306"/>
  <c r="L306"/>
  <c r="M306"/>
  <c r="N306"/>
  <c r="O306"/>
  <c r="P306"/>
  <c r="Q306"/>
  <c r="R306"/>
  <c r="S306"/>
  <c r="T306"/>
  <c r="U306"/>
  <c r="V306"/>
  <c r="W306"/>
  <c r="E308"/>
  <c r="F307"/>
  <c r="G307" l="1"/>
  <c r="H307"/>
  <c r="I307"/>
  <c r="J307"/>
  <c r="K307"/>
  <c r="L307"/>
  <c r="M307"/>
  <c r="N307"/>
  <c r="O307"/>
  <c r="P307"/>
  <c r="Q307"/>
  <c r="R307"/>
  <c r="S307"/>
  <c r="T307"/>
  <c r="U307"/>
  <c r="V307"/>
  <c r="W307"/>
  <c r="E312"/>
  <c r="F308"/>
  <c r="G308" l="1"/>
  <c r="H308"/>
  <c r="I308"/>
  <c r="J308"/>
  <c r="K308"/>
  <c r="L308"/>
  <c r="M308"/>
  <c r="N308"/>
  <c r="O308"/>
  <c r="P308"/>
  <c r="Q308"/>
  <c r="R308"/>
  <c r="S308"/>
  <c r="T308"/>
  <c r="U308"/>
  <c r="V308"/>
  <c r="W308"/>
  <c r="E313"/>
  <c r="F312"/>
  <c r="G312" l="1"/>
  <c r="H312"/>
  <c r="I312"/>
  <c r="J312"/>
  <c r="K312"/>
  <c r="L312"/>
  <c r="M312"/>
  <c r="N312"/>
  <c r="O312"/>
  <c r="P312"/>
  <c r="Q312"/>
  <c r="R312"/>
  <c r="S312"/>
  <c r="T312"/>
  <c r="U312"/>
  <c r="V312"/>
  <c r="W312"/>
  <c r="E314"/>
  <c r="F313"/>
  <c r="G313" l="1"/>
  <c r="H313"/>
  <c r="I313"/>
  <c r="J313"/>
  <c r="K313"/>
  <c r="L313"/>
  <c r="M313"/>
  <c r="N313"/>
  <c r="O313"/>
  <c r="P313"/>
  <c r="Q313"/>
  <c r="R313"/>
  <c r="S313"/>
  <c r="T313"/>
  <c r="U313"/>
  <c r="V313"/>
  <c r="W313"/>
  <c r="E315"/>
  <c r="F314"/>
  <c r="G314" l="1"/>
  <c r="H314"/>
  <c r="I314"/>
  <c r="J314"/>
  <c r="K314"/>
  <c r="L314"/>
  <c r="M314"/>
  <c r="N314"/>
  <c r="O314"/>
  <c r="P314"/>
  <c r="Q314"/>
  <c r="R314"/>
  <c r="S314"/>
  <c r="T314"/>
  <c r="U314"/>
  <c r="V314"/>
  <c r="W314"/>
  <c r="E317"/>
  <c r="F315"/>
  <c r="F317" l="1"/>
  <c r="E318"/>
  <c r="G315"/>
  <c r="H315"/>
  <c r="I315"/>
  <c r="J315"/>
  <c r="K315"/>
  <c r="L315"/>
  <c r="M315"/>
  <c r="N315"/>
  <c r="O315"/>
  <c r="P315"/>
  <c r="Q315"/>
  <c r="R315"/>
  <c r="S315"/>
  <c r="T315"/>
  <c r="U315"/>
  <c r="V315"/>
  <c r="W315"/>
  <c r="F318" l="1"/>
  <c r="E319"/>
  <c r="G317"/>
  <c r="H317"/>
  <c r="I317"/>
  <c r="J317"/>
  <c r="K317"/>
  <c r="L317"/>
  <c r="M317"/>
  <c r="N317"/>
  <c r="O317"/>
  <c r="P317"/>
  <c r="Q317"/>
  <c r="R317"/>
  <c r="S317"/>
  <c r="T317"/>
  <c r="U317"/>
  <c r="V317"/>
  <c r="W317"/>
  <c r="F319" l="1"/>
  <c r="E320"/>
  <c r="G318"/>
  <c r="H318"/>
  <c r="I318"/>
  <c r="J318"/>
  <c r="K318"/>
  <c r="L318"/>
  <c r="M318"/>
  <c r="N318"/>
  <c r="O318"/>
  <c r="P318"/>
  <c r="Q318"/>
  <c r="R318"/>
  <c r="S318"/>
  <c r="T318"/>
  <c r="U318"/>
  <c r="V318"/>
  <c r="W318"/>
  <c r="F320" l="1"/>
  <c r="E321"/>
  <c r="G319"/>
  <c r="H319"/>
  <c r="I319"/>
  <c r="J319"/>
  <c r="K319"/>
  <c r="L319"/>
  <c r="M319"/>
  <c r="N319"/>
  <c r="O319"/>
  <c r="P319"/>
  <c r="Q319"/>
  <c r="R319"/>
  <c r="S319"/>
  <c r="T319"/>
  <c r="U319"/>
  <c r="V319"/>
  <c r="W319"/>
  <c r="F321" l="1"/>
  <c r="E322"/>
  <c r="G320"/>
  <c r="H320"/>
  <c r="I320"/>
  <c r="J320"/>
  <c r="K320"/>
  <c r="L320"/>
  <c r="M320"/>
  <c r="N320"/>
  <c r="O320"/>
  <c r="P320"/>
  <c r="Q320"/>
  <c r="R320"/>
  <c r="S320"/>
  <c r="T320"/>
  <c r="U320"/>
  <c r="V320"/>
  <c r="W320"/>
  <c r="F322" l="1"/>
  <c r="E323"/>
  <c r="G321"/>
  <c r="H321"/>
  <c r="I321"/>
  <c r="J321"/>
  <c r="K321"/>
  <c r="L321"/>
  <c r="M321"/>
  <c r="N321"/>
  <c r="O321"/>
  <c r="P321"/>
  <c r="Q321"/>
  <c r="R321"/>
  <c r="S321"/>
  <c r="T321"/>
  <c r="U321"/>
  <c r="V321"/>
  <c r="W321"/>
  <c r="F323" l="1"/>
  <c r="E324"/>
  <c r="G322"/>
  <c r="H322"/>
  <c r="I322"/>
  <c r="J322"/>
  <c r="K322"/>
  <c r="L322"/>
  <c r="M322"/>
  <c r="N322"/>
  <c r="O322"/>
  <c r="P322"/>
  <c r="Q322"/>
  <c r="R322"/>
  <c r="S322"/>
  <c r="T322"/>
  <c r="U322"/>
  <c r="V322"/>
  <c r="W322"/>
  <c r="F324" l="1"/>
  <c r="E325"/>
  <c r="G323"/>
  <c r="H323"/>
  <c r="I323"/>
  <c r="J323"/>
  <c r="K323"/>
  <c r="L323"/>
  <c r="M323"/>
  <c r="N323"/>
  <c r="O323"/>
  <c r="P323"/>
  <c r="Q323"/>
  <c r="R323"/>
  <c r="S323"/>
  <c r="T323"/>
  <c r="U323"/>
  <c r="V323"/>
  <c r="W323"/>
  <c r="F325" l="1"/>
  <c r="E326"/>
  <c r="G324"/>
  <c r="H324"/>
  <c r="I324"/>
  <c r="J324"/>
  <c r="K324"/>
  <c r="L324"/>
  <c r="M324"/>
  <c r="N324"/>
  <c r="O324"/>
  <c r="P324"/>
  <c r="Q324"/>
  <c r="R324"/>
  <c r="S324"/>
  <c r="T324"/>
  <c r="U324"/>
  <c r="V324"/>
  <c r="W324"/>
  <c r="F326" l="1"/>
  <c r="E327"/>
  <c r="G325"/>
  <c r="H325"/>
  <c r="I325"/>
  <c r="J325"/>
  <c r="K325"/>
  <c r="L325"/>
  <c r="M325"/>
  <c r="N325"/>
  <c r="O325"/>
  <c r="P325"/>
  <c r="Q325"/>
  <c r="R325"/>
  <c r="S325"/>
  <c r="T325"/>
  <c r="U325"/>
  <c r="V325"/>
  <c r="W325"/>
  <c r="F327" l="1"/>
  <c r="E328"/>
  <c r="G326"/>
  <c r="H326"/>
  <c r="I326"/>
  <c r="J326"/>
  <c r="K326"/>
  <c r="L326"/>
  <c r="M326"/>
  <c r="N326"/>
  <c r="O326"/>
  <c r="P326"/>
  <c r="Q326"/>
  <c r="R326"/>
  <c r="S326"/>
  <c r="T326"/>
  <c r="U326"/>
  <c r="V326"/>
  <c r="W326"/>
  <c r="F328" l="1"/>
  <c r="E329"/>
  <c r="G327"/>
  <c r="H327"/>
  <c r="I327"/>
  <c r="J327"/>
  <c r="K327"/>
  <c r="L327"/>
  <c r="M327"/>
  <c r="N327"/>
  <c r="O327"/>
  <c r="P327"/>
  <c r="Q327"/>
  <c r="R327"/>
  <c r="S327"/>
  <c r="T327"/>
  <c r="U327"/>
  <c r="V327"/>
  <c r="W327"/>
  <c r="F329" l="1"/>
  <c r="E330"/>
  <c r="G328"/>
  <c r="H328"/>
  <c r="I328"/>
  <c r="J328"/>
  <c r="K328"/>
  <c r="L328"/>
  <c r="M328"/>
  <c r="N328"/>
  <c r="O328"/>
  <c r="P328"/>
  <c r="Q328"/>
  <c r="R328"/>
  <c r="S328"/>
  <c r="T328"/>
  <c r="U328"/>
  <c r="V328"/>
  <c r="W328"/>
  <c r="F330" l="1"/>
  <c r="E331"/>
  <c r="G329"/>
  <c r="H329"/>
  <c r="I329"/>
  <c r="J329"/>
  <c r="K329"/>
  <c r="L329"/>
  <c r="M329"/>
  <c r="N329"/>
  <c r="O329"/>
  <c r="P329"/>
  <c r="Q329"/>
  <c r="R329"/>
  <c r="S329"/>
  <c r="T329"/>
  <c r="U329"/>
  <c r="V329"/>
  <c r="W329"/>
  <c r="F331" l="1"/>
  <c r="E332"/>
  <c r="G330"/>
  <c r="H330"/>
  <c r="I330"/>
  <c r="J330"/>
  <c r="K330"/>
  <c r="L330"/>
  <c r="M330"/>
  <c r="N330"/>
  <c r="O330"/>
  <c r="P330"/>
  <c r="Q330"/>
  <c r="R330"/>
  <c r="S330"/>
  <c r="T330"/>
  <c r="U330"/>
  <c r="V330"/>
  <c r="W330"/>
  <c r="F332" l="1"/>
  <c r="E333"/>
  <c r="G331"/>
  <c r="H331"/>
  <c r="I331"/>
  <c r="J331"/>
  <c r="K331"/>
  <c r="L331"/>
  <c r="M331"/>
  <c r="N331"/>
  <c r="O331"/>
  <c r="P331"/>
  <c r="Q331"/>
  <c r="R331"/>
  <c r="S331"/>
  <c r="T331"/>
  <c r="U331"/>
  <c r="V331"/>
  <c r="W331"/>
  <c r="F333" l="1"/>
  <c r="E334"/>
  <c r="G332"/>
  <c r="H332"/>
  <c r="I332"/>
  <c r="J332"/>
  <c r="K332"/>
  <c r="L332"/>
  <c r="M332"/>
  <c r="N332"/>
  <c r="O332"/>
  <c r="P332"/>
  <c r="Q332"/>
  <c r="R332"/>
  <c r="S332"/>
  <c r="T332"/>
  <c r="U332"/>
  <c r="V332"/>
  <c r="W332"/>
  <c r="F334" l="1"/>
  <c r="E335"/>
  <c r="G333"/>
  <c r="H333"/>
  <c r="I333"/>
  <c r="J333"/>
  <c r="K333"/>
  <c r="L333"/>
  <c r="M333"/>
  <c r="N333"/>
  <c r="O333"/>
  <c r="P333"/>
  <c r="Q333"/>
  <c r="R333"/>
  <c r="S333"/>
  <c r="T333"/>
  <c r="U333"/>
  <c r="V333"/>
  <c r="W333"/>
  <c r="F335" l="1"/>
  <c r="E336"/>
  <c r="G334"/>
  <c r="H334"/>
  <c r="I334"/>
  <c r="J334"/>
  <c r="K334"/>
  <c r="L334"/>
  <c r="M334"/>
  <c r="N334"/>
  <c r="O334"/>
  <c r="P334"/>
  <c r="Q334"/>
  <c r="R334"/>
  <c r="S334"/>
  <c r="T334"/>
  <c r="U334"/>
  <c r="V334"/>
  <c r="W334"/>
  <c r="F336" l="1"/>
  <c r="E337"/>
  <c r="G335"/>
  <c r="H335"/>
  <c r="I335"/>
  <c r="J335"/>
  <c r="K335"/>
  <c r="L335"/>
  <c r="M335"/>
  <c r="N335"/>
  <c r="O335"/>
  <c r="P335"/>
  <c r="Q335"/>
  <c r="R335"/>
  <c r="S335"/>
  <c r="T335"/>
  <c r="U335"/>
  <c r="V335"/>
  <c r="W335"/>
  <c r="F337" l="1"/>
  <c r="E341"/>
  <c r="G336"/>
  <c r="H336"/>
  <c r="I336"/>
  <c r="J336"/>
  <c r="K336"/>
  <c r="L336"/>
  <c r="M336"/>
  <c r="N336"/>
  <c r="O336"/>
  <c r="P336"/>
  <c r="Q336"/>
  <c r="R336"/>
  <c r="S336"/>
  <c r="T336"/>
  <c r="U336"/>
  <c r="V336"/>
  <c r="W336"/>
  <c r="F341" l="1"/>
  <c r="E343"/>
  <c r="G337"/>
  <c r="H337"/>
  <c r="I337"/>
  <c r="J337"/>
  <c r="K337"/>
  <c r="L337"/>
  <c r="M337"/>
  <c r="N337"/>
  <c r="O337"/>
  <c r="P337"/>
  <c r="Q337"/>
  <c r="R337"/>
  <c r="S337"/>
  <c r="T337"/>
  <c r="U337"/>
  <c r="V337"/>
  <c r="W337"/>
  <c r="E344" l="1"/>
  <c r="G341"/>
  <c r="H341"/>
  <c r="I341"/>
  <c r="J341"/>
  <c r="K341"/>
  <c r="L341"/>
  <c r="M341"/>
  <c r="N341"/>
  <c r="O341"/>
  <c r="P341"/>
  <c r="Q341"/>
  <c r="R341"/>
  <c r="S341"/>
  <c r="T341"/>
  <c r="U341"/>
  <c r="V341"/>
  <c r="W341"/>
  <c r="F344" l="1"/>
  <c r="E345"/>
  <c r="G343"/>
  <c r="H343"/>
  <c r="I343"/>
  <c r="J343"/>
  <c r="K343"/>
  <c r="L343"/>
  <c r="M343"/>
  <c r="N343"/>
  <c r="O343"/>
  <c r="P343"/>
  <c r="Q343"/>
  <c r="R343"/>
  <c r="S343"/>
  <c r="T343"/>
  <c r="U343"/>
  <c r="V343"/>
  <c r="W343"/>
  <c r="F345" l="1"/>
  <c r="E346"/>
  <c r="G344"/>
  <c r="H344"/>
  <c r="I344"/>
  <c r="J344"/>
  <c r="K344"/>
  <c r="L344"/>
  <c r="M344"/>
  <c r="N344"/>
  <c r="O344"/>
  <c r="P344"/>
  <c r="Q344"/>
  <c r="R344"/>
  <c r="S344"/>
  <c r="T344"/>
  <c r="U344"/>
  <c r="V344"/>
  <c r="W344"/>
  <c r="F346" l="1"/>
  <c r="E347"/>
  <c r="G345"/>
  <c r="H345"/>
  <c r="I345"/>
  <c r="J345"/>
  <c r="K345"/>
  <c r="L345"/>
  <c r="M345"/>
  <c r="N345"/>
  <c r="O345"/>
  <c r="P345"/>
  <c r="Q345"/>
  <c r="R345"/>
  <c r="S345"/>
  <c r="T345"/>
  <c r="U345"/>
  <c r="V345"/>
  <c r="W345"/>
  <c r="F347" l="1"/>
  <c r="E348"/>
  <c r="G346"/>
  <c r="H346"/>
  <c r="I346"/>
  <c r="J346"/>
  <c r="K346"/>
  <c r="L346"/>
  <c r="M346"/>
  <c r="N346"/>
  <c r="O346"/>
  <c r="P346"/>
  <c r="Q346"/>
  <c r="R346"/>
  <c r="S346"/>
  <c r="T346"/>
  <c r="U346"/>
  <c r="V346"/>
  <c r="W346"/>
  <c r="E358" l="1"/>
  <c r="F348"/>
  <c r="G347"/>
  <c r="H347"/>
  <c r="I347"/>
  <c r="J347"/>
  <c r="K347"/>
  <c r="L347"/>
  <c r="M347"/>
  <c r="N347"/>
  <c r="O347"/>
  <c r="P347"/>
  <c r="Q347"/>
  <c r="R347"/>
  <c r="S347"/>
  <c r="T347"/>
  <c r="U347"/>
  <c r="V347"/>
  <c r="W347"/>
  <c r="G348" l="1"/>
  <c r="H348"/>
  <c r="I348"/>
  <c r="J348"/>
  <c r="K348"/>
  <c r="L348"/>
  <c r="M348"/>
  <c r="N348"/>
  <c r="O348"/>
  <c r="P348"/>
  <c r="Q348"/>
  <c r="R348"/>
  <c r="S348"/>
  <c r="T348"/>
  <c r="U348"/>
  <c r="V348"/>
  <c r="W348"/>
  <c r="E360"/>
  <c r="F358"/>
  <c r="G358" l="1"/>
  <c r="H358"/>
  <c r="I358"/>
  <c r="J358"/>
  <c r="K358"/>
  <c r="L358"/>
  <c r="M358"/>
  <c r="N358"/>
  <c r="O358"/>
  <c r="P358"/>
  <c r="Q358"/>
  <c r="R358"/>
  <c r="S358"/>
  <c r="T358"/>
  <c r="U358"/>
  <c r="V358"/>
  <c r="W358"/>
  <c r="F360"/>
  <c r="E361"/>
  <c r="F361" s="1"/>
  <c r="G361" l="1"/>
  <c r="H361"/>
  <c r="I361"/>
  <c r="J361"/>
  <c r="K361"/>
  <c r="L361"/>
  <c r="M361"/>
  <c r="N361"/>
  <c r="O361"/>
  <c r="P361"/>
  <c r="Q361"/>
  <c r="R361"/>
  <c r="S361"/>
  <c r="T361"/>
  <c r="U361"/>
  <c r="V361"/>
  <c r="W361"/>
  <c r="G360"/>
  <c r="H360"/>
  <c r="I360"/>
  <c r="J360"/>
  <c r="K360"/>
  <c r="L360"/>
  <c r="M360"/>
  <c r="N360"/>
  <c r="O360"/>
  <c r="P360"/>
  <c r="Q360"/>
  <c r="R360"/>
  <c r="S360"/>
  <c r="T360"/>
  <c r="U360"/>
  <c r="V360"/>
  <c r="W360"/>
</calcChain>
</file>

<file path=xl/comments1.xml><?xml version="1.0" encoding="utf-8"?>
<comments xmlns="http://schemas.openxmlformats.org/spreadsheetml/2006/main">
  <authors>
    <author>Author</author>
  </authors>
  <commentList>
    <comment ref="B493" authorId="0">
      <text>
        <r>
          <rPr>
            <b/>
            <sz val="8"/>
            <color indexed="81"/>
            <rFont val="Tahoma"/>
            <family val="2"/>
          </rPr>
          <t>Author:</t>
        </r>
        <r>
          <rPr>
            <sz val="8"/>
            <color indexed="81"/>
            <rFont val="Tahoma"/>
            <family val="2"/>
          </rPr>
          <t xml:space="preserve">
As per AS 16- exchange differences arising from foreign currency borrowings to the extent that they are regarded as an adjustment to interest costs.</t>
        </r>
      </text>
    </comment>
  </commentList>
</comments>
</file>

<file path=xl/comments2.xml><?xml version="1.0" encoding="utf-8"?>
<comments xmlns="http://schemas.openxmlformats.org/spreadsheetml/2006/main">
  <authors>
    <author>vasudevann</author>
  </authors>
  <commentList>
    <comment ref="J687" authorId="0">
      <text>
        <r>
          <rPr>
            <sz val="8"/>
            <color indexed="81"/>
            <rFont val="Tahoma"/>
            <family val="2"/>
          </rPr>
          <t>Taken from base file INR sheet</t>
        </r>
      </text>
    </comment>
  </commentList>
</comments>
</file>

<file path=xl/sharedStrings.xml><?xml version="1.0" encoding="utf-8"?>
<sst xmlns="http://schemas.openxmlformats.org/spreadsheetml/2006/main" count="6941" uniqueCount="2889">
  <si>
    <t>ELGI EQUIPMENTS LIMITED</t>
  </si>
  <si>
    <t>Company Code</t>
  </si>
  <si>
    <t>Entity Name</t>
  </si>
  <si>
    <t>Particulars</t>
  </si>
  <si>
    <t>Note No</t>
  </si>
  <si>
    <t>Combi code Ref</t>
  </si>
  <si>
    <t>I. EQUITY &amp; LIABILITIES</t>
  </si>
  <si>
    <t>(1) Shareholders’ Funds</t>
  </si>
  <si>
    <t>(a) Share Capital</t>
  </si>
  <si>
    <t>(b) Reserves &amp; Surplus</t>
  </si>
  <si>
    <t>(c) Money received against share warrants</t>
  </si>
  <si>
    <t>(2) Share application money pending allotment</t>
  </si>
  <si>
    <t>(3) Non Current Liabilities</t>
  </si>
  <si>
    <t>(a) Long-term borrowings</t>
  </si>
  <si>
    <t>(b) Deferred Tax liabilities (Net)</t>
  </si>
  <si>
    <t>(c) Other Long Term liabilities</t>
  </si>
  <si>
    <t xml:space="preserve">(d) Long-term provisions </t>
  </si>
  <si>
    <t>(4)Current Liabilities</t>
  </si>
  <si>
    <t>(a) Short-term borrowings</t>
  </si>
  <si>
    <t>(b) Trade payables</t>
  </si>
  <si>
    <t>(c) Other current liabilities</t>
  </si>
  <si>
    <t xml:space="preserve">(d) Short-term provisions </t>
  </si>
  <si>
    <t>Total</t>
  </si>
  <si>
    <t>II. ASSETS</t>
  </si>
  <si>
    <t>(1) Non Current Assets</t>
  </si>
  <si>
    <t>(a) Fixed Assets</t>
  </si>
  <si>
    <t>(i) Tangible Assets</t>
  </si>
  <si>
    <t>(ii) Intangible Assets</t>
  </si>
  <si>
    <t>(iii) Capital work-in-progress</t>
  </si>
  <si>
    <t>(iv) Intangible assets under development</t>
  </si>
  <si>
    <t>(b) Non-current investments</t>
  </si>
  <si>
    <t>(c) Deferred tax assets (net)</t>
  </si>
  <si>
    <t>(d) Long-term loans and advances</t>
  </si>
  <si>
    <t>(e) Other non-current assets</t>
  </si>
  <si>
    <t>(2) Current Assets</t>
  </si>
  <si>
    <t>(a) Current investments</t>
  </si>
  <si>
    <t>(b) Inventories</t>
  </si>
  <si>
    <t>(c) Trade Receivables</t>
  </si>
  <si>
    <t>(d) Cash and Cash equivalents</t>
  </si>
  <si>
    <t>(e) Short Term Loans and advances</t>
  </si>
  <si>
    <t>(f) Other current assets</t>
  </si>
  <si>
    <t>1. Share Capital</t>
  </si>
  <si>
    <t>a. Authorized</t>
  </si>
  <si>
    <t xml:space="preserve">b. Issued, Subscribed and Paid-Up       </t>
  </si>
  <si>
    <t xml:space="preserve">Number of shares issued  Previous Year: </t>
  </si>
  <si>
    <t xml:space="preserve">Nominal value of the shares  Previous Year: </t>
  </si>
  <si>
    <t>2. Reserves &amp; Surplus</t>
  </si>
  <si>
    <t>(a) Capital reserve account</t>
  </si>
  <si>
    <t>Opening balance</t>
  </si>
  <si>
    <t>Add: Additions for the year</t>
  </si>
  <si>
    <t>Closing balance</t>
  </si>
  <si>
    <t>(b) Capital Redemption reserve</t>
  </si>
  <si>
    <t>(b) Revaluation reserve</t>
  </si>
  <si>
    <t>(c) Statutory reserve</t>
  </si>
  <si>
    <t>(b) Securities premium account</t>
  </si>
  <si>
    <t>Add: Premium received on issue of shares</t>
  </si>
  <si>
    <t>(c) General reserve account</t>
  </si>
  <si>
    <t xml:space="preserve">Opening balance </t>
  </si>
  <si>
    <t>Add : Transferred from Profit and Loss account</t>
  </si>
  <si>
    <t>(d) Foreign currency translation reserve account</t>
  </si>
  <si>
    <t>Add : Adjustment for the year</t>
  </si>
  <si>
    <t>(e) Surplus</t>
  </si>
  <si>
    <t>Profit and Loss Account balance</t>
  </si>
  <si>
    <t>Net Profit/(Net Loss) for the current year</t>
  </si>
  <si>
    <t>Appropriations</t>
  </si>
  <si>
    <t>Dividend</t>
  </si>
  <si>
    <t xml:space="preserve"> - Interim</t>
  </si>
  <si>
    <t xml:space="preserve"> - Final</t>
  </si>
  <si>
    <t>Tax on dividend</t>
  </si>
  <si>
    <t>Residual dividend</t>
  </si>
  <si>
    <t>Amount transferred from P&amp;L-(Depreciation)</t>
  </si>
  <si>
    <t>Amount transferred to General Reserve</t>
  </si>
  <si>
    <t>3.Long Term Borrowings</t>
  </si>
  <si>
    <t>(a) Bonds/Debentures</t>
  </si>
  <si>
    <t>(b) Term Loans</t>
  </si>
  <si>
    <t>From Banks</t>
  </si>
  <si>
    <t>From Other parties</t>
  </si>
  <si>
    <t>(c) Deferred payment liabilities</t>
  </si>
  <si>
    <t>(d) Deposits</t>
  </si>
  <si>
    <t>(e) Loans and advances from Related parties</t>
  </si>
  <si>
    <t>(f) Long Term maturities of finance lease obligations</t>
  </si>
  <si>
    <t>(g) Other loans and advances</t>
  </si>
  <si>
    <t>4A. Deferred Tax Liabilities (Net)</t>
  </si>
  <si>
    <t>5. Other Long Term liabilities</t>
  </si>
  <si>
    <t>(a) Trade payable</t>
  </si>
  <si>
    <t>(b) Others</t>
  </si>
  <si>
    <t xml:space="preserve"> - Superannuation payable</t>
  </si>
  <si>
    <t xml:space="preserve"> - Forward cover payable, net</t>
  </si>
  <si>
    <t xml:space="preserve"> - Unclaimed dividends </t>
  </si>
  <si>
    <t xml:space="preserve"> - Advances received from customers</t>
  </si>
  <si>
    <t xml:space="preserve"> - Billings in excess of revenues</t>
  </si>
  <si>
    <t xml:space="preserve">6. Long-term provisions </t>
  </si>
  <si>
    <t>(a) Provision for employee benefits</t>
  </si>
  <si>
    <t xml:space="preserve"> - Provision for employee benefits</t>
  </si>
  <si>
    <t>(b) Other Provisions</t>
  </si>
  <si>
    <t xml:space="preserve"> - Purchase consideration payable </t>
  </si>
  <si>
    <t>7. Short term borrowings</t>
  </si>
  <si>
    <t>Loans repayable on demand</t>
  </si>
  <si>
    <t xml:space="preserve"> - from Banks</t>
  </si>
  <si>
    <t xml:space="preserve"> - from other parties.</t>
  </si>
  <si>
    <t>Loans and advances from related parties</t>
  </si>
  <si>
    <t>Deposits</t>
  </si>
  <si>
    <t>Other loans and advances - Current</t>
  </si>
  <si>
    <t>8. Trade payables</t>
  </si>
  <si>
    <t>Acceptances</t>
  </si>
  <si>
    <t>Due To Micro, Small and Medium Enterprises</t>
  </si>
  <si>
    <t>Others</t>
  </si>
  <si>
    <t>9. Other current liabilities</t>
  </si>
  <si>
    <t>(a) Current maturities of long-term debt</t>
  </si>
  <si>
    <t>(b) Current maturities of finance lease obligations</t>
  </si>
  <si>
    <t>(c) Interest accrued but not due on borrowings</t>
  </si>
  <si>
    <t>(d) Interest accrued and due on borrowings</t>
  </si>
  <si>
    <t>(e) Unclaimed dividends</t>
  </si>
  <si>
    <t>(f) Other payable</t>
  </si>
  <si>
    <t>Superannuation payable</t>
  </si>
  <si>
    <t>Interest swap</t>
  </si>
  <si>
    <t>Dealer deposits</t>
  </si>
  <si>
    <t>Customer and other advance received</t>
  </si>
  <si>
    <t>Other liabilities</t>
  </si>
  <si>
    <t>Accrued Salaries and Benefits</t>
  </si>
  <si>
    <t>Rental advances received</t>
  </si>
  <si>
    <t>Inter company payable</t>
  </si>
  <si>
    <t>Statutory payable</t>
  </si>
  <si>
    <t>10. Short Term provisions</t>
  </si>
  <si>
    <t>(b) Others Provisions</t>
  </si>
  <si>
    <t xml:space="preserve"> - Provision for taxation ( net of Advance Income tax )     </t>
  </si>
  <si>
    <t xml:space="preserve"> - Provision for FBT ( net of Advance Fringe Benefit tax )     </t>
  </si>
  <si>
    <t xml:space="preserve"> - Proposed dividend</t>
  </si>
  <si>
    <t xml:space="preserve"> - Provision for tax on proposed dividend</t>
  </si>
  <si>
    <t xml:space="preserve"> - Purchase consideration payable</t>
  </si>
  <si>
    <t xml:space="preserve"> - Provision for expenses</t>
  </si>
  <si>
    <t xml:space="preserve"> - Provision for Sundry creditors and Collection</t>
  </si>
  <si>
    <t>11.Non Current investments</t>
  </si>
  <si>
    <t>(a) Investment property</t>
  </si>
  <si>
    <t>(b) Investments in Equity Instruments</t>
  </si>
  <si>
    <t>(c) Investments in Associates</t>
  </si>
  <si>
    <t>(d) Investments in Preference Shares</t>
  </si>
  <si>
    <t>(e) Investments in Government or Trust Securities</t>
  </si>
  <si>
    <t>(f) Investments in Debentures or Bonds</t>
  </si>
  <si>
    <t>(g) Investments in Mutual Funds</t>
  </si>
  <si>
    <t>(h) Investments in Partnership Firms</t>
  </si>
  <si>
    <t>(i) Investment in other Body corporates</t>
  </si>
  <si>
    <t xml:space="preserve">(j) Other non current investments </t>
  </si>
  <si>
    <t>14. Deferred Tax Assets (Net)</t>
  </si>
  <si>
    <t>15. Long Term Loans and advances</t>
  </si>
  <si>
    <t>(a) Capital Advances</t>
  </si>
  <si>
    <t>Secured, considered good</t>
  </si>
  <si>
    <t>Unsecured, considered good</t>
  </si>
  <si>
    <t>Doubtful</t>
  </si>
  <si>
    <t>Less: Allowance for bad and doubtful loans &amp; Advance</t>
  </si>
  <si>
    <t>(b) Security Deposits</t>
  </si>
  <si>
    <t>(c) Loans and advances to related parties</t>
  </si>
  <si>
    <t>Loans to Employees Welfare Trust</t>
  </si>
  <si>
    <t>(d) Other loans and advances</t>
  </si>
  <si>
    <t>Advances recoverable in cash or in kind or for value to be received</t>
  </si>
  <si>
    <t>Loans to employees</t>
  </si>
  <si>
    <t>Salary advance</t>
  </si>
  <si>
    <t>Input tax credit receivable</t>
  </si>
  <si>
    <t>Advance income tax ( Net of provision for tax )</t>
  </si>
  <si>
    <t xml:space="preserve">MAT credit entitlement </t>
  </si>
  <si>
    <t>14. Other Non-Current Assets</t>
  </si>
  <si>
    <t>Other non-current assets</t>
  </si>
  <si>
    <t>Deposit accounts with more than 12 months maturity</t>
  </si>
  <si>
    <t>Unamortized ancilarry borrowing cost</t>
  </si>
  <si>
    <t>15. Current Investments</t>
  </si>
  <si>
    <t>(a) Investment in equity instruments</t>
  </si>
  <si>
    <t>(b) Investment in preference shares</t>
  </si>
  <si>
    <t>(c) Investment in Government or Trust securities</t>
  </si>
  <si>
    <t>(d) Investment in debenture or Bonds</t>
  </si>
  <si>
    <t>(e) Investment in mutual funds</t>
  </si>
  <si>
    <t>(f) Investment in partnership firms</t>
  </si>
  <si>
    <t xml:space="preserve">(g) Other Investments </t>
  </si>
  <si>
    <t>16. Inventories</t>
  </si>
  <si>
    <t>(a) Raw Materials</t>
  </si>
  <si>
    <t>(b) Work-in-progress</t>
  </si>
  <si>
    <t>(c) Finished goods</t>
  </si>
  <si>
    <t>(d) Traded goods</t>
  </si>
  <si>
    <t>(e) Stores and spares</t>
  </si>
  <si>
    <t>(f) Loose Tools</t>
  </si>
  <si>
    <t>(g) Packing materials</t>
  </si>
  <si>
    <t>17. Trade Receivables</t>
  </si>
  <si>
    <t>Trade receivables outstanding for a period less than six months from the date they are due for payment</t>
  </si>
  <si>
    <t xml:space="preserve"> - Secured, considered good</t>
  </si>
  <si>
    <t xml:space="preserve"> - Unsecured considered good</t>
  </si>
  <si>
    <t xml:space="preserve"> - Doubtful</t>
  </si>
  <si>
    <t>Less: Allowance for bad and doubtful debts</t>
  </si>
  <si>
    <t>Trade receivables outstanding for a period more six months from the date they are due for payment</t>
  </si>
  <si>
    <t xml:space="preserve">Other debts    </t>
  </si>
  <si>
    <t>18.Cash and Cash equivalents</t>
  </si>
  <si>
    <t>(a) Cash on hand</t>
  </si>
  <si>
    <t>(b) Cheques,drafts on hand</t>
  </si>
  <si>
    <t>(c) Balance with banks</t>
  </si>
  <si>
    <t>-On current accounts</t>
  </si>
  <si>
    <t>-On deposit accounts (with original maturity of 3 months or less)</t>
  </si>
  <si>
    <t>Total Cash and cash equivalents</t>
  </si>
  <si>
    <t>Other bank balances</t>
  </si>
  <si>
    <t>Balance in unclaimed dividend account</t>
  </si>
  <si>
    <t>Balance with Bank as Margin money or security against borrowings,  guarantees or other commitments</t>
  </si>
  <si>
    <t>19.Short Term Loans and advances</t>
  </si>
  <si>
    <t>(a) Loans and advances to related parties</t>
  </si>
  <si>
    <t>Less:Provision for doubtful loans and advances</t>
  </si>
  <si>
    <t xml:space="preserve">(b) Others </t>
  </si>
  <si>
    <t>Prepaid expenses</t>
  </si>
  <si>
    <t>Advance Fringe Benefit tax ( Net of provision for FBT )</t>
  </si>
  <si>
    <t>Advance to suppliers</t>
  </si>
  <si>
    <t>VAT receivable</t>
  </si>
  <si>
    <t>Service tax credit receivable</t>
  </si>
  <si>
    <t>Loans to Companies</t>
  </si>
  <si>
    <t>Less: Allowance for bad and doubtful loans and advances</t>
  </si>
  <si>
    <t>(c) Security Deposits</t>
  </si>
  <si>
    <t>Unsecured, considered good -Premium Deposit</t>
  </si>
  <si>
    <t>20.Other current assets</t>
  </si>
  <si>
    <t>Revenues accrued and not billed</t>
  </si>
  <si>
    <t>Interest accrued</t>
  </si>
  <si>
    <t>CONSOLIDATED BALANCE SHEET AS AT 30.06.2015</t>
  </si>
  <si>
    <t>Entity Name :ELGI EQUIPMENTS LIMITED</t>
  </si>
  <si>
    <t>Revenue from operations</t>
  </si>
  <si>
    <t>Less: Excise duty</t>
  </si>
  <si>
    <t>Other Income</t>
  </si>
  <si>
    <t>Total Revenue</t>
  </si>
  <si>
    <t>IV. Expenses:</t>
  </si>
  <si>
    <t>Cost of materials consumed</t>
  </si>
  <si>
    <t>Purchases of Traded goods</t>
  </si>
  <si>
    <t>Changes in Inventories of finished goods work-in-progress and Traded goods</t>
  </si>
  <si>
    <t>Employee benefits Expense</t>
  </si>
  <si>
    <t>Selling, administration and others</t>
  </si>
  <si>
    <t>Finance Costs</t>
  </si>
  <si>
    <t>Depreciation and Amortisation Expense</t>
  </si>
  <si>
    <t>Other Expenses</t>
  </si>
  <si>
    <t>Total Expenses</t>
  </si>
  <si>
    <t>V. Profit Before Exceptional and Extraordinary items and tax (III-IV)</t>
  </si>
  <si>
    <t>VI.Exceptional Items</t>
  </si>
  <si>
    <t>VII. Profit Before Extraordinary items and tax (V-VI)</t>
  </si>
  <si>
    <t>VIII. Extraordinary items</t>
  </si>
  <si>
    <t>IX. Profit before Tax (VII-VIII)</t>
  </si>
  <si>
    <t>X. Tax Expense:</t>
  </si>
  <si>
    <t xml:space="preserve">          (1) Current Tax</t>
  </si>
  <si>
    <t xml:space="preserve">         (2) Deffered Tax</t>
  </si>
  <si>
    <t>XI. Profit/(Loss) for the period from continuing operations 
(VII-VIII)</t>
  </si>
  <si>
    <t>XII. Profit/(loss) from discontinuing operations</t>
  </si>
  <si>
    <t>XIII. Tax Expense of discontinuing operations</t>
  </si>
  <si>
    <t>XIV. Profit/(loss) from discontinuing operations (after tax) (XII-XIII)</t>
  </si>
  <si>
    <t>XV. Profit (loss) for the period (XI+XIV)</t>
  </si>
  <si>
    <t xml:space="preserve">XVI. Earnings per equity share </t>
  </si>
  <si>
    <t xml:space="preserve">Nominal value of the shares </t>
  </si>
  <si>
    <t xml:space="preserve">           (1) Basic </t>
  </si>
  <si>
    <t xml:space="preserve">           (2) Diluted</t>
  </si>
  <si>
    <t>XVI. Earnings per Equity Share from continuing operations</t>
  </si>
  <si>
    <t>Revenue from Operations</t>
  </si>
  <si>
    <t>Sale of products (gross of duty)</t>
  </si>
  <si>
    <t>Sale of services</t>
  </si>
  <si>
    <t>Other operating revenues</t>
  </si>
  <si>
    <t xml:space="preserve">(a) Interest Income </t>
  </si>
  <si>
    <t>Interest received on deposits with banks</t>
  </si>
  <si>
    <t>Interest on others</t>
  </si>
  <si>
    <t>(b) Dividend Income</t>
  </si>
  <si>
    <t>Dividends received on investments</t>
  </si>
  <si>
    <t>Dividends from subsidiary companies</t>
  </si>
  <si>
    <t>(c) Net gain/(Loss) from sale of investments</t>
  </si>
  <si>
    <t>Profit on sale of investments, net</t>
  </si>
  <si>
    <t>Adjustments to the carrying amount of investments;</t>
  </si>
  <si>
    <t>Provision for diminution in value of investments</t>
  </si>
  <si>
    <t>(d) Other non-operating Income</t>
  </si>
  <si>
    <t>Miscellenous Income, Net</t>
  </si>
  <si>
    <t>Profit / (loss) on sale of assets, net</t>
  </si>
  <si>
    <t>Rental receipts</t>
  </si>
  <si>
    <t>Commission received</t>
  </si>
  <si>
    <t>Net Gain on foreign currency transaction and translation (other than considered as finance cost)</t>
  </si>
  <si>
    <t>Cost of material consumed</t>
  </si>
  <si>
    <t>Inventory of materials at the beginning of the year</t>
  </si>
  <si>
    <t>Purchases</t>
  </si>
  <si>
    <t>Raw materials acquired on business acquisition</t>
  </si>
  <si>
    <t>Finished goods acquired on business acquisition</t>
  </si>
  <si>
    <t>Inventory of materials at the end of the year</t>
  </si>
  <si>
    <t>Changes in Inventory</t>
  </si>
  <si>
    <t>Opening inventory</t>
  </si>
  <si>
    <t>-Finished goods</t>
  </si>
  <si>
    <t>-WIP</t>
  </si>
  <si>
    <t>-Stock in Trade</t>
  </si>
  <si>
    <t>Closing inventory</t>
  </si>
  <si>
    <t>Changes in inventory</t>
  </si>
  <si>
    <t>Employee Benefit Expenses</t>
  </si>
  <si>
    <t xml:space="preserve">(a) Salaries and incentive </t>
  </si>
  <si>
    <t>Salaries and bonus</t>
  </si>
  <si>
    <t>Manegerial remuneration</t>
  </si>
  <si>
    <t>Performance pay</t>
  </si>
  <si>
    <t xml:space="preserve">(b) Contribution to </t>
  </si>
  <si>
    <t>(i) Provident fund</t>
  </si>
  <si>
    <t>(Ii) Superannuation scheme</t>
  </si>
  <si>
    <t>(iii) Other funds</t>
  </si>
  <si>
    <t>(c) Gratuity contribution scheme</t>
  </si>
  <si>
    <t>(d) Social security and other benefit plans for overseas employees</t>
  </si>
  <si>
    <t>(e) Expense on Employee Stock Option Scheme (ESOP) and Employee Stock Purchase Plan (ESPP)</t>
  </si>
  <si>
    <t>(f) Staff welfare expenses</t>
  </si>
  <si>
    <t>SELLING, ADMINISTRATION AND OTHERS</t>
  </si>
  <si>
    <t>Salaries and bonus including overseas staff expenses</t>
  </si>
  <si>
    <t>(b) Contribution to Provident fund and other funds</t>
  </si>
  <si>
    <t>(c) Expense on generation of power</t>
  </si>
  <si>
    <t>(a) Interest Expenses</t>
  </si>
  <si>
    <t>(b) Other Borrowing Costs</t>
  </si>
  <si>
    <t>(c) Gain/loss on foreign currency transactions and translation</t>
  </si>
  <si>
    <t>OTHER EXPENSES</t>
  </si>
  <si>
    <t xml:space="preserve">Payment to the auditors </t>
  </si>
  <si>
    <t xml:space="preserve"> - auditor</t>
  </si>
  <si>
    <t xml:space="preserve"> - for taxation matters</t>
  </si>
  <si>
    <t xml:space="preserve"> - for company law matters</t>
  </si>
  <si>
    <t xml:space="preserve"> - for management services</t>
  </si>
  <si>
    <t xml:space="preserve"> - for other services</t>
  </si>
  <si>
    <t xml:space="preserve"> - for reimbursement of expenses</t>
  </si>
  <si>
    <t>Freight charges</t>
  </si>
  <si>
    <t>Consumption of stores and spare parts</t>
  </si>
  <si>
    <t>Tools Consumed</t>
  </si>
  <si>
    <t>Training expenses</t>
  </si>
  <si>
    <t>Excise Duty paid</t>
  </si>
  <si>
    <t>SH Edu Cess Paid</t>
  </si>
  <si>
    <t>Service Tax Edu.Cess Paid A/c</t>
  </si>
  <si>
    <t>Service Tax  Paid A/c</t>
  </si>
  <si>
    <t>Service Tax  Sh Edu Cess Paid</t>
  </si>
  <si>
    <t>Warranty expenses</t>
  </si>
  <si>
    <t>Sales and service tax paid</t>
  </si>
  <si>
    <t>Carriage Inwards- Domestics</t>
  </si>
  <si>
    <t>Conversion Charges</t>
  </si>
  <si>
    <t>Subscription &amp; Membership</t>
  </si>
  <si>
    <t>Testing &amp; Inspection Fee</t>
  </si>
  <si>
    <t>Travelling &amp; conveyance</t>
  </si>
  <si>
    <t>Communication expenses</t>
  </si>
  <si>
    <t>Professional and Legal charges</t>
  </si>
  <si>
    <t>Power and fuel</t>
  </si>
  <si>
    <t>Rent</t>
  </si>
  <si>
    <t xml:space="preserve">Repairs  - Building </t>
  </si>
  <si>
    <t>Repairs  -  Plant and machinery</t>
  </si>
  <si>
    <t>Repairs  - Others</t>
  </si>
  <si>
    <t>After sales expenses</t>
  </si>
  <si>
    <t>Office maintenance</t>
  </si>
  <si>
    <t>Bad debts / advances written off</t>
  </si>
  <si>
    <t xml:space="preserve">Insurance </t>
  </si>
  <si>
    <t>Printing and stationery</t>
  </si>
  <si>
    <t>Rates and taxes excluding Taxes on Income inclu license fees</t>
  </si>
  <si>
    <t xml:space="preserve">Factory Expenses               </t>
  </si>
  <si>
    <t xml:space="preserve">Bank Charges                   </t>
  </si>
  <si>
    <t>Commission &amp; discounts</t>
  </si>
  <si>
    <t>Donations</t>
  </si>
  <si>
    <t>CSR Expenses</t>
  </si>
  <si>
    <t>Directors' sitting fees</t>
  </si>
  <si>
    <t>Research &amp; Development Charges</t>
  </si>
  <si>
    <t>Loading &amp; Unloading Charges</t>
  </si>
  <si>
    <t>Packing &amp; Forwarding</t>
  </si>
  <si>
    <t>Advertisement &amp; Publicity</t>
  </si>
  <si>
    <t>Entertainment expenses</t>
  </si>
  <si>
    <t>Transport charges</t>
  </si>
  <si>
    <t>Royalty expenses</t>
  </si>
  <si>
    <t>Loss on sale of assets</t>
  </si>
  <si>
    <t>Miscellaneous expenses</t>
  </si>
  <si>
    <t>Net Loss on foreign currency transaction and translation (other than considered as finance cost)</t>
  </si>
  <si>
    <t>FINANCE COSTS</t>
  </si>
  <si>
    <t>BS286</t>
  </si>
  <si>
    <t>BS287</t>
  </si>
  <si>
    <t>BS332</t>
  </si>
  <si>
    <t>BS333</t>
  </si>
  <si>
    <t>BS284</t>
  </si>
  <si>
    <t>BS285</t>
  </si>
  <si>
    <t>PL103</t>
  </si>
  <si>
    <t>PL222</t>
  </si>
  <si>
    <t>PL185</t>
  </si>
  <si>
    <t>PL186</t>
  </si>
  <si>
    <t>BS100</t>
  </si>
  <si>
    <t>BS289</t>
  </si>
  <si>
    <t>BS290</t>
  </si>
  <si>
    <t>BS291</t>
  </si>
  <si>
    <t>BS292</t>
  </si>
  <si>
    <t>BS293</t>
  </si>
  <si>
    <t>BS294</t>
  </si>
  <si>
    <t>BS295</t>
  </si>
  <si>
    <t>BS296</t>
  </si>
  <si>
    <t>BS101</t>
  </si>
  <si>
    <t>BS102</t>
  </si>
  <si>
    <t>BS103</t>
  </si>
  <si>
    <t>BS111</t>
  </si>
  <si>
    <t>BS104</t>
  </si>
  <si>
    <t>BS105</t>
  </si>
  <si>
    <t>BS331</t>
  </si>
  <si>
    <t>BS106</t>
  </si>
  <si>
    <t>BS107</t>
  </si>
  <si>
    <t>BS108</t>
  </si>
  <si>
    <t>BS109</t>
  </si>
  <si>
    <t>BS110</t>
  </si>
  <si>
    <t>BS112</t>
  </si>
  <si>
    <t>BS113</t>
  </si>
  <si>
    <t>BS114</t>
  </si>
  <si>
    <t>BS115</t>
  </si>
  <si>
    <t>BS116</t>
  </si>
  <si>
    <t>BS117</t>
  </si>
  <si>
    <t>BS118</t>
  </si>
  <si>
    <t>BS119</t>
  </si>
  <si>
    <t>BS120</t>
  </si>
  <si>
    <t>BS121</t>
  </si>
  <si>
    <t>BS122</t>
  </si>
  <si>
    <t>BS123</t>
  </si>
  <si>
    <t>BS124</t>
  </si>
  <si>
    <t>BS125</t>
  </si>
  <si>
    <t>BS126</t>
  </si>
  <si>
    <t>BS127</t>
  </si>
  <si>
    <t>BS129</t>
  </si>
  <si>
    <t>BS130</t>
  </si>
  <si>
    <t>BS131</t>
  </si>
  <si>
    <t>BS132</t>
  </si>
  <si>
    <t>BS133</t>
  </si>
  <si>
    <t>BS134</t>
  </si>
  <si>
    <t>BS299</t>
  </si>
  <si>
    <t>BS300</t>
  </si>
  <si>
    <t>BS135</t>
  </si>
  <si>
    <t>BS136</t>
  </si>
  <si>
    <t>BS137</t>
  </si>
  <si>
    <t>BS138</t>
  </si>
  <si>
    <t>BS139</t>
  </si>
  <si>
    <t>BS140</t>
  </si>
  <si>
    <t>BS141</t>
  </si>
  <si>
    <t>BS142</t>
  </si>
  <si>
    <t>BS301</t>
  </si>
  <si>
    <t>BS143</t>
  </si>
  <si>
    <t>BS144</t>
  </si>
  <si>
    <t>BS145</t>
  </si>
  <si>
    <t>BS324</t>
  </si>
  <si>
    <t>BS146</t>
  </si>
  <si>
    <t>BS147</t>
  </si>
  <si>
    <t>BS148</t>
  </si>
  <si>
    <t>BS150</t>
  </si>
  <si>
    <t>BS151</t>
  </si>
  <si>
    <t>BS152</t>
  </si>
  <si>
    <t>BS153</t>
  </si>
  <si>
    <t>BS329</t>
  </si>
  <si>
    <t>BS154</t>
  </si>
  <si>
    <t>BS297</t>
  </si>
  <si>
    <t>BS155</t>
  </si>
  <si>
    <t>BS156</t>
  </si>
  <si>
    <t>BS157</t>
  </si>
  <si>
    <t>BS158</t>
  </si>
  <si>
    <t>BS159</t>
  </si>
  <si>
    <t>BS160</t>
  </si>
  <si>
    <t>BS161</t>
  </si>
  <si>
    <t>BS162</t>
  </si>
  <si>
    <t>BS327</t>
  </si>
  <si>
    <t>BS163</t>
  </si>
  <si>
    <t>BS164</t>
  </si>
  <si>
    <t>BS165</t>
  </si>
  <si>
    <t>BS166</t>
  </si>
  <si>
    <t>BS167</t>
  </si>
  <si>
    <t>BS168</t>
  </si>
  <si>
    <t>BS169</t>
  </si>
  <si>
    <t>BS170</t>
  </si>
  <si>
    <t>BS171</t>
  </si>
  <si>
    <t>BS172</t>
  </si>
  <si>
    <t>BS173</t>
  </si>
  <si>
    <t>BS174</t>
  </si>
  <si>
    <t>BS175</t>
  </si>
  <si>
    <t>BS176</t>
  </si>
  <si>
    <t>BS177</t>
  </si>
  <si>
    <t>BS178</t>
  </si>
  <si>
    <t>BS179</t>
  </si>
  <si>
    <t>BS180</t>
  </si>
  <si>
    <t>BS181</t>
  </si>
  <si>
    <t>BS182</t>
  </si>
  <si>
    <t>BS183</t>
  </si>
  <si>
    <t>BS184</t>
  </si>
  <si>
    <t>BS185</t>
  </si>
  <si>
    <t>BS186</t>
  </si>
  <si>
    <t>BS187</t>
  </si>
  <si>
    <t>BS188</t>
  </si>
  <si>
    <t>BS328</t>
  </si>
  <si>
    <t>BS189</t>
  </si>
  <si>
    <t>BS190</t>
  </si>
  <si>
    <t>BS191</t>
  </si>
  <si>
    <t>BS192</t>
  </si>
  <si>
    <t>BS193</t>
  </si>
  <si>
    <t>BS194</t>
  </si>
  <si>
    <t>BS195</t>
  </si>
  <si>
    <t>BS196</t>
  </si>
  <si>
    <t>BS197</t>
  </si>
  <si>
    <t>BS198</t>
  </si>
  <si>
    <t>BS199</t>
  </si>
  <si>
    <t>BS200</t>
  </si>
  <si>
    <t>BS201</t>
  </si>
  <si>
    <t>BS202</t>
  </si>
  <si>
    <t>BS203</t>
  </si>
  <si>
    <t>BS204</t>
  </si>
  <si>
    <t>BS205</t>
  </si>
  <si>
    <t>BS206</t>
  </si>
  <si>
    <t>BS207</t>
  </si>
  <si>
    <t>BS208</t>
  </si>
  <si>
    <t>BS209</t>
  </si>
  <si>
    <t>BS210</t>
  </si>
  <si>
    <t>BS211</t>
  </si>
  <si>
    <t>BS212</t>
  </si>
  <si>
    <t>BS213</t>
  </si>
  <si>
    <t>BS215</t>
  </si>
  <si>
    <t>BS325</t>
  </si>
  <si>
    <t>BS216</t>
  </si>
  <si>
    <t>BS326</t>
  </si>
  <si>
    <t>BS217</t>
  </si>
  <si>
    <t>BS218</t>
  </si>
  <si>
    <t>BS219</t>
  </si>
  <si>
    <t>BS224</t>
  </si>
  <si>
    <t>BS225</t>
  </si>
  <si>
    <t>BS226</t>
  </si>
  <si>
    <t>BS227</t>
  </si>
  <si>
    <t>BS228</t>
  </si>
  <si>
    <t>BS229</t>
  </si>
  <si>
    <t>BS230</t>
  </si>
  <si>
    <t>BS231</t>
  </si>
  <si>
    <t>BS232</t>
  </si>
  <si>
    <t>BS302</t>
  </si>
  <si>
    <t>BS233</t>
  </si>
  <si>
    <t>BS234</t>
  </si>
  <si>
    <t>BS235</t>
  </si>
  <si>
    <t>BS298</t>
  </si>
  <si>
    <t>BS322</t>
  </si>
  <si>
    <t>BS323</t>
  </si>
  <si>
    <t>BS320</t>
  </si>
  <si>
    <t>BS321</t>
  </si>
  <si>
    <t>BS236</t>
  </si>
  <si>
    <t>BS237</t>
  </si>
  <si>
    <t>BS220</t>
  </si>
  <si>
    <t>BS221</t>
  </si>
  <si>
    <t>BS222</t>
  </si>
  <si>
    <t>BS223</t>
  </si>
  <si>
    <t>BS238</t>
  </si>
  <si>
    <t>BS239</t>
  </si>
  <si>
    <t>BS330</t>
  </si>
  <si>
    <t>PL100</t>
  </si>
  <si>
    <t>PL101</t>
  </si>
  <si>
    <t>PL102</t>
  </si>
  <si>
    <t>PL104</t>
  </si>
  <si>
    <t>PL105</t>
  </si>
  <si>
    <t>PL106</t>
  </si>
  <si>
    <t>PL107</t>
  </si>
  <si>
    <t>PL108</t>
  </si>
  <si>
    <t>PL109</t>
  </si>
  <si>
    <t>PL110</t>
  </si>
  <si>
    <t>PL111</t>
  </si>
  <si>
    <t>PL112</t>
  </si>
  <si>
    <t>PL209</t>
  </si>
  <si>
    <t>PL212</t>
  </si>
  <si>
    <t>PL113</t>
  </si>
  <si>
    <t>PL219</t>
  </si>
  <si>
    <t>PL114</t>
  </si>
  <si>
    <t>PL115</t>
  </si>
  <si>
    <t>PL116</t>
  </si>
  <si>
    <t>PL220</t>
  </si>
  <si>
    <t>PL117</t>
  </si>
  <si>
    <t>PL213</t>
  </si>
  <si>
    <t>PL214</t>
  </si>
  <si>
    <t>PL215</t>
  </si>
  <si>
    <t>PL216</t>
  </si>
  <si>
    <t>PL217</t>
  </si>
  <si>
    <t>PL218</t>
  </si>
  <si>
    <t>PL118</t>
  </si>
  <si>
    <t>PL119</t>
  </si>
  <si>
    <t>PL208</t>
  </si>
  <si>
    <t>PL120</t>
  </si>
  <si>
    <t>PL121</t>
  </si>
  <si>
    <t>PL122</t>
  </si>
  <si>
    <t>PL123</t>
  </si>
  <si>
    <t>PL124</t>
  </si>
  <si>
    <t>PL125</t>
  </si>
  <si>
    <t>PL126</t>
  </si>
  <si>
    <t>PL127</t>
  </si>
  <si>
    <t>PL128</t>
  </si>
  <si>
    <t>PL129</t>
  </si>
  <si>
    <t>PL130</t>
  </si>
  <si>
    <t>PL131</t>
  </si>
  <si>
    <t>PL132</t>
  </si>
  <si>
    <t>PL133</t>
  </si>
  <si>
    <t>PL134</t>
  </si>
  <si>
    <t>PL135</t>
  </si>
  <si>
    <t>PL136</t>
  </si>
  <si>
    <t>PL137</t>
  </si>
  <si>
    <t>PL138</t>
  </si>
  <si>
    <t>PL139</t>
  </si>
  <si>
    <t>PL140</t>
  </si>
  <si>
    <t>PL221</t>
  </si>
  <si>
    <t>PL141</t>
  </si>
  <si>
    <t>PL142</t>
  </si>
  <si>
    <t>PL143</t>
  </si>
  <si>
    <t>PL144</t>
  </si>
  <si>
    <t>PL145</t>
  </si>
  <si>
    <t>PL146</t>
  </si>
  <si>
    <t>PL147</t>
  </si>
  <si>
    <t>PL148</t>
  </si>
  <si>
    <t>PL149</t>
  </si>
  <si>
    <t>PL150</t>
  </si>
  <si>
    <t>PL151</t>
  </si>
  <si>
    <t>PL152</t>
  </si>
  <si>
    <t>PL153</t>
  </si>
  <si>
    <t>PL154</t>
  </si>
  <si>
    <t>PL155</t>
  </si>
  <si>
    <t>PL156</t>
  </si>
  <si>
    <t>PL157</t>
  </si>
  <si>
    <t>PL158</t>
  </si>
  <si>
    <t>PL159</t>
  </si>
  <si>
    <t>PL160</t>
  </si>
  <si>
    <t>PL161</t>
  </si>
  <si>
    <t>PL162</t>
  </si>
  <si>
    <t>PL163</t>
  </si>
  <si>
    <t>PL164</t>
  </si>
  <si>
    <t>PL165</t>
  </si>
  <si>
    <t>PL166</t>
  </si>
  <si>
    <t>PL205</t>
  </si>
  <si>
    <t>PL206</t>
  </si>
  <si>
    <t>PL167</t>
  </si>
  <si>
    <t>PL168</t>
  </si>
  <si>
    <t>PL169</t>
  </si>
  <si>
    <t>PL170</t>
  </si>
  <si>
    <t>PL171</t>
  </si>
  <si>
    <t>PL172</t>
  </si>
  <si>
    <t>PL173</t>
  </si>
  <si>
    <t>PL207</t>
  </si>
  <si>
    <t>PL174</t>
  </si>
  <si>
    <t>PL210</t>
  </si>
  <si>
    <t>PL211</t>
  </si>
  <si>
    <t>PL175</t>
  </si>
  <si>
    <t>PL176</t>
  </si>
  <si>
    <t>T-Code</t>
  </si>
  <si>
    <t>P1</t>
  </si>
  <si>
    <t>P2</t>
  </si>
  <si>
    <t>P3</t>
  </si>
  <si>
    <t>B1</t>
  </si>
  <si>
    <t>B2</t>
  </si>
  <si>
    <t>11a</t>
  </si>
  <si>
    <t>11b</t>
  </si>
  <si>
    <t>11c</t>
  </si>
  <si>
    <t>Amt</t>
  </si>
  <si>
    <t>P4</t>
  </si>
  <si>
    <t>Company Number</t>
  </si>
  <si>
    <t>Index</t>
  </si>
  <si>
    <t>Currency</t>
  </si>
  <si>
    <t>Combi code</t>
  </si>
  <si>
    <t>GAAP Adjustment</t>
  </si>
  <si>
    <t>Conversion rate</t>
  </si>
  <si>
    <t>Amount in Reporting currency</t>
  </si>
  <si>
    <t>T Code</t>
  </si>
  <si>
    <t xml:space="preserve"> ADVANCE PAYMENT OF INCOME TAX  </t>
  </si>
  <si>
    <t>00000</t>
  </si>
  <si>
    <t xml:space="preserve"> CURRENT ACCOUNT                </t>
  </si>
  <si>
    <t xml:space="preserve"> DEPRECIATION                   </t>
  </si>
  <si>
    <t xml:space="preserve"> LOANS AND ADVANCES             </t>
  </si>
  <si>
    <t xml:space="preserve"> PROVISION FOR EMPLOYEE BENEFIT </t>
  </si>
  <si>
    <t xml:space="preserve"> RESERVES &amp; SURPLUS             </t>
  </si>
  <si>
    <t xml:space="preserve"> SECURITY &amp; OTHER DEPOSITS      </t>
  </si>
  <si>
    <t>Accrued Salaries and Benefits-Current</t>
  </si>
  <si>
    <t>Advances to Suppliers</t>
  </si>
  <si>
    <t>ARCK-Advance income tax ( Net of provision for tax )-Current</t>
  </si>
  <si>
    <t>ARCK-Input tax credit receivable-Current</t>
  </si>
  <si>
    <t>ARCK-Loans to employees-Current</t>
  </si>
  <si>
    <t>Balance with banks</t>
  </si>
  <si>
    <t>Bank Charges</t>
  </si>
  <si>
    <t>Capital redemption reserve-Opening</t>
  </si>
  <si>
    <t>Capital reserve-Opening</t>
  </si>
  <si>
    <t>Capital Work in progress</t>
  </si>
  <si>
    <t>Cash on hand</t>
  </si>
  <si>
    <t>Cheques, drafts on hand</t>
  </si>
  <si>
    <t>Closing FG-P&amp;L</t>
  </si>
  <si>
    <t>Closing RM-P&amp;L</t>
  </si>
  <si>
    <t>Closing Stock in Trade-P&amp;L</t>
  </si>
  <si>
    <t>Closing WIP-P&amp;L</t>
  </si>
  <si>
    <t>Contribution to - (i) Provident fund</t>
  </si>
  <si>
    <t>Customer and other advance received-Current</t>
  </si>
  <si>
    <t>Dealers Deposit</t>
  </si>
  <si>
    <t>Deferred Tax Liabilities (Net)</t>
  </si>
  <si>
    <t xml:space="preserve">Dividends received on investments </t>
  </si>
  <si>
    <t>Dues to Micro, small and Medium Enterprises</t>
  </si>
  <si>
    <t>Excise duty on sales</t>
  </si>
  <si>
    <t>Excise duty paid</t>
  </si>
  <si>
    <t>Factory expenses</t>
  </si>
  <si>
    <t>Finished goods</t>
  </si>
  <si>
    <t>General Reserve-Opening</t>
  </si>
  <si>
    <t>Gratuity contribution scheme</t>
  </si>
  <si>
    <t>Intangible Assets</t>
  </si>
  <si>
    <t>Interest Expenses</t>
  </si>
  <si>
    <t>Investment in other Body corporates</t>
  </si>
  <si>
    <t>Investment property-Non Current</t>
  </si>
  <si>
    <t>Investments in Equity Instruments-Non Current</t>
  </si>
  <si>
    <t>Investments in Partnership Firms-Non Current</t>
  </si>
  <si>
    <t>Loans repayable on demand- from Banks-Current</t>
  </si>
  <si>
    <t>Loans to Companies- Short term loans and advances-Current</t>
  </si>
  <si>
    <t>Long term trade receivable (deferred credit terms)</t>
  </si>
  <si>
    <t>Loose Tools</t>
  </si>
  <si>
    <t>On deposit accounts (with original maturity of 3 months or less)</t>
  </si>
  <si>
    <t>Opening FG-P&amp;L</t>
  </si>
  <si>
    <t>Opening RM-P&amp;L</t>
  </si>
  <si>
    <t>Opening Stock in Trade-P&amp;L</t>
  </si>
  <si>
    <t>Opening WIP-P&amp;L</t>
  </si>
  <si>
    <t>Other liabilities-Current</t>
  </si>
  <si>
    <t>Other loans and advances (Employees house loan)</t>
  </si>
  <si>
    <t>Other Short term loans and advances-Current</t>
  </si>
  <si>
    <t>Payment to the auditors  - auditor</t>
  </si>
  <si>
    <t>Payment to the auditors  - for other services</t>
  </si>
  <si>
    <t>Proposed dividend- Current</t>
  </si>
  <si>
    <t>Provision for employee benefits-Current</t>
  </si>
  <si>
    <t>Provision for tax on proposed dividend- Current</t>
  </si>
  <si>
    <t>Provision for taxation ( net of Advance Income tax ) - Current</t>
  </si>
  <si>
    <t>Purchases of Stock-in-Trade</t>
  </si>
  <si>
    <t>Raw Materials</t>
  </si>
  <si>
    <t>Renal receipts-Other Income</t>
  </si>
  <si>
    <t>Sale of products</t>
  </si>
  <si>
    <t>Securities Premium on issues of shares - Opening</t>
  </si>
  <si>
    <t>Share Capital (Nominal Value)</t>
  </si>
  <si>
    <t>Staff welfare expenses</t>
  </si>
  <si>
    <t>Statutory payable-Current</t>
  </si>
  <si>
    <t>Statutory reserve-Opening</t>
  </si>
  <si>
    <t>Stores and spares</t>
  </si>
  <si>
    <t>Superannuation payable-Current</t>
  </si>
  <si>
    <t>Supplier Advances</t>
  </si>
  <si>
    <t>Tangible Assets</t>
  </si>
  <si>
    <t>Tangible&amp;Intangible</t>
  </si>
  <si>
    <t>Trade Payables</t>
  </si>
  <si>
    <t>Trade receivables outstanding for more than 6 months</t>
  </si>
  <si>
    <t>Trade receivables-less than six months unsecured</t>
  </si>
  <si>
    <t>Unclaimed dividends-Current</t>
  </si>
  <si>
    <t>Unsecured, considered good-Current</t>
  </si>
  <si>
    <t>Unsecured, considered good--Loans and advances to related parties-Current</t>
  </si>
  <si>
    <t>Unsecured-Capital Advances-non Current</t>
  </si>
  <si>
    <t>Unsecured-Security Advances-non Current</t>
  </si>
  <si>
    <t>Work-in-progress</t>
  </si>
  <si>
    <t>Final Dividend</t>
  </si>
  <si>
    <t>Deferred tax (PL)</t>
  </si>
  <si>
    <t>Income tax, incl divident distribution tax</t>
  </si>
  <si>
    <t>Profit and loss account transfer to general reserve</t>
  </si>
  <si>
    <t xml:space="preserve"> PRIOR YEAR EXPENSES/ (INCOME)  </t>
  </si>
  <si>
    <t>Dummy</t>
  </si>
  <si>
    <t>Rent advances received</t>
  </si>
  <si>
    <t>Packing materials</t>
  </si>
  <si>
    <t>Closing Stock in Trade-P&amp;L-BS</t>
  </si>
  <si>
    <t>Margin money (having original maturity period more than 3 months but less than 12 months)</t>
  </si>
  <si>
    <t>Interest accrued but not due on borrowings-Current</t>
  </si>
  <si>
    <t xml:space="preserve"> Profit on sale of investments, net            </t>
  </si>
  <si>
    <t>Inter company payable-Current</t>
  </si>
  <si>
    <t>ARCK- MAT credit entitlement -Current</t>
  </si>
  <si>
    <t>26a</t>
  </si>
  <si>
    <t>26b</t>
  </si>
  <si>
    <t>26a-26b</t>
  </si>
  <si>
    <t>24a</t>
  </si>
  <si>
    <t>24-24a</t>
  </si>
  <si>
    <t>PL999</t>
  </si>
  <si>
    <t>2a</t>
  </si>
  <si>
    <t>2b</t>
  </si>
  <si>
    <t>2c</t>
  </si>
  <si>
    <t>2d</t>
  </si>
  <si>
    <t>2e</t>
  </si>
  <si>
    <t>2f</t>
  </si>
  <si>
    <t>2g</t>
  </si>
  <si>
    <t>2h</t>
  </si>
  <si>
    <t>2i</t>
  </si>
  <si>
    <r>
      <t>[</t>
    </r>
    <r>
      <rPr>
        <sz val="10"/>
        <rFont val="Arial"/>
        <family val="2"/>
      </rPr>
      <t>2a+2b+2c+2d+2e+2f+2g+2h</t>
    </r>
    <r>
      <rPr>
        <b/>
        <sz val="10"/>
        <color rgb="FFFF0000"/>
        <rFont val="Arial"/>
        <family val="2"/>
      </rPr>
      <t>-2i</t>
    </r>
    <r>
      <rPr>
        <b/>
        <sz val="10"/>
        <rFont val="Arial"/>
        <family val="2"/>
      </rPr>
      <t>]</t>
    </r>
  </si>
  <si>
    <t>Fixed</t>
  </si>
  <si>
    <t>Rs.1/-</t>
  </si>
  <si>
    <t>S.No</t>
  </si>
  <si>
    <t>Headings</t>
  </si>
  <si>
    <t>Category</t>
  </si>
  <si>
    <t>Number code</t>
  </si>
  <si>
    <t>Company Codes</t>
  </si>
  <si>
    <t>ADISONS PRECISION INSTRUMENTS MANUFACTURING COMPANY LIMITED</t>
  </si>
  <si>
    <t>ATS ELGI LIMITED</t>
  </si>
  <si>
    <t>ELGI COMPRESSORS TRADING (SHANGHAI) CO. LIMITED</t>
  </si>
  <si>
    <t>ELGI  EQUIPMENTS (ZHEJIANG) LIMITED</t>
  </si>
  <si>
    <t>ELGI GULF FZE</t>
  </si>
  <si>
    <t>ELGI COMPRESSORS DO BRASIL BRAZIL IMPORTADORA EXPORTADORE LTDA</t>
  </si>
  <si>
    <t>SAS BELAIR</t>
  </si>
  <si>
    <t>ELGI AUSTRALIA PTY LIMITED</t>
  </si>
  <si>
    <t>ELGI COMPRESSORS ITALY S.R.L.</t>
  </si>
  <si>
    <t>ROTAIR SPA</t>
  </si>
  <si>
    <t>ELGI COMPRESSORS USA INC.</t>
  </si>
  <si>
    <t>PATTONS INC.</t>
  </si>
  <si>
    <t>PATTIONS MEDICAL LLC</t>
  </si>
  <si>
    <t>L.G. BALAKRISHNAN &amp; BROS.</t>
  </si>
  <si>
    <t>ELGI SERVICES</t>
  </si>
  <si>
    <t>ELGI SAUER COMPRESSORS  LIMITED</t>
  </si>
  <si>
    <t>Combi codes</t>
  </si>
  <si>
    <t>BS</t>
  </si>
  <si>
    <t>Securities Premium on issues of shares - During the periods</t>
  </si>
  <si>
    <t>FCTR-Opening</t>
  </si>
  <si>
    <t>FCTR-During the period</t>
  </si>
  <si>
    <t>Interim Dividend</t>
  </si>
  <si>
    <t>Tax on residual dividend</t>
  </si>
  <si>
    <t>Bonds/Debentures</t>
  </si>
  <si>
    <t>Term Loans -From Banks</t>
  </si>
  <si>
    <t>Term Loans -From Other parties</t>
  </si>
  <si>
    <t>Deferred payment liabilities</t>
  </si>
  <si>
    <t>Loans and advances from Related parties</t>
  </si>
  <si>
    <t>Long Term maturities of finance lease obligations</t>
  </si>
  <si>
    <t>Other loans and advances</t>
  </si>
  <si>
    <t>Other long term liabiltiies-trade payable</t>
  </si>
  <si>
    <t>Superannuation payable-Non Current</t>
  </si>
  <si>
    <t>Forward cover payable, net-Non Current</t>
  </si>
  <si>
    <t>Unclaimed dividends -Non Current</t>
  </si>
  <si>
    <t>Advances received from customers-Non Current</t>
  </si>
  <si>
    <t>Billings in excess of revenues-Non Current</t>
  </si>
  <si>
    <t>Provision for employee benefits-Non Current</t>
  </si>
  <si>
    <t>Provision for leave benefits-Non Current</t>
  </si>
  <si>
    <t>Purchase consideration payable-Non current</t>
  </si>
  <si>
    <t>Loans repayable on demand - from other parties-Current</t>
  </si>
  <si>
    <t>Loans and advances from related parties-Current</t>
  </si>
  <si>
    <t>Deposits-Current</t>
  </si>
  <si>
    <t>Current maturities of long-term debt</t>
  </si>
  <si>
    <t>Current maturities of finance lease obligations</t>
  </si>
  <si>
    <t>Interest accrued and due on borrowings-Current</t>
  </si>
  <si>
    <t>Interest swap-Current</t>
  </si>
  <si>
    <t>Provision for leave benefits-Current</t>
  </si>
  <si>
    <t>Provision for FBT ( net of Advance Fringe Benefit tax ) -Current</t>
  </si>
  <si>
    <t>Provision for expenses- Current</t>
  </si>
  <si>
    <t>Investments in Associates-Non Current</t>
  </si>
  <si>
    <t>Investments in Preference Shares-Non Current</t>
  </si>
  <si>
    <t>Investments in Government or Trust Securities-Non Current</t>
  </si>
  <si>
    <t>Investments in Debentures or Bonds-Non Current</t>
  </si>
  <si>
    <t>Investments in Mutual Funds-Non Current</t>
  </si>
  <si>
    <t xml:space="preserve">Other non current investments </t>
  </si>
  <si>
    <t>Deferred Tax Assets (net)</t>
  </si>
  <si>
    <t>Secured-Capital Advances-non Current</t>
  </si>
  <si>
    <t>Doubtful-Capital Advances-non Current</t>
  </si>
  <si>
    <t>Allowances for Capital Advances-non Current</t>
  </si>
  <si>
    <t>Secured-Security Advances-non Current</t>
  </si>
  <si>
    <t>Doubtful-Security Advances-non Current</t>
  </si>
  <si>
    <t>Allowances for Security Advances-non Current</t>
  </si>
  <si>
    <t>Secured, considered good-Loans and advances to related parties-non Current</t>
  </si>
  <si>
    <t>Unsecured, considered good--Loans and advances to related parties-non Current</t>
  </si>
  <si>
    <t>Loans to Employees Welfare Trust-non Current</t>
  </si>
  <si>
    <t>Doubtful-Loans and advances to related parties-non Current</t>
  </si>
  <si>
    <t>Allowance for -Loans and advances to related parties-non Current</t>
  </si>
  <si>
    <t>Secured, considered good-Other loans and advances-non Current</t>
  </si>
  <si>
    <t>Unsecured, considered good-non Current</t>
  </si>
  <si>
    <t>ARCK-Loans to employees-non Current</t>
  </si>
  <si>
    <t>ARCK-Salary advance-non Current</t>
  </si>
  <si>
    <t>ARCK-Input tax credit receivable-non Current</t>
  </si>
  <si>
    <t>ARCK-Advance income tax ( Net of provision for tax )-non Current</t>
  </si>
  <si>
    <t>ARCK-MAT credit entitlement -non Current</t>
  </si>
  <si>
    <t>ARCK-Doubtful-non Current</t>
  </si>
  <si>
    <t>ARCK-Allowance -non Current</t>
  </si>
  <si>
    <t>Investment in equity instruments-Current</t>
  </si>
  <si>
    <t>Investment in preference shares-Current</t>
  </si>
  <si>
    <t>Investment in Government or Trust securities-Current</t>
  </si>
  <si>
    <t>Investment in debenture or Bonds-Current</t>
  </si>
  <si>
    <t>Investment in mutual funds-Current</t>
  </si>
  <si>
    <t>Investment in partnership firms-Current</t>
  </si>
  <si>
    <t>Other Investments -Current</t>
  </si>
  <si>
    <t>Stock-in-Trade</t>
  </si>
  <si>
    <t>Trade receivables-less than six months secured</t>
  </si>
  <si>
    <t>Trade receivables-less than six months doubtful</t>
  </si>
  <si>
    <t>Trade receivables-less than six months allowance</t>
  </si>
  <si>
    <t>Trade receivables-more than six months secured</t>
  </si>
  <si>
    <t>Trade receivables-more than six months unsecured</t>
  </si>
  <si>
    <t>Trade receivables-more than six months doubtful</t>
  </si>
  <si>
    <t>Trade receivables-more than six months allowance</t>
  </si>
  <si>
    <t>Other debts-secured-current</t>
  </si>
  <si>
    <t>Other debts-unsecured-current</t>
  </si>
  <si>
    <t>Other debts-doubtful-current</t>
  </si>
  <si>
    <t>Other debts-allowance-current</t>
  </si>
  <si>
    <t>Secured-Security Advances- Current</t>
  </si>
  <si>
    <t>Unsecured-Security Advances-Current</t>
  </si>
  <si>
    <t>Doubtful-Security Advances-Current</t>
  </si>
  <si>
    <t>Allowances for Security Advances-Current</t>
  </si>
  <si>
    <t>Secured, considered good-Loans and advances to related parties-Current</t>
  </si>
  <si>
    <t>Doubtful-Loans and advances to related parties-Current</t>
  </si>
  <si>
    <t>Allowance for -Loans and advances to related parties-Current</t>
  </si>
  <si>
    <t>Secured, considered good-Other loans and advances-Current</t>
  </si>
  <si>
    <t>ARCK-Salary advance-Current</t>
  </si>
  <si>
    <t>ARCK-Advance Fringe Benefit tax ( Net of provision for FBT )-Current</t>
  </si>
  <si>
    <t>ARCK- Doubtful-Current</t>
  </si>
  <si>
    <t>Allowance for bad and doubtful loans and advances-Current</t>
  </si>
  <si>
    <t>Other receivable- Revenues accrued and not billed</t>
  </si>
  <si>
    <t>Land- Additions</t>
  </si>
  <si>
    <t>Land- Deletions</t>
  </si>
  <si>
    <t>Building- Additions</t>
  </si>
  <si>
    <t>Plant &amp; Machinery-Additions</t>
  </si>
  <si>
    <t>Plant &amp; Machinery-Deletions</t>
  </si>
  <si>
    <t>Plant &amp; Machinery-Accumualted depreication-Opening</t>
  </si>
  <si>
    <t>Electrical installations-Additions</t>
  </si>
  <si>
    <t>Electrical installations-Deletions</t>
  </si>
  <si>
    <t>Electrical installations-Accumulated depreciation-Opening</t>
  </si>
  <si>
    <t>Office equipment-Additions</t>
  </si>
  <si>
    <t>Office equipment-Deletions</t>
  </si>
  <si>
    <t>Office equipment-Accumualted depreciation-Opening</t>
  </si>
  <si>
    <t>Furniture and Fixtures-Additions</t>
  </si>
  <si>
    <t>Furniture and Fixtures-Deletions</t>
  </si>
  <si>
    <t>Furniture and Fixtures-Accumulated depreciation-Opening</t>
  </si>
  <si>
    <t>Computers-Additions</t>
  </si>
  <si>
    <t>Computers-Deletions</t>
  </si>
  <si>
    <t>Computers-Accumulated depreciation-Opening</t>
  </si>
  <si>
    <t>Vehicle-Additions</t>
  </si>
  <si>
    <t>Vehicle-Deletions</t>
  </si>
  <si>
    <t>Vehicle-Accumualted depreciation-Opening</t>
  </si>
  <si>
    <t>Intangible assets-Additions</t>
  </si>
  <si>
    <t>Intangible assets-Deletions</t>
  </si>
  <si>
    <t>Intangible assets- Accumulated depreciation-Opening</t>
  </si>
  <si>
    <t>PL</t>
  </si>
  <si>
    <t>Contribution to  -(Ii) Superannuation scheme</t>
  </si>
  <si>
    <t>Contribution to - (iii) Other funds</t>
  </si>
  <si>
    <t>Social security and other benefit plans for overseas employees</t>
  </si>
  <si>
    <t>Expense on Employee Stock Option Scheme (ESOP) and Employee Stock Purchase Plan (ESPP)</t>
  </si>
  <si>
    <t xml:space="preserve">Salaries and bonus including overseas staff expenses* </t>
  </si>
  <si>
    <t>Contribution to Provident fund and other funds</t>
  </si>
  <si>
    <t>Expense on generation of power</t>
  </si>
  <si>
    <t>Other Borrowing Costs</t>
  </si>
  <si>
    <t>Gain/loss on foreign currency transactions and translation</t>
  </si>
  <si>
    <t>Payment to the auditors  - for taxation matters</t>
  </si>
  <si>
    <t>Payment to the auditors  - for company law matters</t>
  </si>
  <si>
    <t>Payment to the auditors  - for management services</t>
  </si>
  <si>
    <t>Payment to the auditors  - for reimbursement of expenses</t>
  </si>
  <si>
    <t>Depreciation-Plant &amp; Machinery-Additions</t>
  </si>
  <si>
    <t>Depreciation-Vehicles-Additions</t>
  </si>
  <si>
    <t>Depreciation-Office equipments-Additions</t>
  </si>
  <si>
    <t>Depreciation-Computers-Additions</t>
  </si>
  <si>
    <t>Depreciation-Furniture and fixtures-Additions</t>
  </si>
  <si>
    <t>Depreciation-Buildings-Additions</t>
  </si>
  <si>
    <t>Depreciation-Electrical installations-Addtions</t>
  </si>
  <si>
    <t>Depreciation-Intangible assets-Additions</t>
  </si>
  <si>
    <t>Building- Deletions</t>
  </si>
  <si>
    <t>Building- Accumulated depreciation</t>
  </si>
  <si>
    <t>Land-Opening</t>
  </si>
  <si>
    <t>Building-Opening</t>
  </si>
  <si>
    <t>Plant &amp; Machinery-Opening</t>
  </si>
  <si>
    <t>Electrical installations-Opening</t>
  </si>
  <si>
    <t>Office equipment-Opening</t>
  </si>
  <si>
    <t>Furniture and Fixtures-Opening</t>
  </si>
  <si>
    <t>Computers-Opening</t>
  </si>
  <si>
    <t>Vehicle-Opening</t>
  </si>
  <si>
    <t>Depreciation-Buildings-Deletions</t>
  </si>
  <si>
    <t>Depreciation-Plant &amp; Machinery-Deletions</t>
  </si>
  <si>
    <t>Depreciation-Vehicles-Deletions</t>
  </si>
  <si>
    <t>Depreciation-Office equipments-Deletions</t>
  </si>
  <si>
    <t>Depreciation-Computers-Deletions</t>
  </si>
  <si>
    <t>Depreciation-Furniture and fixtures-Deletions</t>
  </si>
  <si>
    <t>Depreciation-Electrical installations-Deletions</t>
  </si>
  <si>
    <t>Depreciation-Intangible assets-Deletions</t>
  </si>
  <si>
    <t>Depreciation-Buildings-Other adjustments</t>
  </si>
  <si>
    <t>Depreciation-Plant &amp; Machinery-Other adjustments</t>
  </si>
  <si>
    <t>Depreciation-Vehicles-Other adjustments</t>
  </si>
  <si>
    <t>Depreciation-Office equipments-Other adjustments</t>
  </si>
  <si>
    <t>Depreciation-Computers-Other adjustments</t>
  </si>
  <si>
    <t>Depreciation-Furniture and fixtures-Other adjustments</t>
  </si>
  <si>
    <t>Depreciation-Electrical installations-Other adjustments</t>
  </si>
  <si>
    <t>Depreciation-Intangible assets-Other adjustments</t>
  </si>
  <si>
    <t>Land-Other adjustments</t>
  </si>
  <si>
    <t>Buildings-Other adjustments</t>
  </si>
  <si>
    <t>Plant &amp; Machinery-Other adjustments</t>
  </si>
  <si>
    <t>Vehicles-Other adjustments</t>
  </si>
  <si>
    <t>Office equipments-Other adjustments</t>
  </si>
  <si>
    <t>Computers-Other adjustments</t>
  </si>
  <si>
    <t>Furniture and fixtures-Other adjustments</t>
  </si>
  <si>
    <t>Electrical installations-Other adjustments</t>
  </si>
  <si>
    <t>Intangible assets-Other adjustments</t>
  </si>
  <si>
    <t>Intangible assets under development</t>
  </si>
  <si>
    <t>Money received against share warrants</t>
  </si>
  <si>
    <t>Share application money pending allotment</t>
  </si>
  <si>
    <t>Goodwill on consolidation</t>
  </si>
  <si>
    <t>Capital reserve-During the period</t>
  </si>
  <si>
    <t>Capital redemption reserve-During the period</t>
  </si>
  <si>
    <t>Revaluation reserve-Opening</t>
  </si>
  <si>
    <t>Revaluation reserve reserve-During the period</t>
  </si>
  <si>
    <t>Statutory reserve-During the period</t>
  </si>
  <si>
    <t>Sundry creditors collection and remittance</t>
  </si>
  <si>
    <t>Land - Closing</t>
  </si>
  <si>
    <t>Building - Closing</t>
  </si>
  <si>
    <t>Plant &amp; Machinery - Closing</t>
  </si>
  <si>
    <t>Electrical installations - Closing</t>
  </si>
  <si>
    <t>Office equipment - Closing</t>
  </si>
  <si>
    <t>Furniture and Fixtures - Closing</t>
  </si>
  <si>
    <t>Computers - Closing</t>
  </si>
  <si>
    <t>Vehicle - Closing</t>
  </si>
  <si>
    <t>Intangible assets - Closing</t>
  </si>
  <si>
    <t>Accumulted depreciation - Building - Closing</t>
  </si>
  <si>
    <t>Accumulted depreciation - Plant &amp; Machinery - Closing</t>
  </si>
  <si>
    <t>Accumulted depreciation - Electrical installations - Closing</t>
  </si>
  <si>
    <t>Accumulted depreciation - Office equipment - Closing</t>
  </si>
  <si>
    <t>Accumulted depreciation - Furniture and Fixtures - Closing</t>
  </si>
  <si>
    <t>Accumulted depreciation - Computers - Closing</t>
  </si>
  <si>
    <t>Accumulted depreciation - Vehicle - Closing</t>
  </si>
  <si>
    <t>Accumulted depreciation - Intangible assets - Closing</t>
  </si>
  <si>
    <t>Unamortized ancilarry borrwing cost-Non current</t>
  </si>
  <si>
    <t>Purchase consideration payable-current</t>
  </si>
  <si>
    <t>Other current assets</t>
  </si>
  <si>
    <t>Profit and loss account - Opening</t>
  </si>
  <si>
    <t>Depreciation Total  - P&amp;L</t>
  </si>
  <si>
    <t>Tangible Assets - Net</t>
  </si>
  <si>
    <t>Intangible Assets - Net</t>
  </si>
  <si>
    <t xml:space="preserve"> Assets condemned &amp; written off </t>
  </si>
  <si>
    <t>NOTE NO</t>
  </si>
  <si>
    <t>PL224</t>
  </si>
  <si>
    <t>2015-16</t>
  </si>
  <si>
    <t>S.No.</t>
  </si>
  <si>
    <t>Company No.</t>
  </si>
  <si>
    <t>Name of the Company</t>
  </si>
  <si>
    <t>Country</t>
  </si>
  <si>
    <t>Legal status</t>
  </si>
  <si>
    <t>Relationship</t>
  </si>
  <si>
    <t>Control</t>
  </si>
  <si>
    <t>Type/Division</t>
  </si>
  <si>
    <t>Local reporting GAAP</t>
  </si>
  <si>
    <t>INDIA</t>
  </si>
  <si>
    <t>COMPANY/COMPANY EQUIVALENT</t>
  </si>
  <si>
    <t>PARENT</t>
  </si>
  <si>
    <t>NA</t>
  </si>
  <si>
    <t>INR</t>
  </si>
  <si>
    <t>INDIAN GAAP</t>
  </si>
  <si>
    <t>SUBSIDIARY</t>
  </si>
  <si>
    <t>CHINA</t>
  </si>
  <si>
    <t>RMB</t>
  </si>
  <si>
    <t>UAE</t>
  </si>
  <si>
    <t>AED</t>
  </si>
  <si>
    <t>BRAZIL</t>
  </si>
  <si>
    <t>BRL</t>
  </si>
  <si>
    <t>FRANCE</t>
  </si>
  <si>
    <t>EUR</t>
  </si>
  <si>
    <t>AUSTRALIA</t>
  </si>
  <si>
    <t>AUD</t>
  </si>
  <si>
    <t>ITALY</t>
  </si>
  <si>
    <t>CHAIN SUBSIDIARY</t>
  </si>
  <si>
    <t>USA</t>
  </si>
  <si>
    <t>USD</t>
  </si>
  <si>
    <t>ELGI INDONESIA</t>
  </si>
  <si>
    <t>INDONESIA</t>
  </si>
  <si>
    <t xml:space="preserve">PARTNERSHIP </t>
  </si>
  <si>
    <t>JOINT VENTURE</t>
  </si>
  <si>
    <t>As at 31 03 2015</t>
  </si>
  <si>
    <t>Amount in INR</t>
  </si>
  <si>
    <t>10000000000</t>
  </si>
  <si>
    <t>100000PL222</t>
  </si>
  <si>
    <t>100000BS331</t>
  </si>
  <si>
    <t>100000BS299</t>
  </si>
  <si>
    <t>100000BS145</t>
  </si>
  <si>
    <t>100000BS298</t>
  </si>
  <si>
    <t>100000PL173</t>
  </si>
  <si>
    <t>100000PL161</t>
  </si>
  <si>
    <t>100000BS234</t>
  </si>
  <si>
    <t>100000BS233</t>
  </si>
  <si>
    <t>100000BS231</t>
  </si>
  <si>
    <t>100000PL163</t>
  </si>
  <si>
    <t>100000BS218</t>
  </si>
  <si>
    <t>100000BS216</t>
  </si>
  <si>
    <t>100000PL206</t>
  </si>
  <si>
    <t>100000BS291</t>
  </si>
  <si>
    <t>100000BS289</t>
  </si>
  <si>
    <t>100000BS284</t>
  </si>
  <si>
    <t>100000BS215</t>
  </si>
  <si>
    <t>100000BS325</t>
  </si>
  <si>
    <t>100000PL216</t>
  </si>
  <si>
    <t>100000PL220</t>
  </si>
  <si>
    <t>100000PL218</t>
  </si>
  <si>
    <t>100000PL217</t>
  </si>
  <si>
    <t>100000PL167</t>
  </si>
  <si>
    <t>100000PL154</t>
  </si>
  <si>
    <t>100000PL140</t>
  </si>
  <si>
    <t>100000PL120</t>
  </si>
  <si>
    <t>100000BS143</t>
  </si>
  <si>
    <t>100000BS301</t>
  </si>
  <si>
    <t>100000BS120</t>
  </si>
  <si>
    <t>100000PL169</t>
  </si>
  <si>
    <t>100000PL106</t>
  </si>
  <si>
    <t>100000PL168</t>
  </si>
  <si>
    <t>100000BS300</t>
  </si>
  <si>
    <t>100000PL103</t>
  </si>
  <si>
    <t>100000PL142</t>
  </si>
  <si>
    <t>100000PL205</t>
  </si>
  <si>
    <t>100000BS198</t>
  </si>
  <si>
    <t>100000BS103</t>
  </si>
  <si>
    <t>100000PL123</t>
  </si>
  <si>
    <t>100000PL164</t>
  </si>
  <si>
    <t>100000BS333</t>
  </si>
  <si>
    <t>100000BS239</t>
  </si>
  <si>
    <t>100000PL130</t>
  </si>
  <si>
    <t>100000PL104</t>
  </si>
  <si>
    <t>100000BS327</t>
  </si>
  <si>
    <t>100000BS155</t>
  </si>
  <si>
    <t>100000BS156</t>
  </si>
  <si>
    <t>100000BS162</t>
  </si>
  <si>
    <t>100000BS130</t>
  </si>
  <si>
    <t>100000BS320</t>
  </si>
  <si>
    <t>100000BS187</t>
  </si>
  <si>
    <t>100000BS201</t>
  </si>
  <si>
    <t>100000PL119</t>
  </si>
  <si>
    <t>100000PL175</t>
  </si>
  <si>
    <t>100000PL111</t>
  </si>
  <si>
    <t>100000PL176</t>
  </si>
  <si>
    <t>100000BS326</t>
  </si>
  <si>
    <t>100000PL213</t>
  </si>
  <si>
    <t>100000PL219</t>
  </si>
  <si>
    <t>100000PL215</t>
  </si>
  <si>
    <t>100000PL214</t>
  </si>
  <si>
    <t>100000BS144</t>
  </si>
  <si>
    <t>100000BS180</t>
  </si>
  <si>
    <t>100000PL102</t>
  </si>
  <si>
    <t>100000BS321</t>
  </si>
  <si>
    <t>100000PL172</t>
  </si>
  <si>
    <t>100000PL133</t>
  </si>
  <si>
    <t>100000PL137</t>
  </si>
  <si>
    <t>100000PL208</t>
  </si>
  <si>
    <t>100000PL156</t>
  </si>
  <si>
    <t>100000BS302</t>
  </si>
  <si>
    <t>100000PL165</t>
  </si>
  <si>
    <t>100000PL155</t>
  </si>
  <si>
    <t>100000BS152</t>
  </si>
  <si>
    <t>100000BS148</t>
  </si>
  <si>
    <t>100000BS153</t>
  </si>
  <si>
    <t>100000BS150</t>
  </si>
  <si>
    <t>100000PL114</t>
  </si>
  <si>
    <t>100000PL117</t>
  </si>
  <si>
    <t>100000PL166</t>
  </si>
  <si>
    <t>100000BS196</t>
  </si>
  <si>
    <t>100000PL209</t>
  </si>
  <si>
    <t>100000PL157</t>
  </si>
  <si>
    <t>100000PL159</t>
  </si>
  <si>
    <t>100000PL158</t>
  </si>
  <si>
    <t>100000PL160</t>
  </si>
  <si>
    <t>100000PL170</t>
  </si>
  <si>
    <t>100000PL210</t>
  </si>
  <si>
    <t>100000PL118</t>
  </si>
  <si>
    <t>100000PL100</t>
  </si>
  <si>
    <t>100000PL101</t>
  </si>
  <si>
    <t>100000BS101</t>
  </si>
  <si>
    <t>100000PL145</t>
  </si>
  <si>
    <t>100000BS323</t>
  </si>
  <si>
    <t>100000BS100</t>
  </si>
  <si>
    <t>100000PL126</t>
  </si>
  <si>
    <t>100000BS147</t>
  </si>
  <si>
    <t>100000BS295</t>
  </si>
  <si>
    <t>100000BS200</t>
  </si>
  <si>
    <t>100000PL151</t>
  </si>
  <si>
    <t>100000BS141</t>
  </si>
  <si>
    <t>100000BS135</t>
  </si>
  <si>
    <t>100000BS332</t>
  </si>
  <si>
    <t>100000PL221</t>
  </si>
  <si>
    <t>100000BS208</t>
  </si>
  <si>
    <t>100000BS204</t>
  </si>
  <si>
    <t>100000PL174</t>
  </si>
  <si>
    <t>100000PL153</t>
  </si>
  <si>
    <t>100000BS140</t>
  </si>
  <si>
    <t>100000BS229</t>
  </si>
  <si>
    <t>100000BS225</t>
  </si>
  <si>
    <t>100000BS166</t>
  </si>
  <si>
    <t>100000BS170</t>
  </si>
  <si>
    <t>100000BS322</t>
  </si>
  <si>
    <t>100000PL147</t>
  </si>
  <si>
    <t>100000BS197</t>
  </si>
  <si>
    <t>100000PL211</t>
  </si>
  <si>
    <t>100000BS107</t>
  </si>
  <si>
    <t>100000PL186</t>
  </si>
  <si>
    <t>100000PL185</t>
  </si>
  <si>
    <t>100000BS111</t>
  </si>
  <si>
    <t>100000BS108</t>
  </si>
  <si>
    <t>100000PL112</t>
  </si>
  <si>
    <t>100000Dummy</t>
  </si>
  <si>
    <t>100000BS324</t>
  </si>
  <si>
    <t>100000BS202</t>
  </si>
  <si>
    <t>100000BS199</t>
  </si>
  <si>
    <t>100000BS219</t>
  </si>
  <si>
    <t>100000BS138</t>
  </si>
  <si>
    <t>100000PL108</t>
  </si>
  <si>
    <t>100000BS146</t>
  </si>
  <si>
    <t>100000BS230</t>
  </si>
  <si>
    <t>100000</t>
  </si>
  <si>
    <t xml:space="preserve">SHARE CAPITAL                  </t>
  </si>
  <si>
    <t>100001BS100</t>
  </si>
  <si>
    <t>Revaluation Reserve</t>
  </si>
  <si>
    <t>100001BS293</t>
  </si>
  <si>
    <t>Capital redemption reserve</t>
  </si>
  <si>
    <t>100001BS291</t>
  </si>
  <si>
    <t xml:space="preserve">SHARE PREMIUM                  </t>
  </si>
  <si>
    <t>100001BS101</t>
  </si>
  <si>
    <t xml:space="preserve">GENERAL RESERVE                </t>
  </si>
  <si>
    <t>100001BS103</t>
  </si>
  <si>
    <t xml:space="preserve">BALANCE IN PROFIT AND LOSS A/C </t>
  </si>
  <si>
    <t>100001BS331</t>
  </si>
  <si>
    <t xml:space="preserve">S.Crs-Liability for Expenses   </t>
  </si>
  <si>
    <t>100001BS135</t>
  </si>
  <si>
    <t>100001BS150</t>
  </si>
  <si>
    <t xml:space="preserve">S.Crs - RENT ADVANCE RECEIVED  </t>
  </si>
  <si>
    <t>100001BS324</t>
  </si>
  <si>
    <t xml:space="preserve">LAND - TRICHY ROAD,COIMBATORE  </t>
  </si>
  <si>
    <t>100001BS332</t>
  </si>
  <si>
    <t xml:space="preserve">BUILDING                       </t>
  </si>
  <si>
    <t xml:space="preserve">DEPRECIATION RESERVE-BUILDING  </t>
  </si>
  <si>
    <t>BUILDING-REVALUATION</t>
  </si>
  <si>
    <t>DEPRECIATION RESERVE-BUILDING  REVALUATION</t>
  </si>
  <si>
    <t>OFFICE EQUIPMENTS</t>
  </si>
  <si>
    <t xml:space="preserve">ELECTRICAL FITTINGS            </t>
  </si>
  <si>
    <t xml:space="preserve">DEPRECIATION RESERVE-ELE.FITTG </t>
  </si>
  <si>
    <t>Investment in equity instruments</t>
  </si>
  <si>
    <t>100001BS156</t>
  </si>
  <si>
    <t>CBI BANK</t>
  </si>
  <si>
    <t>100001BS216</t>
  </si>
  <si>
    <t xml:space="preserve">CASH ON HAND                   </t>
  </si>
  <si>
    <t>100001BS215</t>
  </si>
  <si>
    <t xml:space="preserve">INCOME/REFUND RECIVABLES       </t>
  </si>
  <si>
    <t>100001BS229</t>
  </si>
  <si>
    <t>TDS RECEIVABLES</t>
  </si>
  <si>
    <t>100001BS234</t>
  </si>
  <si>
    <t xml:space="preserve">ADVANCE PAYMENT OF IT          </t>
  </si>
  <si>
    <t xml:space="preserve">RENT RECEIPTS </t>
  </si>
  <si>
    <t>100001PL209</t>
  </si>
  <si>
    <t>AUDIT FEES-REMUNERATION</t>
  </si>
  <si>
    <t>100001PL133</t>
  </si>
  <si>
    <t>MISC EXP-FILING FEES</t>
  </si>
  <si>
    <t>100001PL175</t>
  </si>
  <si>
    <t>ACCOUNTANCY CHARGES - OTHERS</t>
  </si>
  <si>
    <t>100001PL155</t>
  </si>
  <si>
    <t>DEPRECIATION</t>
  </si>
  <si>
    <t>100001PL222</t>
  </si>
  <si>
    <t>Rep.Maint - Building</t>
  </si>
  <si>
    <t>100001PL158</t>
  </si>
  <si>
    <t>100001PL185</t>
  </si>
  <si>
    <t>RATES &amp; TAXES-OTHERS</t>
  </si>
  <si>
    <t>100001PL166</t>
  </si>
  <si>
    <t>100001</t>
  </si>
  <si>
    <t>100002BS100</t>
  </si>
  <si>
    <t>100002BS101</t>
  </si>
  <si>
    <t>100002BS103</t>
  </si>
  <si>
    <t>PROFIT AND LOSS OPENING</t>
  </si>
  <si>
    <t>100002BS331</t>
  </si>
  <si>
    <t xml:space="preserve">DEFERRED TAX LIABILITY (B/S)   </t>
  </si>
  <si>
    <t>100002BS120</t>
  </si>
  <si>
    <t>Provision for employee benefits</t>
  </si>
  <si>
    <t>100002BS127</t>
  </si>
  <si>
    <t>Long term provisions</t>
  </si>
  <si>
    <t>100002BS128</t>
  </si>
  <si>
    <t>BS128</t>
  </si>
  <si>
    <t xml:space="preserve">SUNDRY CREDITORS - TOTAL       </t>
  </si>
  <si>
    <t>100002BS135</t>
  </si>
  <si>
    <t>ACCEPTANCES</t>
  </si>
  <si>
    <t>100002BS299</t>
  </si>
  <si>
    <t>DUE TO MICRO, SMALL AND MEDIUM ENTERPRISES</t>
  </si>
  <si>
    <t>100002BS300</t>
  </si>
  <si>
    <t>ADVANCE FROM CUSTOMERS</t>
  </si>
  <si>
    <t>100002BS143</t>
  </si>
  <si>
    <t xml:space="preserve">DEALERS DEPOSITS               </t>
  </si>
  <si>
    <t>100002BS301</t>
  </si>
  <si>
    <t xml:space="preserve">EPAD - COLLECTION &amp; REMITANCE  </t>
  </si>
  <si>
    <t>100002BS145</t>
  </si>
  <si>
    <t xml:space="preserve">TDS - COLLECTION &amp; REMITANCE   </t>
  </si>
  <si>
    <t>100002BS147</t>
  </si>
  <si>
    <t xml:space="preserve">PROVISION FOR EMPLOYEE BENEFIT </t>
  </si>
  <si>
    <t>100002BS148</t>
  </si>
  <si>
    <t>PROVISION FOR INCOME TAX</t>
  </si>
  <si>
    <t>100002BS150</t>
  </si>
  <si>
    <t>PROVISION FOR DIVIDEND</t>
  </si>
  <si>
    <t>100002BS152</t>
  </si>
  <si>
    <t>100002BS153</t>
  </si>
  <si>
    <t>SALES TAX SERVICE TAX PAYABLE</t>
  </si>
  <si>
    <t>OTHER PROVISIONS</t>
  </si>
  <si>
    <t>100002BS297</t>
  </si>
  <si>
    <t xml:space="preserve">BUILDING UNDER CONSTRUCTION    </t>
  </si>
  <si>
    <t>100002BS284</t>
  </si>
  <si>
    <t xml:space="preserve">PLANT &amp; MACHINERY-UNDER INSTAL </t>
  </si>
  <si>
    <t xml:space="preserve"> WIP-FURNITURE &amp; OFFICE EQUIP   </t>
  </si>
  <si>
    <t>Capital advances</t>
  </si>
  <si>
    <t>100002BS166</t>
  </si>
  <si>
    <t xml:space="preserve">SECURITY &amp; OTHER DEPOSITS      </t>
  </si>
  <si>
    <t>100002BS170</t>
  </si>
  <si>
    <t>EMPLOYEE HOUSING LOANS</t>
  </si>
  <si>
    <t>100002BS180</t>
  </si>
  <si>
    <t xml:space="preserve">CL. STOCK -RAW MATERIALS       </t>
  </si>
  <si>
    <t>100002BS196</t>
  </si>
  <si>
    <t xml:space="preserve">CL. STOCK -WIP                 </t>
  </si>
  <si>
    <t>100002BS197</t>
  </si>
  <si>
    <t xml:space="preserve">CL. STOCK -FINISHED GOODS      </t>
  </si>
  <si>
    <t>100002BS198</t>
  </si>
  <si>
    <t>CL. STOCK - IN TRADE</t>
  </si>
  <si>
    <t>100002BS199</t>
  </si>
  <si>
    <t xml:space="preserve">CONSUMABLE STORES - AT COST    </t>
  </si>
  <si>
    <t>100002BS200</t>
  </si>
  <si>
    <t xml:space="preserve">LOOSE TOOLS &amp;  SPARES-AT COST  </t>
  </si>
  <si>
    <t>100002BS201</t>
  </si>
  <si>
    <t xml:space="preserve">CL. STOCK -PACKING MATERIALS   </t>
  </si>
  <si>
    <t>100002BS202</t>
  </si>
  <si>
    <t>TRADE RECEIVABLES-MORE THAN 6 MONTHS</t>
  </si>
  <si>
    <t>100002BS208</t>
  </si>
  <si>
    <t>TRADE RECEIVABLES-LESS THAN 6 MONTHS</t>
  </si>
  <si>
    <t>100002BS204</t>
  </si>
  <si>
    <t xml:space="preserve">CURRENT ACCOUNT                </t>
  </si>
  <si>
    <t>100002BS216</t>
  </si>
  <si>
    <t xml:space="preserve">FIXED DEPOSIT                  </t>
  </si>
  <si>
    <t>100002BS326</t>
  </si>
  <si>
    <t>Deposits (having original maturity period more than 3 months but less than 12 months)</t>
  </si>
  <si>
    <t>100002BS217</t>
  </si>
  <si>
    <t>CASH IN HAND</t>
  </si>
  <si>
    <t>100002BS215</t>
  </si>
  <si>
    <t>ADVANCE TO SUPPLIERS</t>
  </si>
  <si>
    <t>100002BS298</t>
  </si>
  <si>
    <t>EMPLOYEE ADVANCES</t>
  </si>
  <si>
    <t>100002BS231</t>
  </si>
  <si>
    <t>OTHERS  LOANS ADVANCES- SHORT TERM</t>
  </si>
  <si>
    <t>100002BS229</t>
  </si>
  <si>
    <t>CENVAT RECEIVABLE</t>
  </si>
  <si>
    <t>100002BS233</t>
  </si>
  <si>
    <t>SERVICE TAX CREDIT (EXCESS)</t>
  </si>
  <si>
    <t>INTEREST ACCRUED</t>
  </si>
  <si>
    <t>100002BS239</t>
  </si>
  <si>
    <t>INCOME TAX REFUND RECEIVABLE</t>
  </si>
  <si>
    <t>100002BS238</t>
  </si>
  <si>
    <t>ADVANCE TAX / TDS RECEIVABLES</t>
  </si>
  <si>
    <t>100002BS234</t>
  </si>
  <si>
    <t xml:space="preserve">PREPAID EXPENSES               </t>
  </si>
  <si>
    <t>100002BS302</t>
  </si>
  <si>
    <t xml:space="preserve"> Adv.Rec.-S T Receivable       </t>
  </si>
  <si>
    <t>100002BS322</t>
  </si>
  <si>
    <t>USED CAR PROJECT EXPENSES</t>
  </si>
  <si>
    <t>100002BS330</t>
  </si>
  <si>
    <t xml:space="preserve">GROSS SALES                    </t>
  </si>
  <si>
    <t>100002PL100</t>
  </si>
  <si>
    <t>SALE OF SERVICES</t>
  </si>
  <si>
    <t>100002PL101</t>
  </si>
  <si>
    <t>PROFIT ON SALES OF ASSETS</t>
  </si>
  <si>
    <t>100002PL112</t>
  </si>
  <si>
    <t>OTHER OPERATING INCOME</t>
  </si>
  <si>
    <t>100002PL102</t>
  </si>
  <si>
    <t>EXCISE DUTY</t>
  </si>
  <si>
    <t>100002PL103</t>
  </si>
  <si>
    <t xml:space="preserve">INTEREST RECEIPTS              </t>
  </si>
  <si>
    <t>100002PL105</t>
  </si>
  <si>
    <t>OTHER INCOME</t>
  </si>
  <si>
    <t>100002PL111</t>
  </si>
  <si>
    <t>INTEREST INCOME - FROM BANKS</t>
  </si>
  <si>
    <t>100002PL104</t>
  </si>
  <si>
    <t>PURCHASES - EXCLUDING PURCHASE OF STOCK IN TRADE</t>
  </si>
  <si>
    <t>100002PL114</t>
  </si>
  <si>
    <t>100002PL220</t>
  </si>
  <si>
    <t>OPENING RAW MATERIAL</t>
  </si>
  <si>
    <t>100002PL219</t>
  </si>
  <si>
    <t>PURCHASES - TRADED GOODS</t>
  </si>
  <si>
    <t>100002PL117</t>
  </si>
  <si>
    <t>OPENING STOCK OF WIP</t>
  </si>
  <si>
    <t>100002PL214</t>
  </si>
  <si>
    <t>OPENING STOCK IN TRADE</t>
  </si>
  <si>
    <t>100002PL215</t>
  </si>
  <si>
    <t>OPENING STOCK OF FINISHED GOODS</t>
  </si>
  <si>
    <t>100002PL213</t>
  </si>
  <si>
    <t>100002PL217</t>
  </si>
  <si>
    <t>100002PL216</t>
  </si>
  <si>
    <t xml:space="preserve">CL. STOCK -TRADED GOODS      </t>
  </si>
  <si>
    <t>100002PL218</t>
  </si>
  <si>
    <t xml:space="preserve">SALARIES &amp; WAGES  AND BONUS           </t>
  </si>
  <si>
    <t>100002PL118</t>
  </si>
  <si>
    <t>GRATUITY</t>
  </si>
  <si>
    <t>100002PL123</t>
  </si>
  <si>
    <t>PERFORMANCE PAY</t>
  </si>
  <si>
    <t>100002PL208</t>
  </si>
  <si>
    <t>CONTRIBUTION TO PROVIDEND AND SUPER ANNUATION FUND</t>
  </si>
  <si>
    <t>100002PL120</t>
  </si>
  <si>
    <t>WELFARE EXPENSES</t>
  </si>
  <si>
    <t>100002PL126</t>
  </si>
  <si>
    <t>MD's REMUNERATION</t>
  </si>
  <si>
    <t>100002PL119</t>
  </si>
  <si>
    <t>PACKING CHARGES</t>
  </si>
  <si>
    <t>100002PL172</t>
  </si>
  <si>
    <t>CONSUMPTION OF STORES</t>
  </si>
  <si>
    <t>100002PL140</t>
  </si>
  <si>
    <t>TOOLS CONSUMED</t>
  </si>
  <si>
    <t>100002PL221</t>
  </si>
  <si>
    <t xml:space="preserve">COMMISSION AND DISCOUNT    </t>
  </si>
  <si>
    <t>100002PL167</t>
  </si>
  <si>
    <t>POWER,FUEL &amp; LIGHTING</t>
  </si>
  <si>
    <t>100002PL156</t>
  </si>
  <si>
    <t>TRANSPORT CHARGES</t>
  </si>
  <si>
    <t>100002PL174</t>
  </si>
  <si>
    <t>COMMUNICATION COST</t>
  </si>
  <si>
    <t>100002PL154</t>
  </si>
  <si>
    <t>TRAVELLING AND CONVEYANCE</t>
  </si>
  <si>
    <t>100002PL153</t>
  </si>
  <si>
    <t>INSURANCE</t>
  </si>
  <si>
    <t>100002PL164</t>
  </si>
  <si>
    <t>ADVERTISEMENT AND PUBLICITY</t>
  </si>
  <si>
    <t>100002PL173</t>
  </si>
  <si>
    <t>REPAIRS AND MAINT. OF MACHINERY</t>
  </si>
  <si>
    <t>100002PL159</t>
  </si>
  <si>
    <t>REPAIRS AND MAINT. OF BUILDING</t>
  </si>
  <si>
    <t>100002PL158</t>
  </si>
  <si>
    <t>REPAIRS AND MAINT. OF OTHER ASSETS</t>
  </si>
  <si>
    <t>100002PL160</t>
  </si>
  <si>
    <t>PRINTING AND STATIONERY</t>
  </si>
  <si>
    <t>100002PL165</t>
  </si>
  <si>
    <t>RESEARCH AND DEVELMENT EXPENSES</t>
  </si>
  <si>
    <t>100002PL170</t>
  </si>
  <si>
    <t>BAD DEBTS WRITTEN OFF</t>
  </si>
  <si>
    <t>100002PL163</t>
  </si>
  <si>
    <t>AFTER SALES EXPENSES</t>
  </si>
  <si>
    <t>100002PL161</t>
  </si>
  <si>
    <t>FACTORY EXPENSES</t>
  </si>
  <si>
    <t>100002PL205</t>
  </si>
  <si>
    <t>RATES &amp; TAX</t>
  </si>
  <si>
    <t>100002PL166</t>
  </si>
  <si>
    <t>AUDITOR'S REMUNERATION</t>
  </si>
  <si>
    <t>100002PL133</t>
  </si>
  <si>
    <t>AUDITOR'S REMUNERATION OTHER SERVICES</t>
  </si>
  <si>
    <t>100002PL137</t>
  </si>
  <si>
    <t>MISCELLANEOUS EXPENSES</t>
  </si>
  <si>
    <t>100002PL175</t>
  </si>
  <si>
    <t xml:space="preserve">SUBSCRIPTION,PERIODICALS &amp; FILING FEES  </t>
  </si>
  <si>
    <t>100002PL151</t>
  </si>
  <si>
    <t>DONATIONS</t>
  </si>
  <si>
    <t>100002PL168</t>
  </si>
  <si>
    <t>100002PL177</t>
  </si>
  <si>
    <t>PL177</t>
  </si>
  <si>
    <t>RENT</t>
  </si>
  <si>
    <t>100002PL157</t>
  </si>
  <si>
    <t>LEGAL AND CONSULTANCY CHARGES</t>
  </si>
  <si>
    <t>100002PL155</t>
  </si>
  <si>
    <t>DIRECTORS'SITTING FEES</t>
  </si>
  <si>
    <t>100002PL169</t>
  </si>
  <si>
    <t>SALES &amp; SERVICE TAX PAYMENTS</t>
  </si>
  <si>
    <t>100002PL148</t>
  </si>
  <si>
    <t>EXCHANGE FLUCTUATION (GAIN) / LOSS</t>
  </si>
  <si>
    <t>100002PL176</t>
  </si>
  <si>
    <t>EXCISE DUTY PAID</t>
  </si>
  <si>
    <t>100002PL142</t>
  </si>
  <si>
    <t>BANK CHARGES</t>
  </si>
  <si>
    <t>100002PL206</t>
  </si>
  <si>
    <t>CURRENT TAX</t>
  </si>
  <si>
    <t>100002PL185</t>
  </si>
  <si>
    <t>DEFERRED TAX</t>
  </si>
  <si>
    <t>100002PL186</t>
  </si>
  <si>
    <t>100002PL222</t>
  </si>
  <si>
    <t>TANGIBLE ASSETS - GROSS</t>
  </si>
  <si>
    <t>100002BS332</t>
  </si>
  <si>
    <t>TANGIBLE ACCUMULATED DEPREICATION-CLOSING</t>
  </si>
  <si>
    <t>INTANGIBLE ASSETS - GROSS</t>
  </si>
  <si>
    <t>INTANGIBLE ACCUMULATED DEPREICATION-CLOSING</t>
  </si>
  <si>
    <t>100002</t>
  </si>
  <si>
    <t xml:space="preserve"> RMB</t>
  </si>
  <si>
    <t>100003BS216</t>
  </si>
  <si>
    <t>Cur.account-ICBC-RMB-1204060009000013663</t>
  </si>
  <si>
    <t>Cur.account-ICBC-USD-1204060029814023873 (CAPA/C)</t>
  </si>
  <si>
    <t xml:space="preserve">Note receivable </t>
  </si>
  <si>
    <t>AR-DOMESTIC-more than 6 months</t>
  </si>
  <si>
    <t>100003BS208</t>
  </si>
  <si>
    <t>AR-DOMESTIC-less than 6 months</t>
  </si>
  <si>
    <t>100003BS204</t>
  </si>
  <si>
    <t>100003BS298</t>
  </si>
  <si>
    <t xml:space="preserve">Other Receivable- Employee </t>
  </si>
  <si>
    <t>100003BS187</t>
  </si>
  <si>
    <t>Other Receivable- EZL</t>
  </si>
  <si>
    <t>100003BS226</t>
  </si>
  <si>
    <t xml:space="preserve">Other Receivable- Others </t>
  </si>
  <si>
    <t>Other Receivable- Others - SECURITY DEPOSIT</t>
  </si>
  <si>
    <t>100003BS170</t>
  </si>
  <si>
    <t>Other Receivable- Bidding Deposit</t>
  </si>
  <si>
    <t>100003BS221</t>
  </si>
  <si>
    <t>STOCK -material and components</t>
  </si>
  <si>
    <t>100003BS199</t>
  </si>
  <si>
    <t>STOCK -FINISHED GOODS</t>
  </si>
  <si>
    <t>PREPAID EXPS-RENT</t>
  </si>
  <si>
    <t>100003BS302</t>
  </si>
  <si>
    <t>PREPAID EXPS-OTHERS</t>
  </si>
  <si>
    <t>FIXED ASSETS - TOTAL</t>
  </si>
  <si>
    <t>100003BS332</t>
  </si>
  <si>
    <t>Depreciation -Total</t>
  </si>
  <si>
    <t>Longterm Prepayments</t>
  </si>
  <si>
    <t>AP-Domestic</t>
  </si>
  <si>
    <t>100003BS135</t>
  </si>
  <si>
    <t>AP-Overseas</t>
  </si>
  <si>
    <t>AP-Estd</t>
  </si>
  <si>
    <t>Advance recd from Customer</t>
  </si>
  <si>
    <t>100003BS143</t>
  </si>
  <si>
    <t>ACCRUED PAYROLL-SALARY</t>
  </si>
  <si>
    <t>100003BS145</t>
  </si>
  <si>
    <t>Taxes and other fees payable-VAT</t>
  </si>
  <si>
    <t>100003BS147</t>
  </si>
  <si>
    <t>Individual Income tax payable</t>
  </si>
  <si>
    <t>Other payable - Telehphone &amp; Admn exps</t>
  </si>
  <si>
    <t>100003BS144</t>
  </si>
  <si>
    <t>Other payable - Employee account</t>
  </si>
  <si>
    <t>Other payable - Others</t>
  </si>
  <si>
    <t>Other payable - Technical Fee</t>
  </si>
  <si>
    <t>Other payable- Logistic Fee &amp; Freight</t>
  </si>
  <si>
    <t>Other payable-Transport outwards</t>
  </si>
  <si>
    <t xml:space="preserve">Paid-in capital </t>
  </si>
  <si>
    <t>100003BS100</t>
  </si>
  <si>
    <t>Loss and profit brought forward</t>
  </si>
  <si>
    <t>100003BS331</t>
  </si>
  <si>
    <t>Sales -Main Income</t>
  </si>
  <si>
    <t>100003PL100</t>
  </si>
  <si>
    <t>Interest Receipts</t>
  </si>
  <si>
    <t>100003PL104</t>
  </si>
  <si>
    <t>Other Income (Service &amp; Non op.revenue)</t>
  </si>
  <si>
    <t>100003PL102</t>
  </si>
  <si>
    <t>Salaries and Wages</t>
  </si>
  <si>
    <t>100003PL118</t>
  </si>
  <si>
    <t>Welfare Expenses</t>
  </si>
  <si>
    <t>100003PL126</t>
  </si>
  <si>
    <t>Depreciation</t>
  </si>
  <si>
    <t>100003PL222</t>
  </si>
  <si>
    <t>Consumption of Stores spares</t>
  </si>
  <si>
    <t>100003PL161</t>
  </si>
  <si>
    <t>Power,Fuel &amp; Lighting</t>
  </si>
  <si>
    <t>100003PL156</t>
  </si>
  <si>
    <t>Factory Expenses/Office Expense</t>
  </si>
  <si>
    <t>100003PL175</t>
  </si>
  <si>
    <t xml:space="preserve">    -Building</t>
  </si>
  <si>
    <t>100003PL158</t>
  </si>
  <si>
    <t xml:space="preserve">    -Machinary</t>
  </si>
  <si>
    <t>100003PL159</t>
  </si>
  <si>
    <t xml:space="preserve">    -Other Assets</t>
  </si>
  <si>
    <t>100003PL160</t>
  </si>
  <si>
    <t>100003PL157</t>
  </si>
  <si>
    <t>Rates &amp; Taxes</t>
  </si>
  <si>
    <t>100003PL166</t>
  </si>
  <si>
    <t>Postage, Telegrams &amp; Telephones</t>
  </si>
  <si>
    <t>100003PL154</t>
  </si>
  <si>
    <t>Travelling &amp; Conveyance</t>
  </si>
  <si>
    <t>100003PL153</t>
  </si>
  <si>
    <t>trainning</t>
  </si>
  <si>
    <t>100003PL141</t>
  </si>
  <si>
    <t>Hospitality Business</t>
  </si>
  <si>
    <t>100003PL207</t>
  </si>
  <si>
    <t>Recruitment costs</t>
  </si>
  <si>
    <t>100003PL155</t>
  </si>
  <si>
    <t>Legal and Professional Charges</t>
  </si>
  <si>
    <t xml:space="preserve">    -Audit Fees</t>
  </si>
  <si>
    <t>100003PL133</t>
  </si>
  <si>
    <t xml:space="preserve">Miscellaneous Expenses </t>
  </si>
  <si>
    <t>After Sales Expense-FOC</t>
  </si>
  <si>
    <t>100003PL173</t>
  </si>
  <si>
    <t>Transport Charges/Warehouse</t>
  </si>
  <si>
    <t>100003PL174</t>
  </si>
  <si>
    <t>Commission &amp; Discount /Technical service Fee</t>
  </si>
  <si>
    <t>100003PL167</t>
  </si>
  <si>
    <t>Loss on Exchange Fluctuation</t>
  </si>
  <si>
    <t>100003PL176</t>
  </si>
  <si>
    <t>Bank  Charges</t>
  </si>
  <si>
    <t>100003PL206</t>
  </si>
  <si>
    <t>Bad Debts Written off</t>
  </si>
  <si>
    <t>100003PL163</t>
  </si>
  <si>
    <t>OP.STOCK (P&amp;L)</t>
  </si>
  <si>
    <t>100003PL213</t>
  </si>
  <si>
    <t>PURCHASE (P&amp;L)</t>
  </si>
  <si>
    <t>100003PL117</t>
  </si>
  <si>
    <t>CL.STOCK (P&amp;L)</t>
  </si>
  <si>
    <t>100003PL216</t>
  </si>
  <si>
    <t>FCTR-F YR</t>
  </si>
  <si>
    <t>100003BS105</t>
  </si>
  <si>
    <t>FCTR - OPENING</t>
  </si>
  <si>
    <t>100003BS104</t>
  </si>
  <si>
    <t>100003</t>
  </si>
  <si>
    <t>100004BS216</t>
  </si>
  <si>
    <t>Cur.account-SBI - RMB</t>
  </si>
  <si>
    <t xml:space="preserve"> HSBC CURRENT ACCOUNT-RMB(635-01</t>
  </si>
  <si>
    <t>Cur.account-JIAXING BANK-RMB</t>
  </si>
  <si>
    <t>Cur.account-ICBC-USD-1204060029814023873 (CAPITAL A/C)</t>
  </si>
  <si>
    <t xml:space="preserve"> jiaxing bk - USD LOAN ACCOUNT </t>
  </si>
  <si>
    <t>Cur.account-ICBC-USD-120406002981402 (LOAN A/C)</t>
  </si>
  <si>
    <t>CIB－ICBC - USD SETTLEMENT</t>
  </si>
  <si>
    <t>HSBC-USD-SETTLEMENT ACCOUNT</t>
  </si>
  <si>
    <t xml:space="preserve"> HSBC 635-013071-014RMB         </t>
  </si>
  <si>
    <t>Other Monetary Funds</t>
  </si>
  <si>
    <t xml:space="preserve"> JIAXING BANK-3RD USD LOAN ACCOU</t>
  </si>
  <si>
    <t>Note receivable</t>
  </si>
  <si>
    <t>100004</t>
  </si>
  <si>
    <t>Accounts Receivable-MORE THAN 60 DAYS</t>
  </si>
  <si>
    <t>100004BS208</t>
  </si>
  <si>
    <t>Accounts Receivable-LESS THAN 60 DAYS</t>
  </si>
  <si>
    <t>100004BS204</t>
  </si>
  <si>
    <t>Advance paid to Supplier</t>
  </si>
  <si>
    <t>100004BS298</t>
  </si>
  <si>
    <t>SUBSIDIES RECEIVABLE</t>
  </si>
  <si>
    <t>Other Receivable-Employee</t>
  </si>
  <si>
    <t>100004BS187</t>
  </si>
  <si>
    <t>Other receivabe-ECS</t>
  </si>
  <si>
    <t>100004BS224</t>
  </si>
  <si>
    <t>Other receivabe-Others (HO)</t>
  </si>
  <si>
    <t>Receivable-Tax Rebate for Export</t>
  </si>
  <si>
    <t>100004BS321</t>
  </si>
  <si>
    <t>Other receivabe-Others (Security deposit)</t>
  </si>
  <si>
    <t>100004BS170</t>
  </si>
  <si>
    <t>Other Receivable-Bidding Deposit &amp; others</t>
  </si>
  <si>
    <t>100004BS221</t>
  </si>
  <si>
    <t>100004BS196</t>
  </si>
  <si>
    <t>100004BS198</t>
  </si>
  <si>
    <t>STOCK -WIP</t>
  </si>
  <si>
    <t>100004BS302</t>
  </si>
  <si>
    <t>LONGTERM PREPAID-DECORATION FEE FACTORY</t>
  </si>
  <si>
    <t>PREPAID EXPS-OTHER's</t>
  </si>
  <si>
    <t>100004BS332</t>
  </si>
  <si>
    <t>Intangible-CAD soft &amp; Solidworks</t>
  </si>
  <si>
    <t>100004BS333</t>
  </si>
  <si>
    <t>Intangible Amortization-</t>
  </si>
  <si>
    <t xml:space="preserve">Short-term borrowings-Loan </t>
  </si>
  <si>
    <t>100004BS132</t>
  </si>
  <si>
    <t xml:space="preserve">Long-term borrowings-Loan </t>
  </si>
  <si>
    <t>100004BS117</t>
  </si>
  <si>
    <t>Financial Liability - Loan from HSBC</t>
  </si>
  <si>
    <t>100004BS130</t>
  </si>
  <si>
    <t>100004BS135</t>
  </si>
  <si>
    <t>Advanced from customers</t>
  </si>
  <si>
    <t>100004BS143</t>
  </si>
  <si>
    <t>Accrued payroll - payable</t>
  </si>
  <si>
    <t>100004BS145</t>
  </si>
  <si>
    <t>Taxes and other fees payable-VAT for deduct</t>
  </si>
  <si>
    <t>100004BS233</t>
  </si>
  <si>
    <t>Taxes and other fees payable-Individual income tax</t>
  </si>
  <si>
    <t>100004BS147</t>
  </si>
  <si>
    <t xml:space="preserve">Taxes and other fees payable-Consumption tax &amp; Business tax </t>
  </si>
  <si>
    <t>Taxes and other fees payable-Vat for Export Rebate</t>
  </si>
  <si>
    <t>Taxes and other fees payable-Transfer Out of Input Vat</t>
  </si>
  <si>
    <t>Other Payable-Insurance &amp; Hsg Fund</t>
  </si>
  <si>
    <t>100004BS148</t>
  </si>
  <si>
    <t>Other Payable-Admn Exps (Security, Int &amp; Audit fee etc)</t>
  </si>
  <si>
    <t>100004BS144</t>
  </si>
  <si>
    <t>Other Payable-Employee Travel &amp; other exps</t>
  </si>
  <si>
    <t>Other Payable-ECS</t>
  </si>
  <si>
    <t>100004BS146</t>
  </si>
  <si>
    <t>Other Payable-Rent</t>
  </si>
  <si>
    <t>Other Payable-Commission &amp; Tech Fee</t>
  </si>
  <si>
    <t>Other payable-Freight &amp; Logistic Fee 
(Freight inward)</t>
  </si>
  <si>
    <t>Other payable Transport charges 
(Freight Outwards)</t>
  </si>
  <si>
    <t>Other payable -Stamp tax &amp; River construction</t>
  </si>
  <si>
    <t>100004BS100</t>
  </si>
  <si>
    <t>100004BS331</t>
  </si>
  <si>
    <t xml:space="preserve">Sales </t>
  </si>
  <si>
    <t>100004PL100</t>
  </si>
  <si>
    <t>Non Operative revenue</t>
  </si>
  <si>
    <t>100004PL102</t>
  </si>
  <si>
    <t>100004PL104</t>
  </si>
  <si>
    <t>cost of sales</t>
  </si>
  <si>
    <t>100004PL118</t>
  </si>
  <si>
    <t>100004PL126</t>
  </si>
  <si>
    <t>100004PL222</t>
  </si>
  <si>
    <t>Amortisation</t>
  </si>
  <si>
    <t>100004PL161</t>
  </si>
  <si>
    <t>100004PL156</t>
  </si>
  <si>
    <t>Factory Expenses/Office Expenses</t>
  </si>
  <si>
    <t>100004PL175</t>
  </si>
  <si>
    <t>Repairs and Maintenance of</t>
  </si>
  <si>
    <t xml:space="preserve">    -Building &amp;Office</t>
  </si>
  <si>
    <t>100004PL158</t>
  </si>
  <si>
    <t xml:space="preserve">    -Machinery</t>
  </si>
  <si>
    <t>100004PL159</t>
  </si>
  <si>
    <t xml:space="preserve">    -Vehicles</t>
  </si>
  <si>
    <t>100004PL160</t>
  </si>
  <si>
    <t>100004PL157</t>
  </si>
  <si>
    <t>100004PL166</t>
  </si>
  <si>
    <t xml:space="preserve">Printing &amp; Stationery </t>
  </si>
  <si>
    <t>100004PL165</t>
  </si>
  <si>
    <t>100004PL154</t>
  </si>
  <si>
    <t>100004PL153</t>
  </si>
  <si>
    <t>Subscription, Periodicals &amp; Filing Fees</t>
  </si>
  <si>
    <t>security fee</t>
  </si>
  <si>
    <t>100004PL141</t>
  </si>
  <si>
    <t>100004PL207</t>
  </si>
  <si>
    <t>Insurance</t>
  </si>
  <si>
    <t>100004PL164</t>
  </si>
  <si>
    <t>Donation</t>
  </si>
  <si>
    <t>100004PL168</t>
  </si>
  <si>
    <t>100004PL155</t>
  </si>
  <si>
    <t>Training Fee</t>
  </si>
  <si>
    <t>Customs clearance charges</t>
  </si>
  <si>
    <t>100004PL139</t>
  </si>
  <si>
    <t>Legal and Professional Charges / Licence &amp; Inspection charges</t>
  </si>
  <si>
    <t>Auditors' Remuneration</t>
  </si>
  <si>
    <t>100004PL133</t>
  </si>
  <si>
    <t xml:space="preserve">    -Other Services</t>
  </si>
  <si>
    <t>Miscellaneous Expenses-Bidding Fee</t>
  </si>
  <si>
    <t>After Sales Expense</t>
  </si>
  <si>
    <t>Research &amp; Development Expenses</t>
  </si>
  <si>
    <t>100004PL170</t>
  </si>
  <si>
    <t>Directors' Sitting Fees</t>
  </si>
  <si>
    <t>100004PL169</t>
  </si>
  <si>
    <t>100004PL173</t>
  </si>
  <si>
    <t>Transport Charges/Warehouse/Freight inward &amp; Outwards</t>
  </si>
  <si>
    <t>100004PL174</t>
  </si>
  <si>
    <t xml:space="preserve">Packing Material </t>
  </si>
  <si>
    <t>100004PL172</t>
  </si>
  <si>
    <t>Commission &amp; Discount/Technical Fee</t>
  </si>
  <si>
    <t>100004PL167</t>
  </si>
  <si>
    <t>Royalty Payment</t>
  </si>
  <si>
    <t>100004PL210</t>
  </si>
  <si>
    <t>Sales Tax Payments</t>
  </si>
  <si>
    <t>100004PL148</t>
  </si>
  <si>
    <t>Service Tax Payments</t>
  </si>
  <si>
    <t>Loss on Sale of Assets</t>
  </si>
  <si>
    <t>100004PL211</t>
  </si>
  <si>
    <t>100004PL163</t>
  </si>
  <si>
    <t>Loss on write-off of actionable claims</t>
  </si>
  <si>
    <t>100004PL176</t>
  </si>
  <si>
    <t>Assets Condemned &amp; Written-Off</t>
  </si>
  <si>
    <t>100004PL206</t>
  </si>
  <si>
    <t>PL335</t>
  </si>
  <si>
    <t>100004PL335</t>
  </si>
  <si>
    <t xml:space="preserve">Bank Interest </t>
  </si>
  <si>
    <t>100004PL130</t>
  </si>
  <si>
    <t>Misce -Pre Operative Exp</t>
  </si>
  <si>
    <t>Assets-Misc-B/S - CLOSING BALANCE</t>
  </si>
  <si>
    <t>OP.STOCK (P&amp;L)-RM</t>
  </si>
  <si>
    <t>100004PL219</t>
  </si>
  <si>
    <t>PURCHASE (P&amp;L)-RM</t>
  </si>
  <si>
    <t>100004PL114</t>
  </si>
  <si>
    <t>CL.STOCK (P&amp;L)-RM</t>
  </si>
  <si>
    <t>100004PL220</t>
  </si>
  <si>
    <t>OP.STOCK (P&amp;L)-FG</t>
  </si>
  <si>
    <t>100004PL213</t>
  </si>
  <si>
    <t>CL.STOCK (P&amp;L)-FG</t>
  </si>
  <si>
    <t>100004PL216</t>
  </si>
  <si>
    <t>FCTR -OPENING</t>
  </si>
  <si>
    <t>100004BS104</t>
  </si>
  <si>
    <t>FCTR FYR</t>
  </si>
  <si>
    <t>100004BS105</t>
  </si>
  <si>
    <t xml:space="preserve"> AED</t>
  </si>
  <si>
    <t xml:space="preserve"> FIXED ASSETS - TOTAL           </t>
  </si>
  <si>
    <t>100005BS332</t>
  </si>
  <si>
    <t xml:space="preserve"> CL. STOCK -FINISHED GOODS      </t>
  </si>
  <si>
    <t>100005BS199</t>
  </si>
  <si>
    <t>100005BS216</t>
  </si>
  <si>
    <t xml:space="preserve"> CASH ON HAND &amp; BANK            </t>
  </si>
  <si>
    <t>100005BS215</t>
  </si>
  <si>
    <t>Trade receivables-more than six months</t>
  </si>
  <si>
    <t>100005BS208</t>
  </si>
  <si>
    <t xml:space="preserve">Trade receivables-less than six months </t>
  </si>
  <si>
    <t>100005BS204</t>
  </si>
  <si>
    <t xml:space="preserve"> ADVANCE RECEIVED FROM CUSTOMER </t>
  </si>
  <si>
    <t>100005BS143</t>
  </si>
  <si>
    <t>100005BS180</t>
  </si>
  <si>
    <t>100005BS170</t>
  </si>
  <si>
    <t xml:space="preserve"> PREPAID EXPENSES               </t>
  </si>
  <si>
    <t>100005BS302</t>
  </si>
  <si>
    <t xml:space="preserve"> S.CRS. COLLECTION &amp; REMITANCE  </t>
  </si>
  <si>
    <t>100005BS135</t>
  </si>
  <si>
    <t>ACCOUNTS PAYABLE</t>
  </si>
  <si>
    <t>100005BS148</t>
  </si>
  <si>
    <t xml:space="preserve"> SHARE CAPITAL                  </t>
  </si>
  <si>
    <t>100005BS100</t>
  </si>
  <si>
    <t>100005BS331</t>
  </si>
  <si>
    <t xml:space="preserve"> GROSS SALES                    </t>
  </si>
  <si>
    <t>100005PL100</t>
  </si>
  <si>
    <t xml:space="preserve"> OTHER OPERATING INCOME         </t>
  </si>
  <si>
    <t>100005PL101</t>
  </si>
  <si>
    <t xml:space="preserve"> PURCHASES                      </t>
  </si>
  <si>
    <t>100005PL117</t>
  </si>
  <si>
    <t xml:space="preserve"> OP.STOCK-     FINISHED PDTS    </t>
  </si>
  <si>
    <t>100005PL215</t>
  </si>
  <si>
    <t>100005PL218</t>
  </si>
  <si>
    <t xml:space="preserve"> SALARIES AND WAGES             </t>
  </si>
  <si>
    <t>100005PL118</t>
  </si>
  <si>
    <t xml:space="preserve"> WELFARE EXPENSES               </t>
  </si>
  <si>
    <t>100005PL126</t>
  </si>
  <si>
    <t xml:space="preserve"> POWER &amp; FUEL LIGHTING          </t>
  </si>
  <si>
    <t>100005PL156</t>
  </si>
  <si>
    <t xml:space="preserve"> TOOLS CONSUMED                 </t>
  </si>
  <si>
    <t>100005PL140</t>
  </si>
  <si>
    <t xml:space="preserve">TRANSPORT CHARGES              </t>
  </si>
  <si>
    <t>100005PL174</t>
  </si>
  <si>
    <t xml:space="preserve">COMMISSION &amp; DISCOUNT          </t>
  </si>
  <si>
    <t>100005PL167</t>
  </si>
  <si>
    <t xml:space="preserve"> RENT PAYMENTS                  </t>
  </si>
  <si>
    <t>100005PL157</t>
  </si>
  <si>
    <t xml:space="preserve"> RATES &amp; TAXES                  </t>
  </si>
  <si>
    <t>100005PL166</t>
  </si>
  <si>
    <t xml:space="preserve"> POSTAGE,TELEGRAMS &amp; TELEPHONES </t>
  </si>
  <si>
    <t>100005PL154</t>
  </si>
  <si>
    <t xml:space="preserve">TRAVELLING &amp; CONVEYANCE        </t>
  </si>
  <si>
    <t>100005PL153</t>
  </si>
  <si>
    <t xml:space="preserve">SUBSCRIPTION, PERIODICALS &amp;  F </t>
  </si>
  <si>
    <t>100005PL151</t>
  </si>
  <si>
    <t xml:space="preserve">AUDITORS' REMUNERATION         </t>
  </si>
  <si>
    <t>100005PL133</t>
  </si>
  <si>
    <t xml:space="preserve">ADVERTISEMENT &amp; PUBLICITY      </t>
  </si>
  <si>
    <t>100005PL173</t>
  </si>
  <si>
    <t xml:space="preserve">INSURANCE                      </t>
  </si>
  <si>
    <t>100005PL164</t>
  </si>
  <si>
    <t xml:space="preserve">FACTORY EXPENSES               </t>
  </si>
  <si>
    <t>100005PL205</t>
  </si>
  <si>
    <t xml:space="preserve">BANK CHARGES                   </t>
  </si>
  <si>
    <t>100005PL206</t>
  </si>
  <si>
    <t xml:space="preserve">MACHINERY MAINTENANCE          </t>
  </si>
  <si>
    <t>100005PL159</t>
  </si>
  <si>
    <t xml:space="preserve">BUILDING MAINTENANCE           </t>
  </si>
  <si>
    <t>100005PL158</t>
  </si>
  <si>
    <t xml:space="preserve">VEHICLE MAINTENANCE            </t>
  </si>
  <si>
    <t>100005PL160</t>
  </si>
  <si>
    <t xml:space="preserve">MISCELLANIOUS EXPENSES         </t>
  </si>
  <si>
    <t>100005PL175</t>
  </si>
  <si>
    <t xml:space="preserve">PRINTING AND STATIONERY        </t>
  </si>
  <si>
    <t>100005PL165</t>
  </si>
  <si>
    <t>100005PL222</t>
  </si>
  <si>
    <t>100005PL163</t>
  </si>
  <si>
    <t xml:space="preserve">EXCHANGE FLUCTUATIONS          </t>
  </si>
  <si>
    <t>100005PL176</t>
  </si>
  <si>
    <t>FCTR</t>
  </si>
  <si>
    <t>100005BS105</t>
  </si>
  <si>
    <t>FCTR (op bal)</t>
  </si>
  <si>
    <t>100005BS104</t>
  </si>
  <si>
    <t>100005</t>
  </si>
  <si>
    <t xml:space="preserve"> BRL</t>
  </si>
  <si>
    <t>Share Capital</t>
  </si>
  <si>
    <t>100006BS100</t>
  </si>
  <si>
    <t>Accumulated Loss</t>
  </si>
  <si>
    <t>100006BS331</t>
  </si>
  <si>
    <t>Secured Loans from Bank</t>
  </si>
  <si>
    <t>100006BS130</t>
  </si>
  <si>
    <t>Secured Loans from ELGi India</t>
  </si>
  <si>
    <t>100006BS132</t>
  </si>
  <si>
    <t>Creditors, ELGi India - (Stock in Transit Included)</t>
  </si>
  <si>
    <t>100006BS135</t>
  </si>
  <si>
    <t>Sundry Creditors</t>
  </si>
  <si>
    <t>100006BS145</t>
  </si>
  <si>
    <t>100006BS144</t>
  </si>
  <si>
    <t>Traded Goods - (Inc. Stock in Transit)</t>
  </si>
  <si>
    <t>100006BS199</t>
  </si>
  <si>
    <t>Sundry Debtors</t>
  </si>
  <si>
    <t>100006BS204</t>
  </si>
  <si>
    <t>Sundry Debtors- More than 6 months</t>
  </si>
  <si>
    <t>100006BS208</t>
  </si>
  <si>
    <t>Cash on Hand</t>
  </si>
  <si>
    <t>100006BS215</t>
  </si>
  <si>
    <t>Current Account</t>
  </si>
  <si>
    <t>100006BS216</t>
  </si>
  <si>
    <t>100006BS232</t>
  </si>
  <si>
    <t>Tax Payable</t>
  </si>
  <si>
    <t>100006BS233</t>
  </si>
  <si>
    <t>Tax credit recoverable</t>
  </si>
  <si>
    <t>Advance Tax</t>
  </si>
  <si>
    <t>100006BS234</t>
  </si>
  <si>
    <t>Advance to Suppliers</t>
  </si>
  <si>
    <t>100006BS298</t>
  </si>
  <si>
    <t>100006</t>
  </si>
  <si>
    <t>FA - Intangibles Opening</t>
  </si>
  <si>
    <t>100006BS333</t>
  </si>
  <si>
    <t>FA - Others (Office Equ.) Opening</t>
  </si>
  <si>
    <t>100006BS332</t>
  </si>
  <si>
    <t>FA - Machinery Opening</t>
  </si>
  <si>
    <t>FA - Intangibles Addition</t>
  </si>
  <si>
    <t>FA - Others (Office Equ.) Addition</t>
  </si>
  <si>
    <t>FA - Machinery Addition</t>
  </si>
  <si>
    <t>FA - Intangibles Deletion</t>
  </si>
  <si>
    <t>FA - Others (Office Equ.) Deletion</t>
  </si>
  <si>
    <t>FA - Machinery Deletion</t>
  </si>
  <si>
    <t>FA - Intangibles Depreciation Opening</t>
  </si>
  <si>
    <t>FA - Others (Office Equ.) Depreciation Opening</t>
  </si>
  <si>
    <t>FA - Machinery Depreciation Opening</t>
  </si>
  <si>
    <t>FA - Intangibles Depreciation Addition</t>
  </si>
  <si>
    <t>FA - Others (Office Equ.) Depreciation Addition</t>
  </si>
  <si>
    <t>FA - Machinery Depreciation Addition</t>
  </si>
  <si>
    <t>Net Sales</t>
  </si>
  <si>
    <t>100006PL100</t>
  </si>
  <si>
    <t>Net Service Income</t>
  </si>
  <si>
    <t>100006PL101</t>
  </si>
  <si>
    <t>Other Revenue</t>
  </si>
  <si>
    <t>100006PL111</t>
  </si>
  <si>
    <t>Int. Income</t>
  </si>
  <si>
    <t>100006PL105</t>
  </si>
  <si>
    <t xml:space="preserve">Salaries &amp; Wages </t>
  </si>
  <si>
    <t>100006PL118</t>
  </si>
  <si>
    <t>Staff Welfare</t>
  </si>
  <si>
    <t>100006PL126</t>
  </si>
  <si>
    <t>Loan Interest &amp; Charges</t>
  </si>
  <si>
    <t>100006PL130</t>
  </si>
  <si>
    <t>Consumables</t>
  </si>
  <si>
    <t>100006PL140</t>
  </si>
  <si>
    <t>Training Expenses</t>
  </si>
  <si>
    <t>100006PL141</t>
  </si>
  <si>
    <t>Warranty Costs</t>
  </si>
  <si>
    <t>100006PL147</t>
  </si>
  <si>
    <t>Travelling and Conveyance</t>
  </si>
  <si>
    <t>100006PL153</t>
  </si>
  <si>
    <t>Communication Cost</t>
  </si>
  <si>
    <t>100006PL154</t>
  </si>
  <si>
    <t>Legal and Consultancy Charges</t>
  </si>
  <si>
    <t>100006PL155</t>
  </si>
  <si>
    <t>Power, Fuel &amp; Lighting</t>
  </si>
  <si>
    <t>100006PL156</t>
  </si>
  <si>
    <t>Rent &amp; Lease Payments</t>
  </si>
  <si>
    <t>100006PL157</t>
  </si>
  <si>
    <t>Repairs and Maint. of Machinery</t>
  </si>
  <si>
    <t>100006PL159</t>
  </si>
  <si>
    <t>Repairs and Maint. of Other Assets</t>
  </si>
  <si>
    <t>100006PL160</t>
  </si>
  <si>
    <t>100006PL158</t>
  </si>
  <si>
    <t>100006PL164</t>
  </si>
  <si>
    <t>Printing and Stationery</t>
  </si>
  <si>
    <t>100006PL165</t>
  </si>
  <si>
    <t>Rates &amp; Tax</t>
  </si>
  <si>
    <t>100006PL166</t>
  </si>
  <si>
    <t xml:space="preserve">Commission and Discount    </t>
  </si>
  <si>
    <t>100006PL167</t>
  </si>
  <si>
    <t>Advertisement and Publicity</t>
  </si>
  <si>
    <t>100006PL173</t>
  </si>
  <si>
    <t>Transport Charges</t>
  </si>
  <si>
    <t>100006PL174</t>
  </si>
  <si>
    <t>Miscellaneous Expenses</t>
  </si>
  <si>
    <t>100006PL175</t>
  </si>
  <si>
    <t>Exchange Fluctuation</t>
  </si>
  <si>
    <t>100006PL176</t>
  </si>
  <si>
    <t>Income tax</t>
  </si>
  <si>
    <t>100006PL185</t>
  </si>
  <si>
    <t>100006PL206</t>
  </si>
  <si>
    <t>100006PL222</t>
  </si>
  <si>
    <t>Op. Stock - Traded Goods</t>
  </si>
  <si>
    <t>100006PL215</t>
  </si>
  <si>
    <t>Purchase - Traded Goods</t>
  </si>
  <si>
    <t>100006PL117</t>
  </si>
  <si>
    <t>Cl. Stock - Traded Goods (Inc. Stock in Transit)</t>
  </si>
  <si>
    <t>100006PL218</t>
  </si>
  <si>
    <t>Foreign Currency Reserve</t>
  </si>
  <si>
    <t>100006BS105</t>
  </si>
  <si>
    <t xml:space="preserve"> EUR</t>
  </si>
  <si>
    <t>100007BS100</t>
  </si>
  <si>
    <t>Capital reserve</t>
  </si>
  <si>
    <t>100007BS289</t>
  </si>
  <si>
    <t>Statutory reserve (amalgamation)</t>
  </si>
  <si>
    <t>100007BS295</t>
  </si>
  <si>
    <t>Goodwill</t>
  </si>
  <si>
    <t>100007BS333</t>
  </si>
  <si>
    <t>100007BS331</t>
  </si>
  <si>
    <t>Secured Loans</t>
  </si>
  <si>
    <t>100007BS130</t>
  </si>
  <si>
    <t>Secured Loans - Elgi</t>
  </si>
  <si>
    <t>100007BS132</t>
  </si>
  <si>
    <t>Fixed Assets</t>
  </si>
  <si>
    <t>100007BS332</t>
  </si>
  <si>
    <t>Investments</t>
  </si>
  <si>
    <t>100007BS159</t>
  </si>
  <si>
    <t>Finished Goods stock in transit</t>
  </si>
  <si>
    <t>100007BS198</t>
  </si>
  <si>
    <t>Inventory Raw Materials</t>
  </si>
  <si>
    <t>100007BS196</t>
  </si>
  <si>
    <t>Inventory Finished Goods</t>
  </si>
  <si>
    <t>Advance received from customer</t>
  </si>
  <si>
    <t>100007BS125</t>
  </si>
  <si>
    <t>Sundry Debtors-More than 6 months</t>
  </si>
  <si>
    <t>100007BS208</t>
  </si>
  <si>
    <t>Sundry Debtors-Less than 6 months</t>
  </si>
  <si>
    <t>100007BS204</t>
  </si>
  <si>
    <t>100007BS215</t>
  </si>
  <si>
    <t>100007BS216</t>
  </si>
  <si>
    <t>Other Current Assets</t>
  </si>
  <si>
    <t>100007BS231</t>
  </si>
  <si>
    <t>Prepaid Expenses</t>
  </si>
  <si>
    <t>Security &amp; Other Deposits</t>
  </si>
  <si>
    <t>100007BS170</t>
  </si>
  <si>
    <t>100007BS135</t>
  </si>
  <si>
    <t>Other Current Liabilities</t>
  </si>
  <si>
    <t>100007BS145</t>
  </si>
  <si>
    <t>VAT Payable/receivable</t>
  </si>
  <si>
    <t>100007PL100</t>
  </si>
  <si>
    <t>100007PL111</t>
  </si>
  <si>
    <t>Opening Stock of Raw materials</t>
  </si>
  <si>
    <t>100007PL219</t>
  </si>
  <si>
    <t>Opening Stock of Finished Goods</t>
  </si>
  <si>
    <t>100007PL213</t>
  </si>
  <si>
    <t>Material Purchases</t>
  </si>
  <si>
    <t>100007PL114</t>
  </si>
  <si>
    <t>Purchase of traded goods</t>
  </si>
  <si>
    <t>100007PL117</t>
  </si>
  <si>
    <t>Closing Stock of Raw materials</t>
  </si>
  <si>
    <t>100007PL220</t>
  </si>
  <si>
    <t>Closing Stock of Finished Goods</t>
  </si>
  <si>
    <t>100007PL216</t>
  </si>
  <si>
    <t>Subcontracting Charges</t>
  </si>
  <si>
    <t>Excess provision - purchase &amp; W/O Stock</t>
  </si>
  <si>
    <t>Packing Charges</t>
  </si>
  <si>
    <t>100007PL172</t>
  </si>
  <si>
    <t xml:space="preserve">Consumables </t>
  </si>
  <si>
    <t>100007PL140</t>
  </si>
  <si>
    <t>100007PL167</t>
  </si>
  <si>
    <t>100007PL156</t>
  </si>
  <si>
    <t>100007PL174</t>
  </si>
  <si>
    <t>100007PL154</t>
  </si>
  <si>
    <t>100007PL153</t>
  </si>
  <si>
    <t>100007PL164</t>
  </si>
  <si>
    <t>100007PL118</t>
  </si>
  <si>
    <t>100007PL173</t>
  </si>
  <si>
    <t>Entertainment Expenses</t>
  </si>
  <si>
    <t>100007PL207</t>
  </si>
  <si>
    <t>100007PL159</t>
  </si>
  <si>
    <t>100007PL160</t>
  </si>
  <si>
    <t>100007PL165</t>
  </si>
  <si>
    <t>100007PL163</t>
  </si>
  <si>
    <t>100007PL206</t>
  </si>
  <si>
    <t>100007PL166</t>
  </si>
  <si>
    <t>Extraordinary Expense</t>
  </si>
  <si>
    <t>100007PL175</t>
  </si>
  <si>
    <t>Rent &amp; Leases Payments</t>
  </si>
  <si>
    <t>100007PL157</t>
  </si>
  <si>
    <t>100007PL155</t>
  </si>
  <si>
    <t>Repairs and Maint. of Motor Vehicle</t>
  </si>
  <si>
    <t>Gifts &amp; Compliments</t>
  </si>
  <si>
    <t>Security service Charges</t>
  </si>
  <si>
    <t>100007PL130</t>
  </si>
  <si>
    <t>100007PL222</t>
  </si>
  <si>
    <t>Forex Difference</t>
  </si>
  <si>
    <t>100007BS105</t>
  </si>
  <si>
    <t>100007BS104</t>
  </si>
  <si>
    <t>100007</t>
  </si>
  <si>
    <t xml:space="preserve"> AUD</t>
  </si>
  <si>
    <t>FURNITURE - OFFICE EQUIPMENTS</t>
  </si>
  <si>
    <t>100008BS332</t>
  </si>
  <si>
    <t>DEPRECIATION RESERVE-FURNITURE</t>
  </si>
  <si>
    <t>MOTOR VEHICLES - FOUR WHEELERS</t>
  </si>
  <si>
    <t>DEPRECIATION RESERVE - FOUR WH</t>
  </si>
  <si>
    <t>INVESTMENTS IN ELGI INDONESIA</t>
  </si>
  <si>
    <t>100008BS157</t>
  </si>
  <si>
    <t>CL. STOCK -FINISHED GOODS</t>
  </si>
  <si>
    <t>100008BS199</t>
  </si>
  <si>
    <t>HSBC AUSTRALIA BANK</t>
  </si>
  <si>
    <t>100008BS216</t>
  </si>
  <si>
    <t>ACCOUNTS RECEIVABLES less than six  months</t>
  </si>
  <si>
    <t>100008BS204</t>
  </si>
  <si>
    <t>Advance recd from customer-001</t>
  </si>
  <si>
    <t>100008BS143</t>
  </si>
  <si>
    <t>GST 10% PURCHASE</t>
  </si>
  <si>
    <t>100008BS147</t>
  </si>
  <si>
    <t>GST 10% SALES</t>
  </si>
  <si>
    <t>Withholding Tax on salary</t>
  </si>
  <si>
    <t>S.Crs-Liability for Expense</t>
  </si>
  <si>
    <t>100008BS144</t>
  </si>
  <si>
    <t>S.Crs Liability-Interest accrd</t>
  </si>
  <si>
    <t>100008BS138</t>
  </si>
  <si>
    <t>ACCOUNTS PAYABLE - IMPORTS</t>
  </si>
  <si>
    <t>100008BS135</t>
  </si>
  <si>
    <t>PROVISION FOR SUPER ANNUATION</t>
  </si>
  <si>
    <t>100008BS145</t>
  </si>
  <si>
    <t>PROVISION FOR LEAVE SALARY</t>
  </si>
  <si>
    <t>PLANT &amp; MACHINERY</t>
  </si>
  <si>
    <t>DEPRECIATION RESERVE-MACHINERY</t>
  </si>
  <si>
    <t>SECURITY DEPOSIT (Rent Deposit)</t>
  </si>
  <si>
    <t>100008BS170</t>
  </si>
  <si>
    <t>100008BS302</t>
  </si>
  <si>
    <t>SHARE CAPITAL</t>
  </si>
  <si>
    <t>100008BS100</t>
  </si>
  <si>
    <t>BALANCE IN PROFIT AND LOSS A/C</t>
  </si>
  <si>
    <t>100008BS331</t>
  </si>
  <si>
    <t>LOAN FROM PARENT COMPANY</t>
  </si>
  <si>
    <t>100008BS132</t>
  </si>
  <si>
    <t>SALES - UNITS - GST 10%</t>
  </si>
  <si>
    <t>100008PL100</t>
  </si>
  <si>
    <t>SALES - UNITS - NO TAX</t>
  </si>
  <si>
    <t>OTH.INCOME - FREIGHT</t>
  </si>
  <si>
    <t>100008PL102</t>
  </si>
  <si>
    <t>INTEREST RECD ON BANK BALANCE</t>
  </si>
  <si>
    <t>100008PL104</t>
  </si>
  <si>
    <t>PURCHASE TRADED ITEM-IMPORTS</t>
  </si>
  <si>
    <t>100008PL117</t>
  </si>
  <si>
    <t>PURCHASE -FREIGHT INWARD-SCD</t>
  </si>
  <si>
    <t>OP.STOCK- FINISHED PDTS</t>
  </si>
  <si>
    <t>100008PL215</t>
  </si>
  <si>
    <t>100008PL218</t>
  </si>
  <si>
    <t>SALARY &amp; WAGES-FACT.EST.CHGS</t>
  </si>
  <si>
    <t>100008PL118</t>
  </si>
  <si>
    <t>CONTN-Super Annuation &amp; OTHER FUND-EMPLOYER</t>
  </si>
  <si>
    <t>100008PL121</t>
  </si>
  <si>
    <t>CONTN-PF&amp;OTHER FUND-WKMEN.COMP</t>
  </si>
  <si>
    <t>100008PL122</t>
  </si>
  <si>
    <t>CONSUMPTION OF STORES-SCD</t>
  </si>
  <si>
    <t>100008PL161</t>
  </si>
  <si>
    <t>ELECTICITY CHG-HO(SC-178)</t>
  </si>
  <si>
    <t>100008PL156</t>
  </si>
  <si>
    <t>RENT-OFFICE</t>
  </si>
  <si>
    <t>100008PL157</t>
  </si>
  <si>
    <t>RATES &amp; TAXES</t>
  </si>
  <si>
    <t>100008PL166</t>
  </si>
  <si>
    <t>RATES &amp; TAXES-Trade Licence</t>
  </si>
  <si>
    <t>TELEPHONE EXP-CELL PHONE-RCIL</t>
  </si>
  <si>
    <t>100008PL154</t>
  </si>
  <si>
    <t>POSTAGE EXP.- STAMPS</t>
  </si>
  <si>
    <t>100008PL139</t>
  </si>
  <si>
    <t>TEL.EXP-NET CONNEC.DATA CARD E</t>
  </si>
  <si>
    <t>TRAVELLING DOMESTIC</t>
  </si>
  <si>
    <t>100008PL153</t>
  </si>
  <si>
    <t>CONVEYANCE EXPS-EMPLOYESS</t>
  </si>
  <si>
    <t>TRANSPORT CHGS-OUTWARD SALES</t>
  </si>
  <si>
    <t>100008PL174</t>
  </si>
  <si>
    <t>LEGAL CHARGES-ST CONSULTANCY</t>
  </si>
  <si>
    <t>100008PL155</t>
  </si>
  <si>
    <t>ACCOUNTANCY CHGS-AUDIT FEE</t>
  </si>
  <si>
    <t>100008PL133</t>
  </si>
  <si>
    <t>ADVERTISEMENT EXPENSES</t>
  </si>
  <si>
    <t>100008PL173</t>
  </si>
  <si>
    <t>INSURANCE-STOCK IN TRANSIT PRE</t>
  </si>
  <si>
    <t>100008PL164</t>
  </si>
  <si>
    <t>INSURANCE-MACHINERY FIRE</t>
  </si>
  <si>
    <t>Interest on Ho Loan</t>
  </si>
  <si>
    <t>100008PL130</t>
  </si>
  <si>
    <t>BANK CHARGES-EXP.BILLS</t>
  </si>
  <si>
    <t>100008PL206</t>
  </si>
  <si>
    <t>MACHINERY MAINTENANCE</t>
  </si>
  <si>
    <t>100008PL158</t>
  </si>
  <si>
    <t>GENERAL MAINTENANCE</t>
  </si>
  <si>
    <t>AFTER SALES SER-QA MATERIAL</t>
  </si>
  <si>
    <t>PRINTING AND STATIONERY - CATA</t>
  </si>
  <si>
    <t>100008PL165</t>
  </si>
  <si>
    <t>EXCHANGE DIFFERENCE IMPORTS</t>
  </si>
  <si>
    <t>100008PL176</t>
  </si>
  <si>
    <t>100008PL222</t>
  </si>
  <si>
    <t>ROUNDING UP DIFFERENCE-</t>
  </si>
  <si>
    <t>100008PL175</t>
  </si>
  <si>
    <t>TRANSPORT CHGS-EXPORT LOCAL</t>
  </si>
  <si>
    <t>BUILDING MAINTANANCE&amp; SPARES</t>
  </si>
  <si>
    <t>100008PL162</t>
  </si>
  <si>
    <t>100008PL163</t>
  </si>
  <si>
    <t>EXCHANGE DIFFERENCE</t>
  </si>
  <si>
    <t>COMMISSION &amp; discounts</t>
  </si>
  <si>
    <t>100008PL167</t>
  </si>
  <si>
    <t>ACCOUNTANCY CHGS-Monthly Trann</t>
  </si>
  <si>
    <t>100008PL134</t>
  </si>
  <si>
    <t>INSURANCE-EMPLOYEE (WORK COVR)</t>
  </si>
  <si>
    <t>VEHICLE MAINT-PETROL,SPARES</t>
  </si>
  <si>
    <t>100008</t>
  </si>
  <si>
    <t>FCTR- OPENING</t>
  </si>
  <si>
    <t>100008BS104</t>
  </si>
  <si>
    <t>FCTR-during the year</t>
  </si>
  <si>
    <t>100008BS105</t>
  </si>
  <si>
    <t>100009BS100</t>
  </si>
  <si>
    <t>100009BS287</t>
  </si>
  <si>
    <t>100009</t>
  </si>
  <si>
    <t>Reserves &amp; Surplus</t>
  </si>
  <si>
    <t>100009BS331</t>
  </si>
  <si>
    <t>100009BS113</t>
  </si>
  <si>
    <t>100009BS136</t>
  </si>
  <si>
    <t>Loans - From Elgi India</t>
  </si>
  <si>
    <t>100009BS132</t>
  </si>
  <si>
    <t>100009BS156</t>
  </si>
  <si>
    <t>100009BS130</t>
  </si>
  <si>
    <t>100009BS302</t>
  </si>
  <si>
    <t>100009BS135</t>
  </si>
  <si>
    <t>100009BS154</t>
  </si>
  <si>
    <t>Other Payables (contingent consideration)</t>
  </si>
  <si>
    <t>100009BS129</t>
  </si>
  <si>
    <t>Loans &amp; Advances</t>
  </si>
  <si>
    <t>100009BS298</t>
  </si>
  <si>
    <t>Deferred Tax Asset</t>
  </si>
  <si>
    <t>100009BS164</t>
  </si>
  <si>
    <t>Dividend Receivable</t>
  </si>
  <si>
    <t>100009BS152</t>
  </si>
  <si>
    <t>100009PL111</t>
  </si>
  <si>
    <t>100009PL166</t>
  </si>
  <si>
    <t>100009PL175</t>
  </si>
  <si>
    <t>100009PL155</t>
  </si>
  <si>
    <t>AUDITORS' REMUNERATION</t>
  </si>
  <si>
    <t>100009PL133</t>
  </si>
  <si>
    <t>100009PL130</t>
  </si>
  <si>
    <t>Bank charges</t>
  </si>
  <si>
    <t>Deferred Taxes</t>
  </si>
  <si>
    <t>100009PL186</t>
  </si>
  <si>
    <t>Chk Company Number</t>
  </si>
  <si>
    <t>100010BS100</t>
  </si>
  <si>
    <t>100010BS287</t>
  </si>
  <si>
    <t>100010BS331</t>
  </si>
  <si>
    <t>Dividend appropriation reserve</t>
  </si>
  <si>
    <t>100010BS107</t>
  </si>
  <si>
    <t>100010BS113</t>
  </si>
  <si>
    <t>Short term loan</t>
  </si>
  <si>
    <t>100010</t>
  </si>
  <si>
    <t>Loans - from Elgi India</t>
  </si>
  <si>
    <t>100010BS132</t>
  </si>
  <si>
    <t>100010BS332</t>
  </si>
  <si>
    <t>100010BS333</t>
  </si>
  <si>
    <t>100010BS327</t>
  </si>
  <si>
    <t>Finished Goods</t>
  </si>
  <si>
    <t>100010BS204</t>
  </si>
  <si>
    <t>Sundry Debtors - more than 6 months</t>
  </si>
  <si>
    <t>100010BS208</t>
  </si>
  <si>
    <t>Sundry Debtors - Elgi India</t>
  </si>
  <si>
    <t>100010BS215</t>
  </si>
  <si>
    <t>Deferred Tax Liability</t>
  </si>
  <si>
    <t>100010BS120</t>
  </si>
  <si>
    <t>100010BS164</t>
  </si>
  <si>
    <t>Short term provisions</t>
  </si>
  <si>
    <t>100010BS154</t>
  </si>
  <si>
    <t>100010BS302</t>
  </si>
  <si>
    <t>100010BS130</t>
  </si>
  <si>
    <t>100010BS170</t>
  </si>
  <si>
    <t>100010BS135</t>
  </si>
  <si>
    <t>Sundry Creditors - Elgi India</t>
  </si>
  <si>
    <t>Advance received from customers</t>
  </si>
  <si>
    <t>100010BS143</t>
  </si>
  <si>
    <t>Provision for Dividend</t>
  </si>
  <si>
    <t>100010BS152</t>
  </si>
  <si>
    <t>Salary Payable</t>
  </si>
  <si>
    <t>100010BS145</t>
  </si>
  <si>
    <t>VAT Payable</t>
  </si>
  <si>
    <t>100010BS322</t>
  </si>
  <si>
    <t>Provision for Depreciation</t>
  </si>
  <si>
    <t>Raw Material</t>
  </si>
  <si>
    <t>100010BS196</t>
  </si>
  <si>
    <t>WIP</t>
  </si>
  <si>
    <t>100010BS197</t>
  </si>
  <si>
    <t>FG</t>
  </si>
  <si>
    <t>100010BS198</t>
  </si>
  <si>
    <t>Income / refund receivable</t>
  </si>
  <si>
    <t>100010BS234</t>
  </si>
  <si>
    <t>VAT Receivable</t>
  </si>
  <si>
    <t>100010BS298</t>
  </si>
  <si>
    <t>Provision for Tax</t>
  </si>
  <si>
    <t>100010BS150</t>
  </si>
  <si>
    <t>100010PL100</t>
  </si>
  <si>
    <t>100010PL111</t>
  </si>
  <si>
    <t>Interest Income</t>
  </si>
  <si>
    <t>100010PL105</t>
  </si>
  <si>
    <t>Opening Inventory - RM</t>
  </si>
  <si>
    <t>100010PL219</t>
  </si>
  <si>
    <t>Opening Inventory - WIP</t>
  </si>
  <si>
    <t>100010PL214</t>
  </si>
  <si>
    <t>Opening Inventory - FG</t>
  </si>
  <si>
    <t>100010PL213</t>
  </si>
  <si>
    <t>100010PL114</t>
  </si>
  <si>
    <t>Purchases of traded goods</t>
  </si>
  <si>
    <t>100010PL117</t>
  </si>
  <si>
    <t>Closing Inventory - RM</t>
  </si>
  <si>
    <t>100010PL220</t>
  </si>
  <si>
    <t>Closing Inventory - WIP</t>
  </si>
  <si>
    <t>100010PL217</t>
  </si>
  <si>
    <t>Closing Inventory - FG</t>
  </si>
  <si>
    <t>100010PL216</t>
  </si>
  <si>
    <t>Freight inwards</t>
  </si>
  <si>
    <t>Subcontract Charges</t>
  </si>
  <si>
    <t>100010PL172</t>
  </si>
  <si>
    <t>100010PL140</t>
  </si>
  <si>
    <t>100010PL167</t>
  </si>
  <si>
    <t>100010PL156</t>
  </si>
  <si>
    <t>Transportation Charges</t>
  </si>
  <si>
    <t>100010PL174</t>
  </si>
  <si>
    <t>100010PL154</t>
  </si>
  <si>
    <t>100010PL153</t>
  </si>
  <si>
    <t>100010PL164</t>
  </si>
  <si>
    <t>100010PL118</t>
  </si>
  <si>
    <t>Contribution to Providend fund &amp; Superannuation fund</t>
  </si>
  <si>
    <t>100010PL120</t>
  </si>
  <si>
    <t>Bonus to Managers</t>
  </si>
  <si>
    <t>100010PL126</t>
  </si>
  <si>
    <t>100010PL173</t>
  </si>
  <si>
    <t>100010PL207</t>
  </si>
  <si>
    <t>100010PL159</t>
  </si>
  <si>
    <t>Repairs and Maint. Buildings</t>
  </si>
  <si>
    <t>100010PL158</t>
  </si>
  <si>
    <t>100010PL160</t>
  </si>
  <si>
    <t>Quality</t>
  </si>
  <si>
    <t>100010PL147</t>
  </si>
  <si>
    <t>100010PL165</t>
  </si>
  <si>
    <t>100010PL163</t>
  </si>
  <si>
    <t>100010PL130</t>
  </si>
  <si>
    <t>100010PL166</t>
  </si>
  <si>
    <t>Income Tax</t>
  </si>
  <si>
    <t>100010PL185</t>
  </si>
  <si>
    <t>100010PL175</t>
  </si>
  <si>
    <t>100010PL157</t>
  </si>
  <si>
    <t>Audit Fees</t>
  </si>
  <si>
    <t>100010PL133</t>
  </si>
  <si>
    <t>Extra Ordinary Expense</t>
  </si>
  <si>
    <t>100010PL155</t>
  </si>
  <si>
    <t>Extra Ordinary Income</t>
  </si>
  <si>
    <t>100010PL222</t>
  </si>
  <si>
    <t>After Sales Expenses</t>
  </si>
  <si>
    <t>100010PL161</t>
  </si>
  <si>
    <t>Subscription</t>
  </si>
  <si>
    <t>100010PL151</t>
  </si>
  <si>
    <t>Directors Sitting Fees</t>
  </si>
  <si>
    <t>Directors Remuneration</t>
  </si>
  <si>
    <t>100010PL119</t>
  </si>
  <si>
    <t>100010PL176</t>
  </si>
  <si>
    <t>Provision for dividend</t>
  </si>
  <si>
    <t xml:space="preserve"> USD</t>
  </si>
  <si>
    <t>100011BS100</t>
  </si>
  <si>
    <t>Accumulated Profit / Loss</t>
  </si>
  <si>
    <t>100011BS331</t>
  </si>
  <si>
    <t>100011BS103</t>
  </si>
  <si>
    <t>100011BS113</t>
  </si>
  <si>
    <t>100011BS130</t>
  </si>
  <si>
    <t>100011Ref 3 (Below)</t>
  </si>
  <si>
    <t>Ref 3 (Below)</t>
  </si>
  <si>
    <t>Due from Subsidiary</t>
  </si>
  <si>
    <t>100011NA</t>
  </si>
  <si>
    <t>Due to Subsidiary</t>
  </si>
  <si>
    <t>100011BS132</t>
  </si>
  <si>
    <t>100011Ref 4 (Below)</t>
  </si>
  <si>
    <t>Ref 4 (Below)</t>
  </si>
  <si>
    <t>100011BS145</t>
  </si>
  <si>
    <t>100011BS333</t>
  </si>
  <si>
    <t>100011BS332</t>
  </si>
  <si>
    <t>Accumulated Depreciation</t>
  </si>
  <si>
    <t>Security Deposit</t>
  </si>
  <si>
    <t>100011BS199</t>
  </si>
  <si>
    <t>Work in Progress</t>
  </si>
  <si>
    <t>Goods in Transit</t>
  </si>
  <si>
    <t>100011Ref 2 (Below)</t>
  </si>
  <si>
    <t>Ref 2 (Below)</t>
  </si>
  <si>
    <t>100011BS215</t>
  </si>
  <si>
    <t>100011BS216</t>
  </si>
  <si>
    <t>100011BS302</t>
  </si>
  <si>
    <t>Tax Payable/Receivable</t>
  </si>
  <si>
    <t>100011BS147</t>
  </si>
  <si>
    <t>100011BS298</t>
  </si>
  <si>
    <t>100011BS321</t>
  </si>
  <si>
    <t>Provision for Income tax</t>
  </si>
  <si>
    <t>100011BS164</t>
  </si>
  <si>
    <t>Deferred Tax</t>
  </si>
  <si>
    <t>Deferred Tax (Liability)</t>
  </si>
  <si>
    <t>100011BS120</t>
  </si>
  <si>
    <t>Others (Inter Co. Contra)</t>
  </si>
  <si>
    <t>Provision for Doubtful Debts</t>
  </si>
  <si>
    <t>100011BS208</t>
  </si>
  <si>
    <t>Investment - Patton's</t>
  </si>
  <si>
    <t>100011BS327</t>
  </si>
  <si>
    <t>100011</t>
  </si>
  <si>
    <t>Sundry Debtors - Less than 6 months</t>
  </si>
  <si>
    <t>100011BS204</t>
  </si>
  <si>
    <t>Sundry Debtors - More than 6 months</t>
  </si>
  <si>
    <t>Loan Payable to ELGi India (D'note &amp; Stock in Transit Removed)</t>
  </si>
  <si>
    <t>Creditors, ELGi India - Trade Tot. (Stock in Transit Included)</t>
  </si>
  <si>
    <t>Sundry Creditors - Trade - Others</t>
  </si>
  <si>
    <t>100011BS135</t>
  </si>
  <si>
    <t>Derivative Liab IntRate Swa</t>
  </si>
  <si>
    <t>100011BS142</t>
  </si>
  <si>
    <t>Accrued Other Liabilities</t>
  </si>
  <si>
    <t>100011BS154</t>
  </si>
  <si>
    <t>Accrued HSBC TermLoan Inter</t>
  </si>
  <si>
    <t>100011BS139</t>
  </si>
  <si>
    <t>Current Maturities of LT Debt</t>
  </si>
  <si>
    <t>100011BS136</t>
  </si>
  <si>
    <t>100011BS144</t>
  </si>
  <si>
    <t>Net Sales-Units</t>
  </si>
  <si>
    <t>100011PL100</t>
  </si>
  <si>
    <t>Net Sales-Traded Parts</t>
  </si>
  <si>
    <t>Other Operating Income</t>
  </si>
  <si>
    <t>100011PL102</t>
  </si>
  <si>
    <t>Service Income</t>
  </si>
  <si>
    <t>100011PL101</t>
  </si>
  <si>
    <t>100011PL111</t>
  </si>
  <si>
    <t>100011PL105</t>
  </si>
  <si>
    <t>Ref 1 (Below)</t>
  </si>
  <si>
    <t>Cost of Goods Sold</t>
  </si>
  <si>
    <t>100011Ref 1 (Below)</t>
  </si>
  <si>
    <t>Cost of Goods Sold-Other Spares</t>
  </si>
  <si>
    <t>After Sales COS</t>
  </si>
  <si>
    <t>100011PL161</t>
  </si>
  <si>
    <t>Salaries &amp; Wages - Service</t>
  </si>
  <si>
    <t>100011PL118</t>
  </si>
  <si>
    <t>Commission &amp; Discount</t>
  </si>
  <si>
    <t>100011PL167</t>
  </si>
  <si>
    <t>100011PL156</t>
  </si>
  <si>
    <t>Subcontracting &amp; Material Handling</t>
  </si>
  <si>
    <t>100011PL174</t>
  </si>
  <si>
    <t>Telephone &amp; Communication</t>
  </si>
  <si>
    <t>100011PL154</t>
  </si>
  <si>
    <t>100011PL153</t>
  </si>
  <si>
    <t>100011PL164</t>
  </si>
  <si>
    <t>Salaries &amp; Wages</t>
  </si>
  <si>
    <t>100011PL126</t>
  </si>
  <si>
    <t>Sales Men Commission</t>
  </si>
  <si>
    <t>100011PL173</t>
  </si>
  <si>
    <t>Repairs &amp; Maintenance (Machinery)</t>
  </si>
  <si>
    <t>100011PL159</t>
  </si>
  <si>
    <t>Repairs &amp; Maintenance (Building)</t>
  </si>
  <si>
    <t>100011PL158</t>
  </si>
  <si>
    <t>Repairs &amp; Maintenance (Vehicle)</t>
  </si>
  <si>
    <t>100011PL160</t>
  </si>
  <si>
    <t>Repairs &amp; Maintenance (Other Assets)</t>
  </si>
  <si>
    <t>Printing &amp; Stationery</t>
  </si>
  <si>
    <t>100011PL165</t>
  </si>
  <si>
    <t>100011PL163</t>
  </si>
  <si>
    <t>100011PL147</t>
  </si>
  <si>
    <t>100011PL206</t>
  </si>
  <si>
    <t>100011PL166</t>
  </si>
  <si>
    <t>Miscelleneous Expenses</t>
  </si>
  <si>
    <t>Subscription,Periodicals&amp;Filing Fee</t>
  </si>
  <si>
    <t>100011PL151</t>
  </si>
  <si>
    <t>100011PL157</t>
  </si>
  <si>
    <t>Legal &amp; Consultancy Charges</t>
  </si>
  <si>
    <t>100011PL155</t>
  </si>
  <si>
    <t>100011PL169</t>
  </si>
  <si>
    <t>100011PL141</t>
  </si>
  <si>
    <t>100011PL176</t>
  </si>
  <si>
    <t>100011PL207</t>
  </si>
  <si>
    <t>100011PL130</t>
  </si>
  <si>
    <t>Corp. O/h Distribution</t>
  </si>
  <si>
    <t>100011PL119</t>
  </si>
  <si>
    <t>Management Fees</t>
  </si>
  <si>
    <t>100011PL222</t>
  </si>
  <si>
    <t>100011PL186</t>
  </si>
  <si>
    <t>Op. Stock</t>
  </si>
  <si>
    <t>100011PL215</t>
  </si>
  <si>
    <t>Purchase</t>
  </si>
  <si>
    <t>100011PL117</t>
  </si>
  <si>
    <t>Clo. Stock</t>
  </si>
  <si>
    <t>100011PL218</t>
  </si>
  <si>
    <t>100011BS105</t>
  </si>
  <si>
    <t>100012BS100</t>
  </si>
  <si>
    <t>100012BS331</t>
  </si>
  <si>
    <t>100012BS103</t>
  </si>
  <si>
    <t>100012BS113</t>
  </si>
  <si>
    <t>100012NA</t>
  </si>
  <si>
    <t>100012BS135</t>
  </si>
  <si>
    <t>100012BS225</t>
  </si>
  <si>
    <t>100012BS132</t>
  </si>
  <si>
    <t>Due to ELGI USA</t>
  </si>
  <si>
    <t>Contingent Liability</t>
  </si>
  <si>
    <t>100012BS144</t>
  </si>
  <si>
    <t>100012BS145</t>
  </si>
  <si>
    <t>100012BS333</t>
  </si>
  <si>
    <t>100012BS332</t>
  </si>
  <si>
    <t>100012BS163</t>
  </si>
  <si>
    <t>100012BS198</t>
  </si>
  <si>
    <t>100012BS197</t>
  </si>
  <si>
    <t>100012Ref 2 (Below)</t>
  </si>
  <si>
    <t>100012BS215</t>
  </si>
  <si>
    <t>100012BS216</t>
  </si>
  <si>
    <t>100012BS330</t>
  </si>
  <si>
    <t>100012BS147</t>
  </si>
  <si>
    <t>100012BS298</t>
  </si>
  <si>
    <t>100012BS321</t>
  </si>
  <si>
    <t>Provision for Income Tax</t>
  </si>
  <si>
    <t>100012BS164</t>
  </si>
  <si>
    <t>100012BS150</t>
  </si>
  <si>
    <t>100012BS120</t>
  </si>
  <si>
    <t>100012BS208</t>
  </si>
  <si>
    <t>100012BS302</t>
  </si>
  <si>
    <t>100012BS327</t>
  </si>
  <si>
    <t>100012</t>
  </si>
  <si>
    <t>Sundry Debtors - less than 6 months</t>
  </si>
  <si>
    <t>100012BS204</t>
  </si>
  <si>
    <t>100012PL100</t>
  </si>
  <si>
    <t>100012PL102</t>
  </si>
  <si>
    <t>100012PL101</t>
  </si>
  <si>
    <t>100012PL111</t>
  </si>
  <si>
    <t>100012PL105</t>
  </si>
  <si>
    <t>100012Ref 1 (Below)</t>
  </si>
  <si>
    <t>100012PL161</t>
  </si>
  <si>
    <t>100012PL118</t>
  </si>
  <si>
    <t>100012PL167</t>
  </si>
  <si>
    <t>100012PL156</t>
  </si>
  <si>
    <t>100012PL174</t>
  </si>
  <si>
    <t>100012PL154</t>
  </si>
  <si>
    <t>100012PL153</t>
  </si>
  <si>
    <t>100012PL164</t>
  </si>
  <si>
    <t>100012PL173</t>
  </si>
  <si>
    <t>100012PL159</t>
  </si>
  <si>
    <t>100012PL158</t>
  </si>
  <si>
    <t>100012PL160</t>
  </si>
  <si>
    <t>100012PL165</t>
  </si>
  <si>
    <t>100012PL163</t>
  </si>
  <si>
    <t>100012PL206</t>
  </si>
  <si>
    <t>100012PL166</t>
  </si>
  <si>
    <t>100012PL175</t>
  </si>
  <si>
    <t>100012PL151</t>
  </si>
  <si>
    <t>100012PL157</t>
  </si>
  <si>
    <t>100012PL155</t>
  </si>
  <si>
    <t>100012PL169</t>
  </si>
  <si>
    <t>100012PL141</t>
  </si>
  <si>
    <t>100012PL176</t>
  </si>
  <si>
    <t>100012PL207</t>
  </si>
  <si>
    <t>100012PL147</t>
  </si>
  <si>
    <t>100012PL126</t>
  </si>
  <si>
    <t>100012PL130</t>
  </si>
  <si>
    <t>100012PL119</t>
  </si>
  <si>
    <t>Extra Ordinary Income (Legal)</t>
  </si>
  <si>
    <t>100012PL111/</t>
  </si>
  <si>
    <t>PL111/</t>
  </si>
  <si>
    <t>100012PL222</t>
  </si>
  <si>
    <t>Depreciation - Intangible Assets</t>
  </si>
  <si>
    <t>100012PL186</t>
  </si>
  <si>
    <t>100012PL213</t>
  </si>
  <si>
    <t>WIP (Op. Stock )</t>
  </si>
  <si>
    <t>100012PL214</t>
  </si>
  <si>
    <t>100012PL117</t>
  </si>
  <si>
    <t>WIP (Clo. Stock )</t>
  </si>
  <si>
    <t>100012PL217</t>
  </si>
  <si>
    <t>BS331/</t>
  </si>
  <si>
    <t>100012PL216</t>
  </si>
  <si>
    <t>PL215/</t>
  </si>
  <si>
    <t>Last year's inter Co. profit elimination reversal</t>
  </si>
  <si>
    <t>100012BS331/</t>
  </si>
  <si>
    <t>Last year's inter Co. stock value correction</t>
  </si>
  <si>
    <t>100012PL215/</t>
  </si>
  <si>
    <t>100012BS105</t>
  </si>
  <si>
    <t>100013</t>
  </si>
  <si>
    <t xml:space="preserve"> INR</t>
  </si>
  <si>
    <t>100014BS332</t>
  </si>
  <si>
    <t>S.Crs Liability-Employee exps</t>
  </si>
  <si>
    <t>100014BS144</t>
  </si>
  <si>
    <t>INTANGIBLE ASSETS</t>
  </si>
  <si>
    <t>100014BS333</t>
  </si>
  <si>
    <t>DEPRECIATION RESERVE-INTANGIBL</t>
  </si>
  <si>
    <t>SBI JAKARTA  - IDR CURRENT ACT</t>
  </si>
  <si>
    <t>100014BS216</t>
  </si>
  <si>
    <t>SBI JAKARTA  - USD CURRENT ACT</t>
  </si>
  <si>
    <t>Fixed Deposit with SBI</t>
  </si>
  <si>
    <t>100014BS326</t>
  </si>
  <si>
    <t>PETTY CASH -IDR CASH BOOK</t>
  </si>
  <si>
    <t>100014BS215</t>
  </si>
  <si>
    <t>BNI-JAKARTA CURRENT ACCOUNT</t>
  </si>
  <si>
    <t>ACCOUNTS RECEIVABLES</t>
  </si>
  <si>
    <t>100014BS204</t>
  </si>
  <si>
    <t>PREPAID EXPENSES</t>
  </si>
  <si>
    <t>100014BS302</t>
  </si>
  <si>
    <t>100014BS199</t>
  </si>
  <si>
    <t>ACCOUNTS RECEIVABLES-DEALERS</t>
  </si>
  <si>
    <t>100014BS143</t>
  </si>
  <si>
    <t>VAT 10% INPUT ON PURCHASE/EXPS</t>
  </si>
  <si>
    <t>100014BS182</t>
  </si>
  <si>
    <t>VAT OUTPUT 10% ON SALES</t>
  </si>
  <si>
    <t>INCOME TAX ON IMPORT (2.5%) CE</t>
  </si>
  <si>
    <t>WITHHOLDING TAX ON SALARY</t>
  </si>
  <si>
    <t>Withholdg tax pybl-service 2%</t>
  </si>
  <si>
    <t>S.Crs.liability-Freight inward</t>
  </si>
  <si>
    <t>S.Crs.liability-Transprt outwa</t>
  </si>
  <si>
    <t>100014BS135</t>
  </si>
  <si>
    <t>ACCOUNTS PAYABLE - SERVICE</t>
  </si>
  <si>
    <t>ADVANCE PAYMENTS-SERVICE</t>
  </si>
  <si>
    <t>100014BS145</t>
  </si>
  <si>
    <t>100014BS100</t>
  </si>
  <si>
    <t>100014BS331</t>
  </si>
  <si>
    <t>100014PL100</t>
  </si>
  <si>
    <t>JOB RECEIPTS - AMC,SERVICES</t>
  </si>
  <si>
    <t>100014PL102</t>
  </si>
  <si>
    <t>100014PL104</t>
  </si>
  <si>
    <t>PURCHASE TRADED ITEMS-SERVICE</t>
  </si>
  <si>
    <t>100014PL117</t>
  </si>
  <si>
    <t>PURCHASE-IMPORTED MAT</t>
  </si>
  <si>
    <t>100014PL215</t>
  </si>
  <si>
    <t>100014PL218</t>
  </si>
  <si>
    <t>100014PL118</t>
  </si>
  <si>
    <t>SALARY &amp; WAGES-BONUS</t>
  </si>
  <si>
    <t>SALARY &amp; WAGES-PERFORMANCE PAY</t>
  </si>
  <si>
    <t>CONTN-PF &amp; OTHER FUND-EMPLOYER</t>
  </si>
  <si>
    <t>100014PL122</t>
  </si>
  <si>
    <t>WELFARE EXP-EMPLOYEES</t>
  </si>
  <si>
    <t>100014PL126</t>
  </si>
  <si>
    <t>100014PL161</t>
  </si>
  <si>
    <t>COMMISSION &amp; DISCOUNT-OTHERS</t>
  </si>
  <si>
    <t>100014PL167</t>
  </si>
  <si>
    <t>100014PL156</t>
  </si>
  <si>
    <t>100014PL157</t>
  </si>
  <si>
    <t>100014PL166</t>
  </si>
  <si>
    <t>100014PL154</t>
  </si>
  <si>
    <t>100014PL139</t>
  </si>
  <si>
    <t>100014PL153</t>
  </si>
  <si>
    <t>TRAVELLING FOREIGN</t>
  </si>
  <si>
    <t>CONVEYANCE EXP-TAXI HIRE</t>
  </si>
  <si>
    <t>CONVEYANCE - NON EMP.EXPENSES</t>
  </si>
  <si>
    <t>100014PL174</t>
  </si>
  <si>
    <t>100014PL155</t>
  </si>
  <si>
    <t>100014PL173</t>
  </si>
  <si>
    <t>EXHIBITION EXPENSES</t>
  </si>
  <si>
    <t>100014PL164</t>
  </si>
  <si>
    <t>BANK CHARGES  ON RECP</t>
  </si>
  <si>
    <t>100014PL130</t>
  </si>
  <si>
    <t>100014PL206</t>
  </si>
  <si>
    <t>100014PL158</t>
  </si>
  <si>
    <t>AFTER SALES SERVICE-AMC CHARGS</t>
  </si>
  <si>
    <t>100014PL165</t>
  </si>
  <si>
    <t>100014PL176</t>
  </si>
  <si>
    <t>100014PL222</t>
  </si>
  <si>
    <t>AMORTISATION</t>
  </si>
  <si>
    <t>100014PL175</t>
  </si>
  <si>
    <t>MACHINERY MAINTENANCE-COMPUTER</t>
  </si>
  <si>
    <t>100014PL160</t>
  </si>
  <si>
    <t>INTEREST - OTHERS</t>
  </si>
  <si>
    <t>MISC EXP-ENTERTAINMENT FEE</t>
  </si>
  <si>
    <t>100014BS104</t>
  </si>
  <si>
    <t>FCTR - FY</t>
  </si>
  <si>
    <t>100014BS105</t>
  </si>
  <si>
    <t>100014</t>
  </si>
  <si>
    <t>100015</t>
  </si>
  <si>
    <t>Percentage</t>
  </si>
  <si>
    <t>100016BS100</t>
  </si>
  <si>
    <t>100016BS103</t>
  </si>
  <si>
    <t>100016BS107</t>
  </si>
  <si>
    <t>100016BS108</t>
  </si>
  <si>
    <t>100016BS111</t>
  </si>
  <si>
    <t xml:space="preserve"> -   </t>
  </si>
  <si>
    <t>100016BS120</t>
  </si>
  <si>
    <t>100016BS127</t>
  </si>
  <si>
    <t>100016BS135</t>
  </si>
  <si>
    <t>100016BS143</t>
  </si>
  <si>
    <t>100016BS145</t>
  </si>
  <si>
    <t>100016BS147</t>
  </si>
  <si>
    <t>100016BS148</t>
  </si>
  <si>
    <t>100016BS150</t>
  </si>
  <si>
    <t>100016BS153</t>
  </si>
  <si>
    <t>100016</t>
  </si>
  <si>
    <t>100016BS152</t>
  </si>
  <si>
    <t>100016BS157</t>
  </si>
  <si>
    <t>100016BS164</t>
  </si>
  <si>
    <t>100016BS165</t>
  </si>
  <si>
    <t>100016BS166</t>
  </si>
  <si>
    <t>100016BS178</t>
  </si>
  <si>
    <t>100016BS196</t>
  </si>
  <si>
    <t>100016BS199</t>
  </si>
  <si>
    <t>100016BS204</t>
  </si>
  <si>
    <t>100016BS208</t>
  </si>
  <si>
    <t>100016BS215</t>
  </si>
  <si>
    <t>100016BS216</t>
  </si>
  <si>
    <t>100016BS225</t>
  </si>
  <si>
    <t>100016BS231</t>
  </si>
  <si>
    <t>100016BS233</t>
  </si>
  <si>
    <t>100016BS234</t>
  </si>
  <si>
    <t>100016BS239</t>
  </si>
  <si>
    <t>100016BS298</t>
  </si>
  <si>
    <t>100016BS301</t>
  </si>
  <si>
    <t>100016BS302</t>
  </si>
  <si>
    <t>100016BS321</t>
  </si>
  <si>
    <t>100016BS323</t>
  </si>
  <si>
    <t>100016BS326</t>
  </si>
  <si>
    <t>100016BS331</t>
  </si>
  <si>
    <t>100016BS332</t>
  </si>
  <si>
    <t>100016PL100</t>
  </si>
  <si>
    <t>100016PL101</t>
  </si>
  <si>
    <t>100016PL103</t>
  </si>
  <si>
    <t>100016PL104</t>
  </si>
  <si>
    <t>100016PL105</t>
  </si>
  <si>
    <t>100016PL106</t>
  </si>
  <si>
    <t>100016PL111</t>
  </si>
  <si>
    <t>100016PL176</t>
  </si>
  <si>
    <t>100016PL114</t>
  </si>
  <si>
    <t>100016PL117</t>
  </si>
  <si>
    <t>100016PL118</t>
  </si>
  <si>
    <t>100016PL120</t>
  </si>
  <si>
    <t>100016PL121</t>
  </si>
  <si>
    <t>100016PL123</t>
  </si>
  <si>
    <t>100016PL126</t>
  </si>
  <si>
    <t>100016PL132</t>
  </si>
  <si>
    <t>100016PL133</t>
  </si>
  <si>
    <t>100016PL137</t>
  </si>
  <si>
    <t>100016PL140</t>
  </si>
  <si>
    <t>100016PL142</t>
  </si>
  <si>
    <t>100016PL145</t>
  </si>
  <si>
    <t>100016PL148</t>
  </si>
  <si>
    <t>100016PL151</t>
  </si>
  <si>
    <t>100016PL153</t>
  </si>
  <si>
    <t>100016PL154</t>
  </si>
  <si>
    <t>100016PL155</t>
  </si>
  <si>
    <t>100016PL156</t>
  </si>
  <si>
    <t>100016PL157</t>
  </si>
  <si>
    <t>100016PL158</t>
  </si>
  <si>
    <t>100016PL159</t>
  </si>
  <si>
    <t>100016PL160</t>
  </si>
  <si>
    <t>100016PL161</t>
  </si>
  <si>
    <t>100016PL163</t>
  </si>
  <si>
    <t>100016PL164</t>
  </si>
  <si>
    <t>100016PL165</t>
  </si>
  <si>
    <t>100016PL166</t>
  </si>
  <si>
    <t>100016PL167</t>
  </si>
  <si>
    <t>100016PL172</t>
  </si>
  <si>
    <t>100016PL173</t>
  </si>
  <si>
    <t>100016PL174</t>
  </si>
  <si>
    <t>100016PL175</t>
  </si>
  <si>
    <t>100016PL185</t>
  </si>
  <si>
    <t>100016PL186</t>
  </si>
  <si>
    <t>100016PL205</t>
  </si>
  <si>
    <t>100016PL206</t>
  </si>
  <si>
    <t>100016PL208</t>
  </si>
  <si>
    <t>100016PL211</t>
  </si>
  <si>
    <t>100016PL212</t>
  </si>
  <si>
    <t>100016PL213</t>
  </si>
  <si>
    <t>100016PL214</t>
  </si>
  <si>
    <t>100016PL215</t>
  </si>
  <si>
    <t>100016PL218</t>
  </si>
  <si>
    <t>100016PL219</t>
  </si>
  <si>
    <t>100016PL220</t>
  </si>
  <si>
    <t>100016PL221</t>
  </si>
  <si>
    <t>100016PL222</t>
  </si>
  <si>
    <t>100016PL177</t>
  </si>
  <si>
    <t>100016PL337</t>
  </si>
  <si>
    <t>PL337</t>
  </si>
  <si>
    <t>Debit/(Credit)</t>
  </si>
  <si>
    <t>Rent payments to Adision</t>
  </si>
  <si>
    <t>Rent Receipts -Sauer</t>
  </si>
  <si>
    <t>Rent Receipts-ATS</t>
  </si>
  <si>
    <t>Interest Receipt From EZL</t>
  </si>
  <si>
    <t>Interest Payments to HO</t>
  </si>
  <si>
    <t>Interest Receipt From Austrelia</t>
  </si>
  <si>
    <t>Rent Receipt-HO</t>
  </si>
  <si>
    <t>Rent Payments - HO</t>
  </si>
  <si>
    <t>100011BS322</t>
  </si>
  <si>
    <t>100011BS198</t>
  </si>
  <si>
    <t>100011BS197</t>
  </si>
  <si>
    <t>Debtors - (Cr)</t>
  </si>
  <si>
    <t>Sales - (Dr)</t>
  </si>
  <si>
    <t>Due to ELGi USA</t>
  </si>
  <si>
    <t>100012BS322</t>
  </si>
  <si>
    <t>Creditors - (Dr)</t>
  </si>
  <si>
    <t>Purchse - (Cr)</t>
  </si>
  <si>
    <t>Cl.stock - (Cr - BS)</t>
  </si>
  <si>
    <t>Cl.stock - (Dt - P&amp;L)</t>
  </si>
  <si>
    <t>Last Year's Elimination Op.stock - (Cr - P&amp;L)</t>
  </si>
  <si>
    <t>Last Year's Elimination Acc. Profit - (Dt - BS)</t>
  </si>
  <si>
    <t>Rent Payments-HO</t>
  </si>
  <si>
    <t>Opening Stock of Traded Goods</t>
  </si>
  <si>
    <t>Profit and Loss Account balance -Opening</t>
  </si>
  <si>
    <t>Opening Stock of Raw Materials</t>
  </si>
  <si>
    <t>100009&amp;10</t>
  </si>
  <si>
    <t>100009&amp;10Manual</t>
  </si>
  <si>
    <t>100011,12&amp;13</t>
  </si>
  <si>
    <t>100011,12&amp;13Manual</t>
  </si>
  <si>
    <t>Closing Stock of Traded Goods</t>
  </si>
  <si>
    <t>Closing Stock of Raw Materials</t>
  </si>
  <si>
    <t>Sales to Subsidiary</t>
  </si>
  <si>
    <t>Sales From ATS to Srilanka &amp; HO</t>
  </si>
  <si>
    <t>Sales Invoice Transport</t>
  </si>
  <si>
    <t>Purchase From ATS</t>
  </si>
  <si>
    <t>Purchase From HO</t>
  </si>
  <si>
    <t>Interest Payments</t>
  </si>
  <si>
    <t>Interest Receipt</t>
  </si>
  <si>
    <t xml:space="preserve">Purchase From HO </t>
  </si>
  <si>
    <t>Sales to  EZL in ECS Books</t>
  </si>
  <si>
    <t xml:space="preserve">Purchase </t>
  </si>
  <si>
    <t>Sales to HO</t>
  </si>
  <si>
    <t>Sales to  Australia</t>
  </si>
  <si>
    <t>100009&amp;10BS105</t>
  </si>
  <si>
    <t>Purchase from Italy</t>
  </si>
  <si>
    <t>Sales to HO &amp; Australia</t>
  </si>
  <si>
    <t>100011,12&amp;13BS105</t>
  </si>
  <si>
    <t>Trade Receivable  from ECS in HO &amp; ECS to HO</t>
  </si>
  <si>
    <t>Trade payable to HO in ECS</t>
  </si>
  <si>
    <t>INTEREST ACCRUED BUT NOT DUE</t>
  </si>
  <si>
    <t>Other Receivable</t>
  </si>
  <si>
    <t>Trade payable to  ECS in HO</t>
  </si>
  <si>
    <t>Other Payable</t>
  </si>
  <si>
    <t>Trade Receivables from Fellow subsidiary</t>
  </si>
  <si>
    <t>Trade Receivable  from EZL in HO</t>
  </si>
  <si>
    <t>Trade payable to  EZL in HO</t>
  </si>
  <si>
    <t>Trade payable to HO in EZL</t>
  </si>
  <si>
    <t>Loan to EZL</t>
  </si>
  <si>
    <t>Loan From HO</t>
  </si>
  <si>
    <t>Trade payable to Gulf from HO</t>
  </si>
  <si>
    <t>Trade payable to HO from Gulf</t>
  </si>
  <si>
    <t>Trade Receivable from Brazil in Ho</t>
  </si>
  <si>
    <t>Trade payable to HO in Brazil</t>
  </si>
  <si>
    <t>Loan to Brazil</t>
  </si>
  <si>
    <t>Trade Receivable from Belair in Ho</t>
  </si>
  <si>
    <t>Trade payable to HO</t>
  </si>
  <si>
    <t xml:space="preserve">Trade Receivable from HO in Belair </t>
  </si>
  <si>
    <t>Loan to Belair</t>
  </si>
  <si>
    <t>Trade Receivable from Austrelia in Ho</t>
  </si>
  <si>
    <t>Loan to Austrelia</t>
  </si>
  <si>
    <t>Trade payable to Italy in Australia</t>
  </si>
  <si>
    <t>Trade Receivable from Italy in  Ho</t>
  </si>
  <si>
    <t>Trade payable to Italy in HO</t>
  </si>
  <si>
    <t>Trade Receivable from Italy in HO</t>
  </si>
  <si>
    <t>Loan to Italy</t>
  </si>
  <si>
    <t>Share Allotment in Italy</t>
  </si>
  <si>
    <t>Trade Receivable from USA in  Ho</t>
  </si>
  <si>
    <t>Trade payable to USA in HO</t>
  </si>
  <si>
    <t>Trade payable to HO in USA</t>
  </si>
  <si>
    <t>Loan to USA</t>
  </si>
  <si>
    <t>Trade Receivable from Indonesia in  Ho</t>
  </si>
  <si>
    <t>Trade payable to HO in Indonesia</t>
  </si>
  <si>
    <t>Trade Receivable from sauer in  Ho</t>
  </si>
  <si>
    <t>Trade payable to HO in Sauer</t>
  </si>
  <si>
    <t>Trade payable to Adisions in HO</t>
  </si>
  <si>
    <t>Income/Refund receivable  from ho</t>
  </si>
  <si>
    <t>Dividend income</t>
  </si>
  <si>
    <t>Reserves</t>
  </si>
  <si>
    <t>Trade Receivable in HO</t>
  </si>
  <si>
    <t>Loans &amp; Advances in HO</t>
  </si>
  <si>
    <t>Trade Receivable in ATS</t>
  </si>
  <si>
    <t>Trade Payable in  ATS</t>
  </si>
  <si>
    <t>Trade Payable in  ELGI</t>
  </si>
  <si>
    <t>Intrest Accured</t>
  </si>
  <si>
    <t>Loans from subsidiary</t>
  </si>
  <si>
    <t>Loans to Parent Company</t>
  </si>
  <si>
    <t>Investment in Belair-France</t>
  </si>
  <si>
    <t>Investment in ATS-ELGI</t>
  </si>
  <si>
    <t>Investment inELGI-Zhejiang</t>
  </si>
  <si>
    <t>Investment in Adisons</t>
  </si>
  <si>
    <t>Investment in ELGI-Shanghai</t>
  </si>
  <si>
    <t>Investment in ELGI-Brazil</t>
  </si>
  <si>
    <t>Investment in ELGI Gulf</t>
  </si>
  <si>
    <t>Investment in ELGI-Sauer</t>
  </si>
  <si>
    <t>Investment in ELGI-Italy</t>
  </si>
  <si>
    <t>Investment in ELGI-USA</t>
  </si>
  <si>
    <t>Investment in ELGI-Australia</t>
  </si>
  <si>
    <t xml:space="preserve">Investment inPT.ELGI EQUIPMENTS INDONESIA   </t>
  </si>
  <si>
    <t>Share premium</t>
  </si>
  <si>
    <t>Capital Redemption reserve</t>
  </si>
  <si>
    <t>Revaluation reserve</t>
  </si>
  <si>
    <t>General reserve account</t>
  </si>
  <si>
    <t>Loss on adisions</t>
  </si>
  <si>
    <t>Income Refund Recivable</t>
  </si>
  <si>
    <t>Trade payable</t>
  </si>
  <si>
    <t xml:space="preserve">Share Capital </t>
  </si>
  <si>
    <t>Share Premium</t>
  </si>
  <si>
    <t>Statutory reserve</t>
  </si>
  <si>
    <t xml:space="preserve"> Capital reserve account</t>
  </si>
  <si>
    <t>100009BS143</t>
  </si>
  <si>
    <t>100009BS332</t>
  </si>
  <si>
    <t>100009BS333</t>
  </si>
  <si>
    <t>100009BS327</t>
  </si>
  <si>
    <t>100009BS170</t>
  </si>
  <si>
    <t>Inventory</t>
  </si>
  <si>
    <t>100009BS196</t>
  </si>
  <si>
    <t>100009BS204</t>
  </si>
  <si>
    <t>100009BS215</t>
  </si>
  <si>
    <t>100009BS322</t>
  </si>
  <si>
    <t>Investments - Italy</t>
  </si>
  <si>
    <t>100009Manual</t>
  </si>
  <si>
    <t>Capital</t>
  </si>
  <si>
    <t>Due to Patton's</t>
  </si>
  <si>
    <t>Due from ELGi USA</t>
  </si>
  <si>
    <t>Loan from Pattons</t>
  </si>
  <si>
    <t>Loan to Med</t>
  </si>
  <si>
    <t>Share Capital -HO</t>
  </si>
  <si>
    <t>Share Capital -Austrelia</t>
  </si>
  <si>
    <t>Prepaid</t>
  </si>
  <si>
    <t>PROVISION FOR DIVIDEND tax</t>
  </si>
  <si>
    <t>Receivables from HO</t>
  </si>
  <si>
    <t>ADVANCE PAYMENTS</t>
  </si>
  <si>
    <t>Interest Accrued</t>
  </si>
  <si>
    <t>Warranty Reimbursement</t>
  </si>
  <si>
    <t>Salary payable</t>
  </si>
  <si>
    <t>FURNITURE - UNDER PROCESS</t>
  </si>
  <si>
    <t>CONSUMABLE STORES - AT COST</t>
  </si>
  <si>
    <t>ACCOUNTS RECEIVABLES more than six months</t>
  </si>
  <si>
    <t>Withholding Tax on Interest</t>
  </si>
  <si>
    <t>ADVANCE PAYMENTS-Supplier</t>
  </si>
  <si>
    <t>INVOICE TO BE RECD - IMPORTS</t>
  </si>
  <si>
    <t>INVOICE TO BE RECVD - SERVICE</t>
  </si>
  <si>
    <t>PROVISION FOR PROFIT SHARE</t>
  </si>
  <si>
    <t>DEFERRED TAX LIABILITY (B/S)</t>
  </si>
  <si>
    <t>Export Sales</t>
  </si>
  <si>
    <t>PRICE DIFFRENCE  - PURCHASE</t>
  </si>
  <si>
    <t>MISC EXP-DEALER'S MEET</t>
  </si>
  <si>
    <t>MISC EXP-GENERAL</t>
  </si>
  <si>
    <t>PURCHASE AIR LUBE OIL-RCD</t>
  </si>
  <si>
    <t>COMMISSION-TPC</t>
  </si>
  <si>
    <t>INSURANCE-VEHICLE</t>
  </si>
  <si>
    <t>MISC EXP-BUSINESS PROMOTION</t>
  </si>
  <si>
    <t>SUBSCRIPTION-MEMBERSHIP FEES</t>
  </si>
  <si>
    <t>DEFERRED TAX LIABILITY (P&amp;L</t>
  </si>
  <si>
    <t>PROFIT ON SALE OF ASSETS - OTH</t>
  </si>
  <si>
    <t xml:space="preserve">Dividend </t>
  </si>
  <si>
    <t>Interest income</t>
  </si>
  <si>
    <t>Other income</t>
  </si>
  <si>
    <t>Warranty Receivable from HO</t>
  </si>
  <si>
    <t>(Profit)/Loss on sale of assets, net</t>
  </si>
  <si>
    <t>Warranty reimbursement-HO</t>
  </si>
  <si>
    <t>Due to ELGi India</t>
  </si>
  <si>
    <t>Final Tax 10% on rent</t>
  </si>
  <si>
    <t xml:space="preserve"> BAD DEBTS WRITTEN OFF          </t>
  </si>
  <si>
    <t xml:space="preserve"> MISC EXP-BUSINESS PROMOTION    </t>
  </si>
  <si>
    <t>As at 31.12.2015</t>
  </si>
  <si>
    <t>100001BS302</t>
  </si>
  <si>
    <t>100003BS322</t>
  </si>
  <si>
    <t>100003BS174</t>
  </si>
  <si>
    <t>100005BS298</t>
  </si>
  <si>
    <t>100006BS138</t>
  </si>
  <si>
    <t>100007BS143</t>
  </si>
  <si>
    <t>100007BS298</t>
  </si>
  <si>
    <t>100007BS144</t>
  </si>
  <si>
    <t>100007BS322</t>
  </si>
  <si>
    <t>100007PL133</t>
  </si>
  <si>
    <t>100008BS200</t>
  </si>
  <si>
    <t>100008BS208</t>
  </si>
  <si>
    <t>100008BS164</t>
  </si>
  <si>
    <t>100008PL126</t>
  </si>
  <si>
    <t>100008PL151</t>
  </si>
  <si>
    <t>100008PL186</t>
  </si>
  <si>
    <t>100009PL107</t>
  </si>
  <si>
    <t>100009PL104</t>
  </si>
  <si>
    <t>100010BS147</t>
  </si>
  <si>
    <t>100010PL206</t>
  </si>
  <si>
    <t>100011BS221</t>
  </si>
  <si>
    <t>100011PL112</t>
  </si>
  <si>
    <t>100011PL133</t>
  </si>
  <si>
    <t>100012BS221</t>
  </si>
  <si>
    <t>100012BS231</t>
  </si>
  <si>
    <t>100012PL133</t>
  </si>
  <si>
    <t>100014PL163</t>
  </si>
  <si>
    <t>100016PL113</t>
  </si>
  <si>
    <t>100004PL117</t>
  </si>
  <si>
    <t>R&amp;D EXP</t>
  </si>
  <si>
    <t>Warrenty Cost Reimbursement</t>
  </si>
  <si>
    <t>Misc.Exp-Income</t>
  </si>
  <si>
    <t>Sales to Brazil</t>
  </si>
  <si>
    <t>Purchase in Brazil</t>
  </si>
  <si>
    <t>Purchase from Italy-Gulf</t>
  </si>
  <si>
    <t>Purchase from Italy-Australia</t>
  </si>
  <si>
    <t>Purchase from Italy-Indona</t>
  </si>
  <si>
    <t>Warrenty Cost</t>
  </si>
  <si>
    <t>Misc.Exp</t>
  </si>
  <si>
    <t>100011&amp;12</t>
  </si>
  <si>
    <t>100011&amp;12PL147</t>
  </si>
  <si>
    <t>100011&amp;12BS105</t>
  </si>
  <si>
    <t>Advance from customer</t>
  </si>
  <si>
    <t>Trade payable to Australia</t>
  </si>
  <si>
    <t>Trade Receivable in Italy(indo)</t>
  </si>
  <si>
    <t>100010Manual</t>
  </si>
  <si>
    <t>Trade payable to Italy in Indo</t>
  </si>
  <si>
    <t>Loans &amp; Advances to  HO in ATS</t>
  </si>
  <si>
    <t>TDS on Interest Payments</t>
  </si>
  <si>
    <t>Description</t>
  </si>
  <si>
    <t>Comp</t>
  </si>
  <si>
    <t>T-Codes</t>
  </si>
  <si>
    <t>Amount</t>
  </si>
  <si>
    <t>Sl.No</t>
  </si>
  <si>
    <t>100011-Manual</t>
  </si>
</sst>
</file>

<file path=xl/styles.xml><?xml version="1.0" encoding="utf-8"?>
<styleSheet xmlns="http://schemas.openxmlformats.org/spreadsheetml/2006/main">
  <numFmts count="13"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 &quot;₹&quot;\ * #,##0.00_ ;_ &quot;₹&quot;\ * \-#,##0.00_ ;_ &quot;₹&quot;\ * &quot;-&quot;??_ ;_ @_ "/>
    <numFmt numFmtId="165" formatCode="_ * #,##0.00_ ;_ * \-#,##0.00_ ;_ * &quot;-&quot;??_ ;_ @_ "/>
    <numFmt numFmtId="166" formatCode="_(* #,##0_);_(* \(#,##0\);_(* &quot;-&quot;??_);_(@_)"/>
    <numFmt numFmtId="167" formatCode="_(* #,##0_);_(* \(#,##0\);_(* \-??_);_(@_)"/>
    <numFmt numFmtId="168" formatCode="0_);\(0\)"/>
    <numFmt numFmtId="169" formatCode="0.000"/>
    <numFmt numFmtId="170" formatCode="_(* #,##0.000_);_(* \(#,##0.000\);_(* &quot;-&quot;??_);_(@_)"/>
    <numFmt numFmtId="171" formatCode="_(* #,##0.0_);_(* \(#,##0.0\);_(* &quot;-&quot;??_);_(@_)"/>
    <numFmt numFmtId="172" formatCode="_-* #,##0.00_-;\-* #,##0.00_-;_-* &quot;-&quot;??_-;_-@_-"/>
    <numFmt numFmtId="173" formatCode="_([$€-2]* #,##0.00_);_([$€-2]* \(#,##0.00\);_([$€-2]* &quot;-&quot;??_)"/>
  </numFmts>
  <fonts count="12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indexed="8"/>
      <name val="Arial"/>
      <family val="2"/>
    </font>
    <font>
      <b/>
      <sz val="10"/>
      <color rgb="FFFF000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0"/>
      <color theme="0"/>
      <name val="Arial"/>
      <family val="2"/>
    </font>
    <font>
      <sz val="10"/>
      <color theme="0"/>
      <name val="Arial"/>
      <family val="2"/>
    </font>
    <font>
      <sz val="11"/>
      <color indexed="8"/>
      <name val="Calibri"/>
      <family val="2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u/>
      <sz val="10"/>
      <color theme="10"/>
      <name val="Times New Roman"/>
      <family val="2"/>
    </font>
    <font>
      <sz val="10"/>
      <color theme="1"/>
      <name val="Times New Roman"/>
      <family val="1"/>
    </font>
    <font>
      <u/>
      <sz val="10"/>
      <color theme="10"/>
      <name val="Arial"/>
      <family val="2"/>
    </font>
    <font>
      <sz val="10"/>
      <color rgb="FFFF0000"/>
      <name val="Arial"/>
      <family val="2"/>
    </font>
    <font>
      <b/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0"/>
      <color theme="0"/>
      <name val="Times New Roman"/>
      <family val="2"/>
    </font>
    <font>
      <sz val="10"/>
      <name val="Times New Roman"/>
      <family val="2"/>
    </font>
    <font>
      <sz val="9"/>
      <color indexed="8"/>
      <name val="Arial"/>
      <family val="2"/>
    </font>
    <font>
      <sz val="10"/>
      <color rgb="FFFFFF00"/>
      <name val="Arial"/>
      <family val="2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indexed="8"/>
      <name val="Times New Roman"/>
      <family val="2"/>
    </font>
    <font>
      <sz val="10"/>
      <color indexed="8"/>
      <name val="Arial"/>
      <family val="2"/>
    </font>
    <font>
      <b/>
      <sz val="10"/>
      <color rgb="FFC00000"/>
      <name val="Arial"/>
      <family val="2"/>
    </font>
    <font>
      <sz val="11"/>
      <color rgb="FFFF0000"/>
      <name val="Calibri"/>
      <family val="2"/>
      <scheme val="minor"/>
    </font>
    <font>
      <sz val="10"/>
      <color theme="1"/>
      <name val="Times New Roman"/>
      <family val="2"/>
    </font>
    <font>
      <sz val="12"/>
      <name val="新細明體"/>
      <family val="1"/>
    </font>
    <font>
      <sz val="11"/>
      <color indexed="8"/>
      <name val="Arial"/>
      <family val="2"/>
    </font>
    <font>
      <sz val="11"/>
      <color theme="1"/>
      <name val="宋体"/>
      <charset val="134"/>
    </font>
    <font>
      <sz val="11"/>
      <color indexed="8"/>
      <name val="宋体"/>
      <charset val="134"/>
    </font>
    <font>
      <sz val="11"/>
      <color indexed="8"/>
      <name val="黑体"/>
      <family val="3"/>
      <charset val="134"/>
    </font>
    <font>
      <sz val="11"/>
      <color indexed="8"/>
      <name val="宋体"/>
      <family val="3"/>
      <charset val="134"/>
    </font>
    <font>
      <sz val="11"/>
      <color theme="0"/>
      <name val="宋体"/>
      <charset val="134"/>
    </font>
    <font>
      <sz val="11"/>
      <color indexed="9"/>
      <name val="Calibri"/>
      <family val="2"/>
    </font>
    <font>
      <sz val="11"/>
      <color indexed="9"/>
      <name val="宋体"/>
      <charset val="134"/>
    </font>
    <font>
      <sz val="11"/>
      <color indexed="9"/>
      <name val="黑体"/>
      <family val="3"/>
      <charset val="134"/>
    </font>
    <font>
      <sz val="11"/>
      <color indexed="9"/>
      <name val="宋体"/>
      <family val="3"/>
      <charset val="134"/>
    </font>
    <font>
      <sz val="11"/>
      <color rgb="FF9C0006"/>
      <name val="宋体"/>
      <charset val="134"/>
    </font>
    <font>
      <sz val="11"/>
      <color indexed="20"/>
      <name val="Calibri"/>
      <family val="2"/>
    </font>
    <font>
      <b/>
      <sz val="11"/>
      <color rgb="FFFA7D00"/>
      <name val="宋体"/>
      <charset val="134"/>
    </font>
    <font>
      <b/>
      <sz val="11"/>
      <color indexed="52"/>
      <name val="Calibri"/>
      <family val="2"/>
    </font>
    <font>
      <b/>
      <sz val="11"/>
      <color theme="0"/>
      <name val="宋体"/>
      <charset val="134"/>
    </font>
    <font>
      <b/>
      <sz val="11"/>
      <color indexed="9"/>
      <name val="Calibri"/>
      <family val="2"/>
    </font>
    <font>
      <sz val="11"/>
      <color indexed="8"/>
      <name val="Sylfaen"/>
      <family val="2"/>
    </font>
    <font>
      <sz val="10"/>
      <color indexed="8"/>
      <name val="Times New Roman"/>
      <family val="1"/>
    </font>
    <font>
      <i/>
      <sz val="11"/>
      <color rgb="FF7F7F7F"/>
      <name val="宋体"/>
      <charset val="134"/>
    </font>
    <font>
      <i/>
      <sz val="11"/>
      <color indexed="23"/>
      <name val="Calibri"/>
      <family val="2"/>
    </font>
    <font>
      <sz val="11"/>
      <color rgb="FF006100"/>
      <name val="宋体"/>
      <charset val="134"/>
    </font>
    <font>
      <sz val="11"/>
      <color indexed="17"/>
      <name val="Calibri"/>
      <family val="2"/>
    </font>
    <font>
      <b/>
      <sz val="15"/>
      <color theme="3"/>
      <name val="宋体"/>
      <charset val="134"/>
    </font>
    <font>
      <b/>
      <sz val="15"/>
      <color indexed="56"/>
      <name val="Calibri"/>
      <family val="2"/>
    </font>
    <font>
      <b/>
      <sz val="13"/>
      <color theme="3"/>
      <name val="宋体"/>
      <charset val="134"/>
    </font>
    <font>
      <b/>
      <sz val="13"/>
      <color indexed="56"/>
      <name val="Calibri"/>
      <family val="2"/>
    </font>
    <font>
      <b/>
      <sz val="11"/>
      <color theme="3"/>
      <name val="宋体"/>
      <charset val="134"/>
    </font>
    <font>
      <b/>
      <sz val="11"/>
      <color indexed="56"/>
      <name val="Calibri"/>
      <family val="2"/>
    </font>
    <font>
      <u/>
      <sz val="10"/>
      <color theme="10"/>
      <name val="Times New Roman"/>
      <family val="1"/>
    </font>
    <font>
      <sz val="11"/>
      <color rgb="FF3F3F76"/>
      <name val="宋体"/>
      <charset val="134"/>
    </font>
    <font>
      <sz val="11"/>
      <color indexed="62"/>
      <name val="Calibri"/>
      <family val="2"/>
    </font>
    <font>
      <sz val="11"/>
      <color rgb="FFFA7D00"/>
      <name val="宋体"/>
      <charset val="134"/>
    </font>
    <font>
      <sz val="11"/>
      <color indexed="52"/>
      <name val="Calibri"/>
      <family val="2"/>
    </font>
    <font>
      <sz val="11"/>
      <color rgb="FF9C6500"/>
      <name val="宋体"/>
      <charset val="134"/>
    </font>
    <font>
      <sz val="11"/>
      <color indexed="60"/>
      <name val="Calibri"/>
      <family val="2"/>
    </font>
    <font>
      <sz val="11"/>
      <color theme="1"/>
      <name val="Calibri"/>
      <family val="2"/>
      <charset val="134"/>
      <scheme val="minor"/>
    </font>
    <font>
      <sz val="11"/>
      <color rgb="FF000000"/>
      <name val="Calibri"/>
      <family val="2"/>
      <scheme val="minor"/>
    </font>
    <font>
      <sz val="10"/>
      <name val="Tahoma"/>
      <family val="2"/>
    </font>
    <font>
      <b/>
      <sz val="11"/>
      <color rgb="FF3F3F3F"/>
      <name val="宋体"/>
      <charset val="134"/>
    </font>
    <font>
      <b/>
      <sz val="11"/>
      <color indexed="63"/>
      <name val="Calibri"/>
      <family val="2"/>
    </font>
    <font>
      <b/>
      <sz val="18"/>
      <color theme="3"/>
      <name val="宋体"/>
      <charset val="134"/>
    </font>
    <font>
      <b/>
      <sz val="18"/>
      <color indexed="56"/>
      <name val="Cambria"/>
      <family val="1"/>
    </font>
    <font>
      <b/>
      <sz val="11"/>
      <color theme="1"/>
      <name val="宋体"/>
      <charset val="134"/>
    </font>
    <font>
      <b/>
      <sz val="11"/>
      <color indexed="8"/>
      <name val="Calibri"/>
      <family val="2"/>
    </font>
    <font>
      <sz val="11"/>
      <color rgb="FFFF0000"/>
      <name val="宋体"/>
      <charset val="134"/>
    </font>
    <font>
      <sz val="11"/>
      <color indexed="10"/>
      <name val="Calibri"/>
      <family val="2"/>
    </font>
    <font>
      <sz val="11"/>
      <color indexed="17"/>
      <name val="宋体"/>
      <charset val="134"/>
    </font>
    <font>
      <sz val="11"/>
      <color indexed="17"/>
      <name val="黑体"/>
      <family val="3"/>
      <charset val="134"/>
    </font>
    <font>
      <sz val="11"/>
      <color indexed="17"/>
      <name val="宋体"/>
      <family val="3"/>
      <charset val="134"/>
    </font>
    <font>
      <sz val="11"/>
      <color indexed="20"/>
      <name val="宋体"/>
      <charset val="134"/>
    </font>
    <font>
      <sz val="11"/>
      <color indexed="20"/>
      <name val="黑体"/>
      <family val="3"/>
      <charset val="134"/>
    </font>
    <font>
      <sz val="11"/>
      <color indexed="20"/>
      <name val="宋体"/>
      <family val="3"/>
      <charset val="134"/>
    </font>
    <font>
      <b/>
      <sz val="18"/>
      <color indexed="56"/>
      <name val="宋体"/>
      <charset val="134"/>
    </font>
    <font>
      <b/>
      <sz val="15"/>
      <color indexed="56"/>
      <name val="宋体"/>
      <charset val="134"/>
    </font>
    <font>
      <b/>
      <sz val="15"/>
      <color indexed="63"/>
      <name val="黑体"/>
      <family val="3"/>
      <charset val="134"/>
    </font>
    <font>
      <b/>
      <sz val="15"/>
      <color indexed="56"/>
      <name val="宋体"/>
      <family val="3"/>
      <charset val="134"/>
    </font>
    <font>
      <b/>
      <sz val="13"/>
      <color indexed="56"/>
      <name val="宋体"/>
      <charset val="134"/>
    </font>
    <font>
      <b/>
      <sz val="13"/>
      <color indexed="63"/>
      <name val="黑体"/>
      <family val="3"/>
      <charset val="134"/>
    </font>
    <font>
      <b/>
      <sz val="13"/>
      <color indexed="56"/>
      <name val="宋体"/>
      <family val="3"/>
      <charset val="134"/>
    </font>
    <font>
      <b/>
      <sz val="11"/>
      <color indexed="56"/>
      <name val="宋体"/>
      <charset val="134"/>
    </font>
    <font>
      <b/>
      <sz val="11"/>
      <color indexed="63"/>
      <name val="黑体"/>
      <family val="3"/>
      <charset val="134"/>
    </font>
    <font>
      <b/>
      <sz val="11"/>
      <color indexed="56"/>
      <name val="宋体"/>
      <family val="3"/>
      <charset val="134"/>
    </font>
    <font>
      <b/>
      <sz val="18"/>
      <color indexed="63"/>
      <name val="黑体"/>
      <family val="3"/>
      <charset val="134"/>
    </font>
    <font>
      <b/>
      <sz val="18"/>
      <color indexed="56"/>
      <name val="宋体"/>
      <family val="3"/>
      <charset val="134"/>
    </font>
    <font>
      <b/>
      <sz val="11"/>
      <color indexed="9"/>
      <name val="宋体"/>
      <charset val="134"/>
    </font>
    <font>
      <b/>
      <sz val="11"/>
      <color indexed="9"/>
      <name val="黑体"/>
      <family val="3"/>
      <charset val="134"/>
    </font>
    <font>
      <b/>
      <sz val="11"/>
      <color indexed="9"/>
      <name val="宋体"/>
      <family val="3"/>
      <charset val="134"/>
    </font>
    <font>
      <b/>
      <sz val="11"/>
      <color indexed="8"/>
      <name val="宋体"/>
      <charset val="134"/>
    </font>
    <font>
      <b/>
      <sz val="11"/>
      <color indexed="8"/>
      <name val="黑体"/>
      <family val="3"/>
      <charset val="134"/>
    </font>
    <font>
      <b/>
      <sz val="11"/>
      <color indexed="8"/>
      <name val="宋体"/>
      <family val="3"/>
      <charset val="134"/>
    </font>
    <font>
      <sz val="12"/>
      <name val="宋体"/>
      <charset val="134"/>
    </font>
    <font>
      <sz val="12"/>
      <name val="宋体"/>
      <family val="3"/>
      <charset val="134"/>
    </font>
    <font>
      <i/>
      <sz val="11"/>
      <color indexed="23"/>
      <name val="宋体"/>
      <charset val="134"/>
    </font>
    <font>
      <i/>
      <sz val="11"/>
      <color indexed="23"/>
      <name val="黑体"/>
      <family val="3"/>
      <charset val="134"/>
    </font>
    <font>
      <i/>
      <sz val="11"/>
      <color indexed="23"/>
      <name val="宋体"/>
      <family val="3"/>
      <charset val="134"/>
    </font>
    <font>
      <sz val="11"/>
      <color indexed="10"/>
      <name val="宋体"/>
      <charset val="134"/>
    </font>
    <font>
      <sz val="11"/>
      <color indexed="10"/>
      <name val="黑体"/>
      <family val="3"/>
      <charset val="134"/>
    </font>
    <font>
      <sz val="11"/>
      <color indexed="10"/>
      <name val="宋体"/>
      <family val="3"/>
      <charset val="134"/>
    </font>
    <font>
      <b/>
      <sz val="11"/>
      <color indexed="52"/>
      <name val="宋体"/>
      <charset val="134"/>
    </font>
    <font>
      <b/>
      <sz val="11"/>
      <color indexed="52"/>
      <name val="黑体"/>
      <family val="3"/>
      <charset val="134"/>
    </font>
    <font>
      <b/>
      <sz val="11"/>
      <color indexed="52"/>
      <name val="宋体"/>
      <family val="3"/>
      <charset val="134"/>
    </font>
    <font>
      <sz val="11"/>
      <color indexed="62"/>
      <name val="宋体"/>
      <charset val="134"/>
    </font>
    <font>
      <sz val="11"/>
      <color indexed="62"/>
      <name val="黑体"/>
      <family val="3"/>
      <charset val="134"/>
    </font>
    <font>
      <sz val="11"/>
      <color indexed="62"/>
      <name val="宋体"/>
      <family val="3"/>
      <charset val="134"/>
    </font>
    <font>
      <b/>
      <sz val="11"/>
      <color indexed="63"/>
      <name val="宋体"/>
      <charset val="134"/>
    </font>
    <font>
      <b/>
      <sz val="11"/>
      <color indexed="63"/>
      <name val="宋体"/>
      <family val="3"/>
      <charset val="134"/>
    </font>
    <font>
      <sz val="11"/>
      <color indexed="60"/>
      <name val="宋体"/>
      <charset val="134"/>
    </font>
    <font>
      <sz val="11"/>
      <color indexed="60"/>
      <name val="黑体"/>
      <family val="3"/>
      <charset val="134"/>
    </font>
    <font>
      <sz val="11"/>
      <color indexed="60"/>
      <name val="宋体"/>
      <family val="3"/>
      <charset val="134"/>
    </font>
    <font>
      <sz val="11"/>
      <color indexed="52"/>
      <name val="宋体"/>
      <charset val="134"/>
    </font>
    <font>
      <sz val="11"/>
      <color indexed="52"/>
      <name val="黑体"/>
      <family val="3"/>
      <charset val="134"/>
    </font>
    <font>
      <sz val="11"/>
      <color indexed="52"/>
      <name val="宋体"/>
      <family val="3"/>
      <charset val="134"/>
    </font>
  </fonts>
  <fills count="6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26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44"/>
      </patternFill>
    </fill>
    <fill>
      <patternFill patternType="solid">
        <fgColor indexed="51"/>
      </patternFill>
    </fill>
    <fill>
      <patternFill patternType="solid">
        <fgColor indexed="25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54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43"/>
      </patternFill>
    </fill>
  </fills>
  <borders count="4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ck">
        <color indexed="64"/>
      </left>
      <right/>
      <top style="thick">
        <color indexed="64"/>
      </top>
      <bottom style="medium">
        <color indexed="64"/>
      </bottom>
      <diagonal/>
    </border>
    <border>
      <left/>
      <right/>
      <top style="thick">
        <color indexed="64"/>
      </top>
      <bottom style="medium">
        <color indexed="64"/>
      </bottom>
      <diagonal/>
    </border>
    <border>
      <left/>
      <right style="thick">
        <color indexed="64"/>
      </right>
      <top style="thick">
        <color indexed="64"/>
      </top>
      <bottom style="medium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medium">
        <color indexed="49"/>
      </bottom>
      <diagonal/>
    </border>
    <border>
      <left/>
      <right/>
      <top style="thin">
        <color indexed="49"/>
      </top>
      <bottom style="double">
        <color indexed="49"/>
      </bottom>
      <diagonal/>
    </border>
  </borders>
  <cellStyleXfs count="507">
    <xf numFmtId="0" fontId="0" fillId="0" borderId="0"/>
    <xf numFmtId="43" fontId="1" fillId="0" borderId="0" applyFont="0" applyFill="0" applyBorder="0" applyAlignment="0" applyProtection="0"/>
    <xf numFmtId="0" fontId="1" fillId="0" borderId="0"/>
    <xf numFmtId="0" fontId="8" fillId="0" borderId="0"/>
    <xf numFmtId="0" fontId="11" fillId="0" borderId="0" applyFont="0" applyFill="0" applyBorder="0" applyAlignment="0" applyProtection="0"/>
    <xf numFmtId="0" fontId="8" fillId="0" borderId="0"/>
    <xf numFmtId="0" fontId="14" fillId="0" borderId="0" applyNumberFormat="0" applyFill="0" applyBorder="0" applyAlignment="0" applyProtection="0">
      <alignment vertical="top"/>
      <protection locked="0"/>
    </xf>
    <xf numFmtId="0" fontId="8" fillId="0" borderId="0"/>
    <xf numFmtId="43" fontId="8" fillId="0" borderId="0" applyFont="0" applyFill="0" applyBorder="0" applyAlignment="0" applyProtection="0"/>
    <xf numFmtId="0" fontId="1" fillId="0" borderId="0"/>
    <xf numFmtId="43" fontId="26" fillId="0" borderId="0" applyFont="0" applyFill="0" applyBorder="0" applyAlignment="0" applyProtection="0"/>
    <xf numFmtId="0" fontId="30" fillId="0" borderId="0"/>
    <xf numFmtId="43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0" fontId="31" fillId="0" borderId="0"/>
    <xf numFmtId="0" fontId="32" fillId="38" borderId="0" applyNumberFormat="0" applyBorder="0" applyAlignment="0" applyProtection="0"/>
    <xf numFmtId="0" fontId="32" fillId="38" borderId="0" applyNumberFormat="0" applyBorder="0" applyAlignment="0" applyProtection="0"/>
    <xf numFmtId="0" fontId="32" fillId="38" borderId="0" applyNumberFormat="0" applyBorder="0" applyAlignment="0" applyProtection="0"/>
    <xf numFmtId="0" fontId="32" fillId="38" borderId="0" applyNumberFormat="0" applyBorder="0" applyAlignment="0" applyProtection="0"/>
    <xf numFmtId="0" fontId="32" fillId="38" borderId="0" applyNumberFormat="0" applyBorder="0" applyAlignment="0" applyProtection="0"/>
    <xf numFmtId="0" fontId="32" fillId="38" borderId="0" applyNumberFormat="0" applyBorder="0" applyAlignment="0" applyProtection="0"/>
    <xf numFmtId="0" fontId="32" fillId="38" borderId="0" applyNumberFormat="0" applyBorder="0" applyAlignment="0" applyProtection="0"/>
    <xf numFmtId="0" fontId="32" fillId="39" borderId="0" applyNumberFormat="0" applyBorder="0" applyAlignment="0" applyProtection="0"/>
    <xf numFmtId="0" fontId="32" fillId="39" borderId="0" applyNumberFormat="0" applyBorder="0" applyAlignment="0" applyProtection="0"/>
    <xf numFmtId="0" fontId="32" fillId="39" borderId="0" applyNumberFormat="0" applyBorder="0" applyAlignment="0" applyProtection="0"/>
    <xf numFmtId="0" fontId="32" fillId="39" borderId="0" applyNumberFormat="0" applyBorder="0" applyAlignment="0" applyProtection="0"/>
    <xf numFmtId="0" fontId="32" fillId="39" borderId="0" applyNumberFormat="0" applyBorder="0" applyAlignment="0" applyProtection="0"/>
    <xf numFmtId="0" fontId="32" fillId="39" borderId="0" applyNumberFormat="0" applyBorder="0" applyAlignment="0" applyProtection="0"/>
    <xf numFmtId="0" fontId="32" fillId="39" borderId="0" applyNumberFormat="0" applyBorder="0" applyAlignment="0" applyProtection="0"/>
    <xf numFmtId="0" fontId="32" fillId="40" borderId="0" applyNumberFormat="0" applyBorder="0" applyAlignment="0" applyProtection="0"/>
    <xf numFmtId="0" fontId="32" fillId="40" borderId="0" applyNumberFormat="0" applyBorder="0" applyAlignment="0" applyProtection="0"/>
    <xf numFmtId="0" fontId="32" fillId="40" borderId="0" applyNumberFormat="0" applyBorder="0" applyAlignment="0" applyProtection="0"/>
    <xf numFmtId="0" fontId="32" fillId="40" borderId="0" applyNumberFormat="0" applyBorder="0" applyAlignment="0" applyProtection="0"/>
    <xf numFmtId="0" fontId="32" fillId="40" borderId="0" applyNumberFormat="0" applyBorder="0" applyAlignment="0" applyProtection="0"/>
    <xf numFmtId="0" fontId="32" fillId="40" borderId="0" applyNumberFormat="0" applyBorder="0" applyAlignment="0" applyProtection="0"/>
    <xf numFmtId="0" fontId="32" fillId="40" borderId="0" applyNumberFormat="0" applyBorder="0" applyAlignment="0" applyProtection="0"/>
    <xf numFmtId="0" fontId="32" fillId="41" borderId="0" applyNumberFormat="0" applyBorder="0" applyAlignment="0" applyProtection="0"/>
    <xf numFmtId="0" fontId="32" fillId="41" borderId="0" applyNumberFormat="0" applyBorder="0" applyAlignment="0" applyProtection="0"/>
    <xf numFmtId="0" fontId="32" fillId="41" borderId="0" applyNumberFormat="0" applyBorder="0" applyAlignment="0" applyProtection="0"/>
    <xf numFmtId="0" fontId="32" fillId="41" borderId="0" applyNumberFormat="0" applyBorder="0" applyAlignment="0" applyProtection="0"/>
    <xf numFmtId="0" fontId="32" fillId="41" borderId="0" applyNumberFormat="0" applyBorder="0" applyAlignment="0" applyProtection="0"/>
    <xf numFmtId="0" fontId="32" fillId="41" borderId="0" applyNumberFormat="0" applyBorder="0" applyAlignment="0" applyProtection="0"/>
    <xf numFmtId="0" fontId="32" fillId="41" borderId="0" applyNumberFormat="0" applyBorder="0" applyAlignment="0" applyProtection="0"/>
    <xf numFmtId="0" fontId="32" fillId="42" borderId="0" applyNumberFormat="0" applyBorder="0" applyAlignment="0" applyProtection="0"/>
    <xf numFmtId="0" fontId="32" fillId="42" borderId="0" applyNumberFormat="0" applyBorder="0" applyAlignment="0" applyProtection="0"/>
    <xf numFmtId="0" fontId="32" fillId="42" borderId="0" applyNumberFormat="0" applyBorder="0" applyAlignment="0" applyProtection="0"/>
    <xf numFmtId="0" fontId="32" fillId="42" borderId="0" applyNumberFormat="0" applyBorder="0" applyAlignment="0" applyProtection="0"/>
    <xf numFmtId="0" fontId="32" fillId="42" borderId="0" applyNumberFormat="0" applyBorder="0" applyAlignment="0" applyProtection="0"/>
    <xf numFmtId="0" fontId="32" fillId="42" borderId="0" applyNumberFormat="0" applyBorder="0" applyAlignment="0" applyProtection="0"/>
    <xf numFmtId="0" fontId="32" fillId="42" borderId="0" applyNumberFormat="0" applyBorder="0" applyAlignment="0" applyProtection="0"/>
    <xf numFmtId="0" fontId="32" fillId="43" borderId="0" applyNumberFormat="0" applyBorder="0" applyAlignment="0" applyProtection="0"/>
    <xf numFmtId="0" fontId="32" fillId="43" borderId="0" applyNumberFormat="0" applyBorder="0" applyAlignment="0" applyProtection="0"/>
    <xf numFmtId="0" fontId="32" fillId="43" borderId="0" applyNumberFormat="0" applyBorder="0" applyAlignment="0" applyProtection="0"/>
    <xf numFmtId="0" fontId="32" fillId="43" borderId="0" applyNumberFormat="0" applyBorder="0" applyAlignment="0" applyProtection="0"/>
    <xf numFmtId="0" fontId="32" fillId="43" borderId="0" applyNumberFormat="0" applyBorder="0" applyAlignment="0" applyProtection="0"/>
    <xf numFmtId="0" fontId="32" fillId="43" borderId="0" applyNumberFormat="0" applyBorder="0" applyAlignment="0" applyProtection="0"/>
    <xf numFmtId="0" fontId="32" fillId="43" borderId="0" applyNumberFormat="0" applyBorder="0" applyAlignment="0" applyProtection="0"/>
    <xf numFmtId="0" fontId="33" fillId="15" borderId="0" applyNumberFormat="0" applyBorder="0" applyAlignment="0" applyProtection="0"/>
    <xf numFmtId="0" fontId="11" fillId="38" borderId="0" applyNumberFormat="0" applyBorder="0" applyAlignment="0" applyProtection="0"/>
    <xf numFmtId="0" fontId="33" fillId="19" borderId="0" applyNumberFormat="0" applyBorder="0" applyAlignment="0" applyProtection="0"/>
    <xf numFmtId="0" fontId="11" fillId="39" borderId="0" applyNumberFormat="0" applyBorder="0" applyAlignment="0" applyProtection="0"/>
    <xf numFmtId="0" fontId="33" fillId="23" borderId="0" applyNumberFormat="0" applyBorder="0" applyAlignment="0" applyProtection="0"/>
    <xf numFmtId="0" fontId="11" fillId="40" borderId="0" applyNumberFormat="0" applyBorder="0" applyAlignment="0" applyProtection="0"/>
    <xf numFmtId="0" fontId="33" fillId="27" borderId="0" applyNumberFormat="0" applyBorder="0" applyAlignment="0" applyProtection="0"/>
    <xf numFmtId="0" fontId="11" fillId="41" borderId="0" applyNumberFormat="0" applyBorder="0" applyAlignment="0" applyProtection="0"/>
    <xf numFmtId="0" fontId="33" fillId="31" borderId="0" applyNumberFormat="0" applyBorder="0" applyAlignment="0" applyProtection="0"/>
    <xf numFmtId="0" fontId="11" fillId="42" borderId="0" applyNumberFormat="0" applyBorder="0" applyAlignment="0" applyProtection="0"/>
    <xf numFmtId="0" fontId="33" fillId="35" borderId="0" applyNumberFormat="0" applyBorder="0" applyAlignment="0" applyProtection="0"/>
    <xf numFmtId="0" fontId="11" fillId="44" borderId="0" applyNumberFormat="0" applyBorder="0" applyAlignment="0" applyProtection="0"/>
    <xf numFmtId="0" fontId="34" fillId="38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6" fillId="38" borderId="0" applyNumberFormat="0" applyBorder="0" applyAlignment="0" applyProtection="0">
      <alignment vertical="center"/>
    </xf>
    <xf numFmtId="0" fontId="34" fillId="38" borderId="0" applyNumberFormat="0" applyBorder="0" applyAlignment="0" applyProtection="0">
      <alignment vertical="center"/>
    </xf>
    <xf numFmtId="0" fontId="36" fillId="38" borderId="0" applyNumberFormat="0" applyBorder="0" applyAlignment="0" applyProtection="0">
      <alignment vertical="center"/>
    </xf>
    <xf numFmtId="0" fontId="34" fillId="39" borderId="0" applyNumberFormat="0" applyBorder="0" applyAlignment="0" applyProtection="0">
      <alignment vertical="center"/>
    </xf>
    <xf numFmtId="0" fontId="35" fillId="39" borderId="0" applyNumberFormat="0" applyBorder="0" applyAlignment="0" applyProtection="0">
      <alignment vertical="center"/>
    </xf>
    <xf numFmtId="0" fontId="36" fillId="39" borderId="0" applyNumberFormat="0" applyBorder="0" applyAlignment="0" applyProtection="0">
      <alignment vertical="center"/>
    </xf>
    <xf numFmtId="0" fontId="34" fillId="39" borderId="0" applyNumberFormat="0" applyBorder="0" applyAlignment="0" applyProtection="0">
      <alignment vertical="center"/>
    </xf>
    <xf numFmtId="0" fontId="36" fillId="39" borderId="0" applyNumberFormat="0" applyBorder="0" applyAlignment="0" applyProtection="0">
      <alignment vertical="center"/>
    </xf>
    <xf numFmtId="0" fontId="34" fillId="40" borderId="0" applyNumberFormat="0" applyBorder="0" applyAlignment="0" applyProtection="0">
      <alignment vertical="center"/>
    </xf>
    <xf numFmtId="0" fontId="35" fillId="44" borderId="0" applyNumberFormat="0" applyBorder="0" applyAlignment="0" applyProtection="0">
      <alignment vertical="center"/>
    </xf>
    <xf numFmtId="0" fontId="36" fillId="40" borderId="0" applyNumberFormat="0" applyBorder="0" applyAlignment="0" applyProtection="0">
      <alignment vertical="center"/>
    </xf>
    <xf numFmtId="0" fontId="34" fillId="40" borderId="0" applyNumberFormat="0" applyBorder="0" applyAlignment="0" applyProtection="0">
      <alignment vertical="center"/>
    </xf>
    <xf numFmtId="0" fontId="36" fillId="40" borderId="0" applyNumberFormat="0" applyBorder="0" applyAlignment="0" applyProtection="0">
      <alignment vertical="center"/>
    </xf>
    <xf numFmtId="0" fontId="34" fillId="41" borderId="0" applyNumberFormat="0" applyBorder="0" applyAlignment="0" applyProtection="0">
      <alignment vertical="center"/>
    </xf>
    <xf numFmtId="0" fontId="35" fillId="45" borderId="0" applyNumberFormat="0" applyBorder="0" applyAlignment="0" applyProtection="0">
      <alignment vertical="center"/>
    </xf>
    <xf numFmtId="0" fontId="36" fillId="41" borderId="0" applyNumberFormat="0" applyBorder="0" applyAlignment="0" applyProtection="0">
      <alignment vertical="center"/>
    </xf>
    <xf numFmtId="0" fontId="34" fillId="41" borderId="0" applyNumberFormat="0" applyBorder="0" applyAlignment="0" applyProtection="0">
      <alignment vertical="center"/>
    </xf>
    <xf numFmtId="0" fontId="36" fillId="41" borderId="0" applyNumberFormat="0" applyBorder="0" applyAlignment="0" applyProtection="0">
      <alignment vertical="center"/>
    </xf>
    <xf numFmtId="0" fontId="34" fillId="42" borderId="0" applyNumberFormat="0" applyBorder="0" applyAlignment="0" applyProtection="0">
      <alignment vertical="center"/>
    </xf>
    <xf numFmtId="0" fontId="35" fillId="46" borderId="0" applyNumberFormat="0" applyBorder="0" applyAlignment="0" applyProtection="0">
      <alignment vertical="center"/>
    </xf>
    <xf numFmtId="0" fontId="36" fillId="42" borderId="0" applyNumberFormat="0" applyBorder="0" applyAlignment="0" applyProtection="0">
      <alignment vertical="center"/>
    </xf>
    <xf numFmtId="0" fontId="34" fillId="42" borderId="0" applyNumberFormat="0" applyBorder="0" applyAlignment="0" applyProtection="0">
      <alignment vertical="center"/>
    </xf>
    <xf numFmtId="0" fontId="36" fillId="42" borderId="0" applyNumberFormat="0" applyBorder="0" applyAlignment="0" applyProtection="0">
      <alignment vertical="center"/>
    </xf>
    <xf numFmtId="0" fontId="34" fillId="44" borderId="0" applyNumberFormat="0" applyBorder="0" applyAlignment="0" applyProtection="0">
      <alignment vertical="center"/>
    </xf>
    <xf numFmtId="0" fontId="35" fillId="39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34" fillId="44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32" fillId="42" borderId="0" applyNumberFormat="0" applyBorder="0" applyAlignment="0" applyProtection="0"/>
    <xf numFmtId="0" fontId="32" fillId="42" borderId="0" applyNumberFormat="0" applyBorder="0" applyAlignment="0" applyProtection="0"/>
    <xf numFmtId="0" fontId="32" fillId="42" borderId="0" applyNumberFormat="0" applyBorder="0" applyAlignment="0" applyProtection="0"/>
    <xf numFmtId="0" fontId="32" fillId="42" borderId="0" applyNumberFormat="0" applyBorder="0" applyAlignment="0" applyProtection="0"/>
    <xf numFmtId="0" fontId="32" fillId="42" borderId="0" applyNumberFormat="0" applyBorder="0" applyAlignment="0" applyProtection="0"/>
    <xf numFmtId="0" fontId="32" fillId="42" borderId="0" applyNumberFormat="0" applyBorder="0" applyAlignment="0" applyProtection="0"/>
    <xf numFmtId="0" fontId="32" fillId="42" borderId="0" applyNumberFormat="0" applyBorder="0" applyAlignment="0" applyProtection="0"/>
    <xf numFmtId="0" fontId="32" fillId="47" borderId="0" applyNumberFormat="0" applyBorder="0" applyAlignment="0" applyProtection="0"/>
    <xf numFmtId="0" fontId="32" fillId="47" borderId="0" applyNumberFormat="0" applyBorder="0" applyAlignment="0" applyProtection="0"/>
    <xf numFmtId="0" fontId="32" fillId="47" borderId="0" applyNumberFormat="0" applyBorder="0" applyAlignment="0" applyProtection="0"/>
    <xf numFmtId="0" fontId="32" fillId="47" borderId="0" applyNumberFormat="0" applyBorder="0" applyAlignment="0" applyProtection="0"/>
    <xf numFmtId="0" fontId="32" fillId="47" borderId="0" applyNumberFormat="0" applyBorder="0" applyAlignment="0" applyProtection="0"/>
    <xf numFmtId="0" fontId="32" fillId="47" borderId="0" applyNumberFormat="0" applyBorder="0" applyAlignment="0" applyProtection="0"/>
    <xf numFmtId="0" fontId="32" fillId="47" borderId="0" applyNumberFormat="0" applyBorder="0" applyAlignment="0" applyProtection="0"/>
    <xf numFmtId="0" fontId="32" fillId="48" borderId="0" applyNumberFormat="0" applyBorder="0" applyAlignment="0" applyProtection="0"/>
    <xf numFmtId="0" fontId="32" fillId="48" borderId="0" applyNumberFormat="0" applyBorder="0" applyAlignment="0" applyProtection="0"/>
    <xf numFmtId="0" fontId="32" fillId="48" borderId="0" applyNumberFormat="0" applyBorder="0" applyAlignment="0" applyProtection="0"/>
    <xf numFmtId="0" fontId="32" fillId="48" borderId="0" applyNumberFormat="0" applyBorder="0" applyAlignment="0" applyProtection="0"/>
    <xf numFmtId="0" fontId="32" fillId="48" borderId="0" applyNumberFormat="0" applyBorder="0" applyAlignment="0" applyProtection="0"/>
    <xf numFmtId="0" fontId="32" fillId="48" borderId="0" applyNumberFormat="0" applyBorder="0" applyAlignment="0" applyProtection="0"/>
    <xf numFmtId="0" fontId="32" fillId="48" borderId="0" applyNumberFormat="0" applyBorder="0" applyAlignment="0" applyProtection="0"/>
    <xf numFmtId="0" fontId="32" fillId="39" borderId="0" applyNumberFormat="0" applyBorder="0" applyAlignment="0" applyProtection="0"/>
    <xf numFmtId="0" fontId="32" fillId="39" borderId="0" applyNumberFormat="0" applyBorder="0" applyAlignment="0" applyProtection="0"/>
    <xf numFmtId="0" fontId="32" fillId="39" borderId="0" applyNumberFormat="0" applyBorder="0" applyAlignment="0" applyProtection="0"/>
    <xf numFmtId="0" fontId="32" fillId="39" borderId="0" applyNumberFormat="0" applyBorder="0" applyAlignment="0" applyProtection="0"/>
    <xf numFmtId="0" fontId="32" fillId="39" borderId="0" applyNumberFormat="0" applyBorder="0" applyAlignment="0" applyProtection="0"/>
    <xf numFmtId="0" fontId="32" fillId="39" borderId="0" applyNumberFormat="0" applyBorder="0" applyAlignment="0" applyProtection="0"/>
    <xf numFmtId="0" fontId="32" fillId="39" borderId="0" applyNumberFormat="0" applyBorder="0" applyAlignment="0" applyProtection="0"/>
    <xf numFmtId="0" fontId="32" fillId="42" borderId="0" applyNumberFormat="0" applyBorder="0" applyAlignment="0" applyProtection="0"/>
    <xf numFmtId="0" fontId="32" fillId="42" borderId="0" applyNumberFormat="0" applyBorder="0" applyAlignment="0" applyProtection="0"/>
    <xf numFmtId="0" fontId="32" fillId="42" borderId="0" applyNumberFormat="0" applyBorder="0" applyAlignment="0" applyProtection="0"/>
    <xf numFmtId="0" fontId="32" fillId="42" borderId="0" applyNumberFormat="0" applyBorder="0" applyAlignment="0" applyProtection="0"/>
    <xf numFmtId="0" fontId="32" fillId="42" borderId="0" applyNumberFormat="0" applyBorder="0" applyAlignment="0" applyProtection="0"/>
    <xf numFmtId="0" fontId="32" fillId="42" borderId="0" applyNumberFormat="0" applyBorder="0" applyAlignment="0" applyProtection="0"/>
    <xf numFmtId="0" fontId="32" fillId="42" borderId="0" applyNumberFormat="0" applyBorder="0" applyAlignment="0" applyProtection="0"/>
    <xf numFmtId="0" fontId="32" fillId="43" borderId="0" applyNumberFormat="0" applyBorder="0" applyAlignment="0" applyProtection="0"/>
    <xf numFmtId="0" fontId="32" fillId="43" borderId="0" applyNumberFormat="0" applyBorder="0" applyAlignment="0" applyProtection="0"/>
    <xf numFmtId="0" fontId="32" fillId="43" borderId="0" applyNumberFormat="0" applyBorder="0" applyAlignment="0" applyProtection="0"/>
    <xf numFmtId="0" fontId="32" fillId="43" borderId="0" applyNumberFormat="0" applyBorder="0" applyAlignment="0" applyProtection="0"/>
    <xf numFmtId="0" fontId="32" fillId="43" borderId="0" applyNumberFormat="0" applyBorder="0" applyAlignment="0" applyProtection="0"/>
    <xf numFmtId="0" fontId="32" fillId="43" borderId="0" applyNumberFormat="0" applyBorder="0" applyAlignment="0" applyProtection="0"/>
    <xf numFmtId="0" fontId="32" fillId="43" borderId="0" applyNumberFormat="0" applyBorder="0" applyAlignment="0" applyProtection="0"/>
    <xf numFmtId="0" fontId="33" fillId="16" borderId="0" applyNumberFormat="0" applyBorder="0" applyAlignment="0" applyProtection="0"/>
    <xf numFmtId="0" fontId="11" fillId="49" borderId="0" applyNumberFormat="0" applyBorder="0" applyAlignment="0" applyProtection="0"/>
    <xf numFmtId="0" fontId="33" fillId="20" borderId="0" applyNumberFormat="0" applyBorder="0" applyAlignment="0" applyProtection="0"/>
    <xf numFmtId="0" fontId="11" fillId="47" borderId="0" applyNumberFormat="0" applyBorder="0" applyAlignment="0" applyProtection="0"/>
    <xf numFmtId="0" fontId="33" fillId="24" borderId="0" applyNumberFormat="0" applyBorder="0" applyAlignment="0" applyProtection="0"/>
    <xf numFmtId="0" fontId="11" fillId="48" borderId="0" applyNumberFormat="0" applyBorder="0" applyAlignment="0" applyProtection="0"/>
    <xf numFmtId="0" fontId="33" fillId="28" borderId="0" applyNumberFormat="0" applyBorder="0" applyAlignment="0" applyProtection="0"/>
    <xf numFmtId="0" fontId="11" fillId="41" borderId="0" applyNumberFormat="0" applyBorder="0" applyAlignment="0" applyProtection="0"/>
    <xf numFmtId="0" fontId="33" fillId="32" borderId="0" applyNumberFormat="0" applyBorder="0" applyAlignment="0" applyProtection="0"/>
    <xf numFmtId="0" fontId="11" fillId="49" borderId="0" applyNumberFormat="0" applyBorder="0" applyAlignment="0" applyProtection="0"/>
    <xf numFmtId="0" fontId="33" fillId="36" borderId="0" applyNumberFormat="0" applyBorder="0" applyAlignment="0" applyProtection="0"/>
    <xf numFmtId="0" fontId="11" fillId="50" borderId="0" applyNumberFormat="0" applyBorder="0" applyAlignment="0" applyProtection="0"/>
    <xf numFmtId="0" fontId="34" fillId="49" borderId="0" applyNumberFormat="0" applyBorder="0" applyAlignment="0" applyProtection="0">
      <alignment vertical="center"/>
    </xf>
    <xf numFmtId="0" fontId="35" fillId="49" borderId="0" applyNumberFormat="0" applyBorder="0" applyAlignment="0" applyProtection="0">
      <alignment vertical="center"/>
    </xf>
    <xf numFmtId="0" fontId="36" fillId="49" borderId="0" applyNumberFormat="0" applyBorder="0" applyAlignment="0" applyProtection="0">
      <alignment vertical="center"/>
    </xf>
    <xf numFmtId="0" fontId="34" fillId="49" borderId="0" applyNumberFormat="0" applyBorder="0" applyAlignment="0" applyProtection="0">
      <alignment vertical="center"/>
    </xf>
    <xf numFmtId="0" fontId="36" fillId="49" borderId="0" applyNumberFormat="0" applyBorder="0" applyAlignment="0" applyProtection="0">
      <alignment vertical="center"/>
    </xf>
    <xf numFmtId="0" fontId="34" fillId="47" borderId="0" applyNumberFormat="0" applyBorder="0" applyAlignment="0" applyProtection="0">
      <alignment vertical="center"/>
    </xf>
    <xf numFmtId="0" fontId="35" fillId="39" borderId="0" applyNumberFormat="0" applyBorder="0" applyAlignment="0" applyProtection="0">
      <alignment vertical="center"/>
    </xf>
    <xf numFmtId="0" fontId="36" fillId="47" borderId="0" applyNumberFormat="0" applyBorder="0" applyAlignment="0" applyProtection="0">
      <alignment vertical="center"/>
    </xf>
    <xf numFmtId="0" fontId="34" fillId="47" borderId="0" applyNumberFormat="0" applyBorder="0" applyAlignment="0" applyProtection="0">
      <alignment vertical="center"/>
    </xf>
    <xf numFmtId="0" fontId="36" fillId="47" borderId="0" applyNumberFormat="0" applyBorder="0" applyAlignment="0" applyProtection="0">
      <alignment vertical="center"/>
    </xf>
    <xf numFmtId="0" fontId="34" fillId="48" borderId="0" applyNumberFormat="0" applyBorder="0" applyAlignment="0" applyProtection="0">
      <alignment vertical="center"/>
    </xf>
    <xf numFmtId="0" fontId="35" fillId="44" borderId="0" applyNumberFormat="0" applyBorder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34" fillId="48" borderId="0" applyNumberFormat="0" applyBorder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34" fillId="41" borderId="0" applyNumberFormat="0" applyBorder="0" applyAlignment="0" applyProtection="0">
      <alignment vertical="center"/>
    </xf>
    <xf numFmtId="0" fontId="35" fillId="46" borderId="0" applyNumberFormat="0" applyBorder="0" applyAlignment="0" applyProtection="0">
      <alignment vertical="center"/>
    </xf>
    <xf numFmtId="0" fontId="36" fillId="41" borderId="0" applyNumberFormat="0" applyBorder="0" applyAlignment="0" applyProtection="0">
      <alignment vertical="center"/>
    </xf>
    <xf numFmtId="0" fontId="34" fillId="41" borderId="0" applyNumberFormat="0" applyBorder="0" applyAlignment="0" applyProtection="0">
      <alignment vertical="center"/>
    </xf>
    <xf numFmtId="0" fontId="36" fillId="41" borderId="0" applyNumberFormat="0" applyBorder="0" applyAlignment="0" applyProtection="0">
      <alignment vertical="center"/>
    </xf>
    <xf numFmtId="0" fontId="34" fillId="49" borderId="0" applyNumberFormat="0" applyBorder="0" applyAlignment="0" applyProtection="0">
      <alignment vertical="center"/>
    </xf>
    <xf numFmtId="0" fontId="35" fillId="46" borderId="0" applyNumberFormat="0" applyBorder="0" applyAlignment="0" applyProtection="0">
      <alignment vertical="center"/>
    </xf>
    <xf numFmtId="0" fontId="36" fillId="49" borderId="0" applyNumberFormat="0" applyBorder="0" applyAlignment="0" applyProtection="0">
      <alignment vertical="center"/>
    </xf>
    <xf numFmtId="0" fontId="34" fillId="49" borderId="0" applyNumberFormat="0" applyBorder="0" applyAlignment="0" applyProtection="0">
      <alignment vertical="center"/>
    </xf>
    <xf numFmtId="0" fontId="36" fillId="49" borderId="0" applyNumberFormat="0" applyBorder="0" applyAlignment="0" applyProtection="0">
      <alignment vertical="center"/>
    </xf>
    <xf numFmtId="0" fontId="34" fillId="50" borderId="0" applyNumberFormat="0" applyBorder="0" applyAlignment="0" applyProtection="0">
      <alignment vertical="center"/>
    </xf>
    <xf numFmtId="0" fontId="35" fillId="51" borderId="0" applyNumberFormat="0" applyBorder="0" applyAlignment="0" applyProtection="0">
      <alignment vertical="center"/>
    </xf>
    <xf numFmtId="0" fontId="36" fillId="50" borderId="0" applyNumberFormat="0" applyBorder="0" applyAlignment="0" applyProtection="0">
      <alignment vertical="center"/>
    </xf>
    <xf numFmtId="0" fontId="34" fillId="50" borderId="0" applyNumberFormat="0" applyBorder="0" applyAlignment="0" applyProtection="0">
      <alignment vertical="center"/>
    </xf>
    <xf numFmtId="0" fontId="36" fillId="50" borderId="0" applyNumberFormat="0" applyBorder="0" applyAlignment="0" applyProtection="0">
      <alignment vertical="center"/>
    </xf>
    <xf numFmtId="0" fontId="37" fillId="17" borderId="0" applyNumberFormat="0" applyBorder="0" applyAlignment="0" applyProtection="0"/>
    <xf numFmtId="0" fontId="38" fillId="52" borderId="0" applyNumberFormat="0" applyBorder="0" applyAlignment="0" applyProtection="0"/>
    <xf numFmtId="0" fontId="37" fillId="21" borderId="0" applyNumberFormat="0" applyBorder="0" applyAlignment="0" applyProtection="0"/>
    <xf numFmtId="0" fontId="38" fillId="47" borderId="0" applyNumberFormat="0" applyBorder="0" applyAlignment="0" applyProtection="0"/>
    <xf numFmtId="0" fontId="37" fillId="25" borderId="0" applyNumberFormat="0" applyBorder="0" applyAlignment="0" applyProtection="0"/>
    <xf numFmtId="0" fontId="38" fillId="48" borderId="0" applyNumberFormat="0" applyBorder="0" applyAlignment="0" applyProtection="0"/>
    <xf numFmtId="0" fontId="37" fillId="29" borderId="0" applyNumberFormat="0" applyBorder="0" applyAlignment="0" applyProtection="0"/>
    <xf numFmtId="0" fontId="38" fillId="53" borderId="0" applyNumberFormat="0" applyBorder="0" applyAlignment="0" applyProtection="0"/>
    <xf numFmtId="0" fontId="37" fillId="33" borderId="0" applyNumberFormat="0" applyBorder="0" applyAlignment="0" applyProtection="0"/>
    <xf numFmtId="0" fontId="38" fillId="54" borderId="0" applyNumberFormat="0" applyBorder="0" applyAlignment="0" applyProtection="0"/>
    <xf numFmtId="0" fontId="37" fillId="37" borderId="0" applyNumberFormat="0" applyBorder="0" applyAlignment="0" applyProtection="0"/>
    <xf numFmtId="0" fontId="38" fillId="55" borderId="0" applyNumberFormat="0" applyBorder="0" applyAlignment="0" applyProtection="0"/>
    <xf numFmtId="0" fontId="39" fillId="52" borderId="0" applyNumberFormat="0" applyBorder="0" applyAlignment="0" applyProtection="0">
      <alignment vertical="center"/>
    </xf>
    <xf numFmtId="0" fontId="40" fillId="54" borderId="0" applyNumberFormat="0" applyBorder="0" applyAlignment="0" applyProtection="0">
      <alignment vertical="center"/>
    </xf>
    <xf numFmtId="0" fontId="41" fillId="52" borderId="0" applyNumberFormat="0" applyBorder="0" applyAlignment="0" applyProtection="0">
      <alignment vertical="center"/>
    </xf>
    <xf numFmtId="0" fontId="39" fillId="52" borderId="0" applyNumberFormat="0" applyBorder="0" applyAlignment="0" applyProtection="0">
      <alignment vertical="center"/>
    </xf>
    <xf numFmtId="0" fontId="41" fillId="52" borderId="0" applyNumberFormat="0" applyBorder="0" applyAlignment="0" applyProtection="0">
      <alignment vertical="center"/>
    </xf>
    <xf numFmtId="0" fontId="39" fillId="47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1" fillId="47" borderId="0" applyNumberFormat="0" applyBorder="0" applyAlignment="0" applyProtection="0">
      <alignment vertical="center"/>
    </xf>
    <xf numFmtId="0" fontId="39" fillId="47" borderId="0" applyNumberFormat="0" applyBorder="0" applyAlignment="0" applyProtection="0">
      <alignment vertical="center"/>
    </xf>
    <xf numFmtId="0" fontId="41" fillId="47" borderId="0" applyNumberFormat="0" applyBorder="0" applyAlignment="0" applyProtection="0">
      <alignment vertical="center"/>
    </xf>
    <xf numFmtId="0" fontId="39" fillId="48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1" fillId="48" borderId="0" applyNumberFormat="0" applyBorder="0" applyAlignment="0" applyProtection="0">
      <alignment vertical="center"/>
    </xf>
    <xf numFmtId="0" fontId="39" fillId="48" borderId="0" applyNumberFormat="0" applyBorder="0" applyAlignment="0" applyProtection="0">
      <alignment vertical="center"/>
    </xf>
    <xf numFmtId="0" fontId="41" fillId="48" borderId="0" applyNumberFormat="0" applyBorder="0" applyAlignment="0" applyProtection="0">
      <alignment vertical="center"/>
    </xf>
    <xf numFmtId="0" fontId="39" fillId="53" borderId="0" applyNumberFormat="0" applyBorder="0" applyAlignment="0" applyProtection="0">
      <alignment vertical="center"/>
    </xf>
    <xf numFmtId="0" fontId="40" fillId="54" borderId="0" applyNumberFormat="0" applyBorder="0" applyAlignment="0" applyProtection="0">
      <alignment vertical="center"/>
    </xf>
    <xf numFmtId="0" fontId="41" fillId="53" borderId="0" applyNumberFormat="0" applyBorder="0" applyAlignment="0" applyProtection="0">
      <alignment vertical="center"/>
    </xf>
    <xf numFmtId="0" fontId="39" fillId="53" borderId="0" applyNumberFormat="0" applyBorder="0" applyAlignment="0" applyProtection="0">
      <alignment vertical="center"/>
    </xf>
    <xf numFmtId="0" fontId="41" fillId="53" borderId="0" applyNumberFormat="0" applyBorder="0" applyAlignment="0" applyProtection="0">
      <alignment vertical="center"/>
    </xf>
    <xf numFmtId="0" fontId="39" fillId="54" borderId="0" applyNumberFormat="0" applyBorder="0" applyAlignment="0" applyProtection="0">
      <alignment vertical="center"/>
    </xf>
    <xf numFmtId="0" fontId="40" fillId="56" borderId="0" applyNumberFormat="0" applyBorder="0" applyAlignment="0" applyProtection="0">
      <alignment vertical="center"/>
    </xf>
    <xf numFmtId="0" fontId="41" fillId="54" borderId="0" applyNumberFormat="0" applyBorder="0" applyAlignment="0" applyProtection="0">
      <alignment vertical="center"/>
    </xf>
    <xf numFmtId="0" fontId="39" fillId="54" borderId="0" applyNumberFormat="0" applyBorder="0" applyAlignment="0" applyProtection="0">
      <alignment vertical="center"/>
    </xf>
    <xf numFmtId="0" fontId="41" fillId="54" borderId="0" applyNumberFormat="0" applyBorder="0" applyAlignment="0" applyProtection="0">
      <alignment vertical="center"/>
    </xf>
    <xf numFmtId="0" fontId="39" fillId="55" borderId="0" applyNumberFormat="0" applyBorder="0" applyAlignment="0" applyProtection="0">
      <alignment vertical="center"/>
    </xf>
    <xf numFmtId="0" fontId="40" fillId="51" borderId="0" applyNumberFormat="0" applyBorder="0" applyAlignment="0" applyProtection="0">
      <alignment vertical="center"/>
    </xf>
    <xf numFmtId="0" fontId="41" fillId="55" borderId="0" applyNumberFormat="0" applyBorder="0" applyAlignment="0" applyProtection="0">
      <alignment vertical="center"/>
    </xf>
    <xf numFmtId="0" fontId="39" fillId="55" borderId="0" applyNumberFormat="0" applyBorder="0" applyAlignment="0" applyProtection="0">
      <alignment vertical="center"/>
    </xf>
    <xf numFmtId="0" fontId="41" fillId="55" borderId="0" applyNumberFormat="0" applyBorder="0" applyAlignment="0" applyProtection="0">
      <alignment vertical="center"/>
    </xf>
    <xf numFmtId="0" fontId="37" fillId="14" borderId="0" applyNumberFormat="0" applyBorder="0" applyAlignment="0" applyProtection="0"/>
    <xf numFmtId="0" fontId="38" fillId="57" borderId="0" applyNumberFormat="0" applyBorder="0" applyAlignment="0" applyProtection="0"/>
    <xf numFmtId="0" fontId="37" fillId="18" borderId="0" applyNumberFormat="0" applyBorder="0" applyAlignment="0" applyProtection="0"/>
    <xf numFmtId="0" fontId="38" fillId="58" borderId="0" applyNumberFormat="0" applyBorder="0" applyAlignment="0" applyProtection="0"/>
    <xf numFmtId="0" fontId="37" fillId="22" borderId="0" applyNumberFormat="0" applyBorder="0" applyAlignment="0" applyProtection="0"/>
    <xf numFmtId="0" fontId="38" fillId="59" borderId="0" applyNumberFormat="0" applyBorder="0" applyAlignment="0" applyProtection="0"/>
    <xf numFmtId="0" fontId="37" fillId="26" borderId="0" applyNumberFormat="0" applyBorder="0" applyAlignment="0" applyProtection="0"/>
    <xf numFmtId="0" fontId="38" fillId="53" borderId="0" applyNumberFormat="0" applyBorder="0" applyAlignment="0" applyProtection="0"/>
    <xf numFmtId="0" fontId="37" fillId="30" borderId="0" applyNumberFormat="0" applyBorder="0" applyAlignment="0" applyProtection="0"/>
    <xf numFmtId="0" fontId="38" fillId="54" borderId="0" applyNumberFormat="0" applyBorder="0" applyAlignment="0" applyProtection="0"/>
    <xf numFmtId="0" fontId="37" fillId="34" borderId="0" applyNumberFormat="0" applyBorder="0" applyAlignment="0" applyProtection="0"/>
    <xf numFmtId="0" fontId="38" fillId="60" borderId="0" applyNumberFormat="0" applyBorder="0" applyAlignment="0" applyProtection="0"/>
    <xf numFmtId="0" fontId="42" fillId="8" borderId="0" applyNumberFormat="0" applyBorder="0" applyAlignment="0" applyProtection="0"/>
    <xf numFmtId="0" fontId="43" fillId="39" borderId="0" applyNumberFormat="0" applyBorder="0" applyAlignment="0" applyProtection="0"/>
    <xf numFmtId="0" fontId="44" fillId="11" borderId="28" applyNumberFormat="0" applyAlignment="0" applyProtection="0"/>
    <xf numFmtId="0" fontId="45" fillId="46" borderId="34" applyNumberFormat="0" applyAlignment="0" applyProtection="0"/>
    <xf numFmtId="0" fontId="46" fillId="12" borderId="31" applyNumberFormat="0" applyAlignment="0" applyProtection="0"/>
    <xf numFmtId="0" fontId="47" fillId="61" borderId="35" applyNumberFormat="0" applyAlignment="0" applyProtection="0"/>
    <xf numFmtId="43" fontId="8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48" fillId="0" borderId="0" applyFont="0" applyFill="0" applyBorder="0" applyAlignment="0" applyProtection="0"/>
    <xf numFmtId="165" fontId="8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48" fillId="0" borderId="0" applyFont="0" applyFill="0" applyBorder="0" applyAlignment="0" applyProtection="0"/>
    <xf numFmtId="0" fontId="8" fillId="0" borderId="0" applyFont="0" applyFill="0" applyBorder="0" applyAlignment="0" applyProtection="0"/>
    <xf numFmtId="43" fontId="11" fillId="0" borderId="0" applyFont="0" applyFill="0" applyBorder="0" applyAlignment="0" applyProtection="0"/>
    <xf numFmtId="165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4" fillId="0" borderId="0" applyFont="0" applyFill="0" applyBorder="0" applyAlignment="0" applyProtection="0"/>
    <xf numFmtId="172" fontId="11" fillId="0" borderId="0" applyFont="0" applyFill="0" applyBorder="0" applyAlignment="0" applyProtection="0"/>
    <xf numFmtId="165" fontId="8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>
      <alignment vertical="center"/>
    </xf>
    <xf numFmtId="43" fontId="30" fillId="0" borderId="0" applyFont="0" applyFill="0" applyBorder="0" applyAlignment="0" applyProtection="0"/>
    <xf numFmtId="165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9" fillId="0" borderId="0" applyFont="0" applyFill="0" applyBorder="0" applyAlignment="0" applyProtection="0"/>
    <xf numFmtId="0" fontId="32" fillId="43" borderId="36" applyNumberFormat="0" applyFont="0" applyAlignment="0" applyProtection="0"/>
    <xf numFmtId="0" fontId="32" fillId="43" borderId="36" applyNumberFormat="0" applyFont="0" applyAlignment="0" applyProtection="0"/>
    <xf numFmtId="0" fontId="32" fillId="43" borderId="36" applyNumberFormat="0" applyFont="0" applyAlignment="0" applyProtection="0"/>
    <xf numFmtId="0" fontId="32" fillId="43" borderId="36" applyNumberFormat="0" applyFont="0" applyAlignment="0" applyProtection="0"/>
    <xf numFmtId="0" fontId="32" fillId="43" borderId="36" applyNumberFormat="0" applyFont="0" applyAlignment="0" applyProtection="0"/>
    <xf numFmtId="0" fontId="32" fillId="43" borderId="36" applyNumberFormat="0" applyFont="0" applyAlignment="0" applyProtection="0"/>
    <xf numFmtId="0" fontId="32" fillId="43" borderId="36" applyNumberFormat="0" applyFont="0" applyAlignment="0" applyProtection="0"/>
    <xf numFmtId="0" fontId="32" fillId="43" borderId="36" applyNumberFormat="0" applyFont="0" applyAlignment="0" applyProtection="0"/>
    <xf numFmtId="44" fontId="8" fillId="0" borderId="0" applyFont="0" applyFill="0" applyBorder="0" applyAlignment="0" applyProtection="0"/>
    <xf numFmtId="44" fontId="26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8" fillId="0" borderId="0" applyNumberFormat="0" applyFont="0" applyFill="0" applyBorder="0" applyAlignment="0" applyProtection="0"/>
    <xf numFmtId="173" fontId="8" fillId="0" borderId="0" applyFont="0" applyFill="0" applyBorder="0" applyAlignment="0" applyProtection="0"/>
    <xf numFmtId="0" fontId="50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2" fillId="7" borderId="0" applyNumberFormat="0" applyBorder="0" applyAlignment="0" applyProtection="0"/>
    <xf numFmtId="0" fontId="53" fillId="40" borderId="0" applyNumberFormat="0" applyBorder="0" applyAlignment="0" applyProtection="0"/>
    <xf numFmtId="0" fontId="54" fillId="0" borderId="25" applyNumberFormat="0" applyFill="0" applyAlignment="0" applyProtection="0"/>
    <xf numFmtId="0" fontId="55" fillId="0" borderId="37" applyNumberFormat="0" applyFill="0" applyAlignment="0" applyProtection="0"/>
    <xf numFmtId="0" fontId="56" fillId="0" borderId="26" applyNumberFormat="0" applyFill="0" applyAlignment="0" applyProtection="0"/>
    <xf numFmtId="0" fontId="57" fillId="0" borderId="38" applyNumberFormat="0" applyFill="0" applyAlignment="0" applyProtection="0"/>
    <xf numFmtId="0" fontId="58" fillId="0" borderId="27" applyNumberFormat="0" applyFill="0" applyAlignment="0" applyProtection="0"/>
    <xf numFmtId="0" fontId="59" fillId="0" borderId="39" applyNumberFormat="0" applyFill="0" applyAlignment="0" applyProtection="0"/>
    <xf numFmtId="0" fontId="58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60" fillId="0" borderId="0" applyNumberFormat="0" applyFill="0" applyBorder="0" applyAlignment="0" applyProtection="0">
      <alignment vertical="top"/>
      <protection locked="0"/>
    </xf>
    <xf numFmtId="0" fontId="60" fillId="0" borderId="0" applyNumberFormat="0" applyFill="0" applyBorder="0" applyAlignment="0" applyProtection="0">
      <alignment vertical="top"/>
      <protection locked="0"/>
    </xf>
    <xf numFmtId="0" fontId="61" fillId="10" borderId="28" applyNumberFormat="0" applyAlignment="0" applyProtection="0"/>
    <xf numFmtId="0" fontId="62" fillId="44" borderId="34" applyNumberFormat="0" applyAlignment="0" applyProtection="0"/>
    <xf numFmtId="0" fontId="63" fillId="0" borderId="30" applyNumberFormat="0" applyFill="0" applyAlignment="0" applyProtection="0"/>
    <xf numFmtId="0" fontId="64" fillId="0" borderId="40" applyNumberFormat="0" applyFill="0" applyAlignment="0" applyProtection="0"/>
    <xf numFmtId="0" fontId="65" fillId="9" borderId="0" applyNumberFormat="0" applyBorder="0" applyAlignment="0" applyProtection="0"/>
    <xf numFmtId="0" fontId="66" fillId="62" borderId="0" applyNumberFormat="0" applyBorder="0" applyAlignment="0" applyProtection="0"/>
    <xf numFmtId="0" fontId="32" fillId="0" borderId="0"/>
    <xf numFmtId="0" fontId="15" fillId="0" borderId="0"/>
    <xf numFmtId="0" fontId="32" fillId="0" borderId="0"/>
    <xf numFmtId="0" fontId="1" fillId="0" borderId="0"/>
    <xf numFmtId="0" fontId="32" fillId="0" borderId="0"/>
    <xf numFmtId="0" fontId="8" fillId="0" borderId="0"/>
    <xf numFmtId="0" fontId="8" fillId="0" borderId="0"/>
    <xf numFmtId="0" fontId="11" fillId="0" borderId="0"/>
    <xf numFmtId="0" fontId="67" fillId="0" borderId="0">
      <alignment vertical="center"/>
    </xf>
    <xf numFmtId="0" fontId="1" fillId="0" borderId="0"/>
    <xf numFmtId="0" fontId="68" fillId="0" borderId="0"/>
    <xf numFmtId="0" fontId="1" fillId="0" borderId="0"/>
    <xf numFmtId="0" fontId="15" fillId="0" borderId="0"/>
    <xf numFmtId="0" fontId="11" fillId="0" borderId="0"/>
    <xf numFmtId="0" fontId="1" fillId="0" borderId="0"/>
    <xf numFmtId="0" fontId="11" fillId="0" borderId="0"/>
    <xf numFmtId="0" fontId="1" fillId="0" borderId="0"/>
    <xf numFmtId="0" fontId="33" fillId="0" borderId="0"/>
    <xf numFmtId="0" fontId="1" fillId="0" borderId="0"/>
    <xf numFmtId="0" fontId="1" fillId="0" borderId="0"/>
    <xf numFmtId="0" fontId="33" fillId="0" borderId="0"/>
    <xf numFmtId="0" fontId="1" fillId="0" borderId="0"/>
    <xf numFmtId="0" fontId="33" fillId="0" borderId="0"/>
    <xf numFmtId="0" fontId="1" fillId="0" borderId="0"/>
    <xf numFmtId="0" fontId="1" fillId="0" borderId="0"/>
    <xf numFmtId="0" fontId="33" fillId="0" borderId="0"/>
    <xf numFmtId="0" fontId="34" fillId="0" borderId="0"/>
    <xf numFmtId="0" fontId="8" fillId="0" borderId="0"/>
    <xf numFmtId="0" fontId="8" fillId="0" borderId="0">
      <alignment vertical="top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vertical="top"/>
    </xf>
    <xf numFmtId="0" fontId="32" fillId="0" borderId="0"/>
    <xf numFmtId="0" fontId="8" fillId="0" borderId="0">
      <alignment vertical="top"/>
    </xf>
    <xf numFmtId="0" fontId="8" fillId="0" borderId="0"/>
    <xf numFmtId="0" fontId="8" fillId="0" borderId="0"/>
    <xf numFmtId="0" fontId="1" fillId="0" borderId="0"/>
    <xf numFmtId="0" fontId="8" fillId="0" borderId="0"/>
    <xf numFmtId="0" fontId="1" fillId="0" borderId="0"/>
    <xf numFmtId="0" fontId="32" fillId="0" borderId="0"/>
    <xf numFmtId="0" fontId="15" fillId="0" borderId="0"/>
    <xf numFmtId="0" fontId="1" fillId="0" borderId="0"/>
    <xf numFmtId="0" fontId="32" fillId="0" borderId="0"/>
    <xf numFmtId="0" fontId="15" fillId="0" borderId="0"/>
    <xf numFmtId="0" fontId="8" fillId="0" borderId="0">
      <alignment vertical="top"/>
    </xf>
    <xf numFmtId="0" fontId="32" fillId="0" borderId="0"/>
    <xf numFmtId="0" fontId="15" fillId="0" borderId="0"/>
    <xf numFmtId="0" fontId="8" fillId="0" borderId="0"/>
    <xf numFmtId="0" fontId="32" fillId="0" borderId="0"/>
    <xf numFmtId="0" fontId="15" fillId="0" borderId="0"/>
    <xf numFmtId="0" fontId="69" fillId="0" borderId="0"/>
    <xf numFmtId="0" fontId="34" fillId="43" borderId="36" applyNumberFormat="0" applyFont="0" applyAlignment="0" applyProtection="0"/>
    <xf numFmtId="0" fontId="34" fillId="13" borderId="32" applyNumberFormat="0" applyFont="0" applyAlignment="0" applyProtection="0"/>
    <xf numFmtId="0" fontId="36" fillId="13" borderId="32" applyNumberFormat="0" applyFont="0" applyAlignment="0" applyProtection="0"/>
    <xf numFmtId="0" fontId="34" fillId="43" borderId="36" applyNumberFormat="0" applyFont="0" applyAlignment="0" applyProtection="0"/>
    <xf numFmtId="0" fontId="36" fillId="13" borderId="32" applyNumberFormat="0" applyFont="0" applyAlignment="0" applyProtection="0"/>
    <xf numFmtId="0" fontId="34" fillId="43" borderId="36" applyNumberFormat="0" applyFont="0" applyAlignment="0" applyProtection="0"/>
    <xf numFmtId="0" fontId="8" fillId="43" borderId="36" applyNumberFormat="0" applyFont="0" applyAlignment="0" applyProtection="0"/>
    <xf numFmtId="0" fontId="70" fillId="11" borderId="29" applyNumberFormat="0" applyAlignment="0" applyProtection="0"/>
    <xf numFmtId="0" fontId="71" fillId="46" borderId="41" applyNumberFormat="0" applyAlignment="0" applyProtection="0"/>
    <xf numFmtId="9" fontId="11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49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49" fillId="0" borderId="0" applyFont="0" applyFill="0" applyBorder="0" applyAlignment="0" applyProtection="0"/>
    <xf numFmtId="0" fontId="72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74" fillId="0" borderId="33" applyNumberFormat="0" applyFill="0" applyAlignment="0" applyProtection="0"/>
    <xf numFmtId="0" fontId="75" fillId="0" borderId="42" applyNumberFormat="0" applyFill="0" applyAlignment="0" applyProtection="0"/>
    <xf numFmtId="0" fontId="76" fillId="0" borderId="0" applyNumberFormat="0" applyFill="0" applyBorder="0" applyAlignment="0" applyProtection="0"/>
    <xf numFmtId="0" fontId="77" fillId="0" borderId="0" applyNumberFormat="0" applyFill="0" applyBorder="0" applyAlignment="0" applyProtection="0"/>
    <xf numFmtId="172" fontId="35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0" fontId="78" fillId="40" borderId="0" applyNumberFormat="0" applyBorder="0" applyAlignment="0" applyProtection="0">
      <alignment vertical="center"/>
    </xf>
    <xf numFmtId="0" fontId="79" fillId="40" borderId="0" applyNumberFormat="0" applyBorder="0" applyAlignment="0" applyProtection="0">
      <alignment vertical="center"/>
    </xf>
    <xf numFmtId="0" fontId="80" fillId="40" borderId="0" applyNumberFormat="0" applyBorder="0" applyAlignment="0" applyProtection="0">
      <alignment vertical="center"/>
    </xf>
    <xf numFmtId="0" fontId="78" fillId="40" borderId="0" applyNumberFormat="0" applyBorder="0" applyAlignment="0" applyProtection="0">
      <alignment vertical="center"/>
    </xf>
    <xf numFmtId="0" fontId="80" fillId="40" borderId="0" applyNumberFormat="0" applyBorder="0" applyAlignment="0" applyProtection="0">
      <alignment vertical="center"/>
    </xf>
    <xf numFmtId="0" fontId="81" fillId="39" borderId="0" applyNumberFormat="0" applyBorder="0" applyAlignment="0" applyProtection="0">
      <alignment vertical="center"/>
    </xf>
    <xf numFmtId="0" fontId="82" fillId="39" borderId="0" applyNumberFormat="0" applyBorder="0" applyAlignment="0" applyProtection="0">
      <alignment vertical="center"/>
    </xf>
    <xf numFmtId="0" fontId="83" fillId="39" borderId="0" applyNumberFormat="0" applyBorder="0" applyAlignment="0" applyProtection="0">
      <alignment vertical="center"/>
    </xf>
    <xf numFmtId="0" fontId="81" fillId="39" borderId="0" applyNumberFormat="0" applyBorder="0" applyAlignment="0" applyProtection="0">
      <alignment vertical="center"/>
    </xf>
    <xf numFmtId="0" fontId="83" fillId="39" borderId="0" applyNumberFormat="0" applyBorder="0" applyAlignment="0" applyProtection="0">
      <alignment vertical="center"/>
    </xf>
    <xf numFmtId="0" fontId="35" fillId="0" borderId="0">
      <alignment vertical="center"/>
    </xf>
    <xf numFmtId="0" fontId="8" fillId="0" borderId="0"/>
    <xf numFmtId="0" fontId="8" fillId="0" borderId="0"/>
    <xf numFmtId="0" fontId="39" fillId="57" borderId="0" applyNumberFormat="0" applyBorder="0" applyAlignment="0" applyProtection="0">
      <alignment vertical="center"/>
    </xf>
    <xf numFmtId="0" fontId="40" fillId="54" borderId="0" applyNumberFormat="0" applyBorder="0" applyAlignment="0" applyProtection="0">
      <alignment vertical="center"/>
    </xf>
    <xf numFmtId="0" fontId="41" fillId="57" borderId="0" applyNumberFormat="0" applyBorder="0" applyAlignment="0" applyProtection="0">
      <alignment vertical="center"/>
    </xf>
    <xf numFmtId="0" fontId="39" fillId="57" borderId="0" applyNumberFormat="0" applyBorder="0" applyAlignment="0" applyProtection="0">
      <alignment vertical="center"/>
    </xf>
    <xf numFmtId="0" fontId="41" fillId="57" borderId="0" applyNumberFormat="0" applyBorder="0" applyAlignment="0" applyProtection="0">
      <alignment vertical="center"/>
    </xf>
    <xf numFmtId="0" fontId="39" fillId="58" borderId="0" applyNumberFormat="0" applyBorder="0" applyAlignment="0" applyProtection="0">
      <alignment vertical="center"/>
    </xf>
    <xf numFmtId="0" fontId="40" fillId="51" borderId="0" applyNumberFormat="0" applyBorder="0" applyAlignment="0" applyProtection="0">
      <alignment vertical="center"/>
    </xf>
    <xf numFmtId="0" fontId="41" fillId="58" borderId="0" applyNumberFormat="0" applyBorder="0" applyAlignment="0" applyProtection="0">
      <alignment vertical="center"/>
    </xf>
    <xf numFmtId="0" fontId="39" fillId="58" borderId="0" applyNumberFormat="0" applyBorder="0" applyAlignment="0" applyProtection="0">
      <alignment vertical="center"/>
    </xf>
    <xf numFmtId="0" fontId="41" fillId="58" borderId="0" applyNumberFormat="0" applyBorder="0" applyAlignment="0" applyProtection="0">
      <alignment vertical="center"/>
    </xf>
    <xf numFmtId="0" fontId="39" fillId="59" borderId="0" applyNumberFormat="0" applyBorder="0" applyAlignment="0" applyProtection="0">
      <alignment vertical="center"/>
    </xf>
    <xf numFmtId="0" fontId="40" fillId="60" borderId="0" applyNumberFormat="0" applyBorder="0" applyAlignment="0" applyProtection="0">
      <alignment vertical="center"/>
    </xf>
    <xf numFmtId="0" fontId="41" fillId="59" borderId="0" applyNumberFormat="0" applyBorder="0" applyAlignment="0" applyProtection="0">
      <alignment vertical="center"/>
    </xf>
    <xf numFmtId="0" fontId="39" fillId="59" borderId="0" applyNumberFormat="0" applyBorder="0" applyAlignment="0" applyProtection="0">
      <alignment vertical="center"/>
    </xf>
    <xf numFmtId="0" fontId="41" fillId="59" borderId="0" applyNumberFormat="0" applyBorder="0" applyAlignment="0" applyProtection="0">
      <alignment vertical="center"/>
    </xf>
    <xf numFmtId="0" fontId="39" fillId="53" borderId="0" applyNumberFormat="0" applyBorder="0" applyAlignment="0" applyProtection="0">
      <alignment vertical="center"/>
    </xf>
    <xf numFmtId="0" fontId="40" fillId="57" borderId="0" applyNumberFormat="0" applyBorder="0" applyAlignment="0" applyProtection="0">
      <alignment vertical="center"/>
    </xf>
    <xf numFmtId="0" fontId="41" fillId="53" borderId="0" applyNumberFormat="0" applyBorder="0" applyAlignment="0" applyProtection="0">
      <alignment vertical="center"/>
    </xf>
    <xf numFmtId="0" fontId="39" fillId="53" borderId="0" applyNumberFormat="0" applyBorder="0" applyAlignment="0" applyProtection="0">
      <alignment vertical="center"/>
    </xf>
    <xf numFmtId="0" fontId="41" fillId="53" borderId="0" applyNumberFormat="0" applyBorder="0" applyAlignment="0" applyProtection="0">
      <alignment vertical="center"/>
    </xf>
    <xf numFmtId="0" fontId="39" fillId="54" borderId="0" applyNumberFormat="0" applyBorder="0" applyAlignment="0" applyProtection="0">
      <alignment vertical="center"/>
    </xf>
    <xf numFmtId="0" fontId="40" fillId="56" borderId="0" applyNumberFormat="0" applyBorder="0" applyAlignment="0" applyProtection="0">
      <alignment vertical="center"/>
    </xf>
    <xf numFmtId="0" fontId="41" fillId="54" borderId="0" applyNumberFormat="0" applyBorder="0" applyAlignment="0" applyProtection="0">
      <alignment vertical="center"/>
    </xf>
    <xf numFmtId="0" fontId="39" fillId="54" borderId="0" applyNumberFormat="0" applyBorder="0" applyAlignment="0" applyProtection="0">
      <alignment vertical="center"/>
    </xf>
    <xf numFmtId="0" fontId="41" fillId="54" borderId="0" applyNumberFormat="0" applyBorder="0" applyAlignment="0" applyProtection="0">
      <alignment vertical="center"/>
    </xf>
    <xf numFmtId="0" fontId="39" fillId="60" borderId="0" applyNumberFormat="0" applyBorder="0" applyAlignment="0" applyProtection="0">
      <alignment vertical="center"/>
    </xf>
    <xf numFmtId="0" fontId="40" fillId="51" borderId="0" applyNumberFormat="0" applyBorder="0" applyAlignment="0" applyProtection="0">
      <alignment vertical="center"/>
    </xf>
    <xf numFmtId="0" fontId="41" fillId="60" borderId="0" applyNumberFormat="0" applyBorder="0" applyAlignment="0" applyProtection="0">
      <alignment vertical="center"/>
    </xf>
    <xf numFmtId="0" fontId="39" fillId="60" borderId="0" applyNumberFormat="0" applyBorder="0" applyAlignment="0" applyProtection="0">
      <alignment vertical="center"/>
    </xf>
    <xf numFmtId="0" fontId="41" fillId="60" borderId="0" applyNumberFormat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5" fillId="0" borderId="37" applyNumberFormat="0" applyFill="0" applyAlignment="0" applyProtection="0">
      <alignment vertical="center"/>
    </xf>
    <xf numFmtId="0" fontId="86" fillId="0" borderId="43" applyNumberFormat="0" applyFill="0" applyAlignment="0" applyProtection="0">
      <alignment vertical="center"/>
    </xf>
    <xf numFmtId="0" fontId="87" fillId="0" borderId="37" applyNumberFormat="0" applyFill="0" applyAlignment="0" applyProtection="0">
      <alignment vertical="center"/>
    </xf>
    <xf numFmtId="0" fontId="85" fillId="0" borderId="37" applyNumberFormat="0" applyFill="0" applyAlignment="0" applyProtection="0">
      <alignment vertical="center"/>
    </xf>
    <xf numFmtId="0" fontId="87" fillId="0" borderId="37" applyNumberFormat="0" applyFill="0" applyAlignment="0" applyProtection="0">
      <alignment vertical="center"/>
    </xf>
    <xf numFmtId="0" fontId="88" fillId="0" borderId="38" applyNumberFormat="0" applyFill="0" applyAlignment="0" applyProtection="0">
      <alignment vertical="center"/>
    </xf>
    <xf numFmtId="0" fontId="89" fillId="0" borderId="43" applyNumberFormat="0" applyFill="0" applyAlignment="0" applyProtection="0">
      <alignment vertical="center"/>
    </xf>
    <xf numFmtId="0" fontId="90" fillId="0" borderId="38" applyNumberFormat="0" applyFill="0" applyAlignment="0" applyProtection="0">
      <alignment vertical="center"/>
    </xf>
    <xf numFmtId="0" fontId="88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>
      <alignment vertical="center"/>
    </xf>
    <xf numFmtId="0" fontId="91" fillId="0" borderId="39" applyNumberFormat="0" applyFill="0" applyAlignment="0" applyProtection="0">
      <alignment vertical="center"/>
    </xf>
    <xf numFmtId="0" fontId="92" fillId="0" borderId="44" applyNumberFormat="0" applyFill="0" applyAlignment="0" applyProtection="0">
      <alignment vertical="center"/>
    </xf>
    <xf numFmtId="0" fontId="93" fillId="0" borderId="39" applyNumberFormat="0" applyFill="0" applyAlignment="0" applyProtection="0">
      <alignment vertical="center"/>
    </xf>
    <xf numFmtId="0" fontId="91" fillId="0" borderId="39" applyNumberFormat="0" applyFill="0" applyAlignment="0" applyProtection="0">
      <alignment vertical="center"/>
    </xf>
    <xf numFmtId="0" fontId="93" fillId="0" borderId="39" applyNumberFormat="0" applyFill="0" applyAlignment="0" applyProtection="0">
      <alignment vertical="center"/>
    </xf>
    <xf numFmtId="0" fontId="91" fillId="0" borderId="0" applyNumberFormat="0" applyFill="0" applyBorder="0" applyAlignment="0" applyProtection="0">
      <alignment vertical="center"/>
    </xf>
    <xf numFmtId="0" fontId="92" fillId="0" borderId="0" applyNumberFormat="0" applyFill="0" applyBorder="0" applyAlignment="0" applyProtection="0">
      <alignment vertical="center"/>
    </xf>
    <xf numFmtId="0" fontId="93" fillId="0" borderId="0" applyNumberFormat="0" applyFill="0" applyBorder="0" applyAlignment="0" applyProtection="0">
      <alignment vertical="center"/>
    </xf>
    <xf numFmtId="0" fontId="91" fillId="0" borderId="0" applyNumberFormat="0" applyFill="0" applyBorder="0" applyAlignment="0" applyProtection="0">
      <alignment vertical="center"/>
    </xf>
    <xf numFmtId="0" fontId="93" fillId="0" borderId="0" applyNumberFormat="0" applyFill="0" applyBorder="0" applyAlignment="0" applyProtection="0">
      <alignment vertical="center"/>
    </xf>
    <xf numFmtId="0" fontId="94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6" fillId="61" borderId="35" applyNumberFormat="0" applyAlignment="0" applyProtection="0">
      <alignment vertical="center"/>
    </xf>
    <xf numFmtId="0" fontId="97" fillId="61" borderId="35" applyNumberFormat="0" applyAlignment="0" applyProtection="0">
      <alignment vertical="center"/>
    </xf>
    <xf numFmtId="0" fontId="98" fillId="61" borderId="35" applyNumberFormat="0" applyAlignment="0" applyProtection="0">
      <alignment vertical="center"/>
    </xf>
    <xf numFmtId="0" fontId="96" fillId="61" borderId="35" applyNumberFormat="0" applyAlignment="0" applyProtection="0">
      <alignment vertical="center"/>
    </xf>
    <xf numFmtId="0" fontId="98" fillId="61" borderId="35" applyNumberFormat="0" applyAlignment="0" applyProtection="0">
      <alignment vertical="center"/>
    </xf>
    <xf numFmtId="0" fontId="99" fillId="0" borderId="42" applyNumberFormat="0" applyFill="0" applyAlignment="0" applyProtection="0">
      <alignment vertical="center"/>
    </xf>
    <xf numFmtId="0" fontId="100" fillId="0" borderId="45" applyNumberFormat="0" applyFill="0" applyAlignment="0" applyProtection="0">
      <alignment vertical="center"/>
    </xf>
    <xf numFmtId="0" fontId="101" fillId="0" borderId="42" applyNumberFormat="0" applyFill="0" applyAlignment="0" applyProtection="0">
      <alignment vertical="center"/>
    </xf>
    <xf numFmtId="0" fontId="99" fillId="0" borderId="42" applyNumberFormat="0" applyFill="0" applyAlignment="0" applyProtection="0">
      <alignment vertical="center"/>
    </xf>
    <xf numFmtId="0" fontId="101" fillId="0" borderId="42" applyNumberFormat="0" applyFill="0" applyAlignment="0" applyProtection="0">
      <alignment vertical="center"/>
    </xf>
    <xf numFmtId="0" fontId="102" fillId="43" borderId="36" applyNumberFormat="0" applyFont="0" applyAlignment="0" applyProtection="0">
      <alignment vertical="center"/>
    </xf>
    <xf numFmtId="0" fontId="35" fillId="43" borderId="36" applyNumberFormat="0" applyFont="0" applyAlignment="0" applyProtection="0">
      <alignment vertical="center"/>
    </xf>
    <xf numFmtId="0" fontId="103" fillId="43" borderId="36" applyNumberFormat="0" applyFont="0" applyAlignment="0" applyProtection="0">
      <alignment vertical="center"/>
    </xf>
    <xf numFmtId="0" fontId="102" fillId="43" borderId="36" applyNumberFormat="0" applyFont="0" applyAlignment="0" applyProtection="0">
      <alignment vertical="center"/>
    </xf>
    <xf numFmtId="0" fontId="103" fillId="43" borderId="36" applyNumberFormat="0" applyFont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5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109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109" fillId="0" borderId="0" applyNumberFormat="0" applyFill="0" applyBorder="0" applyAlignment="0" applyProtection="0">
      <alignment vertical="center"/>
    </xf>
    <xf numFmtId="0" fontId="110" fillId="46" borderId="34" applyNumberFormat="0" applyAlignment="0" applyProtection="0">
      <alignment vertical="center"/>
    </xf>
    <xf numFmtId="0" fontId="111" fillId="46" borderId="34" applyNumberFormat="0" applyAlignment="0" applyProtection="0">
      <alignment vertical="center"/>
    </xf>
    <xf numFmtId="0" fontId="112" fillId="46" borderId="34" applyNumberFormat="0" applyAlignment="0" applyProtection="0">
      <alignment vertical="center"/>
    </xf>
    <xf numFmtId="0" fontId="110" fillId="46" borderId="34" applyNumberFormat="0" applyAlignment="0" applyProtection="0">
      <alignment vertical="center"/>
    </xf>
    <xf numFmtId="0" fontId="112" fillId="46" borderId="34" applyNumberFormat="0" applyAlignment="0" applyProtection="0">
      <alignment vertical="center"/>
    </xf>
    <xf numFmtId="0" fontId="113" fillId="44" borderId="34" applyNumberFormat="0" applyAlignment="0" applyProtection="0">
      <alignment vertical="center"/>
    </xf>
    <xf numFmtId="0" fontId="114" fillId="44" borderId="34" applyNumberFormat="0" applyAlignment="0" applyProtection="0">
      <alignment vertical="center"/>
    </xf>
    <xf numFmtId="0" fontId="115" fillId="44" borderId="34" applyNumberFormat="0" applyAlignment="0" applyProtection="0">
      <alignment vertical="center"/>
    </xf>
    <xf numFmtId="0" fontId="113" fillId="44" borderId="34" applyNumberFormat="0" applyAlignment="0" applyProtection="0">
      <alignment vertical="center"/>
    </xf>
    <xf numFmtId="0" fontId="115" fillId="44" borderId="34" applyNumberFormat="0" applyAlignment="0" applyProtection="0">
      <alignment vertical="center"/>
    </xf>
    <xf numFmtId="0" fontId="116" fillId="46" borderId="41" applyNumberFormat="0" applyAlignment="0" applyProtection="0">
      <alignment vertical="center"/>
    </xf>
    <xf numFmtId="0" fontId="92" fillId="46" borderId="41" applyNumberFormat="0" applyAlignment="0" applyProtection="0">
      <alignment vertical="center"/>
    </xf>
    <xf numFmtId="0" fontId="117" fillId="46" borderId="41" applyNumberFormat="0" applyAlignment="0" applyProtection="0">
      <alignment vertical="center"/>
    </xf>
    <xf numFmtId="0" fontId="116" fillId="46" borderId="41" applyNumberFormat="0" applyAlignment="0" applyProtection="0">
      <alignment vertical="center"/>
    </xf>
    <xf numFmtId="0" fontId="117" fillId="46" borderId="41" applyNumberFormat="0" applyAlignment="0" applyProtection="0">
      <alignment vertical="center"/>
    </xf>
    <xf numFmtId="0" fontId="118" fillId="62" borderId="0" applyNumberFormat="0" applyBorder="0" applyAlignment="0" applyProtection="0">
      <alignment vertical="center"/>
    </xf>
    <xf numFmtId="0" fontId="119" fillId="62" borderId="0" applyNumberFormat="0" applyBorder="0" applyAlignment="0" applyProtection="0">
      <alignment vertical="center"/>
    </xf>
    <xf numFmtId="0" fontId="120" fillId="62" borderId="0" applyNumberFormat="0" applyBorder="0" applyAlignment="0" applyProtection="0">
      <alignment vertical="center"/>
    </xf>
    <xf numFmtId="0" fontId="118" fillId="62" borderId="0" applyNumberFormat="0" applyBorder="0" applyAlignment="0" applyProtection="0">
      <alignment vertical="center"/>
    </xf>
    <xf numFmtId="0" fontId="120" fillId="62" borderId="0" applyNumberFormat="0" applyBorder="0" applyAlignment="0" applyProtection="0">
      <alignment vertical="center"/>
    </xf>
    <xf numFmtId="0" fontId="121" fillId="0" borderId="40" applyNumberFormat="0" applyFill="0" applyAlignment="0" applyProtection="0">
      <alignment vertical="center"/>
    </xf>
    <xf numFmtId="0" fontId="122" fillId="0" borderId="40" applyNumberFormat="0" applyFill="0" applyAlignment="0" applyProtection="0">
      <alignment vertical="center"/>
    </xf>
    <xf numFmtId="0" fontId="123" fillId="0" borderId="40" applyNumberFormat="0" applyFill="0" applyAlignment="0" applyProtection="0">
      <alignment vertical="center"/>
    </xf>
    <xf numFmtId="0" fontId="121" fillId="0" borderId="40" applyNumberFormat="0" applyFill="0" applyAlignment="0" applyProtection="0">
      <alignment vertical="center"/>
    </xf>
    <xf numFmtId="0" fontId="123" fillId="0" borderId="40" applyNumberFormat="0" applyFill="0" applyAlignment="0" applyProtection="0">
      <alignment vertical="center"/>
    </xf>
  </cellStyleXfs>
  <cellXfs count="377">
    <xf numFmtId="0" fontId="0" fillId="0" borderId="0" xfId="0"/>
    <xf numFmtId="0" fontId="4" fillId="0" borderId="0" xfId="0" applyFont="1" applyFill="1" applyAlignment="1">
      <alignment horizontal="center" vertical="top"/>
    </xf>
    <xf numFmtId="0" fontId="5" fillId="0" borderId="0" xfId="2" applyFont="1" applyFill="1" applyAlignment="1">
      <alignment horizontal="left" vertical="top"/>
    </xf>
    <xf numFmtId="166" fontId="5" fillId="0" borderId="0" xfId="2" applyNumberFormat="1" applyFont="1" applyFill="1" applyAlignment="1">
      <alignment horizontal="left" vertical="top"/>
    </xf>
    <xf numFmtId="0" fontId="5" fillId="0" borderId="0" xfId="2" applyFont="1" applyFill="1" applyAlignment="1">
      <alignment vertical="top"/>
    </xf>
    <xf numFmtId="0" fontId="3" fillId="0" borderId="0" xfId="0" applyFont="1" applyFill="1" applyBorder="1" applyAlignment="1">
      <alignment horizontal="left" vertical="top"/>
    </xf>
    <xf numFmtId="0" fontId="4" fillId="0" borderId="5" xfId="0" applyFont="1" applyFill="1" applyBorder="1" applyAlignment="1">
      <alignment horizontal="left" vertical="top" wrapText="1"/>
    </xf>
    <xf numFmtId="0" fontId="4" fillId="0" borderId="5" xfId="0" applyFont="1" applyFill="1" applyBorder="1" applyAlignment="1">
      <alignment horizontal="center" vertical="top"/>
    </xf>
    <xf numFmtId="0" fontId="3" fillId="0" borderId="5" xfId="0" applyFont="1" applyFill="1" applyBorder="1" applyAlignment="1">
      <alignment horizontal="left" vertical="top" wrapText="1"/>
    </xf>
    <xf numFmtId="0" fontId="4" fillId="0" borderId="6" xfId="0" applyFont="1" applyFill="1" applyBorder="1" applyAlignment="1">
      <alignment horizontal="center" vertical="top"/>
    </xf>
    <xf numFmtId="0" fontId="4" fillId="0" borderId="5" xfId="0" applyFont="1" applyFill="1" applyBorder="1" applyAlignment="1">
      <alignment horizontal="left" vertical="top"/>
    </xf>
    <xf numFmtId="0" fontId="8" fillId="0" borderId="0" xfId="0" applyFont="1" applyFill="1" applyBorder="1" applyAlignment="1" applyProtection="1">
      <alignment horizontal="center" vertical="top"/>
    </xf>
    <xf numFmtId="0" fontId="3" fillId="0" borderId="7" xfId="0" applyFont="1" applyFill="1" applyBorder="1" applyAlignment="1">
      <alignment horizontal="left" vertical="top"/>
    </xf>
    <xf numFmtId="0" fontId="4" fillId="0" borderId="8" xfId="0" applyFont="1" applyFill="1" applyBorder="1" applyAlignment="1">
      <alignment horizontal="center" vertical="top"/>
    </xf>
    <xf numFmtId="0" fontId="4" fillId="0" borderId="5" xfId="0" applyFont="1" applyFill="1" applyBorder="1" applyAlignment="1">
      <alignment horizontal="left" vertical="top" wrapText="1" indent="2"/>
    </xf>
    <xf numFmtId="0" fontId="8" fillId="0" borderId="6" xfId="0" applyFont="1" applyFill="1" applyBorder="1" applyAlignment="1" applyProtection="1">
      <alignment horizontal="center" vertical="top"/>
    </xf>
    <xf numFmtId="0" fontId="4" fillId="0" borderId="9" xfId="0" applyFont="1" applyFill="1" applyBorder="1" applyAlignment="1">
      <alignment horizontal="left" vertical="top"/>
    </xf>
    <xf numFmtId="0" fontId="4" fillId="0" borderId="10" xfId="0" applyFont="1" applyFill="1" applyBorder="1" applyAlignment="1">
      <alignment horizontal="center" vertical="top"/>
    </xf>
    <xf numFmtId="0" fontId="3" fillId="0" borderId="4" xfId="0" applyFont="1" applyFill="1" applyBorder="1" applyAlignment="1">
      <alignment horizontal="left" vertical="top"/>
    </xf>
    <xf numFmtId="0" fontId="3" fillId="0" borderId="1" xfId="0" applyFont="1" applyFill="1" applyBorder="1" applyAlignment="1">
      <alignment horizontal="center" vertical="top"/>
    </xf>
    <xf numFmtId="0" fontId="4" fillId="0" borderId="0" xfId="0" applyFont="1" applyFill="1" applyBorder="1" applyAlignment="1">
      <alignment horizontal="center" vertical="top"/>
    </xf>
    <xf numFmtId="0" fontId="4" fillId="0" borderId="0" xfId="0" applyFont="1" applyFill="1" applyAlignment="1">
      <alignment horizontal="left" vertical="top"/>
    </xf>
    <xf numFmtId="0" fontId="7" fillId="0" borderId="3" xfId="0" applyFont="1" applyFill="1" applyBorder="1" applyAlignment="1">
      <alignment horizontal="left" vertical="top"/>
    </xf>
    <xf numFmtId="0" fontId="4" fillId="0" borderId="3" xfId="0" applyFont="1" applyFill="1" applyBorder="1" applyAlignment="1">
      <alignment horizontal="center" vertical="top"/>
    </xf>
    <xf numFmtId="0" fontId="7" fillId="0" borderId="5" xfId="3" applyFont="1" applyFill="1" applyBorder="1" applyAlignment="1">
      <alignment horizontal="left" vertical="top" wrapText="1"/>
    </xf>
    <xf numFmtId="0" fontId="8" fillId="0" borderId="5" xfId="3" applyFont="1" applyFill="1" applyBorder="1" applyAlignment="1">
      <alignment horizontal="left" vertical="top" wrapText="1"/>
    </xf>
    <xf numFmtId="16" fontId="8" fillId="0" borderId="5" xfId="3" applyNumberFormat="1" applyFont="1" applyFill="1" applyBorder="1" applyAlignment="1">
      <alignment horizontal="left" vertical="top" wrapText="1"/>
    </xf>
    <xf numFmtId="0" fontId="7" fillId="0" borderId="4" xfId="3" applyFont="1" applyFill="1" applyBorder="1" applyAlignment="1">
      <alignment horizontal="left" vertical="top" wrapText="1"/>
    </xf>
    <xf numFmtId="0" fontId="4" fillId="0" borderId="4" xfId="0" applyFont="1" applyFill="1" applyBorder="1" applyAlignment="1">
      <alignment horizontal="center" vertical="top"/>
    </xf>
    <xf numFmtId="0" fontId="8" fillId="0" borderId="5" xfId="0" applyFont="1" applyFill="1" applyBorder="1" applyAlignment="1">
      <alignment horizontal="left" vertical="top"/>
    </xf>
    <xf numFmtId="0" fontId="7" fillId="0" borderId="5" xfId="0" applyFont="1" applyFill="1" applyBorder="1" applyAlignment="1">
      <alignment horizontal="left" vertical="top"/>
    </xf>
    <xf numFmtId="0" fontId="8" fillId="0" borderId="3" xfId="0" applyFont="1" applyFill="1" applyBorder="1" applyAlignment="1">
      <alignment horizontal="left" vertical="top"/>
    </xf>
    <xf numFmtId="0" fontId="8" fillId="0" borderId="5" xfId="0" applyFont="1" applyFill="1" applyBorder="1" applyAlignment="1">
      <alignment horizontal="left" vertical="top" wrapText="1"/>
    </xf>
    <xf numFmtId="0" fontId="8" fillId="0" borderId="5" xfId="0" applyFont="1" applyFill="1" applyBorder="1" applyAlignment="1">
      <alignment horizontal="center" vertical="top"/>
    </xf>
    <xf numFmtId="0" fontId="8" fillId="0" borderId="5" xfId="0" applyFont="1" applyFill="1" applyBorder="1" applyAlignment="1" applyProtection="1">
      <alignment horizontal="left" vertical="top"/>
    </xf>
    <xf numFmtId="0" fontId="8" fillId="0" borderId="3" xfId="0" applyFont="1" applyFill="1" applyBorder="1" applyAlignment="1" applyProtection="1">
      <alignment horizontal="left" vertical="top"/>
    </xf>
    <xf numFmtId="0" fontId="8" fillId="0" borderId="5" xfId="0" applyFont="1" applyFill="1" applyBorder="1" applyAlignment="1">
      <alignment horizontal="left" vertical="top" indent="2"/>
    </xf>
    <xf numFmtId="0" fontId="7" fillId="0" borderId="4" xfId="0" applyFont="1" applyFill="1" applyBorder="1" applyAlignment="1">
      <alignment horizontal="left" vertical="top"/>
    </xf>
    <xf numFmtId="167" fontId="8" fillId="0" borderId="5" xfId="1" applyNumberFormat="1" applyFont="1" applyFill="1" applyBorder="1" applyAlignment="1" applyProtection="1">
      <alignment horizontal="left" vertical="top"/>
    </xf>
    <xf numFmtId="167" fontId="7" fillId="0" borderId="5" xfId="1" applyNumberFormat="1" applyFont="1" applyFill="1" applyBorder="1" applyAlignment="1" applyProtection="1">
      <alignment horizontal="left" vertical="top"/>
    </xf>
    <xf numFmtId="0" fontId="8" fillId="0" borderId="5" xfId="1" applyNumberFormat="1" applyFont="1" applyFill="1" applyBorder="1" applyAlignment="1" applyProtection="1">
      <alignment horizontal="left" vertical="top"/>
    </xf>
    <xf numFmtId="167" fontId="8" fillId="0" borderId="5" xfId="1" applyNumberFormat="1" applyFont="1" applyFill="1" applyBorder="1" applyAlignment="1" applyProtection="1">
      <alignment horizontal="left" vertical="top" indent="1"/>
    </xf>
    <xf numFmtId="167" fontId="8" fillId="0" borderId="3" xfId="1" applyNumberFormat="1" applyFont="1" applyFill="1" applyBorder="1" applyAlignment="1" applyProtection="1">
      <alignment horizontal="left" vertical="top"/>
    </xf>
    <xf numFmtId="167" fontId="8" fillId="0" borderId="5" xfId="4" applyNumberFormat="1" applyFont="1" applyFill="1" applyBorder="1" applyAlignment="1" applyProtection="1">
      <alignment horizontal="left" vertical="top"/>
    </xf>
    <xf numFmtId="167" fontId="8" fillId="0" borderId="5" xfId="1" applyNumberFormat="1" applyFont="1" applyFill="1" applyBorder="1" applyAlignment="1" applyProtection="1">
      <alignment horizontal="left" vertical="top" wrapText="1"/>
    </xf>
    <xf numFmtId="0" fontId="4" fillId="0" borderId="5" xfId="0" quotePrefix="1" applyFont="1" applyFill="1" applyBorder="1" applyAlignment="1">
      <alignment horizontal="left" vertical="top" indent="2"/>
    </xf>
    <xf numFmtId="0" fontId="4" fillId="0" borderId="9" xfId="0" quotePrefix="1" applyFont="1" applyFill="1" applyBorder="1" applyAlignment="1">
      <alignment vertical="top"/>
    </xf>
    <xf numFmtId="167" fontId="8" fillId="0" borderId="3" xfId="1" applyNumberFormat="1" applyFont="1" applyFill="1" applyBorder="1" applyAlignment="1" applyProtection="1">
      <alignment horizontal="left" vertical="top" wrapText="1"/>
    </xf>
    <xf numFmtId="167" fontId="7" fillId="0" borderId="3" xfId="1" applyNumberFormat="1" applyFont="1" applyFill="1" applyBorder="1" applyAlignment="1" applyProtection="1">
      <alignment horizontal="left" vertical="top"/>
    </xf>
    <xf numFmtId="0" fontId="3" fillId="0" borderId="0" xfId="0" applyFont="1" applyFill="1" applyAlignment="1">
      <alignment vertical="top"/>
    </xf>
    <xf numFmtId="41" fontId="7" fillId="0" borderId="3" xfId="2" applyNumberFormat="1" applyFont="1" applyFill="1" applyBorder="1" applyAlignment="1">
      <alignment horizontal="left" vertical="top"/>
    </xf>
    <xf numFmtId="0" fontId="7" fillId="0" borderId="4" xfId="2" applyFont="1" applyFill="1" applyBorder="1" applyAlignment="1">
      <alignment horizontal="left" vertical="top"/>
    </xf>
    <xf numFmtId="0" fontId="5" fillId="0" borderId="4" xfId="2" applyFont="1" applyFill="1" applyBorder="1" applyAlignment="1">
      <alignment horizontal="left" vertical="top"/>
    </xf>
    <xf numFmtId="0" fontId="4" fillId="0" borderId="3" xfId="0" applyFont="1" applyFill="1" applyBorder="1" applyAlignment="1">
      <alignment vertical="top"/>
    </xf>
    <xf numFmtId="0" fontId="4" fillId="0" borderId="5" xfId="0" applyFont="1" applyFill="1" applyBorder="1" applyAlignment="1">
      <alignment horizontal="left" vertical="top" indent="1"/>
    </xf>
    <xf numFmtId="0" fontId="4" fillId="0" borderId="5" xfId="0" applyFont="1" applyFill="1" applyBorder="1" applyAlignment="1">
      <alignment vertical="top"/>
    </xf>
    <xf numFmtId="0" fontId="3" fillId="0" borderId="5" xfId="0" applyFont="1" applyFill="1" applyBorder="1" applyAlignment="1">
      <alignment vertical="top"/>
    </xf>
    <xf numFmtId="0" fontId="4" fillId="0" borderId="5" xfId="0" applyFont="1" applyFill="1" applyBorder="1" applyAlignment="1">
      <alignment horizontal="left" vertical="top" wrapText="1" indent="1"/>
    </xf>
    <xf numFmtId="166" fontId="3" fillId="0" borderId="5" xfId="1" applyNumberFormat="1" applyFont="1" applyFill="1" applyBorder="1" applyAlignment="1">
      <alignment vertical="top" wrapText="1"/>
    </xf>
    <xf numFmtId="166" fontId="8" fillId="0" borderId="5" xfId="1" applyNumberFormat="1" applyFont="1" applyFill="1" applyBorder="1" applyAlignment="1">
      <alignment vertical="top"/>
    </xf>
    <xf numFmtId="166" fontId="3" fillId="0" borderId="5" xfId="1" applyNumberFormat="1" applyFont="1" applyFill="1" applyBorder="1" applyAlignment="1">
      <alignment vertical="top"/>
    </xf>
    <xf numFmtId="166" fontId="4" fillId="0" borderId="5" xfId="1" applyNumberFormat="1" applyFont="1" applyFill="1" applyBorder="1" applyAlignment="1">
      <alignment vertical="top"/>
    </xf>
    <xf numFmtId="0" fontId="3" fillId="0" borderId="5" xfId="0" applyFont="1" applyFill="1" applyBorder="1" applyAlignment="1">
      <alignment vertical="top" wrapText="1"/>
    </xf>
    <xf numFmtId="0" fontId="3" fillId="0" borderId="7" xfId="0" applyFont="1" applyFill="1" applyBorder="1" applyAlignment="1">
      <alignment vertical="top"/>
    </xf>
    <xf numFmtId="0" fontId="4" fillId="0" borderId="9" xfId="0" applyFont="1" applyFill="1" applyBorder="1" applyAlignment="1">
      <alignment vertical="top"/>
    </xf>
    <xf numFmtId="0" fontId="4" fillId="0" borderId="0" xfId="0" applyFont="1" applyFill="1" applyAlignment="1">
      <alignment vertical="top"/>
    </xf>
    <xf numFmtId="0" fontId="7" fillId="0" borderId="3" xfId="0" applyFont="1" applyFill="1" applyBorder="1" applyAlignment="1" applyProtection="1">
      <alignment vertical="top"/>
    </xf>
    <xf numFmtId="0" fontId="7" fillId="0" borderId="5" xfId="0" applyFont="1" applyFill="1" applyBorder="1" applyAlignment="1" applyProtection="1">
      <alignment vertical="top"/>
    </xf>
    <xf numFmtId="0" fontId="8" fillId="0" borderId="5" xfId="0" applyFont="1" applyFill="1" applyBorder="1" applyAlignment="1">
      <alignment vertical="top"/>
    </xf>
    <xf numFmtId="0" fontId="8" fillId="0" borderId="4" xfId="0" applyFont="1" applyFill="1" applyBorder="1" applyAlignment="1">
      <alignment vertical="top"/>
    </xf>
    <xf numFmtId="2" fontId="8" fillId="0" borderId="5" xfId="0" applyNumberFormat="1" applyFont="1" applyFill="1" applyBorder="1" applyAlignment="1">
      <alignment horizontal="left" vertical="top" indent="1"/>
    </xf>
    <xf numFmtId="2" fontId="8" fillId="0" borderId="5" xfId="0" applyNumberFormat="1" applyFont="1" applyFill="1" applyBorder="1" applyAlignment="1">
      <alignment horizontal="left" vertical="top" wrapText="1" indent="1"/>
    </xf>
    <xf numFmtId="0" fontId="7" fillId="0" borderId="5" xfId="0" applyFont="1" applyFill="1" applyBorder="1" applyAlignment="1">
      <alignment vertical="top"/>
    </xf>
    <xf numFmtId="0" fontId="8" fillId="0" borderId="5" xfId="0" quotePrefix="1" applyFont="1" applyFill="1" applyBorder="1" applyAlignment="1">
      <alignment vertical="top"/>
    </xf>
    <xf numFmtId="0" fontId="8" fillId="0" borderId="5" xfId="0" applyFont="1" applyFill="1" applyBorder="1" applyAlignment="1">
      <alignment horizontal="left" vertical="top" wrapText="1" indent="1"/>
    </xf>
    <xf numFmtId="0" fontId="8" fillId="0" borderId="5" xfId="0" applyFont="1" applyFill="1" applyBorder="1" applyAlignment="1">
      <alignment horizontal="left" vertical="top" indent="1"/>
    </xf>
    <xf numFmtId="49" fontId="4" fillId="0" borderId="5" xfId="0" applyNumberFormat="1" applyFont="1" applyFill="1" applyBorder="1" applyAlignment="1">
      <alignment horizontal="left" vertical="top"/>
    </xf>
    <xf numFmtId="41" fontId="8" fillId="0" borderId="11" xfId="2" applyNumberFormat="1" applyFont="1" applyFill="1" applyBorder="1" applyAlignment="1">
      <alignment horizontal="center" vertical="top"/>
    </xf>
    <xf numFmtId="0" fontId="8" fillId="0" borderId="1" xfId="2" applyFont="1" applyFill="1" applyBorder="1" applyAlignment="1">
      <alignment horizontal="center" vertical="top"/>
    </xf>
    <xf numFmtId="0" fontId="5" fillId="0" borderId="1" xfId="2" applyFont="1" applyFill="1" applyBorder="1" applyAlignment="1">
      <alignment horizontal="center" vertical="top"/>
    </xf>
    <xf numFmtId="0" fontId="4" fillId="0" borderId="11" xfId="0" applyFont="1" applyFill="1" applyBorder="1" applyAlignment="1">
      <alignment horizontal="center" vertical="top"/>
    </xf>
    <xf numFmtId="166" fontId="4" fillId="0" borderId="6" xfId="1" applyNumberFormat="1" applyFont="1" applyFill="1" applyBorder="1" applyAlignment="1">
      <alignment horizontal="center" vertical="top"/>
    </xf>
    <xf numFmtId="166" fontId="8" fillId="0" borderId="6" xfId="1" applyNumberFormat="1" applyFont="1" applyFill="1" applyBorder="1" applyAlignment="1">
      <alignment horizontal="center" vertical="top"/>
    </xf>
    <xf numFmtId="0" fontId="4" fillId="0" borderId="1" xfId="0" applyFont="1" applyFill="1" applyBorder="1" applyAlignment="1">
      <alignment horizontal="center" vertical="top"/>
    </xf>
    <xf numFmtId="0" fontId="10" fillId="0" borderId="6" xfId="0" applyFont="1" applyFill="1" applyBorder="1" applyAlignment="1">
      <alignment horizontal="center" vertical="top"/>
    </xf>
    <xf numFmtId="0" fontId="8" fillId="0" borderId="6" xfId="0" applyFont="1" applyFill="1" applyBorder="1" applyAlignment="1">
      <alignment horizontal="center" vertical="top"/>
    </xf>
    <xf numFmtId="0" fontId="7" fillId="0" borderId="4" xfId="2" applyFont="1" applyFill="1" applyBorder="1" applyAlignment="1">
      <alignment horizontal="center" vertical="center"/>
    </xf>
    <xf numFmtId="0" fontId="7" fillId="0" borderId="1" xfId="2" applyFont="1" applyFill="1" applyBorder="1" applyAlignment="1">
      <alignment horizontal="center" vertical="center"/>
    </xf>
    <xf numFmtId="43" fontId="7" fillId="0" borderId="4" xfId="2" applyNumberFormat="1" applyFont="1" applyFill="1" applyBorder="1" applyAlignment="1">
      <alignment horizontal="center" vertical="center" wrapText="1"/>
    </xf>
    <xf numFmtId="0" fontId="9" fillId="0" borderId="3" xfId="0" applyFont="1" applyFill="1" applyBorder="1" applyAlignment="1">
      <alignment horizontal="left" vertical="top" wrapText="1"/>
    </xf>
    <xf numFmtId="0" fontId="10" fillId="0" borderId="11" xfId="0" applyFont="1" applyFill="1" applyBorder="1" applyAlignment="1">
      <alignment horizontal="center" vertical="top"/>
    </xf>
    <xf numFmtId="0" fontId="9" fillId="0" borderId="5" xfId="0" applyFont="1" applyFill="1" applyBorder="1" applyAlignment="1">
      <alignment horizontal="left" vertical="top" wrapText="1"/>
    </xf>
    <xf numFmtId="43" fontId="6" fillId="0" borderId="0" xfId="2" applyNumberFormat="1" applyFont="1" applyFill="1" applyAlignment="1">
      <alignment horizontal="center" vertical="center"/>
    </xf>
    <xf numFmtId="43" fontId="5" fillId="0" borderId="0" xfId="2" applyNumberFormat="1" applyFont="1" applyFill="1" applyAlignment="1">
      <alignment horizontal="center" vertical="center"/>
    </xf>
    <xf numFmtId="43" fontId="7" fillId="0" borderId="4" xfId="1" applyNumberFormat="1" applyFont="1" applyFill="1" applyBorder="1" applyAlignment="1">
      <alignment horizontal="center" vertical="center"/>
    </xf>
    <xf numFmtId="43" fontId="3" fillId="0" borderId="5" xfId="1" applyNumberFormat="1" applyFont="1" applyFill="1" applyBorder="1" applyAlignment="1">
      <alignment horizontal="center" vertical="center"/>
    </xf>
    <xf numFmtId="43" fontId="8" fillId="0" borderId="4" xfId="2" applyNumberFormat="1" applyFont="1" applyFill="1" applyBorder="1" applyAlignment="1">
      <alignment horizontal="center" vertical="center"/>
    </xf>
    <xf numFmtId="43" fontId="10" fillId="0" borderId="3" xfId="0" applyNumberFormat="1" applyFont="1" applyFill="1" applyBorder="1" applyAlignment="1">
      <alignment horizontal="center" vertical="center"/>
    </xf>
    <xf numFmtId="43" fontId="4" fillId="0" borderId="5" xfId="0" applyNumberFormat="1" applyFont="1" applyFill="1" applyBorder="1" applyAlignment="1">
      <alignment horizontal="center" vertical="center"/>
    </xf>
    <xf numFmtId="43" fontId="8" fillId="0" borderId="5" xfId="0" applyNumberFormat="1" applyFont="1" applyFill="1" applyBorder="1" applyAlignment="1" applyProtection="1">
      <alignment horizontal="center" vertical="center"/>
    </xf>
    <xf numFmtId="43" fontId="4" fillId="0" borderId="7" xfId="0" applyNumberFormat="1" applyFont="1" applyFill="1" applyBorder="1" applyAlignment="1">
      <alignment horizontal="center" vertical="center"/>
    </xf>
    <xf numFmtId="43" fontId="10" fillId="0" borderId="5" xfId="0" applyNumberFormat="1" applyFont="1" applyFill="1" applyBorder="1" applyAlignment="1">
      <alignment horizontal="center" vertical="center"/>
    </xf>
    <xf numFmtId="43" fontId="4" fillId="0" borderId="9" xfId="0" applyNumberFormat="1" applyFont="1" applyFill="1" applyBorder="1" applyAlignment="1">
      <alignment horizontal="center" vertical="center"/>
    </xf>
    <xf numFmtId="43" fontId="3" fillId="0" borderId="7" xfId="1" applyNumberFormat="1" applyFont="1" applyFill="1" applyBorder="1" applyAlignment="1">
      <alignment horizontal="center" vertical="center"/>
    </xf>
    <xf numFmtId="41" fontId="7" fillId="0" borderId="3" xfId="2" applyNumberFormat="1" applyFont="1" applyFill="1" applyBorder="1" applyAlignment="1">
      <alignment horizontal="center" vertical="center"/>
    </xf>
    <xf numFmtId="43" fontId="4" fillId="0" borderId="3" xfId="0" applyNumberFormat="1" applyFont="1" applyFill="1" applyBorder="1" applyAlignment="1">
      <alignment horizontal="center" vertical="center"/>
    </xf>
    <xf numFmtId="43" fontId="4" fillId="0" borderId="5" xfId="1" applyNumberFormat="1" applyFont="1" applyFill="1" applyBorder="1" applyAlignment="1">
      <alignment horizontal="center" vertical="center"/>
    </xf>
    <xf numFmtId="43" fontId="8" fillId="0" borderId="5" xfId="1" applyNumberFormat="1" applyFont="1" applyFill="1" applyBorder="1" applyAlignment="1">
      <alignment horizontal="center" vertical="center"/>
    </xf>
    <xf numFmtId="43" fontId="4" fillId="0" borderId="4" xfId="0" applyNumberFormat="1" applyFont="1" applyFill="1" applyBorder="1" applyAlignment="1">
      <alignment horizontal="center" vertical="center"/>
    </xf>
    <xf numFmtId="43" fontId="8" fillId="0" borderId="5" xfId="0" applyNumberFormat="1" applyFont="1" applyFill="1" applyBorder="1" applyAlignment="1">
      <alignment horizontal="center" vertical="center"/>
    </xf>
    <xf numFmtId="43" fontId="4" fillId="0" borderId="0" xfId="0" applyNumberFormat="1" applyFont="1" applyFill="1" applyAlignment="1">
      <alignment horizontal="center" vertical="center"/>
    </xf>
    <xf numFmtId="0" fontId="7" fillId="0" borderId="0" xfId="0" applyFont="1" applyFill="1" applyBorder="1" applyAlignment="1">
      <alignment horizontal="left" vertical="top"/>
    </xf>
    <xf numFmtId="43" fontId="7" fillId="0" borderId="3" xfId="2" applyNumberFormat="1" applyFont="1" applyFill="1" applyBorder="1" applyAlignment="1">
      <alignment horizontal="center" vertical="center"/>
    </xf>
    <xf numFmtId="43" fontId="3" fillId="0" borderId="4" xfId="0" applyNumberFormat="1" applyFont="1" applyFill="1" applyBorder="1" applyAlignment="1">
      <alignment horizontal="center" vertical="center"/>
    </xf>
    <xf numFmtId="43" fontId="3" fillId="0" borderId="5" xfId="0" applyNumberFormat="1" applyFont="1" applyFill="1" applyBorder="1" applyAlignment="1">
      <alignment horizontal="center" vertical="center"/>
    </xf>
    <xf numFmtId="0" fontId="7" fillId="0" borderId="4" xfId="0" applyFont="1" applyFill="1" applyBorder="1" applyAlignment="1">
      <alignment vertical="top"/>
    </xf>
    <xf numFmtId="0" fontId="3" fillId="0" borderId="4" xfId="0" applyFont="1" applyFill="1" applyBorder="1" applyAlignment="1">
      <alignment horizontal="center" vertical="top"/>
    </xf>
    <xf numFmtId="0" fontId="2" fillId="0" borderId="0" xfId="0" applyFont="1"/>
    <xf numFmtId="2" fontId="7" fillId="0" borderId="4" xfId="0" applyNumberFormat="1" applyFont="1" applyFill="1" applyBorder="1" applyAlignment="1">
      <alignment horizontal="left" vertical="top" wrapText="1"/>
    </xf>
    <xf numFmtId="167" fontId="7" fillId="0" borderId="4" xfId="1" applyNumberFormat="1" applyFont="1" applyFill="1" applyBorder="1" applyAlignment="1" applyProtection="1">
      <alignment horizontal="left" vertical="top"/>
    </xf>
    <xf numFmtId="43" fontId="3" fillId="0" borderId="3" xfId="0" applyNumberFormat="1" applyFont="1" applyFill="1" applyBorder="1" applyAlignment="1">
      <alignment horizontal="center" vertical="center"/>
    </xf>
    <xf numFmtId="43" fontId="3" fillId="6" borderId="5" xfId="0" applyNumberFormat="1" applyFont="1" applyFill="1" applyBorder="1" applyAlignment="1">
      <alignment horizontal="center" vertical="center"/>
    </xf>
    <xf numFmtId="43" fontId="4" fillId="6" borderId="7" xfId="0" applyNumberFormat="1" applyFont="1" applyFill="1" applyBorder="1" applyAlignment="1">
      <alignment horizontal="center" vertical="center"/>
    </xf>
    <xf numFmtId="0" fontId="7" fillId="0" borderId="4" xfId="0" applyFont="1" applyFill="1" applyBorder="1" applyAlignment="1" applyProtection="1">
      <alignment horizontal="left" vertical="top"/>
    </xf>
    <xf numFmtId="43" fontId="3" fillId="0" borderId="7" xfId="0" applyNumberFormat="1" applyFont="1" applyFill="1" applyBorder="1" applyAlignment="1">
      <alignment horizontal="center" vertical="center"/>
    </xf>
    <xf numFmtId="43" fontId="7" fillId="0" borderId="5" xfId="0" applyNumberFormat="1" applyFont="1" applyFill="1" applyBorder="1" applyAlignment="1" applyProtection="1">
      <alignment horizontal="center" vertical="center"/>
    </xf>
    <xf numFmtId="43" fontId="3" fillId="0" borderId="9" xfId="0" applyNumberFormat="1" applyFont="1" applyFill="1" applyBorder="1" applyAlignment="1">
      <alignment horizontal="center" vertical="center"/>
    </xf>
    <xf numFmtId="43" fontId="3" fillId="0" borderId="5" xfId="0" applyNumberFormat="1" applyFont="1" applyFill="1" applyBorder="1" applyAlignment="1">
      <alignment horizontal="center"/>
    </xf>
    <xf numFmtId="43" fontId="3" fillId="0" borderId="5" xfId="0" applyNumberFormat="1" applyFont="1" applyFill="1" applyBorder="1" applyAlignment="1">
      <alignment horizontal="right" vertical="center"/>
    </xf>
    <xf numFmtId="0" fontId="16" fillId="0" borderId="0" xfId="6" applyFont="1" applyAlignment="1" applyProtection="1">
      <alignment horizontal="left" vertical="top"/>
    </xf>
    <xf numFmtId="0" fontId="4" fillId="0" borderId="0" xfId="0" applyFont="1" applyAlignment="1">
      <alignment wrapText="1"/>
    </xf>
    <xf numFmtId="0" fontId="4" fillId="0" borderId="0" xfId="0" applyFont="1" applyAlignment="1">
      <alignment horizontal="left"/>
    </xf>
    <xf numFmtId="0" fontId="4" fillId="0" borderId="0" xfId="0" applyFont="1"/>
    <xf numFmtId="0" fontId="4" fillId="0" borderId="0" xfId="0" applyFont="1" applyFill="1"/>
    <xf numFmtId="0" fontId="3" fillId="2" borderId="4" xfId="0" applyFont="1" applyFill="1" applyBorder="1" applyAlignment="1"/>
    <xf numFmtId="0" fontId="3" fillId="2" borderId="4" xfId="0" applyFont="1" applyFill="1" applyBorder="1" applyAlignment="1">
      <alignment horizontal="right"/>
    </xf>
    <xf numFmtId="0" fontId="3" fillId="2" borderId="9" xfId="0" applyFont="1" applyFill="1" applyBorder="1" applyAlignment="1">
      <alignment horizontal="left" vertical="center"/>
    </xf>
    <xf numFmtId="0" fontId="3" fillId="2" borderId="9" xfId="0" applyFont="1" applyFill="1" applyBorder="1" applyAlignment="1">
      <alignment horizontal="right" vertical="top" wrapText="1"/>
    </xf>
    <xf numFmtId="0" fontId="3" fillId="2" borderId="9" xfId="0" applyFont="1" applyFill="1" applyBorder="1" applyAlignment="1">
      <alignment horizontal="left" vertical="top" wrapText="1"/>
    </xf>
    <xf numFmtId="0" fontId="3" fillId="2" borderId="9" xfId="0" applyFont="1" applyFill="1" applyBorder="1" applyAlignment="1">
      <alignment horizontal="center" vertical="center" wrapText="1"/>
    </xf>
    <xf numFmtId="0" fontId="9" fillId="3" borderId="4" xfId="0" applyFont="1" applyFill="1" applyBorder="1" applyAlignment="1">
      <alignment horizontal="center" vertical="top"/>
    </xf>
    <xf numFmtId="0" fontId="9" fillId="3" borderId="4" xfId="0" applyFont="1" applyFill="1" applyBorder="1" applyAlignment="1">
      <alignment horizontal="left" wrapText="1"/>
    </xf>
    <xf numFmtId="0" fontId="9" fillId="3" borderId="4" xfId="0" applyFont="1" applyFill="1" applyBorder="1" applyAlignment="1">
      <alignment horizontal="left"/>
    </xf>
    <xf numFmtId="0" fontId="9" fillId="3" borderId="4" xfId="0" applyFont="1" applyFill="1" applyBorder="1" applyAlignment="1">
      <alignment horizontal="right" vertical="top"/>
    </xf>
    <xf numFmtId="0" fontId="9" fillId="3" borderId="4" xfId="0" applyFont="1" applyFill="1" applyBorder="1" applyAlignment="1">
      <alignment wrapText="1"/>
    </xf>
    <xf numFmtId="0" fontId="9" fillId="3" borderId="4" xfId="1" applyNumberFormat="1" applyFont="1" applyFill="1" applyBorder="1" applyAlignment="1" applyProtection="1">
      <alignment horizontal="left" vertical="top"/>
    </xf>
    <xf numFmtId="0" fontId="9" fillId="3" borderId="4" xfId="7" applyFont="1" applyFill="1" applyBorder="1" applyAlignment="1">
      <alignment horizontal="left" vertical="top" wrapText="1"/>
    </xf>
    <xf numFmtId="0" fontId="9" fillId="3" borderId="4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vertical="center" wrapText="1"/>
    </xf>
    <xf numFmtId="0" fontId="9" fillId="3" borderId="4" xfId="0" applyFont="1" applyFill="1" applyBorder="1" applyAlignment="1">
      <alignment horizontal="left" vertical="center"/>
    </xf>
    <xf numFmtId="0" fontId="9" fillId="3" borderId="4" xfId="0" applyFont="1" applyFill="1" applyBorder="1" applyAlignment="1">
      <alignment horizontal="right" vertical="center"/>
    </xf>
    <xf numFmtId="0" fontId="4" fillId="0" borderId="0" xfId="0" applyFont="1" applyFill="1" applyAlignment="1">
      <alignment vertical="center"/>
    </xf>
    <xf numFmtId="0" fontId="9" fillId="3" borderId="4" xfId="0" applyFont="1" applyFill="1" applyBorder="1"/>
    <xf numFmtId="0" fontId="6" fillId="4" borderId="4" xfId="0" applyFont="1" applyFill="1" applyBorder="1" applyAlignment="1">
      <alignment horizontal="center" vertical="top"/>
    </xf>
    <xf numFmtId="0" fontId="6" fillId="4" borderId="4" xfId="0" applyFont="1" applyFill="1" applyBorder="1" applyAlignment="1">
      <alignment wrapText="1"/>
    </xf>
    <xf numFmtId="0" fontId="6" fillId="4" borderId="4" xfId="0" applyFont="1" applyFill="1" applyBorder="1" applyAlignment="1">
      <alignment horizontal="left"/>
    </xf>
    <xf numFmtId="0" fontId="6" fillId="4" borderId="4" xfId="0" applyFont="1" applyFill="1" applyBorder="1"/>
    <xf numFmtId="0" fontId="6" fillId="4" borderId="4" xfId="0" applyFont="1" applyFill="1" applyBorder="1" applyAlignment="1">
      <alignment horizontal="right" vertical="top"/>
    </xf>
    <xf numFmtId="0" fontId="17" fillId="0" borderId="0" xfId="0" applyFont="1" applyFill="1"/>
    <xf numFmtId="0" fontId="9" fillId="5" borderId="4" xfId="0" applyFont="1" applyFill="1" applyBorder="1" applyAlignment="1">
      <alignment wrapText="1"/>
    </xf>
    <xf numFmtId="0" fontId="9" fillId="5" borderId="0" xfId="0" applyFont="1" applyFill="1" applyBorder="1" applyAlignment="1">
      <alignment wrapText="1"/>
    </xf>
    <xf numFmtId="0" fontId="4" fillId="0" borderId="0" xfId="0" applyFont="1" applyFill="1" applyAlignment="1">
      <alignment horizontal="center" vertical="center"/>
    </xf>
    <xf numFmtId="0" fontId="6" fillId="0" borderId="0" xfId="0" applyFont="1" applyFill="1" applyAlignment="1">
      <alignment horizontal="center" vertical="center"/>
    </xf>
    <xf numFmtId="0" fontId="6" fillId="6" borderId="0" xfId="0" applyFont="1" applyFill="1" applyAlignment="1">
      <alignment horizontal="center" vertical="center"/>
    </xf>
    <xf numFmtId="0" fontId="17" fillId="6" borderId="0" xfId="0" applyFont="1" applyFill="1" applyAlignment="1">
      <alignment horizontal="center" vertical="center"/>
    </xf>
    <xf numFmtId="43" fontId="7" fillId="0" borderId="4" xfId="2" applyNumberFormat="1" applyFont="1" applyFill="1" applyBorder="1" applyAlignment="1">
      <alignment horizontal="center" vertical="center"/>
    </xf>
    <xf numFmtId="168" fontId="7" fillId="0" borderId="3" xfId="1" applyNumberFormat="1" applyFont="1" applyFill="1" applyBorder="1" applyAlignment="1">
      <alignment horizontal="left" vertical="top"/>
    </xf>
    <xf numFmtId="168" fontId="8" fillId="0" borderId="11" xfId="1" applyNumberFormat="1" applyFont="1" applyFill="1" applyBorder="1" applyAlignment="1">
      <alignment horizontal="center" vertical="top"/>
    </xf>
    <xf numFmtId="168" fontId="7" fillId="0" borderId="3" xfId="1" applyNumberFormat="1" applyFont="1" applyFill="1" applyBorder="1" applyAlignment="1">
      <alignment horizontal="center" vertical="center"/>
    </xf>
    <xf numFmtId="168" fontId="0" fillId="0" borderId="0" xfId="1" applyNumberFormat="1" applyFont="1"/>
    <xf numFmtId="0" fontId="4" fillId="0" borderId="0" xfId="0" applyFont="1" applyFill="1" applyBorder="1" applyAlignment="1">
      <alignment vertical="top"/>
    </xf>
    <xf numFmtId="0" fontId="3" fillId="0" borderId="4" xfId="0" applyFont="1" applyFill="1" applyBorder="1" applyAlignment="1">
      <alignment vertical="top"/>
    </xf>
    <xf numFmtId="0" fontId="4" fillId="0" borderId="4" xfId="0" applyFont="1" applyFill="1" applyBorder="1" applyAlignment="1">
      <alignment vertical="top"/>
    </xf>
    <xf numFmtId="0" fontId="19" fillId="0" borderId="0" xfId="0" applyFont="1" applyFill="1"/>
    <xf numFmtId="0" fontId="7" fillId="0" borderId="4" xfId="0" applyFont="1" applyFill="1" applyBorder="1" applyAlignment="1">
      <alignment vertical="top" wrapText="1"/>
    </xf>
    <xf numFmtId="0" fontId="7" fillId="0" borderId="4" xfId="0" applyFont="1" applyFill="1" applyBorder="1" applyAlignment="1">
      <alignment horizontal="right" vertical="top"/>
    </xf>
    <xf numFmtId="9" fontId="7" fillId="0" borderId="4" xfId="0" applyNumberFormat="1" applyFont="1" applyFill="1" applyBorder="1" applyAlignment="1">
      <alignment vertical="top"/>
    </xf>
    <xf numFmtId="43" fontId="22" fillId="0" borderId="4" xfId="8" applyFont="1" applyFill="1" applyBorder="1" applyAlignment="1"/>
    <xf numFmtId="43" fontId="22" fillId="0" borderId="4" xfId="8" applyFont="1" applyFill="1" applyBorder="1"/>
    <xf numFmtId="169" fontId="1" fillId="0" borderId="0" xfId="9" applyNumberFormat="1" applyFill="1"/>
    <xf numFmtId="166" fontId="27" fillId="0" borderId="5" xfId="10" applyNumberFormat="1" applyFont="1" applyFill="1" applyBorder="1" applyAlignment="1">
      <alignment horizontal="right" vertical="top" wrapText="1"/>
    </xf>
    <xf numFmtId="166" fontId="27" fillId="0" borderId="5" xfId="10" applyNumberFormat="1" applyFont="1" applyFill="1" applyBorder="1" applyAlignment="1">
      <alignment vertical="top" wrapText="1"/>
    </xf>
    <xf numFmtId="166" fontId="5" fillId="0" borderId="5" xfId="10" applyNumberFormat="1" applyFont="1" applyFill="1" applyBorder="1" applyAlignment="1">
      <alignment vertical="top" wrapText="1"/>
    </xf>
    <xf numFmtId="0" fontId="2" fillId="0" borderId="4" xfId="0" applyFont="1" applyFill="1" applyBorder="1" applyAlignment="1">
      <alignment vertical="top"/>
    </xf>
    <xf numFmtId="0" fontId="4" fillId="0" borderId="0" xfId="0" applyNumberFormat="1" applyFont="1" applyFill="1" applyAlignment="1">
      <alignment horizontal="left" vertical="top"/>
    </xf>
    <xf numFmtId="0" fontId="3" fillId="0" borderId="4" xfId="0" applyNumberFormat="1" applyFont="1" applyFill="1" applyBorder="1" applyAlignment="1">
      <alignment horizontal="left" vertical="top"/>
    </xf>
    <xf numFmtId="0" fontId="4" fillId="0" borderId="4" xfId="0" applyNumberFormat="1" applyFont="1" applyFill="1" applyBorder="1" applyAlignment="1">
      <alignment horizontal="left" vertical="top"/>
    </xf>
    <xf numFmtId="0" fontId="27" fillId="0" borderId="4" xfId="0" applyFont="1" applyFill="1" applyBorder="1" applyAlignment="1">
      <alignment vertical="top"/>
    </xf>
    <xf numFmtId="2" fontId="4" fillId="0" borderId="0" xfId="11" applyNumberFormat="1" applyFont="1" applyFill="1" applyAlignment="1">
      <alignment vertical="top" wrapText="1"/>
    </xf>
    <xf numFmtId="166" fontId="8" fillId="0" borderId="0" xfId="12" applyNumberFormat="1" applyFont="1" applyFill="1" applyAlignment="1">
      <alignment horizontal="right" vertical="top"/>
    </xf>
    <xf numFmtId="166" fontId="4" fillId="0" borderId="0" xfId="12" applyNumberFormat="1" applyFont="1" applyFill="1" applyBorder="1" applyAlignment="1">
      <alignment horizontal="right" vertical="top"/>
    </xf>
    <xf numFmtId="0" fontId="8" fillId="0" borderId="0" xfId="11" applyFont="1" applyFill="1" applyBorder="1" applyAlignment="1">
      <alignment horizontal="right" vertical="top"/>
    </xf>
    <xf numFmtId="166" fontId="8" fillId="0" borderId="0" xfId="12" applyNumberFormat="1" applyFont="1" applyFill="1" applyBorder="1" applyAlignment="1">
      <alignment horizontal="right" vertical="top"/>
    </xf>
    <xf numFmtId="166" fontId="6" fillId="0" borderId="0" xfId="12" applyNumberFormat="1" applyFont="1" applyFill="1" applyBorder="1" applyAlignment="1">
      <alignment horizontal="right" vertical="top"/>
    </xf>
    <xf numFmtId="0" fontId="7" fillId="0" borderId="0" xfId="11" applyFont="1" applyFill="1" applyAlignment="1">
      <alignment vertical="top"/>
    </xf>
    <xf numFmtId="166" fontId="4" fillId="0" borderId="5" xfId="12" applyNumberFormat="1" applyFont="1" applyFill="1" applyBorder="1" applyAlignment="1">
      <alignment horizontal="right" vertical="top" wrapText="1"/>
    </xf>
    <xf numFmtId="0" fontId="9" fillId="0" borderId="0" xfId="11" applyFont="1" applyFill="1" applyAlignment="1">
      <alignment vertical="top"/>
    </xf>
    <xf numFmtId="0" fontId="4" fillId="0" borderId="5" xfId="11" applyFont="1" applyFill="1" applyBorder="1" applyAlignment="1">
      <alignment vertical="top"/>
    </xf>
    <xf numFmtId="0" fontId="4" fillId="0" borderId="5" xfId="11" applyFont="1" applyFill="1" applyBorder="1" applyAlignment="1">
      <alignment horizontal="right" vertical="top"/>
    </xf>
    <xf numFmtId="166" fontId="4" fillId="0" borderId="5" xfId="12" applyNumberFormat="1" applyFont="1" applyFill="1" applyBorder="1" applyAlignment="1">
      <alignment vertical="top" wrapText="1"/>
    </xf>
    <xf numFmtId="0" fontId="4" fillId="0" borderId="5" xfId="11" applyFont="1" applyFill="1" applyBorder="1" applyAlignment="1">
      <alignment horizontal="right" vertical="top" wrapText="1"/>
    </xf>
    <xf numFmtId="43" fontId="4" fillId="0" borderId="5" xfId="12" applyNumberFormat="1" applyFont="1" applyFill="1" applyBorder="1" applyAlignment="1">
      <alignment vertical="top" wrapText="1"/>
    </xf>
    <xf numFmtId="43" fontId="3" fillId="0" borderId="5" xfId="12" applyNumberFormat="1" applyFont="1" applyFill="1" applyBorder="1" applyAlignment="1">
      <alignment horizontal="right" vertical="top" wrapText="1"/>
    </xf>
    <xf numFmtId="166" fontId="3" fillId="0" borderId="17" xfId="12" applyNumberFormat="1" applyFont="1" applyFill="1" applyBorder="1" applyAlignment="1">
      <alignment horizontal="right" vertical="top"/>
    </xf>
    <xf numFmtId="0" fontId="4" fillId="0" borderId="0" xfId="11" applyFont="1" applyFill="1" applyAlignment="1">
      <alignment vertical="top"/>
    </xf>
    <xf numFmtId="0" fontId="3" fillId="0" borderId="0" xfId="11" applyFont="1" applyFill="1" applyAlignment="1">
      <alignment vertical="top"/>
    </xf>
    <xf numFmtId="43" fontId="4" fillId="0" borderId="5" xfId="12" applyNumberFormat="1" applyFont="1" applyFill="1" applyBorder="1" applyAlignment="1">
      <alignment horizontal="right" vertical="top" wrapText="1"/>
    </xf>
    <xf numFmtId="0" fontId="3" fillId="0" borderId="5" xfId="11" applyFont="1" applyFill="1" applyBorder="1" applyAlignment="1">
      <alignment vertical="top"/>
    </xf>
    <xf numFmtId="0" fontId="4" fillId="0" borderId="0" xfId="11" applyFont="1" applyFill="1" applyBorder="1" applyAlignment="1">
      <alignment vertical="top"/>
    </xf>
    <xf numFmtId="0" fontId="6" fillId="0" borderId="0" xfId="11" applyFont="1" applyFill="1" applyAlignment="1">
      <alignment horizontal="left" vertical="top"/>
    </xf>
    <xf numFmtId="0" fontId="6" fillId="0" borderId="0" xfId="11" applyFont="1" applyFill="1" applyAlignment="1">
      <alignment vertical="top"/>
    </xf>
    <xf numFmtId="0" fontId="4" fillId="0" borderId="16" xfId="11" applyFont="1" applyFill="1" applyBorder="1" applyAlignment="1">
      <alignment vertical="top"/>
    </xf>
    <xf numFmtId="0" fontId="21" fillId="0" borderId="0" xfId="11" applyFont="1" applyFill="1"/>
    <xf numFmtId="43" fontId="4" fillId="0" borderId="5" xfId="12" applyFont="1" applyFill="1" applyBorder="1" applyAlignment="1">
      <alignment horizontal="right" vertical="top" wrapText="1"/>
    </xf>
    <xf numFmtId="43" fontId="4" fillId="0" borderId="0" xfId="12" applyNumberFormat="1" applyFont="1" applyFill="1" applyAlignment="1">
      <alignment vertical="top" wrapText="1"/>
    </xf>
    <xf numFmtId="166" fontId="4" fillId="0" borderId="17" xfId="12" applyNumberFormat="1" applyFont="1" applyFill="1" applyBorder="1" applyAlignment="1">
      <alignment vertical="top"/>
    </xf>
    <xf numFmtId="43" fontId="4" fillId="0" borderId="5" xfId="12" applyFont="1" applyFill="1" applyBorder="1" applyAlignment="1">
      <alignment vertical="top" wrapText="1"/>
    </xf>
    <xf numFmtId="0" fontId="24" fillId="0" borderId="0" xfId="11" applyFont="1" applyFill="1" applyAlignment="1">
      <alignment vertical="top"/>
    </xf>
    <xf numFmtId="0" fontId="25" fillId="0" borderId="0" xfId="11" applyFont="1" applyFill="1" applyAlignment="1">
      <alignment vertical="top"/>
    </xf>
    <xf numFmtId="0" fontId="1" fillId="0" borderId="5" xfId="11" applyFont="1" applyFill="1" applyBorder="1" applyAlignment="1">
      <alignment vertical="top"/>
    </xf>
    <xf numFmtId="13" fontId="4" fillId="0" borderId="5" xfId="12" applyNumberFormat="1" applyFont="1" applyFill="1" applyBorder="1" applyAlignment="1">
      <alignment vertical="top" wrapText="1"/>
    </xf>
    <xf numFmtId="171" fontId="4" fillId="0" borderId="5" xfId="12" applyNumberFormat="1" applyFont="1" applyFill="1" applyBorder="1" applyAlignment="1">
      <alignment vertical="top" wrapText="1"/>
    </xf>
    <xf numFmtId="171" fontId="19" fillId="0" borderId="5" xfId="12" applyNumberFormat="1" applyFont="1" applyFill="1" applyBorder="1" applyAlignment="1">
      <alignment vertical="top" wrapText="1"/>
    </xf>
    <xf numFmtId="43" fontId="19" fillId="0" borderId="5" xfId="12" applyFont="1" applyFill="1" applyBorder="1" applyAlignment="1">
      <alignment vertical="top" wrapText="1"/>
    </xf>
    <xf numFmtId="166" fontId="1" fillId="0" borderId="5" xfId="12" applyNumberFormat="1" applyFont="1" applyFill="1" applyBorder="1" applyAlignment="1">
      <alignment vertical="top" wrapText="1"/>
    </xf>
    <xf numFmtId="166" fontId="4" fillId="0" borderId="0" xfId="12" applyNumberFormat="1" applyFont="1" applyFill="1" applyAlignment="1">
      <alignment horizontal="right" vertical="top"/>
    </xf>
    <xf numFmtId="43" fontId="27" fillId="0" borderId="5" xfId="12" applyNumberFormat="1" applyFont="1" applyFill="1" applyBorder="1" applyAlignment="1">
      <alignment vertical="top" wrapText="1"/>
    </xf>
    <xf numFmtId="170" fontId="4" fillId="0" borderId="5" xfId="12" applyNumberFormat="1" applyFont="1" applyFill="1" applyBorder="1" applyAlignment="1">
      <alignment vertical="top" wrapText="1"/>
    </xf>
    <xf numFmtId="9" fontId="4" fillId="0" borderId="5" xfId="13" applyFont="1" applyFill="1" applyBorder="1" applyAlignment="1">
      <alignment horizontal="right" vertical="top" wrapText="1"/>
    </xf>
    <xf numFmtId="43" fontId="3" fillId="0" borderId="5" xfId="12" applyNumberFormat="1" applyFont="1" applyFill="1" applyBorder="1" applyAlignment="1">
      <alignment horizontal="right" vertical="top"/>
    </xf>
    <xf numFmtId="2" fontId="6" fillId="0" borderId="0" xfId="11" applyNumberFormat="1" applyFont="1" applyFill="1" applyAlignment="1">
      <alignment vertical="top"/>
    </xf>
    <xf numFmtId="2" fontId="3" fillId="0" borderId="0" xfId="11" applyNumberFormat="1" applyFont="1" applyFill="1" applyAlignment="1">
      <alignment vertical="top" wrapText="1"/>
    </xf>
    <xf numFmtId="43" fontId="4" fillId="0" borderId="0" xfId="12" applyNumberFormat="1" applyFont="1" applyFill="1" applyAlignment="1">
      <alignment horizontal="right" vertical="top" wrapText="1"/>
    </xf>
    <xf numFmtId="2" fontId="6" fillId="0" borderId="0" xfId="11" applyNumberFormat="1" applyFont="1" applyFill="1" applyAlignment="1">
      <alignment vertical="top" wrapText="1"/>
    </xf>
    <xf numFmtId="43" fontId="17" fillId="0" borderId="0" xfId="11" applyNumberFormat="1" applyFont="1" applyFill="1" applyAlignment="1">
      <alignment vertical="top" wrapText="1"/>
    </xf>
    <xf numFmtId="0" fontId="4" fillId="0" borderId="0" xfId="11" applyFont="1" applyFill="1" applyAlignment="1">
      <alignment vertical="top" wrapText="1"/>
    </xf>
    <xf numFmtId="166" fontId="4" fillId="0" borderId="0" xfId="12" applyNumberFormat="1" applyFont="1" applyFill="1" applyAlignment="1">
      <alignment horizontal="right" vertical="top" wrapText="1"/>
    </xf>
    <xf numFmtId="0" fontId="9" fillId="0" borderId="0" xfId="12" applyNumberFormat="1" applyFont="1" applyFill="1" applyBorder="1" applyAlignment="1">
      <alignment horizontal="right" vertical="top" wrapText="1"/>
    </xf>
    <xf numFmtId="0" fontId="4" fillId="0" borderId="13" xfId="11" applyFont="1" applyFill="1" applyBorder="1" applyAlignment="1">
      <alignment vertical="top"/>
    </xf>
    <xf numFmtId="0" fontId="4" fillId="0" borderId="14" xfId="11" applyFont="1" applyFill="1" applyBorder="1" applyAlignment="1">
      <alignment vertical="top"/>
    </xf>
    <xf numFmtId="0" fontId="4" fillId="0" borderId="14" xfId="11" applyFont="1" applyFill="1" applyBorder="1" applyAlignment="1">
      <alignment vertical="top" wrapText="1"/>
    </xf>
    <xf numFmtId="43" fontId="4" fillId="0" borderId="14" xfId="12" applyNumberFormat="1" applyFont="1" applyFill="1" applyBorder="1" applyAlignment="1">
      <alignment horizontal="right" vertical="top" wrapText="1"/>
    </xf>
    <xf numFmtId="166" fontId="4" fillId="0" borderId="15" xfId="12" applyNumberFormat="1" applyFont="1" applyFill="1" applyBorder="1" applyAlignment="1">
      <alignment horizontal="right" vertical="top" wrapText="1"/>
    </xf>
    <xf numFmtId="0" fontId="4" fillId="0" borderId="0" xfId="12" applyNumberFormat="1" applyFont="1" applyFill="1" applyBorder="1" applyAlignment="1">
      <alignment horizontal="right" vertical="top" wrapText="1"/>
    </xf>
    <xf numFmtId="0" fontId="4" fillId="0" borderId="0" xfId="11" applyFont="1" applyFill="1" applyBorder="1" applyAlignment="1">
      <alignment vertical="top" wrapText="1"/>
    </xf>
    <xf numFmtId="43" fontId="4" fillId="0" borderId="0" xfId="12" applyNumberFormat="1" applyFont="1" applyFill="1" applyBorder="1" applyAlignment="1">
      <alignment horizontal="right" vertical="top" wrapText="1"/>
    </xf>
    <xf numFmtId="166" fontId="4" fillId="0" borderId="17" xfId="12" applyNumberFormat="1" applyFont="1" applyFill="1" applyBorder="1" applyAlignment="1">
      <alignment horizontal="right" vertical="top" wrapText="1"/>
    </xf>
    <xf numFmtId="0" fontId="6" fillId="0" borderId="16" xfId="11" applyFont="1" applyFill="1" applyBorder="1" applyAlignment="1">
      <alignment vertical="top"/>
    </xf>
    <xf numFmtId="0" fontId="6" fillId="0" borderId="0" xfId="11" applyFont="1" applyFill="1" applyBorder="1" applyAlignment="1">
      <alignment vertical="top"/>
    </xf>
    <xf numFmtId="0" fontId="6" fillId="0" borderId="0" xfId="11" applyFont="1" applyFill="1" applyBorder="1" applyAlignment="1">
      <alignment vertical="top" wrapText="1"/>
    </xf>
    <xf numFmtId="43" fontId="6" fillId="0" borderId="0" xfId="12" applyNumberFormat="1" applyFont="1" applyFill="1" applyBorder="1" applyAlignment="1">
      <alignment horizontal="right" vertical="top" wrapText="1"/>
    </xf>
    <xf numFmtId="43" fontId="6" fillId="0" borderId="0" xfId="12" applyNumberFormat="1" applyFont="1" applyFill="1" applyBorder="1" applyAlignment="1">
      <alignment horizontal="right" vertical="top"/>
    </xf>
    <xf numFmtId="166" fontId="6" fillId="0" borderId="17" xfId="12" applyNumberFormat="1" applyFont="1" applyFill="1" applyBorder="1" applyAlignment="1">
      <alignment horizontal="right" vertical="top" wrapText="1"/>
    </xf>
    <xf numFmtId="166" fontId="4" fillId="0" borderId="0" xfId="12" applyNumberFormat="1" applyFont="1" applyFill="1" applyBorder="1" applyAlignment="1">
      <alignment horizontal="right" vertical="top" wrapText="1"/>
    </xf>
    <xf numFmtId="166" fontId="4" fillId="0" borderId="0" xfId="11" applyNumberFormat="1" applyFont="1" applyFill="1" applyBorder="1" applyAlignment="1">
      <alignment vertical="top" wrapText="1"/>
    </xf>
    <xf numFmtId="43" fontId="3" fillId="0" borderId="0" xfId="12" applyNumberFormat="1" applyFont="1" applyFill="1" applyBorder="1" applyAlignment="1">
      <alignment horizontal="right" vertical="top" wrapText="1"/>
    </xf>
    <xf numFmtId="0" fontId="3" fillId="0" borderId="4" xfId="11" applyFont="1" applyFill="1" applyBorder="1" applyAlignment="1">
      <alignment vertical="top"/>
    </xf>
    <xf numFmtId="166" fontId="3" fillId="0" borderId="4" xfId="12" applyNumberFormat="1" applyFont="1" applyFill="1" applyBorder="1" applyAlignment="1">
      <alignment horizontal="right" vertical="top" wrapText="1"/>
    </xf>
    <xf numFmtId="0" fontId="3" fillId="0" borderId="4" xfId="11" applyFont="1" applyFill="1" applyBorder="1" applyAlignment="1">
      <alignment vertical="top" wrapText="1"/>
    </xf>
    <xf numFmtId="43" fontId="3" fillId="0" borderId="4" xfId="12" applyNumberFormat="1" applyFont="1" applyFill="1" applyBorder="1" applyAlignment="1">
      <alignment horizontal="right" vertical="top" wrapText="1"/>
    </xf>
    <xf numFmtId="166" fontId="3" fillId="0" borderId="5" xfId="12" applyNumberFormat="1" applyFont="1" applyFill="1" applyBorder="1" applyAlignment="1">
      <alignment horizontal="right" vertical="top" wrapText="1"/>
    </xf>
    <xf numFmtId="166" fontId="4" fillId="0" borderId="5" xfId="12" applyNumberFormat="1" applyFont="1" applyFill="1" applyBorder="1" applyAlignment="1">
      <alignment vertical="top"/>
    </xf>
    <xf numFmtId="0" fontId="4" fillId="0" borderId="4" xfId="11" applyFont="1" applyFill="1" applyBorder="1" applyAlignment="1">
      <alignment vertical="top"/>
    </xf>
    <xf numFmtId="43" fontId="4" fillId="0" borderId="4" xfId="12" applyNumberFormat="1" applyFont="1" applyFill="1" applyBorder="1" applyAlignment="1">
      <alignment vertical="top" wrapText="1"/>
    </xf>
    <xf numFmtId="0" fontId="4" fillId="0" borderId="4" xfId="11" applyFont="1" applyFill="1" applyBorder="1" applyAlignment="1">
      <alignment vertical="top" wrapText="1"/>
    </xf>
    <xf numFmtId="166" fontId="4" fillId="0" borderId="4" xfId="12" applyNumberFormat="1" applyFont="1" applyFill="1" applyBorder="1" applyAlignment="1">
      <alignment vertical="top" wrapText="1"/>
    </xf>
    <xf numFmtId="0" fontId="4" fillId="0" borderId="18" xfId="11" applyFont="1" applyFill="1" applyBorder="1" applyAlignment="1">
      <alignment vertical="top"/>
    </xf>
    <xf numFmtId="0" fontId="4" fillId="0" borderId="19" xfId="11" applyFont="1" applyFill="1" applyBorder="1" applyAlignment="1">
      <alignment vertical="top"/>
    </xf>
    <xf numFmtId="0" fontId="4" fillId="0" borderId="19" xfId="11" applyFont="1" applyFill="1" applyBorder="1" applyAlignment="1">
      <alignment vertical="top" wrapText="1"/>
    </xf>
    <xf numFmtId="43" fontId="4" fillId="0" borderId="19" xfId="12" applyNumberFormat="1" applyFont="1" applyFill="1" applyBorder="1" applyAlignment="1">
      <alignment horizontal="right" vertical="top" wrapText="1"/>
    </xf>
    <xf numFmtId="166" fontId="4" fillId="0" borderId="20" xfId="12" applyNumberFormat="1" applyFont="1" applyFill="1" applyBorder="1" applyAlignment="1">
      <alignment horizontal="right" vertical="top"/>
    </xf>
    <xf numFmtId="166" fontId="4" fillId="0" borderId="15" xfId="12" applyNumberFormat="1" applyFont="1" applyFill="1" applyBorder="1" applyAlignment="1">
      <alignment vertical="top"/>
    </xf>
    <xf numFmtId="0" fontId="9" fillId="0" borderId="0" xfId="11" applyFont="1" applyFill="1" applyAlignment="1">
      <alignment horizontal="left" vertical="top"/>
    </xf>
    <xf numFmtId="0" fontId="6" fillId="0" borderId="16" xfId="11" applyFont="1" applyFill="1" applyBorder="1" applyAlignment="1">
      <alignment horizontal="left" vertical="top"/>
    </xf>
    <xf numFmtId="0" fontId="6" fillId="0" borderId="0" xfId="11" applyFont="1" applyFill="1" applyBorder="1" applyAlignment="1">
      <alignment horizontal="left" vertical="top"/>
    </xf>
    <xf numFmtId="166" fontId="6" fillId="0" borderId="0" xfId="12" applyNumberFormat="1" applyFont="1" applyFill="1" applyBorder="1" applyAlignment="1">
      <alignment horizontal="left" vertical="top"/>
    </xf>
    <xf numFmtId="0" fontId="6" fillId="0" borderId="0" xfId="11" applyFont="1" applyFill="1" applyBorder="1" applyAlignment="1">
      <alignment horizontal="left" vertical="top" wrapText="1"/>
    </xf>
    <xf numFmtId="43" fontId="6" fillId="0" borderId="0" xfId="12" applyNumberFormat="1" applyFont="1" applyFill="1" applyBorder="1" applyAlignment="1">
      <alignment horizontal="left" vertical="top" wrapText="1"/>
    </xf>
    <xf numFmtId="43" fontId="6" fillId="0" borderId="0" xfId="12" applyNumberFormat="1" applyFont="1" applyFill="1" applyBorder="1" applyAlignment="1">
      <alignment horizontal="left" vertical="top"/>
    </xf>
    <xf numFmtId="166" fontId="6" fillId="0" borderId="17" xfId="12" applyNumberFormat="1" applyFont="1" applyFill="1" applyBorder="1" applyAlignment="1">
      <alignment horizontal="left" vertical="top"/>
    </xf>
    <xf numFmtId="166" fontId="4" fillId="0" borderId="20" xfId="12" applyNumberFormat="1" applyFont="1" applyFill="1" applyBorder="1" applyAlignment="1">
      <alignment vertical="top"/>
    </xf>
    <xf numFmtId="166" fontId="6" fillId="0" borderId="17" xfId="12" applyNumberFormat="1" applyFont="1" applyFill="1" applyBorder="1" applyAlignment="1">
      <alignment vertical="top"/>
    </xf>
    <xf numFmtId="0" fontId="3" fillId="0" borderId="4" xfId="11" applyFont="1" applyFill="1" applyBorder="1" applyAlignment="1">
      <alignment horizontal="right" vertical="top" wrapText="1"/>
    </xf>
    <xf numFmtId="0" fontId="20" fillId="0" borderId="0" xfId="11" applyFont="1" applyFill="1"/>
    <xf numFmtId="0" fontId="30" fillId="0" borderId="0" xfId="11" applyFill="1"/>
    <xf numFmtId="0" fontId="30" fillId="0" borderId="0" xfId="11" applyFill="1" applyAlignment="1">
      <alignment wrapText="1"/>
    </xf>
    <xf numFmtId="43" fontId="30" fillId="0" borderId="0" xfId="11" applyNumberFormat="1" applyFill="1" applyAlignment="1">
      <alignment wrapText="1"/>
    </xf>
    <xf numFmtId="43" fontId="3" fillId="0" borderId="12" xfId="12" applyNumberFormat="1" applyFont="1" applyFill="1" applyBorder="1" applyAlignment="1">
      <alignment horizontal="right" vertical="top" wrapText="1"/>
    </xf>
    <xf numFmtId="43" fontId="4" fillId="0" borderId="21" xfId="12" applyNumberFormat="1" applyFont="1" applyFill="1" applyBorder="1" applyAlignment="1">
      <alignment vertical="top" wrapText="1"/>
    </xf>
    <xf numFmtId="43" fontId="4" fillId="0" borderId="3" xfId="12" applyNumberFormat="1" applyFont="1" applyFill="1" applyBorder="1" applyAlignment="1">
      <alignment horizontal="right" vertical="top" wrapText="1"/>
    </xf>
    <xf numFmtId="166" fontId="4" fillId="0" borderId="5" xfId="11" applyNumberFormat="1" applyFont="1" applyFill="1" applyBorder="1" applyAlignment="1">
      <alignment horizontal="right" vertical="top" wrapText="1"/>
    </xf>
    <xf numFmtId="43" fontId="4" fillId="0" borderId="12" xfId="12" applyNumberFormat="1" applyFont="1" applyFill="1" applyBorder="1" applyAlignment="1">
      <alignment vertical="top" wrapText="1"/>
    </xf>
    <xf numFmtId="43" fontId="23" fillId="0" borderId="4" xfId="12" applyNumberFormat="1" applyFont="1" applyFill="1" applyBorder="1" applyAlignment="1">
      <alignment vertical="top" wrapText="1"/>
    </xf>
    <xf numFmtId="43" fontId="8" fillId="0" borderId="4" xfId="12" applyFont="1" applyFill="1" applyBorder="1" applyAlignment="1">
      <alignment vertical="top" wrapText="1"/>
    </xf>
    <xf numFmtId="0" fontId="4" fillId="0" borderId="22" xfId="11" applyFont="1" applyFill="1" applyBorder="1" applyAlignment="1">
      <alignment vertical="top"/>
    </xf>
    <xf numFmtId="0" fontId="4" fillId="0" borderId="23" xfId="11" applyFont="1" applyFill="1" applyBorder="1" applyAlignment="1">
      <alignment vertical="top"/>
    </xf>
    <xf numFmtId="0" fontId="4" fillId="0" borderId="23" xfId="11" applyFont="1" applyFill="1" applyBorder="1" applyAlignment="1">
      <alignment vertical="top" wrapText="1"/>
    </xf>
    <xf numFmtId="43" fontId="4" fillId="0" borderId="23" xfId="12" applyNumberFormat="1" applyFont="1" applyFill="1" applyBorder="1" applyAlignment="1">
      <alignment horizontal="right" vertical="top" wrapText="1"/>
    </xf>
    <xf numFmtId="166" fontId="4" fillId="0" borderId="24" xfId="12" applyNumberFormat="1" applyFont="1" applyFill="1" applyBorder="1" applyAlignment="1">
      <alignment vertical="top"/>
    </xf>
    <xf numFmtId="0" fontId="18" fillId="0" borderId="0" xfId="11" applyFont="1" applyFill="1" applyAlignment="1">
      <alignment vertical="top"/>
    </xf>
    <xf numFmtId="0" fontId="1" fillId="0" borderId="16" xfId="11" applyFont="1" applyFill="1" applyBorder="1" applyAlignment="1">
      <alignment vertical="top"/>
    </xf>
    <xf numFmtId="0" fontId="1" fillId="0" borderId="0" xfId="11" applyFont="1" applyFill="1" applyBorder="1" applyAlignment="1">
      <alignment vertical="top"/>
    </xf>
    <xf numFmtId="0" fontId="1" fillId="0" borderId="0" xfId="12" applyNumberFormat="1" applyFont="1" applyFill="1" applyBorder="1" applyAlignment="1">
      <alignment horizontal="right" vertical="top" wrapText="1"/>
    </xf>
    <xf numFmtId="0" fontId="1" fillId="0" borderId="0" xfId="11" applyFont="1" applyFill="1" applyBorder="1" applyAlignment="1">
      <alignment vertical="top" wrapText="1"/>
    </xf>
    <xf numFmtId="166" fontId="1" fillId="0" borderId="0" xfId="12" applyNumberFormat="1" applyFont="1" applyFill="1" applyBorder="1" applyAlignment="1">
      <alignment horizontal="right" vertical="top" wrapText="1"/>
    </xf>
    <xf numFmtId="166" fontId="1" fillId="0" borderId="17" xfId="12" applyNumberFormat="1" applyFont="1" applyFill="1" applyBorder="1" applyAlignment="1">
      <alignment vertical="top"/>
    </xf>
    <xf numFmtId="0" fontId="1" fillId="0" borderId="0" xfId="11" applyFont="1" applyFill="1" applyAlignment="1">
      <alignment vertical="top"/>
    </xf>
    <xf numFmtId="0" fontId="25" fillId="0" borderId="16" xfId="11" applyFont="1" applyFill="1" applyBorder="1" applyAlignment="1">
      <alignment vertical="top"/>
    </xf>
    <xf numFmtId="0" fontId="25" fillId="0" borderId="0" xfId="11" applyFont="1" applyFill="1" applyBorder="1" applyAlignment="1">
      <alignment vertical="top"/>
    </xf>
    <xf numFmtId="166" fontId="25" fillId="0" borderId="0" xfId="12" applyNumberFormat="1" applyFont="1" applyFill="1" applyBorder="1" applyAlignment="1">
      <alignment horizontal="right" vertical="top"/>
    </xf>
    <xf numFmtId="0" fontId="25" fillId="0" borderId="0" xfId="11" applyFont="1" applyFill="1" applyBorder="1" applyAlignment="1">
      <alignment vertical="top" wrapText="1"/>
    </xf>
    <xf numFmtId="166" fontId="25" fillId="0" borderId="0" xfId="12" applyNumberFormat="1" applyFont="1" applyFill="1" applyBorder="1" applyAlignment="1">
      <alignment horizontal="right" vertical="top" wrapText="1"/>
    </xf>
    <xf numFmtId="166" fontId="25" fillId="0" borderId="0" xfId="12" applyNumberFormat="1" applyFont="1" applyFill="1" applyBorder="1" applyAlignment="1">
      <alignment vertical="top"/>
    </xf>
    <xf numFmtId="166" fontId="25" fillId="0" borderId="17" xfId="12" applyNumberFormat="1" applyFont="1" applyFill="1" applyBorder="1" applyAlignment="1">
      <alignment vertical="top"/>
    </xf>
    <xf numFmtId="0" fontId="18" fillId="0" borderId="0" xfId="12" applyNumberFormat="1" applyFont="1" applyFill="1" applyBorder="1" applyAlignment="1">
      <alignment horizontal="right" vertical="top" wrapText="1"/>
    </xf>
    <xf numFmtId="166" fontId="1" fillId="0" borderId="0" xfId="11" applyNumberFormat="1" applyFont="1" applyFill="1" applyBorder="1" applyAlignment="1">
      <alignment vertical="top" wrapText="1"/>
    </xf>
    <xf numFmtId="0" fontId="2" fillId="0" borderId="4" xfId="11" applyFont="1" applyFill="1" applyBorder="1" applyAlignment="1">
      <alignment vertical="top"/>
    </xf>
    <xf numFmtId="166" fontId="2" fillId="0" borderId="4" xfId="12" applyNumberFormat="1" applyFont="1" applyFill="1" applyBorder="1" applyAlignment="1">
      <alignment horizontal="right" vertical="top" wrapText="1"/>
    </xf>
    <xf numFmtId="0" fontId="2" fillId="0" borderId="4" xfId="11" applyFont="1" applyFill="1" applyBorder="1" applyAlignment="1">
      <alignment horizontal="right" vertical="top" wrapText="1"/>
    </xf>
    <xf numFmtId="166" fontId="2" fillId="0" borderId="17" xfId="12" applyNumberFormat="1" applyFont="1" applyFill="1" applyBorder="1" applyAlignment="1">
      <alignment horizontal="right" vertical="top"/>
    </xf>
    <xf numFmtId="0" fontId="3" fillId="0" borderId="16" xfId="11" applyFont="1" applyFill="1" applyBorder="1" applyAlignment="1">
      <alignment vertical="top"/>
    </xf>
    <xf numFmtId="0" fontId="2" fillId="0" borderId="5" xfId="11" applyFont="1" applyFill="1" applyBorder="1" applyAlignment="1">
      <alignment vertical="top"/>
    </xf>
    <xf numFmtId="0" fontId="3" fillId="0" borderId="5" xfId="11" applyFont="1" applyFill="1" applyBorder="1" applyAlignment="1">
      <alignment horizontal="right" vertical="top"/>
    </xf>
    <xf numFmtId="166" fontId="3" fillId="0" borderId="5" xfId="12" applyNumberFormat="1" applyFont="1" applyFill="1" applyBorder="1" applyAlignment="1">
      <alignment vertical="top" wrapText="1"/>
    </xf>
    <xf numFmtId="43" fontId="3" fillId="0" borderId="5" xfId="12" applyFont="1" applyFill="1" applyBorder="1" applyAlignment="1">
      <alignment vertical="top" wrapText="1"/>
    </xf>
    <xf numFmtId="43" fontId="3" fillId="0" borderId="5" xfId="12" applyNumberFormat="1" applyFont="1" applyFill="1" applyBorder="1" applyAlignment="1">
      <alignment vertical="top" wrapText="1"/>
    </xf>
    <xf numFmtId="166" fontId="3" fillId="0" borderId="17" xfId="12" applyNumberFormat="1" applyFont="1" applyFill="1" applyBorder="1" applyAlignment="1">
      <alignment vertical="top"/>
    </xf>
    <xf numFmtId="166" fontId="29" fillId="0" borderId="5" xfId="12" applyNumberFormat="1" applyFont="1" applyFill="1" applyBorder="1" applyAlignment="1">
      <alignment vertical="top" wrapText="1"/>
    </xf>
    <xf numFmtId="170" fontId="4" fillId="0" borderId="4" xfId="12" applyNumberFormat="1" applyFont="1" applyFill="1" applyBorder="1" applyAlignment="1">
      <alignment vertical="top" wrapText="1"/>
    </xf>
    <xf numFmtId="39" fontId="4" fillId="0" borderId="0" xfId="11" applyNumberFormat="1" applyFont="1" applyFill="1" applyBorder="1" applyAlignment="1">
      <alignment vertical="top" wrapText="1"/>
    </xf>
    <xf numFmtId="171" fontId="4" fillId="0" borderId="4" xfId="12" applyNumberFormat="1" applyFont="1" applyFill="1" applyBorder="1" applyAlignment="1">
      <alignment vertical="top" wrapText="1"/>
    </xf>
    <xf numFmtId="166" fontId="6" fillId="0" borderId="0" xfId="12" applyNumberFormat="1" applyFont="1" applyFill="1" applyBorder="1" applyAlignment="1">
      <alignment horizontal="right" vertical="top" wrapText="1"/>
    </xf>
    <xf numFmtId="43" fontId="4" fillId="0" borderId="3" xfId="12" applyNumberFormat="1" applyFont="1" applyFill="1" applyBorder="1" applyAlignment="1">
      <alignment vertical="top" wrapText="1"/>
    </xf>
    <xf numFmtId="43" fontId="4" fillId="0" borderId="4" xfId="12" applyFont="1" applyFill="1" applyBorder="1" applyAlignment="1">
      <alignment vertical="top"/>
    </xf>
    <xf numFmtId="166" fontId="3" fillId="0" borderId="0" xfId="12" applyNumberFormat="1" applyFont="1" applyFill="1" applyBorder="1" applyAlignment="1">
      <alignment horizontal="right" vertical="top" wrapText="1"/>
    </xf>
    <xf numFmtId="43" fontId="4" fillId="0" borderId="0" xfId="11" applyNumberFormat="1" applyFont="1" applyFill="1" applyBorder="1" applyAlignment="1">
      <alignment vertical="top" wrapText="1"/>
    </xf>
    <xf numFmtId="166" fontId="5" fillId="0" borderId="4" xfId="12" applyNumberFormat="1" applyFont="1" applyFill="1" applyBorder="1" applyAlignment="1">
      <alignment horizontal="right" vertical="top" wrapText="1"/>
    </xf>
    <xf numFmtId="43" fontId="5" fillId="0" borderId="4" xfId="12" applyNumberFormat="1" applyFont="1" applyFill="1" applyBorder="1" applyAlignment="1">
      <alignment horizontal="right" vertical="top" wrapText="1"/>
    </xf>
    <xf numFmtId="166" fontId="3" fillId="0" borderId="4" xfId="12" applyNumberFormat="1" applyFont="1" applyFill="1" applyBorder="1" applyAlignment="1">
      <alignment vertical="top" wrapText="1"/>
    </xf>
    <xf numFmtId="43" fontId="3" fillId="0" borderId="4" xfId="12" applyNumberFormat="1" applyFont="1" applyFill="1" applyBorder="1" applyAlignment="1">
      <alignment vertical="top" wrapText="1"/>
    </xf>
    <xf numFmtId="166" fontId="3" fillId="0" borderId="17" xfId="12" applyNumberFormat="1" applyFont="1" applyFill="1" applyBorder="1" applyAlignment="1">
      <alignment horizontal="right" vertical="top" wrapText="1"/>
    </xf>
    <xf numFmtId="166" fontId="7" fillId="0" borderId="5" xfId="10" applyNumberFormat="1" applyFont="1" applyFill="1" applyBorder="1" applyAlignment="1">
      <alignment vertical="top" wrapText="1"/>
    </xf>
    <xf numFmtId="170" fontId="4" fillId="0" borderId="0" xfId="11" applyNumberFormat="1" applyFont="1" applyFill="1" applyBorder="1" applyAlignment="1">
      <alignment vertical="top" wrapText="1"/>
    </xf>
    <xf numFmtId="166" fontId="23" fillId="0" borderId="4" xfId="12" applyNumberFormat="1" applyFont="1" applyFill="1" applyBorder="1" applyAlignment="1">
      <alignment vertical="top" wrapText="1"/>
    </xf>
    <xf numFmtId="43" fontId="4" fillId="0" borderId="0" xfId="12" applyNumberFormat="1" applyFont="1" applyFill="1" applyBorder="1" applyAlignment="1">
      <alignment horizontal="right" vertical="top"/>
    </xf>
    <xf numFmtId="43" fontId="3" fillId="0" borderId="0" xfId="12" applyNumberFormat="1" applyFont="1" applyFill="1" applyBorder="1" applyAlignment="1">
      <alignment horizontal="right" vertical="top"/>
    </xf>
    <xf numFmtId="43" fontId="3" fillId="0" borderId="4" xfId="12" applyNumberFormat="1" applyFont="1" applyFill="1" applyBorder="1" applyAlignment="1">
      <alignment horizontal="right" vertical="top"/>
    </xf>
    <xf numFmtId="0" fontId="4" fillId="0" borderId="0" xfId="12" applyNumberFormat="1" applyFont="1" applyFill="1" applyBorder="1" applyAlignment="1">
      <alignment horizontal="right" vertical="top"/>
    </xf>
    <xf numFmtId="43" fontId="6" fillId="0" borderId="0" xfId="12" applyNumberFormat="1" applyFont="1" applyFill="1" applyAlignment="1">
      <alignment horizontal="right" vertical="top" wrapText="1"/>
    </xf>
    <xf numFmtId="0" fontId="9" fillId="0" borderId="0" xfId="12" applyNumberFormat="1" applyFont="1" applyFill="1" applyBorder="1" applyAlignment="1">
      <alignment horizontal="right" vertical="top"/>
    </xf>
    <xf numFmtId="43" fontId="3" fillId="0" borderId="0" xfId="12" applyNumberFormat="1" applyFont="1" applyFill="1" applyBorder="1" applyAlignment="1">
      <alignment vertical="top"/>
    </xf>
    <xf numFmtId="166" fontId="3" fillId="0" borderId="4" xfId="12" applyNumberFormat="1" applyFont="1" applyFill="1" applyBorder="1" applyAlignment="1">
      <alignment horizontal="right" vertical="top"/>
    </xf>
    <xf numFmtId="166" fontId="4" fillId="0" borderId="17" xfId="12" applyNumberFormat="1" applyFont="1" applyFill="1" applyBorder="1" applyAlignment="1">
      <alignment horizontal="right" vertical="top"/>
    </xf>
    <xf numFmtId="2" fontId="2" fillId="0" borderId="0" xfId="0" applyNumberFormat="1" applyFont="1"/>
    <xf numFmtId="43" fontId="4" fillId="0" borderId="4" xfId="12" applyNumberFormat="1" applyFont="1" applyFill="1" applyBorder="1" applyAlignment="1">
      <alignment horizontal="right" vertical="top" wrapText="1"/>
    </xf>
    <xf numFmtId="43" fontId="4" fillId="0" borderId="4" xfId="12" applyNumberFormat="1" applyFont="1" applyFill="1" applyBorder="1" applyAlignment="1">
      <alignment vertical="top"/>
    </xf>
    <xf numFmtId="0" fontId="6" fillId="0" borderId="4" xfId="0" applyFont="1" applyFill="1" applyBorder="1" applyAlignment="1">
      <alignment vertical="top"/>
    </xf>
    <xf numFmtId="0" fontId="6" fillId="0" borderId="4" xfId="0" applyNumberFormat="1" applyFont="1" applyFill="1" applyBorder="1" applyAlignment="1">
      <alignment horizontal="left" vertical="top"/>
    </xf>
    <xf numFmtId="43" fontId="6" fillId="0" borderId="4" xfId="12" applyNumberFormat="1" applyFont="1" applyFill="1" applyBorder="1" applyAlignment="1">
      <alignment horizontal="right" vertical="top" wrapText="1"/>
    </xf>
    <xf numFmtId="0" fontId="28" fillId="0" borderId="4" xfId="0" applyFont="1" applyFill="1" applyBorder="1" applyAlignment="1">
      <alignment vertical="top"/>
    </xf>
    <xf numFmtId="0" fontId="28" fillId="0" borderId="4" xfId="0" applyNumberFormat="1" applyFont="1" applyFill="1" applyBorder="1" applyAlignment="1">
      <alignment horizontal="left" vertical="top"/>
    </xf>
    <xf numFmtId="43" fontId="28" fillId="0" borderId="4" xfId="12" applyNumberFormat="1" applyFont="1" applyFill="1" applyBorder="1" applyAlignment="1">
      <alignment horizontal="right" vertical="top" wrapText="1"/>
    </xf>
    <xf numFmtId="43" fontId="28" fillId="0" borderId="4" xfId="12" applyNumberFormat="1" applyFont="1" applyFill="1" applyBorder="1" applyAlignment="1">
      <alignment vertical="top"/>
    </xf>
    <xf numFmtId="43" fontId="7" fillId="0" borderId="4" xfId="12" applyNumberFormat="1" applyFont="1" applyFill="1" applyBorder="1" applyAlignment="1">
      <alignment horizontal="right" vertical="top" wrapText="1"/>
    </xf>
    <xf numFmtId="0" fontId="28" fillId="0" borderId="0" xfId="0" applyFont="1" applyFill="1" applyAlignment="1">
      <alignment vertical="top"/>
    </xf>
    <xf numFmtId="43" fontId="3" fillId="0" borderId="4" xfId="12" applyNumberFormat="1" applyFont="1" applyFill="1" applyBorder="1" applyAlignment="1">
      <alignment horizontal="right"/>
    </xf>
    <xf numFmtId="43" fontId="4" fillId="4" borderId="4" xfId="12" applyNumberFormat="1" applyFont="1" applyFill="1" applyBorder="1" applyAlignment="1">
      <alignment horizontal="right" vertical="top" wrapText="1"/>
    </xf>
    <xf numFmtId="43" fontId="3" fillId="4" borderId="4" xfId="12" applyNumberFormat="1" applyFont="1" applyFill="1" applyBorder="1" applyAlignment="1">
      <alignment horizontal="right" vertical="top" wrapText="1"/>
    </xf>
    <xf numFmtId="0" fontId="3" fillId="2" borderId="3" xfId="0" applyFont="1" applyFill="1" applyBorder="1" applyAlignment="1">
      <alignment horizontal="left" vertical="top" wrapText="1"/>
    </xf>
    <xf numFmtId="0" fontId="3" fillId="2" borderId="9" xfId="0" applyFont="1" applyFill="1" applyBorder="1" applyAlignment="1">
      <alignment horizontal="left" vertical="top" wrapText="1"/>
    </xf>
    <xf numFmtId="0" fontId="3" fillId="2" borderId="1" xfId="0" applyFont="1" applyFill="1" applyBorder="1" applyAlignment="1">
      <alignment horizontal="center" vertical="top" wrapText="1"/>
    </xf>
    <xf numFmtId="0" fontId="3" fillId="2" borderId="2" xfId="0" applyFont="1" applyFill="1" applyBorder="1" applyAlignment="1">
      <alignment horizontal="center" vertical="top" wrapText="1"/>
    </xf>
    <xf numFmtId="0" fontId="3" fillId="2" borderId="12" xfId="0" applyFont="1" applyFill="1" applyBorder="1" applyAlignment="1">
      <alignment horizontal="center" vertical="top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left" vertical="center"/>
    </xf>
    <xf numFmtId="0" fontId="3" fillId="2" borderId="9" xfId="0" applyFont="1" applyFill="1" applyBorder="1" applyAlignment="1">
      <alignment horizontal="left" vertical="center"/>
    </xf>
  </cellXfs>
  <cellStyles count="507">
    <cellStyle name="_Trial Bal-Mar`13" xfId="14"/>
    <cellStyle name="20 % - Accent1 2" xfId="15"/>
    <cellStyle name="20 % - Accent1 3" xfId="16"/>
    <cellStyle name="20 % - Accent1 4" xfId="17"/>
    <cellStyle name="20 % - Accent1 5" xfId="18"/>
    <cellStyle name="20 % - Accent1 6" xfId="19"/>
    <cellStyle name="20 % - Accent1 7" xfId="20"/>
    <cellStyle name="20 % - Accent1 8" xfId="21"/>
    <cellStyle name="20 % - Accent2 2" xfId="22"/>
    <cellStyle name="20 % - Accent2 3" xfId="23"/>
    <cellStyle name="20 % - Accent2 4" xfId="24"/>
    <cellStyle name="20 % - Accent2 5" xfId="25"/>
    <cellStyle name="20 % - Accent2 6" xfId="26"/>
    <cellStyle name="20 % - Accent2 7" xfId="27"/>
    <cellStyle name="20 % - Accent2 8" xfId="28"/>
    <cellStyle name="20 % - Accent3 2" xfId="29"/>
    <cellStyle name="20 % - Accent3 3" xfId="30"/>
    <cellStyle name="20 % - Accent3 4" xfId="31"/>
    <cellStyle name="20 % - Accent3 5" xfId="32"/>
    <cellStyle name="20 % - Accent3 6" xfId="33"/>
    <cellStyle name="20 % - Accent3 7" xfId="34"/>
    <cellStyle name="20 % - Accent3 8" xfId="35"/>
    <cellStyle name="20 % - Accent4 2" xfId="36"/>
    <cellStyle name="20 % - Accent4 3" xfId="37"/>
    <cellStyle name="20 % - Accent4 4" xfId="38"/>
    <cellStyle name="20 % - Accent4 5" xfId="39"/>
    <cellStyle name="20 % - Accent4 6" xfId="40"/>
    <cellStyle name="20 % - Accent4 7" xfId="41"/>
    <cellStyle name="20 % - Accent4 8" xfId="42"/>
    <cellStyle name="20 % - Accent5 2" xfId="43"/>
    <cellStyle name="20 % - Accent5 3" xfId="44"/>
    <cellStyle name="20 % - Accent5 4" xfId="45"/>
    <cellStyle name="20 % - Accent5 5" xfId="46"/>
    <cellStyle name="20 % - Accent5 6" xfId="47"/>
    <cellStyle name="20 % - Accent5 7" xfId="48"/>
    <cellStyle name="20 % - Accent5 8" xfId="49"/>
    <cellStyle name="20 % - Accent6 2" xfId="50"/>
    <cellStyle name="20 % - Accent6 3" xfId="51"/>
    <cellStyle name="20 % - Accent6 4" xfId="52"/>
    <cellStyle name="20 % - Accent6 5" xfId="53"/>
    <cellStyle name="20 % - Accent6 6" xfId="54"/>
    <cellStyle name="20 % - Accent6 7" xfId="55"/>
    <cellStyle name="20 % - Accent6 8" xfId="56"/>
    <cellStyle name="20% - Accent1 2" xfId="57"/>
    <cellStyle name="20% - Accent1 3" xfId="58"/>
    <cellStyle name="20% - Accent2 2" xfId="59"/>
    <cellStyle name="20% - Accent2 3" xfId="60"/>
    <cellStyle name="20% - Accent3 2" xfId="61"/>
    <cellStyle name="20% - Accent3 3" xfId="62"/>
    <cellStyle name="20% - Accent4 2" xfId="63"/>
    <cellStyle name="20% - Accent4 3" xfId="64"/>
    <cellStyle name="20% - Accent5 2" xfId="65"/>
    <cellStyle name="20% - Accent5 3" xfId="66"/>
    <cellStyle name="20% - Accent6 2" xfId="67"/>
    <cellStyle name="20% - Accent6 3" xfId="68"/>
    <cellStyle name="20% - 强调文字颜色 1" xfId="69"/>
    <cellStyle name="20% - 强调文字颜色 1 2" xfId="70"/>
    <cellStyle name="20% - 强调文字颜色 1 3" xfId="71"/>
    <cellStyle name="20% - 强调文字颜色 1 4" xfId="72"/>
    <cellStyle name="20% - 强调文字颜色 1 5" xfId="73"/>
    <cellStyle name="20% - 强调文字颜色 2" xfId="74"/>
    <cellStyle name="20% - 强调文字颜色 2 2" xfId="75"/>
    <cellStyle name="20% - 强调文字颜色 2 3" xfId="76"/>
    <cellStyle name="20% - 强调文字颜色 2 4" xfId="77"/>
    <cellStyle name="20% - 强调文字颜色 2 5" xfId="78"/>
    <cellStyle name="20% - 强调文字颜色 3" xfId="79"/>
    <cellStyle name="20% - 强调文字颜色 3 2" xfId="80"/>
    <cellStyle name="20% - 强调文字颜色 3 3" xfId="81"/>
    <cellStyle name="20% - 强调文字颜色 3 4" xfId="82"/>
    <cellStyle name="20% - 强调文字颜色 3 5" xfId="83"/>
    <cellStyle name="20% - 强调文字颜色 4" xfId="84"/>
    <cellStyle name="20% - 强调文字颜色 4 2" xfId="85"/>
    <cellStyle name="20% - 强调文字颜色 4 3" xfId="86"/>
    <cellStyle name="20% - 强调文字颜色 4 4" xfId="87"/>
    <cellStyle name="20% - 强调文字颜色 4 5" xfId="88"/>
    <cellStyle name="20% - 强调文字颜色 5" xfId="89"/>
    <cellStyle name="20% - 强调文字颜色 5 2" xfId="90"/>
    <cellStyle name="20% - 强调文字颜色 5 3" xfId="91"/>
    <cellStyle name="20% - 强调文字颜色 5 4" xfId="92"/>
    <cellStyle name="20% - 强调文字颜色 5 5" xfId="93"/>
    <cellStyle name="20% - 强调文字颜色 6" xfId="94"/>
    <cellStyle name="20% - 强调文字颜色 6 2" xfId="95"/>
    <cellStyle name="20% - 强调文字颜色 6 3" xfId="96"/>
    <cellStyle name="20% - 强调文字颜色 6 4" xfId="97"/>
    <cellStyle name="20% - 强调文字颜色 6 5" xfId="98"/>
    <cellStyle name="40 % - Accent1 2" xfId="99"/>
    <cellStyle name="40 % - Accent1 3" xfId="100"/>
    <cellStyle name="40 % - Accent1 4" xfId="101"/>
    <cellStyle name="40 % - Accent1 5" xfId="102"/>
    <cellStyle name="40 % - Accent1 6" xfId="103"/>
    <cellStyle name="40 % - Accent1 7" xfId="104"/>
    <cellStyle name="40 % - Accent1 8" xfId="105"/>
    <cellStyle name="40 % - Accent2 2" xfId="106"/>
    <cellStyle name="40 % - Accent2 3" xfId="107"/>
    <cellStyle name="40 % - Accent2 4" xfId="108"/>
    <cellStyle name="40 % - Accent2 5" xfId="109"/>
    <cellStyle name="40 % - Accent2 6" xfId="110"/>
    <cellStyle name="40 % - Accent2 7" xfId="111"/>
    <cellStyle name="40 % - Accent2 8" xfId="112"/>
    <cellStyle name="40 % - Accent3 2" xfId="113"/>
    <cellStyle name="40 % - Accent3 3" xfId="114"/>
    <cellStyle name="40 % - Accent3 4" xfId="115"/>
    <cellStyle name="40 % - Accent3 5" xfId="116"/>
    <cellStyle name="40 % - Accent3 6" xfId="117"/>
    <cellStyle name="40 % - Accent3 7" xfId="118"/>
    <cellStyle name="40 % - Accent3 8" xfId="119"/>
    <cellStyle name="40 % - Accent4 2" xfId="120"/>
    <cellStyle name="40 % - Accent4 3" xfId="121"/>
    <cellStyle name="40 % - Accent4 4" xfId="122"/>
    <cellStyle name="40 % - Accent4 5" xfId="123"/>
    <cellStyle name="40 % - Accent4 6" xfId="124"/>
    <cellStyle name="40 % - Accent4 7" xfId="125"/>
    <cellStyle name="40 % - Accent4 8" xfId="126"/>
    <cellStyle name="40 % - Accent5 2" xfId="127"/>
    <cellStyle name="40 % - Accent5 3" xfId="128"/>
    <cellStyle name="40 % - Accent5 4" xfId="129"/>
    <cellStyle name="40 % - Accent5 5" xfId="130"/>
    <cellStyle name="40 % - Accent5 6" xfId="131"/>
    <cellStyle name="40 % - Accent5 7" xfId="132"/>
    <cellStyle name="40 % - Accent5 8" xfId="133"/>
    <cellStyle name="40 % - Accent6 2" xfId="134"/>
    <cellStyle name="40 % - Accent6 3" xfId="135"/>
    <cellStyle name="40 % - Accent6 4" xfId="136"/>
    <cellStyle name="40 % - Accent6 5" xfId="137"/>
    <cellStyle name="40 % - Accent6 6" xfId="138"/>
    <cellStyle name="40 % - Accent6 7" xfId="139"/>
    <cellStyle name="40 % - Accent6 8" xfId="140"/>
    <cellStyle name="40% - Accent1 2" xfId="141"/>
    <cellStyle name="40% - Accent1 3" xfId="142"/>
    <cellStyle name="40% - Accent2 2" xfId="143"/>
    <cellStyle name="40% - Accent2 3" xfId="144"/>
    <cellStyle name="40% - Accent3 2" xfId="145"/>
    <cellStyle name="40% - Accent3 3" xfId="146"/>
    <cellStyle name="40% - Accent4 2" xfId="147"/>
    <cellStyle name="40% - Accent4 3" xfId="148"/>
    <cellStyle name="40% - Accent5 2" xfId="149"/>
    <cellStyle name="40% - Accent5 3" xfId="150"/>
    <cellStyle name="40% - Accent6 2" xfId="151"/>
    <cellStyle name="40% - Accent6 3" xfId="152"/>
    <cellStyle name="40% - 强调文字颜色 1" xfId="153"/>
    <cellStyle name="40% - 强调文字颜色 1 2" xfId="154"/>
    <cellStyle name="40% - 强调文字颜色 1 3" xfId="155"/>
    <cellStyle name="40% - 强调文字颜色 1 4" xfId="156"/>
    <cellStyle name="40% - 强调文字颜色 1 5" xfId="157"/>
    <cellStyle name="40% - 强调文字颜色 2" xfId="158"/>
    <cellStyle name="40% - 强调文字颜色 2 2" xfId="159"/>
    <cellStyle name="40% - 强调文字颜色 2 3" xfId="160"/>
    <cellStyle name="40% - 强调文字颜色 2 4" xfId="161"/>
    <cellStyle name="40% - 强调文字颜色 2 5" xfId="162"/>
    <cellStyle name="40% - 强调文字颜色 3" xfId="163"/>
    <cellStyle name="40% - 强调文字颜色 3 2" xfId="164"/>
    <cellStyle name="40% - 强调文字颜色 3 3" xfId="165"/>
    <cellStyle name="40% - 强调文字颜色 3 4" xfId="166"/>
    <cellStyle name="40% - 强调文字颜色 3 5" xfId="167"/>
    <cellStyle name="40% - 强调文字颜色 4" xfId="168"/>
    <cellStyle name="40% - 强调文字颜色 4 2" xfId="169"/>
    <cellStyle name="40% - 强调文字颜色 4 3" xfId="170"/>
    <cellStyle name="40% - 强调文字颜色 4 4" xfId="171"/>
    <cellStyle name="40% - 强调文字颜色 4 5" xfId="172"/>
    <cellStyle name="40% - 强调文字颜色 5" xfId="173"/>
    <cellStyle name="40% - 强调文字颜色 5 2" xfId="174"/>
    <cellStyle name="40% - 强调文字颜色 5 3" xfId="175"/>
    <cellStyle name="40% - 强调文字颜色 5 4" xfId="176"/>
    <cellStyle name="40% - 强调文字颜色 5 5" xfId="177"/>
    <cellStyle name="40% - 强调文字颜色 6" xfId="178"/>
    <cellStyle name="40% - 强调文字颜色 6 2" xfId="179"/>
    <cellStyle name="40% - 强调文字颜色 6 3" xfId="180"/>
    <cellStyle name="40% - 强调文字颜色 6 4" xfId="181"/>
    <cellStyle name="40% - 强调文字颜色 6 5" xfId="182"/>
    <cellStyle name="60% - Accent1 2" xfId="183"/>
    <cellStyle name="60% - Accent1 3" xfId="184"/>
    <cellStyle name="60% - Accent2 2" xfId="185"/>
    <cellStyle name="60% - Accent2 3" xfId="186"/>
    <cellStyle name="60% - Accent3 2" xfId="187"/>
    <cellStyle name="60% - Accent3 3" xfId="188"/>
    <cellStyle name="60% - Accent4 2" xfId="189"/>
    <cellStyle name="60% - Accent4 3" xfId="190"/>
    <cellStyle name="60% - Accent5 2" xfId="191"/>
    <cellStyle name="60% - Accent5 3" xfId="192"/>
    <cellStyle name="60% - Accent6 2" xfId="193"/>
    <cellStyle name="60% - Accent6 3" xfId="194"/>
    <cellStyle name="60% - 强调文字颜色 1" xfId="195"/>
    <cellStyle name="60% - 强调文字颜色 1 2" xfId="196"/>
    <cellStyle name="60% - 强调文字颜色 1 3" xfId="197"/>
    <cellStyle name="60% - 强调文字颜色 1 4" xfId="198"/>
    <cellStyle name="60% - 强调文字颜色 1 5" xfId="199"/>
    <cellStyle name="60% - 强调文字颜色 2" xfId="200"/>
    <cellStyle name="60% - 强调文字颜色 2 2" xfId="201"/>
    <cellStyle name="60% - 强调文字颜色 2 3" xfId="202"/>
    <cellStyle name="60% - 强调文字颜色 2 4" xfId="203"/>
    <cellStyle name="60% - 强调文字颜色 2 5" xfId="204"/>
    <cellStyle name="60% - 强调文字颜色 3" xfId="205"/>
    <cellStyle name="60% - 强调文字颜色 3 2" xfId="206"/>
    <cellStyle name="60% - 强调文字颜色 3 3" xfId="207"/>
    <cellStyle name="60% - 强调文字颜色 3 4" xfId="208"/>
    <cellStyle name="60% - 强调文字颜色 3 5" xfId="209"/>
    <cellStyle name="60% - 强调文字颜色 4" xfId="210"/>
    <cellStyle name="60% - 强调文字颜色 4 2" xfId="211"/>
    <cellStyle name="60% - 强调文字颜色 4 3" xfId="212"/>
    <cellStyle name="60% - 强调文字颜色 4 4" xfId="213"/>
    <cellStyle name="60% - 强调文字颜色 4 5" xfId="214"/>
    <cellStyle name="60% - 强调文字颜色 5" xfId="215"/>
    <cellStyle name="60% - 强调文字颜色 5 2" xfId="216"/>
    <cellStyle name="60% - 强调文字颜色 5 3" xfId="217"/>
    <cellStyle name="60% - 强调文字颜色 5 4" xfId="218"/>
    <cellStyle name="60% - 强调文字颜色 5 5" xfId="219"/>
    <cellStyle name="60% - 强调文字颜色 6" xfId="220"/>
    <cellStyle name="60% - 强调文字颜色 6 2" xfId="221"/>
    <cellStyle name="60% - 强调文字颜色 6 3" xfId="222"/>
    <cellStyle name="60% - 强调文字颜色 6 4" xfId="223"/>
    <cellStyle name="60% - 强调文字颜色 6 5" xfId="224"/>
    <cellStyle name="Accent1 2" xfId="225"/>
    <cellStyle name="Accent1 3" xfId="226"/>
    <cellStyle name="Accent2 2" xfId="227"/>
    <cellStyle name="Accent2 3" xfId="228"/>
    <cellStyle name="Accent3 2" xfId="229"/>
    <cellStyle name="Accent3 3" xfId="230"/>
    <cellStyle name="Accent4 2" xfId="231"/>
    <cellStyle name="Accent4 3" xfId="232"/>
    <cellStyle name="Accent5 2" xfId="233"/>
    <cellStyle name="Accent5 3" xfId="234"/>
    <cellStyle name="Accent6 2" xfId="235"/>
    <cellStyle name="Accent6 3" xfId="236"/>
    <cellStyle name="Bad 2" xfId="237"/>
    <cellStyle name="Bad 3" xfId="238"/>
    <cellStyle name="Calculation 2" xfId="239"/>
    <cellStyle name="Calculation 3" xfId="240"/>
    <cellStyle name="Check Cell 2" xfId="241"/>
    <cellStyle name="Check Cell 3" xfId="242"/>
    <cellStyle name="Comma" xfId="1" builtinId="3"/>
    <cellStyle name="Comma 10" xfId="243"/>
    <cellStyle name="Comma 100 2 2 2" xfId="244"/>
    <cellStyle name="Comma 100 2 2 2 2" xfId="245"/>
    <cellStyle name="Comma 2" xfId="4"/>
    <cellStyle name="Comma 2 2" xfId="246"/>
    <cellStyle name="Comma 2 2 2" xfId="247"/>
    <cellStyle name="Comma 2 3" xfId="248"/>
    <cellStyle name="Comma 2 3 2" xfId="249"/>
    <cellStyle name="Comma 2 4" xfId="250"/>
    <cellStyle name="Comma 2 5" xfId="251"/>
    <cellStyle name="Comma 2 6" xfId="252"/>
    <cellStyle name="Comma 3" xfId="12"/>
    <cellStyle name="Comma 3 2" xfId="253"/>
    <cellStyle name="Comma 3 3" xfId="254"/>
    <cellStyle name="Comma 3 3 2" xfId="255"/>
    <cellStyle name="Comma 3 4" xfId="256"/>
    <cellStyle name="Comma 3 4 2" xfId="257"/>
    <cellStyle name="Comma 3 5" xfId="258"/>
    <cellStyle name="Comma 3 5 2" xfId="259"/>
    <cellStyle name="Comma 3 6" xfId="260"/>
    <cellStyle name="Comma 3 7" xfId="261"/>
    <cellStyle name="Comma 3 8" xfId="262"/>
    <cellStyle name="Comma 4" xfId="10"/>
    <cellStyle name="Comma 4 2" xfId="263"/>
    <cellStyle name="Comma 4 3" xfId="264"/>
    <cellStyle name="Comma 5" xfId="265"/>
    <cellStyle name="Comma 5 2" xfId="266"/>
    <cellStyle name="Comma 5 2 2" xfId="267"/>
    <cellStyle name="Comma 5 3" xfId="268"/>
    <cellStyle name="Comma 5 4" xfId="269"/>
    <cellStyle name="Comma 6" xfId="270"/>
    <cellStyle name="Comma 6 2" xfId="271"/>
    <cellStyle name="Comma 7" xfId="272"/>
    <cellStyle name="Comma 7 2" xfId="273"/>
    <cellStyle name="Comma 8" xfId="274"/>
    <cellStyle name="Comma 8 2" xfId="275"/>
    <cellStyle name="Comma 9" xfId="276"/>
    <cellStyle name="Commentaire 2" xfId="277"/>
    <cellStyle name="Commentaire 3" xfId="278"/>
    <cellStyle name="Commentaire 4" xfId="279"/>
    <cellStyle name="Commentaire 5" xfId="280"/>
    <cellStyle name="Commentaire 6" xfId="281"/>
    <cellStyle name="Commentaire 7" xfId="282"/>
    <cellStyle name="Commentaire 8" xfId="283"/>
    <cellStyle name="Commentaire 9" xfId="284"/>
    <cellStyle name="Currency 2" xfId="285"/>
    <cellStyle name="Currency 3" xfId="286"/>
    <cellStyle name="Currency 4" xfId="287"/>
    <cellStyle name="Default" xfId="288"/>
    <cellStyle name="Euro" xfId="289"/>
    <cellStyle name="Explanatory Text 2" xfId="290"/>
    <cellStyle name="Explanatory Text 3" xfId="291"/>
    <cellStyle name="Good 2" xfId="292"/>
    <cellStyle name="Good 3" xfId="293"/>
    <cellStyle name="Heading 1 2" xfId="294"/>
    <cellStyle name="Heading 1 3" xfId="295"/>
    <cellStyle name="Heading 2 2" xfId="296"/>
    <cellStyle name="Heading 2 3" xfId="297"/>
    <cellStyle name="Heading 3 2" xfId="298"/>
    <cellStyle name="Heading 3 3" xfId="299"/>
    <cellStyle name="Heading 4 2" xfId="300"/>
    <cellStyle name="Heading 4 3" xfId="301"/>
    <cellStyle name="Hyperlink" xfId="6" builtinId="8"/>
    <cellStyle name="Hyperlink 2" xfId="302"/>
    <cellStyle name="Hyperlink 3" xfId="303"/>
    <cellStyle name="Input 2" xfId="304"/>
    <cellStyle name="Input 3" xfId="305"/>
    <cellStyle name="Linked Cell 2" xfId="306"/>
    <cellStyle name="Linked Cell 3" xfId="307"/>
    <cellStyle name="Neutral 2" xfId="308"/>
    <cellStyle name="Neutral 3" xfId="309"/>
    <cellStyle name="Normal" xfId="0" builtinId="0"/>
    <cellStyle name="Normal 10" xfId="9"/>
    <cellStyle name="Normal 10 2" xfId="310"/>
    <cellStyle name="Normal 10 3" xfId="311"/>
    <cellStyle name="Normal 11" xfId="312"/>
    <cellStyle name="Normal 11 2" xfId="313"/>
    <cellStyle name="Normal 12" xfId="314"/>
    <cellStyle name="Normal 12 2" xfId="315"/>
    <cellStyle name="Normal 12 3" xfId="316"/>
    <cellStyle name="Normal 13" xfId="317"/>
    <cellStyle name="Normal 13 2" xfId="318"/>
    <cellStyle name="Normal 14" xfId="319"/>
    <cellStyle name="Normal 14 2" xfId="320"/>
    <cellStyle name="Normal 15" xfId="321"/>
    <cellStyle name="Normal 16" xfId="322"/>
    <cellStyle name="Normal 2" xfId="2"/>
    <cellStyle name="Normal 2 2" xfId="5"/>
    <cellStyle name="Normal 2 2 2" xfId="323"/>
    <cellStyle name="Normal 2 3" xfId="324"/>
    <cellStyle name="Normal 2 3 2" xfId="325"/>
    <cellStyle name="Normal 2 3 2 2" xfId="326"/>
    <cellStyle name="Normal 2 3 3" xfId="327"/>
    <cellStyle name="Normal 2 3 4" xfId="328"/>
    <cellStyle name="Normal 2 4" xfId="329"/>
    <cellStyle name="Normal 2 4 2" xfId="330"/>
    <cellStyle name="Normal 2 4 3" xfId="331"/>
    <cellStyle name="Normal 2 4 4" xfId="332"/>
    <cellStyle name="Normal 2 5" xfId="333"/>
    <cellStyle name="Normal 2 5 2" xfId="334"/>
    <cellStyle name="Normal 2 6" xfId="335"/>
    <cellStyle name="Normal 2_FA Subsidiary wise" xfId="336"/>
    <cellStyle name="Normal 3" xfId="3"/>
    <cellStyle name="Normal 3 2" xfId="337"/>
    <cellStyle name="Normal 3 2 2" xfId="338"/>
    <cellStyle name="Normal 3 3" xfId="339"/>
    <cellStyle name="Normal 3 4" xfId="340"/>
    <cellStyle name="Normal 3_Book1" xfId="341"/>
    <cellStyle name="Normal 32 3" xfId="7"/>
    <cellStyle name="Normal 4" xfId="11"/>
    <cellStyle name="Normal 4 2" xfId="342"/>
    <cellStyle name="Normal 4 3" xfId="343"/>
    <cellStyle name="Normal 4 3 2" xfId="344"/>
    <cellStyle name="Normal 5" xfId="345"/>
    <cellStyle name="Normal 5 2" xfId="346"/>
    <cellStyle name="Normal 5 3" xfId="347"/>
    <cellStyle name="Normal 5_Book1" xfId="348"/>
    <cellStyle name="Normal 6" xfId="349"/>
    <cellStyle name="Normal 6 2" xfId="350"/>
    <cellStyle name="Normal 6 3" xfId="351"/>
    <cellStyle name="Normal 7" xfId="352"/>
    <cellStyle name="Normal 7 2" xfId="353"/>
    <cellStyle name="Normal 7 3" xfId="354"/>
    <cellStyle name="Normal 8" xfId="355"/>
    <cellStyle name="Normal 8 2" xfId="356"/>
    <cellStyle name="Normal 8 3" xfId="357"/>
    <cellStyle name="Normal 9" xfId="358"/>
    <cellStyle name="Normal 9 2" xfId="359"/>
    <cellStyle name="Normal 9 3" xfId="360"/>
    <cellStyle name="Normale 2" xfId="361"/>
    <cellStyle name="Note 2" xfId="362"/>
    <cellStyle name="Note 2 2" xfId="363"/>
    <cellStyle name="Note 2 3" xfId="364"/>
    <cellStyle name="Note 2 4" xfId="365"/>
    <cellStyle name="Note 2 5" xfId="366"/>
    <cellStyle name="Note 2 6" xfId="367"/>
    <cellStyle name="Note 3" xfId="368"/>
    <cellStyle name="Output 2" xfId="369"/>
    <cellStyle name="Output 3" xfId="370"/>
    <cellStyle name="Percent 2" xfId="13"/>
    <cellStyle name="Percent 2 2" xfId="371"/>
    <cellStyle name="Percent 2 3" xfId="372"/>
    <cellStyle name="Percent 2 4" xfId="373"/>
    <cellStyle name="Percent 2 5" xfId="374"/>
    <cellStyle name="Percent 3" xfId="375"/>
    <cellStyle name="Percent 4" xfId="376"/>
    <cellStyle name="Percent 5" xfId="377"/>
    <cellStyle name="Percent 6" xfId="378"/>
    <cellStyle name="Percent 7" xfId="379"/>
    <cellStyle name="Percent 8" xfId="380"/>
    <cellStyle name="Title 2" xfId="381"/>
    <cellStyle name="Title 3" xfId="382"/>
    <cellStyle name="Total 2" xfId="383"/>
    <cellStyle name="Total 3" xfId="384"/>
    <cellStyle name="Warning Text 2" xfId="385"/>
    <cellStyle name="Warning Text 3" xfId="386"/>
    <cellStyle name="千位分隔 2" xfId="387"/>
    <cellStyle name="千位分隔 3" xfId="388"/>
    <cellStyle name="千位分隔 4" xfId="8"/>
    <cellStyle name="好" xfId="389"/>
    <cellStyle name="好 2" xfId="390"/>
    <cellStyle name="好 3" xfId="391"/>
    <cellStyle name="好 4" xfId="392"/>
    <cellStyle name="好 5" xfId="393"/>
    <cellStyle name="差" xfId="394"/>
    <cellStyle name="差 2" xfId="395"/>
    <cellStyle name="差 3" xfId="396"/>
    <cellStyle name="差 4" xfId="397"/>
    <cellStyle name="差 5" xfId="398"/>
    <cellStyle name="常规 2" xfId="399"/>
    <cellStyle name="常规 3" xfId="400"/>
    <cellStyle name="常规_AP AR AD" xfId="401"/>
    <cellStyle name="强调文字颜色 1" xfId="402"/>
    <cellStyle name="强调文字颜色 1 2" xfId="403"/>
    <cellStyle name="强调文字颜色 1 3" xfId="404"/>
    <cellStyle name="强调文字颜色 1 4" xfId="405"/>
    <cellStyle name="强调文字颜色 1 5" xfId="406"/>
    <cellStyle name="强调文字颜色 2" xfId="407"/>
    <cellStyle name="强调文字颜色 2 2" xfId="408"/>
    <cellStyle name="强调文字颜色 2 3" xfId="409"/>
    <cellStyle name="强调文字颜色 2 4" xfId="410"/>
    <cellStyle name="强调文字颜色 2 5" xfId="411"/>
    <cellStyle name="强调文字颜色 3" xfId="412"/>
    <cellStyle name="强调文字颜色 3 2" xfId="413"/>
    <cellStyle name="强调文字颜色 3 3" xfId="414"/>
    <cellStyle name="强调文字颜色 3 4" xfId="415"/>
    <cellStyle name="强调文字颜色 3 5" xfId="416"/>
    <cellStyle name="强调文字颜色 4" xfId="417"/>
    <cellStyle name="强调文字颜色 4 2" xfId="418"/>
    <cellStyle name="强调文字颜色 4 3" xfId="419"/>
    <cellStyle name="强调文字颜色 4 4" xfId="420"/>
    <cellStyle name="强调文字颜色 4 5" xfId="421"/>
    <cellStyle name="强调文字颜色 5" xfId="422"/>
    <cellStyle name="强调文字颜色 5 2" xfId="423"/>
    <cellStyle name="强调文字颜色 5 3" xfId="424"/>
    <cellStyle name="强调文字颜色 5 4" xfId="425"/>
    <cellStyle name="强调文字颜色 5 5" xfId="426"/>
    <cellStyle name="强调文字颜色 6" xfId="427"/>
    <cellStyle name="强调文字颜色 6 2" xfId="428"/>
    <cellStyle name="强调文字颜色 6 3" xfId="429"/>
    <cellStyle name="强调文字颜色 6 4" xfId="430"/>
    <cellStyle name="强调文字颜色 6 5" xfId="431"/>
    <cellStyle name="标题" xfId="432"/>
    <cellStyle name="标题 1" xfId="433"/>
    <cellStyle name="标题 1 2" xfId="434"/>
    <cellStyle name="标题 1 3" xfId="435"/>
    <cellStyle name="标题 1 4" xfId="436"/>
    <cellStyle name="标题 1 5" xfId="437"/>
    <cellStyle name="标题 2" xfId="438"/>
    <cellStyle name="标题 2 2" xfId="439"/>
    <cellStyle name="标题 2 3" xfId="440"/>
    <cellStyle name="标题 2 4" xfId="441"/>
    <cellStyle name="标题 2 5" xfId="442"/>
    <cellStyle name="标题 3" xfId="443"/>
    <cellStyle name="标题 3 2" xfId="444"/>
    <cellStyle name="标题 3 3" xfId="445"/>
    <cellStyle name="标题 3 4" xfId="446"/>
    <cellStyle name="标题 3 5" xfId="447"/>
    <cellStyle name="标题 4" xfId="448"/>
    <cellStyle name="标题 4 2" xfId="449"/>
    <cellStyle name="标题 4 3" xfId="450"/>
    <cellStyle name="标题 4 4" xfId="451"/>
    <cellStyle name="标题 4 5" xfId="452"/>
    <cellStyle name="标题 5" xfId="453"/>
    <cellStyle name="标题 6" xfId="454"/>
    <cellStyle name="标题 7" xfId="455"/>
    <cellStyle name="标题 8" xfId="456"/>
    <cellStyle name="检查单元格" xfId="457"/>
    <cellStyle name="检查单元格 2" xfId="458"/>
    <cellStyle name="检查单元格 3" xfId="459"/>
    <cellStyle name="检查单元格 4" xfId="460"/>
    <cellStyle name="检查单元格 5" xfId="461"/>
    <cellStyle name="汇总" xfId="462"/>
    <cellStyle name="汇总 2" xfId="463"/>
    <cellStyle name="汇总 3" xfId="464"/>
    <cellStyle name="汇总 4" xfId="465"/>
    <cellStyle name="汇总 5" xfId="466"/>
    <cellStyle name="注释" xfId="467"/>
    <cellStyle name="注释 2" xfId="468"/>
    <cellStyle name="注释 3" xfId="469"/>
    <cellStyle name="注释 4" xfId="470"/>
    <cellStyle name="注释 5" xfId="471"/>
    <cellStyle name="解释性文本" xfId="472"/>
    <cellStyle name="解释性文本 2" xfId="473"/>
    <cellStyle name="解释性文本 3" xfId="474"/>
    <cellStyle name="解释性文本 4" xfId="475"/>
    <cellStyle name="解释性文本 5" xfId="476"/>
    <cellStyle name="警告文本" xfId="477"/>
    <cellStyle name="警告文本 2" xfId="478"/>
    <cellStyle name="警告文本 3" xfId="479"/>
    <cellStyle name="警告文本 4" xfId="480"/>
    <cellStyle name="警告文本 5" xfId="481"/>
    <cellStyle name="计算" xfId="482"/>
    <cellStyle name="计算 2" xfId="483"/>
    <cellStyle name="计算 3" xfId="484"/>
    <cellStyle name="计算 4" xfId="485"/>
    <cellStyle name="计算 5" xfId="486"/>
    <cellStyle name="输入" xfId="487"/>
    <cellStyle name="输入 2" xfId="488"/>
    <cellStyle name="输入 3" xfId="489"/>
    <cellStyle name="输入 4" xfId="490"/>
    <cellStyle name="输入 5" xfId="491"/>
    <cellStyle name="输出" xfId="492"/>
    <cellStyle name="输出 2" xfId="493"/>
    <cellStyle name="输出 3" xfId="494"/>
    <cellStyle name="输出 4" xfId="495"/>
    <cellStyle name="输出 5" xfId="496"/>
    <cellStyle name="适中" xfId="497"/>
    <cellStyle name="适中 2" xfId="498"/>
    <cellStyle name="适中 3" xfId="499"/>
    <cellStyle name="适中 4" xfId="500"/>
    <cellStyle name="适中 5" xfId="501"/>
    <cellStyle name="链接单元格" xfId="502"/>
    <cellStyle name="链接单元格 2" xfId="503"/>
    <cellStyle name="链接单元格 3" xfId="504"/>
    <cellStyle name="链接单元格 4" xfId="505"/>
    <cellStyle name="链接单元格 5" xfId="506"/>
  </cellStyles>
  <dxfs count="48">
    <dxf>
      <fill>
        <patternFill>
          <bgColor rgb="FF92D050"/>
        </patternFill>
      </fill>
    </dxf>
    <dxf>
      <fill>
        <patternFill>
          <bgColor theme="9" tint="-0.24994659260841701"/>
        </patternFill>
      </fill>
    </dxf>
    <dxf>
      <fill>
        <patternFill>
          <bgColor rgb="FF92D050"/>
        </patternFill>
      </fill>
    </dxf>
    <dxf>
      <fill>
        <patternFill>
          <bgColor theme="9" tint="-0.24994659260841701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theme="9" tint="-0.24994659260841701"/>
        </patternFill>
      </fill>
    </dxf>
    <dxf>
      <fill>
        <patternFill>
          <bgColor rgb="FF92D050"/>
        </patternFill>
      </fill>
    </dxf>
    <dxf>
      <fill>
        <patternFill>
          <bgColor theme="9" tint="-0.24994659260841701"/>
        </patternFill>
      </fill>
    </dxf>
    <dxf>
      <fill>
        <patternFill>
          <bgColor rgb="FF92D050"/>
        </patternFill>
      </fill>
    </dxf>
    <dxf>
      <fill>
        <patternFill>
          <bgColor theme="9" tint="-0.24994659260841701"/>
        </patternFill>
      </fill>
    </dxf>
    <dxf>
      <fill>
        <patternFill>
          <bgColor rgb="FF92D050"/>
        </patternFill>
      </fill>
    </dxf>
    <dxf>
      <fill>
        <patternFill>
          <bgColor theme="9" tint="-0.24994659260841701"/>
        </patternFill>
      </fill>
    </dxf>
    <dxf>
      <fill>
        <patternFill>
          <bgColor rgb="FF92D050"/>
        </patternFill>
      </fill>
    </dxf>
    <dxf>
      <fill>
        <patternFill>
          <bgColor theme="9" tint="-0.24994659260841701"/>
        </patternFill>
      </fill>
    </dxf>
    <dxf>
      <fill>
        <patternFill>
          <bgColor rgb="FF92D050"/>
        </patternFill>
      </fill>
    </dxf>
    <dxf>
      <fill>
        <patternFill>
          <bgColor theme="9" tint="-0.24994659260841701"/>
        </patternFill>
      </fill>
    </dxf>
    <dxf>
      <fill>
        <patternFill>
          <bgColor rgb="FF92D050"/>
        </patternFill>
      </fill>
    </dxf>
    <dxf>
      <fill>
        <patternFill>
          <bgColor theme="9" tint="-0.24994659260841701"/>
        </patternFill>
      </fill>
    </dxf>
    <dxf>
      <fill>
        <patternFill>
          <bgColor rgb="FF92D050"/>
        </patternFill>
      </fill>
    </dxf>
    <dxf>
      <fill>
        <patternFill>
          <bgColor theme="9" tint="-0.24994659260841701"/>
        </patternFill>
      </fill>
    </dxf>
    <dxf>
      <fill>
        <patternFill>
          <bgColor rgb="FF92D050"/>
        </patternFill>
      </fill>
    </dxf>
    <dxf>
      <fill>
        <patternFill>
          <bgColor theme="9" tint="-0.24994659260841701"/>
        </patternFill>
      </fill>
    </dxf>
    <dxf>
      <fill>
        <patternFill>
          <bgColor rgb="FF92D050"/>
        </patternFill>
      </fill>
    </dxf>
    <dxf>
      <fill>
        <patternFill>
          <bgColor theme="9" tint="-0.24994659260841701"/>
        </patternFill>
      </fill>
    </dxf>
    <dxf>
      <fill>
        <patternFill>
          <bgColor rgb="FF92D050"/>
        </patternFill>
      </fill>
    </dxf>
    <dxf>
      <fill>
        <patternFill>
          <bgColor theme="9" tint="-0.24994659260841701"/>
        </patternFill>
      </fill>
    </dxf>
    <dxf>
      <fill>
        <patternFill>
          <bgColor rgb="FF92D050"/>
        </patternFill>
      </fill>
    </dxf>
    <dxf>
      <fill>
        <patternFill>
          <bgColor theme="9" tint="-0.24994659260841701"/>
        </patternFill>
      </fill>
    </dxf>
    <dxf>
      <fill>
        <patternFill>
          <bgColor rgb="FF92D050"/>
        </patternFill>
      </fill>
    </dxf>
    <dxf>
      <fill>
        <patternFill>
          <bgColor theme="9" tint="-0.24994659260841701"/>
        </patternFill>
      </fill>
    </dxf>
    <dxf>
      <fill>
        <patternFill>
          <bgColor rgb="FF92D050"/>
        </patternFill>
      </fill>
    </dxf>
    <dxf>
      <fill>
        <patternFill>
          <bgColor theme="9" tint="-0.24994659260841701"/>
        </patternFill>
      </fill>
    </dxf>
    <dxf>
      <fill>
        <patternFill>
          <bgColor rgb="FF92D050"/>
        </patternFill>
      </fill>
    </dxf>
    <dxf>
      <fill>
        <patternFill>
          <bgColor theme="9" tint="-0.24994659260841701"/>
        </patternFill>
      </fill>
    </dxf>
    <dxf>
      <fill>
        <patternFill>
          <bgColor rgb="FF92D050"/>
        </patternFill>
      </fill>
    </dxf>
    <dxf>
      <fill>
        <patternFill>
          <bgColor theme="9" tint="-0.24994659260841701"/>
        </patternFill>
      </fill>
    </dxf>
    <dxf>
      <fill>
        <patternFill>
          <bgColor rgb="FF92D050"/>
        </patternFill>
      </fill>
    </dxf>
    <dxf>
      <fill>
        <patternFill>
          <bgColor theme="9" tint="-0.24994659260841701"/>
        </patternFill>
      </fill>
    </dxf>
    <dxf>
      <fill>
        <patternFill>
          <bgColor rgb="FF92D050"/>
        </patternFill>
      </fill>
    </dxf>
    <dxf>
      <fill>
        <patternFill>
          <bgColor theme="9" tint="-0.24994659260841701"/>
        </patternFill>
      </fill>
    </dxf>
    <dxf>
      <fill>
        <patternFill>
          <bgColor rgb="FF92D050"/>
        </patternFill>
      </fill>
    </dxf>
    <dxf>
      <fill>
        <patternFill>
          <bgColor theme="9" tint="-0.24994659260841701"/>
        </patternFill>
      </fill>
    </dxf>
    <dxf>
      <fill>
        <patternFill>
          <bgColor rgb="FF92D050"/>
        </patternFill>
      </fill>
    </dxf>
    <dxf>
      <fill>
        <patternFill>
          <bgColor theme="9" tint="-0.24994659260841701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01.E-Drive/01.USERS/prkn-GL/elgi30acct/acc12/04.11-12-4th%20QTR/01.BS2011-12-Consolidated%20-Mar12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Elgi Accts"/>
      <sheetName val="Abstract-Ho"/>
      <sheetName val="Cons.Accs"/>
      <sheetName val="Cons.aftract"/>
      <sheetName val="Group-Schedule"/>
      <sheetName val="Cash Flow-New"/>
      <sheetName val="Cash Flow"/>
      <sheetName val="Formula"/>
      <sheetName val="Cashflow-Cons"/>
      <sheetName val="Formula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79">
          <cell r="C79">
            <v>-389.14523823999991</v>
          </cell>
        </row>
      </sheetData>
      <sheetData sheetId="8"/>
      <sheetData sheetId="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8"/>
  <sheetViews>
    <sheetView workbookViewId="0">
      <selection activeCell="C20" sqref="C20"/>
    </sheetView>
  </sheetViews>
  <sheetFormatPr defaultRowHeight="15"/>
  <cols>
    <col min="1" max="1" width="5.85546875" style="173" bestFit="1" customWidth="1"/>
    <col min="2" max="2" width="8.5703125" style="173" bestFit="1" customWidth="1"/>
    <col min="3" max="3" width="74.85546875" style="173" bestFit="1" customWidth="1"/>
    <col min="4" max="4" width="11.5703125" style="173" bestFit="1" customWidth="1"/>
    <col min="5" max="5" width="33.140625" style="173" bestFit="1" customWidth="1"/>
    <col min="6" max="6" width="18.85546875" style="173" bestFit="1" customWidth="1"/>
    <col min="7" max="7" width="7.5703125" style="173" bestFit="1" customWidth="1"/>
    <col min="8" max="8" width="13.28515625" style="173" bestFit="1" customWidth="1"/>
    <col min="9" max="9" width="9.140625" style="173"/>
    <col min="10" max="10" width="21" style="173" bestFit="1" customWidth="1"/>
    <col min="11" max="16384" width="9.140625" style="173"/>
  </cols>
  <sheetData>
    <row r="1" spans="1:10" ht="25.5">
      <c r="A1" s="115" t="s">
        <v>987</v>
      </c>
      <c r="B1" s="174" t="s">
        <v>988</v>
      </c>
      <c r="C1" s="115" t="s">
        <v>989</v>
      </c>
      <c r="D1" s="115" t="s">
        <v>990</v>
      </c>
      <c r="E1" s="115" t="s">
        <v>991</v>
      </c>
      <c r="F1" s="115" t="s">
        <v>992</v>
      </c>
      <c r="G1" s="175" t="s">
        <v>993</v>
      </c>
      <c r="H1" s="115" t="s">
        <v>994</v>
      </c>
      <c r="I1" s="115" t="s">
        <v>634</v>
      </c>
      <c r="J1" s="115" t="s">
        <v>995</v>
      </c>
    </row>
    <row r="2" spans="1:10">
      <c r="A2" s="37">
        <v>1</v>
      </c>
      <c r="B2" s="37">
        <v>100000</v>
      </c>
      <c r="C2" s="115" t="s">
        <v>0</v>
      </c>
      <c r="D2" s="115" t="s">
        <v>996</v>
      </c>
      <c r="E2" s="115" t="s">
        <v>997</v>
      </c>
      <c r="F2" s="115" t="s">
        <v>998</v>
      </c>
      <c r="G2" s="175" t="s">
        <v>999</v>
      </c>
      <c r="H2" s="115"/>
      <c r="I2" s="115" t="s">
        <v>1000</v>
      </c>
      <c r="J2" s="115" t="s">
        <v>1001</v>
      </c>
    </row>
    <row r="3" spans="1:10">
      <c r="A3" s="37">
        <v>2</v>
      </c>
      <c r="B3" s="37">
        <v>100001</v>
      </c>
      <c r="C3" s="115" t="s">
        <v>760</v>
      </c>
      <c r="D3" s="115" t="s">
        <v>996</v>
      </c>
      <c r="E3" s="115" t="s">
        <v>997</v>
      </c>
      <c r="F3" s="115" t="s">
        <v>1002</v>
      </c>
      <c r="G3" s="176">
        <v>1</v>
      </c>
      <c r="H3" s="115"/>
      <c r="I3" s="115" t="s">
        <v>1000</v>
      </c>
      <c r="J3" s="115" t="s">
        <v>1001</v>
      </c>
    </row>
    <row r="4" spans="1:10">
      <c r="A4" s="37">
        <v>3</v>
      </c>
      <c r="B4" s="37">
        <v>100002</v>
      </c>
      <c r="C4" s="115" t="s">
        <v>761</v>
      </c>
      <c r="D4" s="115" t="s">
        <v>996</v>
      </c>
      <c r="E4" s="115" t="s">
        <v>997</v>
      </c>
      <c r="F4" s="115" t="s">
        <v>1002</v>
      </c>
      <c r="G4" s="176">
        <v>1</v>
      </c>
      <c r="H4" s="115"/>
      <c r="I4" s="115" t="s">
        <v>1000</v>
      </c>
      <c r="J4" s="115" t="s">
        <v>1001</v>
      </c>
    </row>
    <row r="5" spans="1:10">
      <c r="A5" s="37">
        <v>4</v>
      </c>
      <c r="B5" s="37">
        <v>100003</v>
      </c>
      <c r="C5" s="115" t="s">
        <v>762</v>
      </c>
      <c r="D5" s="115" t="s">
        <v>1003</v>
      </c>
      <c r="E5" s="115" t="s">
        <v>997</v>
      </c>
      <c r="F5" s="115" t="s">
        <v>1002</v>
      </c>
      <c r="G5" s="176">
        <v>1</v>
      </c>
      <c r="H5" s="115"/>
      <c r="I5" s="115" t="s">
        <v>1004</v>
      </c>
      <c r="J5" s="115"/>
    </row>
    <row r="6" spans="1:10">
      <c r="A6" s="37">
        <v>5</v>
      </c>
      <c r="B6" s="37">
        <v>100004</v>
      </c>
      <c r="C6" s="115" t="s">
        <v>763</v>
      </c>
      <c r="D6" s="115" t="s">
        <v>1003</v>
      </c>
      <c r="E6" s="115" t="s">
        <v>997</v>
      </c>
      <c r="F6" s="115" t="s">
        <v>1002</v>
      </c>
      <c r="G6" s="176">
        <v>1</v>
      </c>
      <c r="H6" s="115"/>
      <c r="I6" s="115" t="s">
        <v>1004</v>
      </c>
      <c r="J6" s="115"/>
    </row>
    <row r="7" spans="1:10">
      <c r="A7" s="37">
        <v>6</v>
      </c>
      <c r="B7" s="37">
        <v>100005</v>
      </c>
      <c r="C7" s="115" t="s">
        <v>764</v>
      </c>
      <c r="D7" s="115" t="s">
        <v>1005</v>
      </c>
      <c r="E7" s="115" t="s">
        <v>997</v>
      </c>
      <c r="F7" s="115" t="s">
        <v>1002</v>
      </c>
      <c r="G7" s="176">
        <v>1</v>
      </c>
      <c r="H7" s="115"/>
      <c r="I7" s="115" t="s">
        <v>1006</v>
      </c>
      <c r="J7" s="115"/>
    </row>
    <row r="8" spans="1:10">
      <c r="A8" s="37">
        <v>7</v>
      </c>
      <c r="B8" s="37">
        <v>100006</v>
      </c>
      <c r="C8" s="115" t="s">
        <v>765</v>
      </c>
      <c r="D8" s="115" t="s">
        <v>1007</v>
      </c>
      <c r="E8" s="115" t="s">
        <v>997</v>
      </c>
      <c r="F8" s="115" t="s">
        <v>1002</v>
      </c>
      <c r="G8" s="176">
        <v>1</v>
      </c>
      <c r="H8" s="115"/>
      <c r="I8" s="115" t="s">
        <v>1008</v>
      </c>
      <c r="J8" s="115"/>
    </row>
    <row r="9" spans="1:10">
      <c r="A9" s="37">
        <v>8</v>
      </c>
      <c r="B9" s="37">
        <v>100007</v>
      </c>
      <c r="C9" s="115" t="s">
        <v>766</v>
      </c>
      <c r="D9" s="115" t="s">
        <v>1009</v>
      </c>
      <c r="E9" s="115" t="s">
        <v>997</v>
      </c>
      <c r="F9" s="115" t="s">
        <v>1002</v>
      </c>
      <c r="G9" s="176">
        <v>1</v>
      </c>
      <c r="H9" s="115"/>
      <c r="I9" s="115" t="s">
        <v>1010</v>
      </c>
      <c r="J9" s="115"/>
    </row>
    <row r="10" spans="1:10">
      <c r="A10" s="37">
        <v>9</v>
      </c>
      <c r="B10" s="37">
        <v>100008</v>
      </c>
      <c r="C10" s="115" t="s">
        <v>767</v>
      </c>
      <c r="D10" s="115" t="s">
        <v>1011</v>
      </c>
      <c r="E10" s="115" t="s">
        <v>997</v>
      </c>
      <c r="F10" s="115" t="s">
        <v>1002</v>
      </c>
      <c r="G10" s="176">
        <v>1</v>
      </c>
      <c r="H10" s="115"/>
      <c r="I10" s="115" t="s">
        <v>1012</v>
      </c>
      <c r="J10" s="115"/>
    </row>
    <row r="11" spans="1:10">
      <c r="A11" s="37">
        <v>10</v>
      </c>
      <c r="B11" s="37">
        <v>100009</v>
      </c>
      <c r="C11" s="115" t="s">
        <v>768</v>
      </c>
      <c r="D11" s="115" t="s">
        <v>1013</v>
      </c>
      <c r="E11" s="115" t="s">
        <v>997</v>
      </c>
      <c r="F11" s="115" t="s">
        <v>1002</v>
      </c>
      <c r="G11" s="176">
        <v>1</v>
      </c>
      <c r="H11" s="115"/>
      <c r="I11" s="115" t="s">
        <v>1010</v>
      </c>
      <c r="J11" s="115"/>
    </row>
    <row r="12" spans="1:10">
      <c r="A12" s="37">
        <v>11</v>
      </c>
      <c r="B12" s="37">
        <v>100010</v>
      </c>
      <c r="C12" s="115" t="s">
        <v>769</v>
      </c>
      <c r="D12" s="115" t="s">
        <v>1013</v>
      </c>
      <c r="E12" s="115" t="s">
        <v>997</v>
      </c>
      <c r="F12" s="115" t="s">
        <v>1014</v>
      </c>
      <c r="G12" s="176">
        <v>1</v>
      </c>
      <c r="H12" s="115"/>
      <c r="I12" s="115" t="s">
        <v>1010</v>
      </c>
      <c r="J12" s="115"/>
    </row>
    <row r="13" spans="1:10">
      <c r="A13" s="37">
        <v>12</v>
      </c>
      <c r="B13" s="37">
        <v>100011</v>
      </c>
      <c r="C13" s="115" t="s">
        <v>770</v>
      </c>
      <c r="D13" s="115" t="s">
        <v>1015</v>
      </c>
      <c r="E13" s="115" t="s">
        <v>997</v>
      </c>
      <c r="F13" s="115" t="s">
        <v>1002</v>
      </c>
      <c r="G13" s="176">
        <v>1</v>
      </c>
      <c r="H13" s="115"/>
      <c r="I13" s="115" t="s">
        <v>1016</v>
      </c>
      <c r="J13" s="115"/>
    </row>
    <row r="14" spans="1:10">
      <c r="A14" s="37">
        <v>13</v>
      </c>
      <c r="B14" s="37">
        <v>100012</v>
      </c>
      <c r="C14" s="115" t="s">
        <v>771</v>
      </c>
      <c r="D14" s="115" t="s">
        <v>1015</v>
      </c>
      <c r="E14" s="115" t="s">
        <v>997</v>
      </c>
      <c r="F14" s="115" t="s">
        <v>1014</v>
      </c>
      <c r="G14" s="176">
        <v>1</v>
      </c>
      <c r="H14" s="115"/>
      <c r="I14" s="115" t="s">
        <v>1016</v>
      </c>
      <c r="J14" s="115"/>
    </row>
    <row r="15" spans="1:10">
      <c r="A15" s="37">
        <v>14</v>
      </c>
      <c r="B15" s="37">
        <v>100013</v>
      </c>
      <c r="C15" s="115" t="s">
        <v>772</v>
      </c>
      <c r="D15" s="115" t="s">
        <v>1015</v>
      </c>
      <c r="E15" s="115" t="s">
        <v>997</v>
      </c>
      <c r="F15" s="115" t="s">
        <v>1014</v>
      </c>
      <c r="G15" s="176">
        <v>1</v>
      </c>
      <c r="H15" s="115"/>
      <c r="I15" s="115" t="s">
        <v>1016</v>
      </c>
      <c r="J15" s="115"/>
    </row>
    <row r="16" spans="1:10">
      <c r="A16" s="37">
        <v>15</v>
      </c>
      <c r="B16" s="37">
        <v>100014</v>
      </c>
      <c r="C16" s="115" t="s">
        <v>1017</v>
      </c>
      <c r="D16" s="115" t="s">
        <v>1018</v>
      </c>
      <c r="E16" s="115" t="s">
        <v>997</v>
      </c>
      <c r="F16" s="115" t="s">
        <v>1002</v>
      </c>
      <c r="G16" s="176">
        <v>1</v>
      </c>
      <c r="H16" s="115"/>
      <c r="I16" s="115" t="s">
        <v>1000</v>
      </c>
      <c r="J16" s="115" t="s">
        <v>1001</v>
      </c>
    </row>
    <row r="17" spans="1:10">
      <c r="A17" s="37">
        <v>16</v>
      </c>
      <c r="B17" s="37">
        <v>100015</v>
      </c>
      <c r="C17" s="115" t="s">
        <v>774</v>
      </c>
      <c r="D17" s="115" t="s">
        <v>996</v>
      </c>
      <c r="E17" s="115" t="s">
        <v>1019</v>
      </c>
      <c r="F17" s="115" t="s">
        <v>1002</v>
      </c>
      <c r="G17" s="176">
        <v>0.8</v>
      </c>
      <c r="H17" s="115"/>
      <c r="I17" s="115" t="s">
        <v>1000</v>
      </c>
      <c r="J17" s="115" t="s">
        <v>1001</v>
      </c>
    </row>
    <row r="18" spans="1:10">
      <c r="A18" s="37">
        <v>17</v>
      </c>
      <c r="B18" s="37">
        <v>100016</v>
      </c>
      <c r="C18" s="115" t="s">
        <v>775</v>
      </c>
      <c r="D18" s="115" t="s">
        <v>996</v>
      </c>
      <c r="E18" s="115" t="s">
        <v>997</v>
      </c>
      <c r="F18" s="115" t="s">
        <v>1020</v>
      </c>
      <c r="G18" s="176">
        <v>0.26</v>
      </c>
      <c r="H18" s="115"/>
      <c r="I18" s="115" t="s">
        <v>1000</v>
      </c>
      <c r="J18" s="115" t="s">
        <v>1001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FF0000"/>
  </sheetPr>
  <dimension ref="A1:E549"/>
  <sheetViews>
    <sheetView tabSelected="1" topLeftCell="A34" workbookViewId="0">
      <selection activeCell="E35" sqref="E35"/>
    </sheetView>
  </sheetViews>
  <sheetFormatPr defaultRowHeight="15"/>
  <cols>
    <col min="1" max="1" width="3" bestFit="1" customWidth="1"/>
    <col min="2" max="2" width="58.140625" style="21" bestFit="1" customWidth="1"/>
    <col min="3" max="3" width="8.140625" style="1" bestFit="1" customWidth="1"/>
    <col min="4" max="4" width="8" style="110" bestFit="1" customWidth="1"/>
    <col min="5" max="5" width="17.28515625" style="110" bestFit="1" customWidth="1"/>
  </cols>
  <sheetData>
    <row r="1" spans="2:5">
      <c r="B1" s="2" t="s">
        <v>0</v>
      </c>
      <c r="C1" s="3"/>
      <c r="D1" s="92"/>
      <c r="E1" s="92"/>
    </row>
    <row r="2" spans="2:5">
      <c r="B2" s="2" t="s">
        <v>214</v>
      </c>
      <c r="C2" s="4"/>
      <c r="D2" s="93"/>
      <c r="E2" s="93"/>
    </row>
    <row r="3" spans="2:5">
      <c r="B3" s="111"/>
      <c r="C3" s="111"/>
      <c r="D3" s="111"/>
      <c r="E3" s="94">
        <f>+E28-E52</f>
        <v>0</v>
      </c>
    </row>
    <row r="4" spans="2:5" s="169" customFormat="1">
      <c r="B4" s="166" t="s">
        <v>1</v>
      </c>
      <c r="C4" s="167"/>
      <c r="D4" s="168"/>
      <c r="E4" s="168">
        <v>100000</v>
      </c>
    </row>
    <row r="5" spans="2:5">
      <c r="B5" s="51" t="s">
        <v>2</v>
      </c>
      <c r="C5" s="78"/>
      <c r="D5" s="96"/>
      <c r="E5" s="165" t="s">
        <v>986</v>
      </c>
    </row>
    <row r="6" spans="2:5">
      <c r="B6" s="86" t="s">
        <v>3</v>
      </c>
      <c r="C6" s="87" t="s">
        <v>4</v>
      </c>
      <c r="D6" s="88" t="s">
        <v>621</v>
      </c>
      <c r="E6" s="88" t="s">
        <v>630</v>
      </c>
    </row>
    <row r="7" spans="2:5">
      <c r="B7" s="89" t="s">
        <v>6</v>
      </c>
      <c r="C7" s="90"/>
      <c r="D7" s="97"/>
      <c r="E7" s="97"/>
    </row>
    <row r="8" spans="2:5">
      <c r="B8" s="6"/>
      <c r="C8" s="9"/>
      <c r="D8" s="98"/>
      <c r="E8" s="98"/>
    </row>
    <row r="9" spans="2:5">
      <c r="B9" s="8" t="s">
        <v>7</v>
      </c>
      <c r="C9" s="9"/>
      <c r="D9" s="98"/>
      <c r="E9" s="98"/>
    </row>
    <row r="10" spans="2:5">
      <c r="B10" s="6" t="s">
        <v>8</v>
      </c>
      <c r="C10" s="9">
        <v>1</v>
      </c>
      <c r="D10" s="98"/>
      <c r="E10" s="114">
        <f>+E120</f>
        <v>0</v>
      </c>
    </row>
    <row r="11" spans="2:5">
      <c r="B11" s="6" t="s">
        <v>9</v>
      </c>
      <c r="C11" s="9">
        <v>2</v>
      </c>
      <c r="D11" s="98"/>
      <c r="E11" s="114">
        <f>+E173</f>
        <v>0</v>
      </c>
    </row>
    <row r="12" spans="2:5">
      <c r="B12" s="6" t="s">
        <v>10</v>
      </c>
      <c r="C12" s="9" t="s">
        <v>625</v>
      </c>
      <c r="D12" s="98" t="s">
        <v>355</v>
      </c>
      <c r="E12" s="114"/>
    </row>
    <row r="13" spans="2:5">
      <c r="B13" s="10"/>
      <c r="C13" s="9"/>
      <c r="D13" s="98"/>
      <c r="E13" s="114"/>
    </row>
    <row r="14" spans="2:5">
      <c r="B14" s="8" t="s">
        <v>11</v>
      </c>
      <c r="C14" s="9" t="s">
        <v>626</v>
      </c>
      <c r="D14" s="98" t="s">
        <v>356</v>
      </c>
      <c r="E14" s="114"/>
    </row>
    <row r="15" spans="2:5">
      <c r="B15" s="10"/>
      <c r="C15" s="9"/>
      <c r="D15" s="98"/>
      <c r="E15" s="114"/>
    </row>
    <row r="16" spans="2:5">
      <c r="B16" s="8" t="s">
        <v>12</v>
      </c>
      <c r="C16" s="11"/>
      <c r="D16" s="99"/>
      <c r="E16" s="125"/>
    </row>
    <row r="17" spans="2:5">
      <c r="B17" s="6" t="s">
        <v>13</v>
      </c>
      <c r="C17" s="11">
        <v>3</v>
      </c>
      <c r="D17" s="99"/>
      <c r="E17" s="125">
        <f>+E185</f>
        <v>0</v>
      </c>
    </row>
    <row r="18" spans="2:5">
      <c r="B18" s="6" t="s">
        <v>14</v>
      </c>
      <c r="C18" s="11">
        <v>4</v>
      </c>
      <c r="D18" s="99"/>
      <c r="E18" s="125">
        <f>+E189</f>
        <v>0</v>
      </c>
    </row>
    <row r="19" spans="2:5">
      <c r="B19" s="6" t="s">
        <v>15</v>
      </c>
      <c r="C19" s="11">
        <v>5</v>
      </c>
      <c r="D19" s="99"/>
      <c r="E19" s="125">
        <f>+E199</f>
        <v>0</v>
      </c>
    </row>
    <row r="20" spans="2:5">
      <c r="B20" s="6" t="s">
        <v>16</v>
      </c>
      <c r="C20" s="11">
        <v>6</v>
      </c>
      <c r="D20" s="99"/>
      <c r="E20" s="125">
        <f>+E208</f>
        <v>0</v>
      </c>
    </row>
    <row r="21" spans="2:5">
      <c r="B21" s="6"/>
      <c r="C21" s="9"/>
      <c r="D21" s="98"/>
      <c r="E21" s="114"/>
    </row>
    <row r="22" spans="2:5">
      <c r="B22" s="8" t="s">
        <v>17</v>
      </c>
      <c r="C22" s="9"/>
      <c r="D22" s="98"/>
      <c r="E22" s="114"/>
    </row>
    <row r="23" spans="2:5">
      <c r="B23" s="6" t="s">
        <v>18</v>
      </c>
      <c r="C23" s="11">
        <v>7</v>
      </c>
      <c r="D23" s="99"/>
      <c r="E23" s="125">
        <f>+E217</f>
        <v>0</v>
      </c>
    </row>
    <row r="24" spans="2:5">
      <c r="B24" s="6" t="s">
        <v>19</v>
      </c>
      <c r="C24" s="11">
        <v>8</v>
      </c>
      <c r="D24" s="99"/>
      <c r="E24" s="125">
        <f>+E225</f>
        <v>0</v>
      </c>
    </row>
    <row r="25" spans="2:5">
      <c r="B25" s="6" t="s">
        <v>20</v>
      </c>
      <c r="C25" s="11">
        <v>9</v>
      </c>
      <c r="D25" s="99"/>
      <c r="E25" s="125">
        <f>+E242</f>
        <v>0</v>
      </c>
    </row>
    <row r="26" spans="2:5">
      <c r="B26" s="6" t="s">
        <v>21</v>
      </c>
      <c r="C26" s="11">
        <v>10</v>
      </c>
      <c r="D26" s="99"/>
      <c r="E26" s="125">
        <f>+E256</f>
        <v>0</v>
      </c>
    </row>
    <row r="27" spans="2:5">
      <c r="B27" s="10"/>
      <c r="C27" s="9"/>
      <c r="D27" s="98"/>
      <c r="E27" s="98"/>
    </row>
    <row r="28" spans="2:5" ht="15.75" thickBot="1">
      <c r="B28" s="12" t="s">
        <v>22</v>
      </c>
      <c r="C28" s="13"/>
      <c r="D28" s="100"/>
      <c r="E28" s="124">
        <f>SUM(E10:E27)</f>
        <v>0</v>
      </c>
    </row>
    <row r="29" spans="2:5" ht="15.75" thickTop="1">
      <c r="B29" s="10"/>
      <c r="C29" s="9"/>
      <c r="D29" s="98"/>
      <c r="E29" s="98"/>
    </row>
    <row r="30" spans="2:5">
      <c r="B30" s="91" t="s">
        <v>23</v>
      </c>
      <c r="C30" s="84"/>
      <c r="D30" s="101"/>
      <c r="E30" s="101"/>
    </row>
    <row r="31" spans="2:5">
      <c r="B31" s="8"/>
      <c r="C31" s="9"/>
      <c r="D31" s="98"/>
      <c r="E31" s="98"/>
    </row>
    <row r="32" spans="2:5">
      <c r="B32" s="8" t="s">
        <v>24</v>
      </c>
      <c r="C32" s="9"/>
      <c r="D32" s="98"/>
      <c r="E32" s="98"/>
    </row>
    <row r="33" spans="2:5">
      <c r="B33" s="6" t="s">
        <v>25</v>
      </c>
      <c r="C33" s="9"/>
      <c r="D33" s="98"/>
      <c r="E33" s="98"/>
    </row>
    <row r="34" spans="2:5">
      <c r="B34" s="14" t="s">
        <v>26</v>
      </c>
      <c r="C34" s="9">
        <v>11</v>
      </c>
      <c r="D34" s="98" t="s">
        <v>357</v>
      </c>
      <c r="E34" s="114"/>
    </row>
    <row r="35" spans="2:5">
      <c r="B35" s="14" t="s">
        <v>27</v>
      </c>
      <c r="C35" s="9" t="s">
        <v>627</v>
      </c>
      <c r="D35" s="98" t="s">
        <v>358</v>
      </c>
      <c r="E35" s="114"/>
    </row>
    <row r="36" spans="2:5">
      <c r="B36" s="14" t="s">
        <v>28</v>
      </c>
      <c r="C36" s="9" t="s">
        <v>628</v>
      </c>
      <c r="D36" s="98" t="s">
        <v>359</v>
      </c>
      <c r="E36" s="114"/>
    </row>
    <row r="37" spans="2:5">
      <c r="B37" s="14" t="s">
        <v>29</v>
      </c>
      <c r="C37" s="9" t="s">
        <v>629</v>
      </c>
      <c r="D37" s="98" t="s">
        <v>360</v>
      </c>
      <c r="E37" s="114"/>
    </row>
    <row r="38" spans="2:5">
      <c r="B38" s="6"/>
      <c r="C38" s="9"/>
      <c r="D38" s="98"/>
      <c r="E38" s="114"/>
    </row>
    <row r="39" spans="2:5">
      <c r="B39" s="6" t="s">
        <v>30</v>
      </c>
      <c r="C39" s="11">
        <v>12</v>
      </c>
      <c r="D39" s="99"/>
      <c r="E39" s="125">
        <f>+E269</f>
        <v>0</v>
      </c>
    </row>
    <row r="40" spans="2:5">
      <c r="B40" s="6" t="s">
        <v>31</v>
      </c>
      <c r="C40" s="11">
        <v>13</v>
      </c>
      <c r="D40" s="99"/>
      <c r="E40" s="125">
        <f>+E273</f>
        <v>0</v>
      </c>
    </row>
    <row r="41" spans="2:5">
      <c r="B41" s="6" t="s">
        <v>32</v>
      </c>
      <c r="C41" s="11">
        <v>14</v>
      </c>
      <c r="D41" s="99"/>
      <c r="E41" s="125">
        <f>+E308</f>
        <v>0</v>
      </c>
    </row>
    <row r="42" spans="2:5">
      <c r="B42" s="6" t="s">
        <v>33</v>
      </c>
      <c r="C42" s="11">
        <v>15</v>
      </c>
      <c r="D42" s="99"/>
      <c r="E42" s="125">
        <f>+E315</f>
        <v>0</v>
      </c>
    </row>
    <row r="43" spans="2:5">
      <c r="B43" s="10"/>
      <c r="C43" s="9"/>
      <c r="D43" s="98"/>
      <c r="E43" s="114"/>
    </row>
    <row r="44" spans="2:5">
      <c r="B44" s="8" t="s">
        <v>34</v>
      </c>
      <c r="C44" s="9"/>
      <c r="D44" s="98"/>
      <c r="E44" s="114"/>
    </row>
    <row r="45" spans="2:5">
      <c r="B45" s="6" t="s">
        <v>35</v>
      </c>
      <c r="C45" s="15">
        <v>16</v>
      </c>
      <c r="D45" s="99"/>
      <c r="E45" s="125">
        <f>+E325</f>
        <v>0</v>
      </c>
    </row>
    <row r="46" spans="2:5">
      <c r="B46" s="6" t="s">
        <v>36</v>
      </c>
      <c r="C46" s="15">
        <v>17</v>
      </c>
      <c r="D46" s="99"/>
      <c r="E46" s="125">
        <f>+E335</f>
        <v>0</v>
      </c>
    </row>
    <row r="47" spans="2:5">
      <c r="B47" s="6" t="s">
        <v>37</v>
      </c>
      <c r="C47" s="15">
        <v>18</v>
      </c>
      <c r="D47" s="99"/>
      <c r="E47" s="125">
        <f>+E358</f>
        <v>0</v>
      </c>
    </row>
    <row r="48" spans="2:5">
      <c r="B48" s="6" t="s">
        <v>38</v>
      </c>
      <c r="C48" s="15">
        <v>19</v>
      </c>
      <c r="D48" s="99"/>
      <c r="E48" s="125">
        <f>+E372</f>
        <v>0</v>
      </c>
    </row>
    <row r="49" spans="2:5">
      <c r="B49" s="6" t="s">
        <v>39</v>
      </c>
      <c r="C49" s="15">
        <v>20</v>
      </c>
      <c r="D49" s="99"/>
      <c r="E49" s="125">
        <f>+E406</f>
        <v>0</v>
      </c>
    </row>
    <row r="50" spans="2:5">
      <c r="B50" s="6" t="s">
        <v>40</v>
      </c>
      <c r="C50" s="15">
        <v>21</v>
      </c>
      <c r="D50" s="99"/>
      <c r="E50" s="125">
        <f>+E412</f>
        <v>0</v>
      </c>
    </row>
    <row r="51" spans="2:5">
      <c r="B51" s="16"/>
      <c r="C51" s="17"/>
      <c r="D51" s="102"/>
      <c r="E51" s="126"/>
    </row>
    <row r="52" spans="2:5" ht="15.75" thickBot="1">
      <c r="B52" s="18" t="s">
        <v>22</v>
      </c>
      <c r="C52" s="19"/>
      <c r="D52" s="103"/>
      <c r="E52" s="103">
        <f>SUM(E34:E51)</f>
        <v>0</v>
      </c>
    </row>
    <row r="53" spans="2:5" ht="15.75" thickTop="1">
      <c r="B53" s="5"/>
      <c r="C53" s="20"/>
      <c r="D53" s="98"/>
      <c r="E53" s="98"/>
    </row>
    <row r="54" spans="2:5">
      <c r="B54" s="50" t="s">
        <v>1</v>
      </c>
      <c r="C54" s="77"/>
      <c r="D54" s="104"/>
      <c r="E54" s="112"/>
    </row>
    <row r="55" spans="2:5">
      <c r="B55" s="51" t="s">
        <v>215</v>
      </c>
      <c r="C55" s="78"/>
      <c r="D55" s="96"/>
      <c r="E55" s="96"/>
    </row>
    <row r="56" spans="2:5" ht="38.25">
      <c r="B56" s="52" t="s">
        <v>3</v>
      </c>
      <c r="C56" s="79" t="s">
        <v>4</v>
      </c>
      <c r="D56" s="88" t="s">
        <v>5</v>
      </c>
      <c r="E56" s="88"/>
    </row>
    <row r="57" spans="2:5">
      <c r="B57" s="53"/>
      <c r="C57" s="80"/>
      <c r="D57" s="105"/>
      <c r="E57" s="105"/>
    </row>
    <row r="58" spans="2:5">
      <c r="B58" s="54" t="s">
        <v>216</v>
      </c>
      <c r="C58" s="9">
        <v>22</v>
      </c>
      <c r="D58" s="98"/>
      <c r="E58" s="114">
        <f>+E419</f>
        <v>0</v>
      </c>
    </row>
    <row r="59" spans="2:5">
      <c r="B59" s="54" t="s">
        <v>217</v>
      </c>
      <c r="C59" s="9" t="s">
        <v>631</v>
      </c>
      <c r="D59" s="98" t="s">
        <v>361</v>
      </c>
      <c r="E59" s="126"/>
    </row>
    <row r="60" spans="2:5">
      <c r="B60" s="54"/>
      <c r="C60" s="9"/>
      <c r="D60" s="98"/>
      <c r="E60" s="114">
        <f>+E58-E59</f>
        <v>0</v>
      </c>
    </row>
    <row r="61" spans="2:5">
      <c r="B61" s="54" t="s">
        <v>218</v>
      </c>
      <c r="C61" s="9">
        <v>23</v>
      </c>
      <c r="D61" s="98"/>
      <c r="E61" s="114">
        <f>+E439</f>
        <v>0</v>
      </c>
    </row>
    <row r="62" spans="2:5">
      <c r="B62" s="55"/>
      <c r="C62" s="9"/>
      <c r="D62" s="98"/>
      <c r="E62" s="98"/>
    </row>
    <row r="63" spans="2:5" ht="15.75" thickBot="1">
      <c r="B63" s="12" t="s">
        <v>219</v>
      </c>
      <c r="C63" s="13"/>
      <c r="D63" s="100"/>
      <c r="E63" s="124">
        <f>+E60+E61</f>
        <v>0</v>
      </c>
    </row>
    <row r="64" spans="2:5" ht="15.75" thickTop="1">
      <c r="B64" s="55"/>
      <c r="C64" s="9"/>
      <c r="D64" s="98"/>
      <c r="E64" s="98"/>
    </row>
    <row r="65" spans="2:5">
      <c r="B65" s="56" t="s">
        <v>220</v>
      </c>
      <c r="C65" s="9"/>
      <c r="D65" s="98"/>
      <c r="E65" s="98"/>
    </row>
    <row r="66" spans="2:5">
      <c r="B66" s="54" t="s">
        <v>221</v>
      </c>
      <c r="C66" s="9">
        <v>24</v>
      </c>
      <c r="D66" s="98"/>
      <c r="E66" s="114">
        <f>+E449</f>
        <v>0</v>
      </c>
    </row>
    <row r="67" spans="2:5">
      <c r="B67" s="54" t="s">
        <v>222</v>
      </c>
      <c r="C67" s="9">
        <v>25</v>
      </c>
      <c r="D67" s="98"/>
      <c r="E67" s="114">
        <f>+E451</f>
        <v>0</v>
      </c>
    </row>
    <row r="68" spans="2:5" ht="25.5">
      <c r="B68" s="57" t="s">
        <v>223</v>
      </c>
      <c r="C68" s="9">
        <v>26</v>
      </c>
      <c r="D68" s="98"/>
      <c r="E68" s="114">
        <f>+E464</f>
        <v>0</v>
      </c>
    </row>
    <row r="69" spans="2:5">
      <c r="B69" s="54" t="s">
        <v>224</v>
      </c>
      <c r="C69" s="9">
        <v>27</v>
      </c>
      <c r="D69" s="98"/>
      <c r="E69" s="114">
        <f>+E481</f>
        <v>0</v>
      </c>
    </row>
    <row r="70" spans="2:5">
      <c r="B70" s="54" t="s">
        <v>225</v>
      </c>
      <c r="C70" s="9">
        <v>28</v>
      </c>
      <c r="D70" s="98"/>
      <c r="E70" s="114">
        <f>+E488</f>
        <v>0</v>
      </c>
    </row>
    <row r="71" spans="2:5">
      <c r="B71" s="54" t="s">
        <v>226</v>
      </c>
      <c r="C71" s="9">
        <v>29</v>
      </c>
      <c r="D71" s="98"/>
      <c r="E71" s="114">
        <f>+E494</f>
        <v>0</v>
      </c>
    </row>
    <row r="72" spans="2:5">
      <c r="B72" s="54" t="s">
        <v>227</v>
      </c>
      <c r="C72" s="9" t="s">
        <v>622</v>
      </c>
      <c r="D72" s="98" t="s">
        <v>362</v>
      </c>
      <c r="E72" s="114"/>
    </row>
    <row r="73" spans="2:5">
      <c r="B73" s="54" t="s">
        <v>228</v>
      </c>
      <c r="C73" s="9">
        <v>30</v>
      </c>
      <c r="D73" s="98"/>
      <c r="E73" s="114">
        <f>+E549</f>
        <v>0</v>
      </c>
    </row>
    <row r="74" spans="2:5">
      <c r="B74" s="55"/>
      <c r="C74" s="9"/>
      <c r="D74" s="98"/>
      <c r="E74" s="114"/>
    </row>
    <row r="75" spans="2:5" ht="15.75" thickBot="1">
      <c r="B75" s="12" t="s">
        <v>229</v>
      </c>
      <c r="C75" s="13"/>
      <c r="D75" s="100"/>
      <c r="E75" s="124">
        <f>SUM(E66:E74)</f>
        <v>0</v>
      </c>
    </row>
    <row r="76" spans="2:5" ht="15.75" thickTop="1">
      <c r="B76" s="56"/>
      <c r="C76" s="9"/>
      <c r="D76" s="98"/>
      <c r="E76" s="98"/>
    </row>
    <row r="77" spans="2:5" ht="25.5">
      <c r="B77" s="58" t="s">
        <v>230</v>
      </c>
      <c r="C77" s="81"/>
      <c r="D77" s="106"/>
      <c r="E77" s="95">
        <f>+E63-E75</f>
        <v>0</v>
      </c>
    </row>
    <row r="78" spans="2:5">
      <c r="B78" s="59"/>
      <c r="C78" s="82"/>
      <c r="D78" s="107"/>
      <c r="E78" s="107"/>
    </row>
    <row r="79" spans="2:5">
      <c r="B79" s="60" t="s">
        <v>231</v>
      </c>
      <c r="C79" s="81"/>
      <c r="D79" s="106"/>
      <c r="E79" s="106"/>
    </row>
    <row r="80" spans="2:5">
      <c r="B80" s="61"/>
      <c r="C80" s="81"/>
      <c r="D80" s="106"/>
      <c r="E80" s="106"/>
    </row>
    <row r="81" spans="2:5">
      <c r="B81" s="58" t="s">
        <v>232</v>
      </c>
      <c r="C81" s="81"/>
      <c r="D81" s="106"/>
      <c r="E81" s="95">
        <f>+E77-E79</f>
        <v>0</v>
      </c>
    </row>
    <row r="82" spans="2:5">
      <c r="B82" s="61"/>
      <c r="C82" s="81"/>
      <c r="D82" s="106"/>
      <c r="E82" s="106"/>
    </row>
    <row r="83" spans="2:5">
      <c r="B83" s="60" t="s">
        <v>233</v>
      </c>
      <c r="C83" s="81"/>
      <c r="D83" s="106"/>
      <c r="E83" s="106"/>
    </row>
    <row r="84" spans="2:5">
      <c r="B84" s="61"/>
      <c r="C84" s="81"/>
      <c r="D84" s="106"/>
      <c r="E84" s="106"/>
    </row>
    <row r="85" spans="2:5">
      <c r="B85" s="60" t="s">
        <v>234</v>
      </c>
      <c r="C85" s="81"/>
      <c r="D85" s="106"/>
      <c r="E85" s="95">
        <f>+E81-E83</f>
        <v>0</v>
      </c>
    </row>
    <row r="86" spans="2:5">
      <c r="B86" s="55"/>
      <c r="C86" s="9"/>
      <c r="D86" s="98"/>
      <c r="E86" s="98"/>
    </row>
    <row r="87" spans="2:5">
      <c r="B87" s="56" t="s">
        <v>235</v>
      </c>
      <c r="C87" s="9"/>
      <c r="D87" s="98"/>
      <c r="E87" s="98"/>
    </row>
    <row r="88" spans="2:5">
      <c r="B88" s="55" t="s">
        <v>236</v>
      </c>
      <c r="C88" s="9" t="s">
        <v>623</v>
      </c>
      <c r="D88" s="98" t="s">
        <v>363</v>
      </c>
      <c r="E88" s="114" t="e">
        <f>SUMIF(#REF!,'Fin-Report'!D88,#REF!)</f>
        <v>#REF!</v>
      </c>
    </row>
    <row r="89" spans="2:5">
      <c r="B89" s="55" t="s">
        <v>237</v>
      </c>
      <c r="C89" s="9" t="s">
        <v>624</v>
      </c>
      <c r="D89" s="98" t="s">
        <v>364</v>
      </c>
      <c r="E89" s="126" t="e">
        <f>SUMIF(#REF!,'Fin-Report'!D89,#REF!)</f>
        <v>#REF!</v>
      </c>
    </row>
    <row r="90" spans="2:5">
      <c r="B90" s="55"/>
      <c r="C90" s="9"/>
      <c r="D90" s="98"/>
      <c r="E90" s="114" t="e">
        <f>+E88+E89</f>
        <v>#REF!</v>
      </c>
    </row>
    <row r="91" spans="2:5" ht="25.5">
      <c r="B91" s="62" t="s">
        <v>238</v>
      </c>
      <c r="C91" s="9"/>
      <c r="D91" s="98"/>
      <c r="E91" s="114" t="e">
        <f>+E85-E90</f>
        <v>#REF!</v>
      </c>
    </row>
    <row r="92" spans="2:5">
      <c r="B92" s="55"/>
      <c r="C92" s="9"/>
      <c r="D92" s="98"/>
      <c r="E92" s="98"/>
    </row>
    <row r="93" spans="2:5">
      <c r="B93" s="56" t="s">
        <v>239</v>
      </c>
      <c r="C93" s="9"/>
      <c r="D93" s="98"/>
      <c r="E93" s="98"/>
    </row>
    <row r="94" spans="2:5">
      <c r="B94" s="55"/>
      <c r="C94" s="9"/>
      <c r="D94" s="98"/>
      <c r="E94" s="98"/>
    </row>
    <row r="95" spans="2:5">
      <c r="B95" s="56" t="s">
        <v>240</v>
      </c>
      <c r="C95" s="9"/>
      <c r="D95" s="98"/>
      <c r="E95" s="98"/>
    </row>
    <row r="96" spans="2:5">
      <c r="B96" s="55"/>
      <c r="C96" s="9"/>
      <c r="D96" s="98"/>
      <c r="E96" s="98"/>
    </row>
    <row r="97" spans="2:5" ht="25.5">
      <c r="B97" s="62" t="s">
        <v>241</v>
      </c>
      <c r="C97" s="9"/>
      <c r="D97" s="98"/>
      <c r="E97" s="98">
        <f>+E93-E95</f>
        <v>0</v>
      </c>
    </row>
    <row r="98" spans="2:5">
      <c r="B98" s="55"/>
      <c r="C98" s="9"/>
      <c r="D98" s="98"/>
      <c r="E98" s="98"/>
    </row>
    <row r="99" spans="2:5" ht="15.75" thickBot="1">
      <c r="B99" s="63" t="s">
        <v>242</v>
      </c>
      <c r="C99" s="13"/>
      <c r="D99" s="122" t="s">
        <v>742</v>
      </c>
      <c r="E99" s="124" t="e">
        <f>+E91+E97</f>
        <v>#REF!</v>
      </c>
    </row>
    <row r="100" spans="2:5" ht="15.75" thickTop="1">
      <c r="B100" s="55"/>
      <c r="C100" s="9"/>
      <c r="D100" s="98"/>
      <c r="E100" s="98"/>
    </row>
    <row r="101" spans="2:5">
      <c r="B101" s="56" t="s">
        <v>243</v>
      </c>
      <c r="C101" s="9"/>
      <c r="D101" s="98"/>
      <c r="E101" s="128" t="s">
        <v>754</v>
      </c>
    </row>
    <row r="102" spans="2:5">
      <c r="B102" s="56" t="s">
        <v>244</v>
      </c>
      <c r="C102" s="9"/>
      <c r="D102" s="98"/>
      <c r="E102" s="114"/>
    </row>
    <row r="103" spans="2:5">
      <c r="B103" s="55" t="s">
        <v>245</v>
      </c>
      <c r="C103" s="9"/>
      <c r="D103" s="98"/>
      <c r="E103" s="114" t="e">
        <f>+E99/E120</f>
        <v>#REF!</v>
      </c>
    </row>
    <row r="104" spans="2:5">
      <c r="B104" s="55" t="s">
        <v>246</v>
      </c>
      <c r="C104" s="9"/>
      <c r="D104" s="98"/>
      <c r="E104" s="114" t="e">
        <f>+E99/E120</f>
        <v>#REF!</v>
      </c>
    </row>
    <row r="105" spans="2:5">
      <c r="B105" s="56" t="s">
        <v>247</v>
      </c>
      <c r="C105" s="9"/>
      <c r="D105" s="98"/>
      <c r="E105" s="127"/>
    </row>
    <row r="106" spans="2:5">
      <c r="B106" s="56" t="s">
        <v>244</v>
      </c>
      <c r="C106" s="9"/>
      <c r="D106" s="98"/>
      <c r="E106" s="127"/>
    </row>
    <row r="107" spans="2:5">
      <c r="B107" s="55" t="s">
        <v>245</v>
      </c>
      <c r="C107" s="9"/>
      <c r="D107" s="98"/>
      <c r="E107" s="114" t="e">
        <f>+E99/E120</f>
        <v>#REF!</v>
      </c>
    </row>
    <row r="108" spans="2:5">
      <c r="B108" s="64" t="s">
        <v>246</v>
      </c>
      <c r="C108" s="17"/>
      <c r="D108" s="102"/>
      <c r="E108" s="126" t="e">
        <f>+E99/E120</f>
        <v>#REF!</v>
      </c>
    </row>
    <row r="109" spans="2:5">
      <c r="D109" s="98"/>
      <c r="E109" s="98"/>
    </row>
    <row r="110" spans="2:5">
      <c r="B110" s="22" t="s">
        <v>41</v>
      </c>
      <c r="C110" s="80"/>
      <c r="D110" s="105"/>
      <c r="E110" s="105"/>
    </row>
    <row r="111" spans="2:5">
      <c r="B111" s="24" t="s">
        <v>42</v>
      </c>
      <c r="C111" s="9"/>
      <c r="D111" s="114" t="s">
        <v>753</v>
      </c>
      <c r="E111" s="114">
        <v>300000000</v>
      </c>
    </row>
    <row r="112" spans="2:5">
      <c r="B112" s="25"/>
      <c r="C112" s="9"/>
      <c r="D112" s="98"/>
      <c r="E112" s="98"/>
    </row>
    <row r="113" spans="1:5">
      <c r="B113" s="26"/>
      <c r="C113" s="9"/>
      <c r="D113" s="98"/>
      <c r="E113" s="98"/>
    </row>
    <row r="114" spans="1:5">
      <c r="B114" s="25"/>
      <c r="C114" s="9"/>
      <c r="D114" s="98"/>
      <c r="E114" s="98"/>
    </row>
    <row r="115" spans="1:5">
      <c r="B115" s="24" t="s">
        <v>43</v>
      </c>
      <c r="C115" s="9"/>
      <c r="D115" s="98"/>
      <c r="E115" s="98"/>
    </row>
    <row r="116" spans="1:5">
      <c r="B116" s="24" t="s">
        <v>44</v>
      </c>
      <c r="C116" s="9"/>
      <c r="D116" s="98"/>
      <c r="E116" s="98"/>
    </row>
    <row r="117" spans="1:5">
      <c r="B117" s="24" t="s">
        <v>45</v>
      </c>
      <c r="C117" s="9">
        <v>1</v>
      </c>
      <c r="D117" s="98" t="s">
        <v>365</v>
      </c>
      <c r="E117" s="98"/>
    </row>
    <row r="118" spans="1:5">
      <c r="B118" s="25"/>
      <c r="C118" s="9"/>
      <c r="D118" s="98"/>
      <c r="E118" s="98"/>
    </row>
    <row r="119" spans="1:5">
      <c r="B119" s="26"/>
      <c r="C119" s="9"/>
      <c r="D119" s="98"/>
      <c r="E119" s="98"/>
    </row>
    <row r="120" spans="1:5">
      <c r="A120">
        <v>1</v>
      </c>
      <c r="B120" s="27" t="s">
        <v>22</v>
      </c>
      <c r="C120" s="83">
        <v>1</v>
      </c>
      <c r="D120" s="108"/>
      <c r="E120" s="108">
        <f>+E117</f>
        <v>0</v>
      </c>
    </row>
    <row r="121" spans="1:5">
      <c r="B121" s="29"/>
      <c r="C121" s="9"/>
      <c r="D121" s="98"/>
      <c r="E121" s="98"/>
    </row>
    <row r="122" spans="1:5">
      <c r="B122" s="30" t="s">
        <v>46</v>
      </c>
      <c r="C122" s="9"/>
      <c r="D122" s="98"/>
      <c r="E122" s="98"/>
    </row>
    <row r="123" spans="1:5">
      <c r="B123" s="30" t="s">
        <v>47</v>
      </c>
      <c r="C123" s="9"/>
      <c r="D123" s="98"/>
      <c r="E123" s="98"/>
    </row>
    <row r="124" spans="1:5">
      <c r="B124" s="29" t="s">
        <v>48</v>
      </c>
      <c r="C124" s="9" t="s">
        <v>743</v>
      </c>
      <c r="D124" s="98" t="s">
        <v>366</v>
      </c>
      <c r="E124" s="98"/>
    </row>
    <row r="125" spans="1:5">
      <c r="B125" s="29" t="s">
        <v>49</v>
      </c>
      <c r="C125" s="9" t="s">
        <v>743</v>
      </c>
      <c r="D125" s="98" t="s">
        <v>367</v>
      </c>
      <c r="E125" s="98"/>
    </row>
    <row r="126" spans="1:5">
      <c r="B126" s="31" t="s">
        <v>50</v>
      </c>
      <c r="C126" s="80"/>
      <c r="D126" s="105"/>
      <c r="E126" s="120">
        <f>+E124+E125</f>
        <v>0</v>
      </c>
    </row>
    <row r="127" spans="1:5">
      <c r="B127" s="30"/>
      <c r="C127" s="9"/>
      <c r="D127" s="98"/>
      <c r="E127" s="98"/>
    </row>
    <row r="128" spans="1:5">
      <c r="B128" s="30" t="s">
        <v>51</v>
      </c>
      <c r="C128" s="9"/>
      <c r="D128" s="98"/>
      <c r="E128" s="98"/>
    </row>
    <row r="129" spans="2:5">
      <c r="B129" s="29" t="s">
        <v>48</v>
      </c>
      <c r="C129" s="9" t="s">
        <v>744</v>
      </c>
      <c r="D129" s="98" t="s">
        <v>368</v>
      </c>
      <c r="E129" s="98"/>
    </row>
    <row r="130" spans="2:5">
      <c r="B130" s="29" t="s">
        <v>49</v>
      </c>
      <c r="C130" s="9" t="s">
        <v>744</v>
      </c>
      <c r="D130" s="98" t="s">
        <v>369</v>
      </c>
      <c r="E130" s="98"/>
    </row>
    <row r="131" spans="2:5">
      <c r="B131" s="31" t="s">
        <v>50</v>
      </c>
      <c r="C131" s="80"/>
      <c r="D131" s="105"/>
      <c r="E131" s="120">
        <f>+E129+E130</f>
        <v>0</v>
      </c>
    </row>
    <row r="132" spans="2:5">
      <c r="B132" s="30"/>
      <c r="C132" s="9"/>
      <c r="D132" s="98"/>
      <c r="E132" s="98"/>
    </row>
    <row r="133" spans="2:5">
      <c r="B133" s="30" t="s">
        <v>52</v>
      </c>
      <c r="C133" s="9"/>
      <c r="D133" s="98"/>
      <c r="E133" s="98"/>
    </row>
    <row r="134" spans="2:5">
      <c r="B134" s="29" t="s">
        <v>48</v>
      </c>
      <c r="C134" s="9" t="s">
        <v>745</v>
      </c>
      <c r="D134" s="98" t="s">
        <v>370</v>
      </c>
      <c r="E134" s="98"/>
    </row>
    <row r="135" spans="2:5">
      <c r="B135" s="29" t="s">
        <v>49</v>
      </c>
      <c r="C135" s="9" t="s">
        <v>745</v>
      </c>
      <c r="D135" s="98" t="s">
        <v>371</v>
      </c>
      <c r="E135" s="98"/>
    </row>
    <row r="136" spans="2:5">
      <c r="B136" s="31" t="s">
        <v>50</v>
      </c>
      <c r="C136" s="80"/>
      <c r="D136" s="105"/>
      <c r="E136" s="120">
        <f>+E134+E135</f>
        <v>0</v>
      </c>
    </row>
    <row r="137" spans="2:5">
      <c r="B137" s="30"/>
      <c r="C137" s="9"/>
      <c r="D137" s="98"/>
      <c r="E137" s="98"/>
    </row>
    <row r="138" spans="2:5">
      <c r="B138" s="30" t="s">
        <v>53</v>
      </c>
      <c r="C138" s="9"/>
      <c r="D138" s="98"/>
      <c r="E138" s="98"/>
    </row>
    <row r="139" spans="2:5">
      <c r="B139" s="29" t="s">
        <v>48</v>
      </c>
      <c r="C139" s="9" t="s">
        <v>746</v>
      </c>
      <c r="D139" s="98" t="s">
        <v>372</v>
      </c>
      <c r="E139" s="98"/>
    </row>
    <row r="140" spans="2:5">
      <c r="B140" s="29" t="s">
        <v>49</v>
      </c>
      <c r="C140" s="9" t="s">
        <v>746</v>
      </c>
      <c r="D140" s="98" t="s">
        <v>373</v>
      </c>
      <c r="E140" s="98"/>
    </row>
    <row r="141" spans="2:5">
      <c r="B141" s="31" t="s">
        <v>50</v>
      </c>
      <c r="C141" s="80"/>
      <c r="D141" s="105"/>
      <c r="E141" s="120">
        <f>+E139+E140</f>
        <v>0</v>
      </c>
    </row>
    <row r="142" spans="2:5">
      <c r="B142" s="29"/>
      <c r="C142" s="9"/>
      <c r="D142" s="98"/>
      <c r="E142" s="98"/>
    </row>
    <row r="143" spans="2:5">
      <c r="B143" s="30" t="s">
        <v>54</v>
      </c>
      <c r="C143" s="9"/>
      <c r="D143" s="98"/>
      <c r="E143" s="98"/>
    </row>
    <row r="144" spans="2:5">
      <c r="B144" s="29" t="s">
        <v>48</v>
      </c>
      <c r="C144" s="9" t="s">
        <v>747</v>
      </c>
      <c r="D144" s="98" t="s">
        <v>374</v>
      </c>
      <c r="E144" s="98"/>
    </row>
    <row r="145" spans="2:5">
      <c r="B145" s="29" t="s">
        <v>55</v>
      </c>
      <c r="C145" s="9" t="s">
        <v>747</v>
      </c>
      <c r="D145" s="98" t="s">
        <v>375</v>
      </c>
      <c r="E145" s="98"/>
    </row>
    <row r="146" spans="2:5">
      <c r="B146" s="31" t="s">
        <v>50</v>
      </c>
      <c r="C146" s="80"/>
      <c r="D146" s="105"/>
      <c r="E146" s="120">
        <f>+E144+E145</f>
        <v>0</v>
      </c>
    </row>
    <row r="147" spans="2:5">
      <c r="B147" s="29"/>
      <c r="C147" s="9"/>
      <c r="D147" s="98"/>
      <c r="E147" s="98"/>
    </row>
    <row r="148" spans="2:5">
      <c r="B148" s="30" t="s">
        <v>56</v>
      </c>
      <c r="C148" s="9"/>
      <c r="D148" s="98"/>
      <c r="E148" s="98"/>
    </row>
    <row r="149" spans="2:5">
      <c r="B149" s="29" t="s">
        <v>57</v>
      </c>
      <c r="C149" s="9" t="s">
        <v>748</v>
      </c>
      <c r="D149" s="98" t="s">
        <v>376</v>
      </c>
      <c r="E149" s="98"/>
    </row>
    <row r="150" spans="2:5">
      <c r="B150" s="29" t="s">
        <v>58</v>
      </c>
      <c r="C150" s="9" t="s">
        <v>748</v>
      </c>
      <c r="D150" s="98" t="s">
        <v>377</v>
      </c>
      <c r="E150" s="98"/>
    </row>
    <row r="151" spans="2:5">
      <c r="B151" s="31" t="s">
        <v>50</v>
      </c>
      <c r="C151" s="80"/>
      <c r="D151" s="105"/>
      <c r="E151" s="120">
        <f>+E149+E150</f>
        <v>0</v>
      </c>
    </row>
    <row r="152" spans="2:5">
      <c r="B152" s="29"/>
      <c r="C152" s="84"/>
      <c r="D152" s="101"/>
      <c r="E152" s="101"/>
    </row>
    <row r="153" spans="2:5">
      <c r="B153" s="30" t="s">
        <v>59</v>
      </c>
      <c r="C153" s="84"/>
      <c r="D153" s="101"/>
      <c r="E153" s="101"/>
    </row>
    <row r="154" spans="2:5">
      <c r="B154" s="32" t="s">
        <v>48</v>
      </c>
      <c r="C154" s="9" t="s">
        <v>749</v>
      </c>
      <c r="D154" s="98" t="s">
        <v>378</v>
      </c>
      <c r="E154" s="98"/>
    </row>
    <row r="155" spans="2:5">
      <c r="B155" s="32" t="s">
        <v>60</v>
      </c>
      <c r="C155" s="9" t="s">
        <v>749</v>
      </c>
      <c r="D155" s="98" t="s">
        <v>379</v>
      </c>
      <c r="E155" s="98"/>
    </row>
    <row r="156" spans="2:5">
      <c r="B156" s="31" t="s">
        <v>50</v>
      </c>
      <c r="C156" s="80"/>
      <c r="D156" s="105"/>
      <c r="E156" s="120">
        <f>+E154+E155</f>
        <v>0</v>
      </c>
    </row>
    <row r="157" spans="2:5">
      <c r="B157" s="29"/>
      <c r="C157" s="9"/>
      <c r="D157" s="98"/>
      <c r="E157" s="98"/>
    </row>
    <row r="158" spans="2:5">
      <c r="B158" s="30" t="s">
        <v>61</v>
      </c>
      <c r="C158" s="85"/>
      <c r="D158" s="109"/>
      <c r="E158" s="109"/>
    </row>
    <row r="159" spans="2:5">
      <c r="B159" s="30" t="s">
        <v>62</v>
      </c>
      <c r="C159" s="85"/>
      <c r="D159" s="109"/>
      <c r="E159" s="109"/>
    </row>
    <row r="160" spans="2:5">
      <c r="B160" s="34" t="s">
        <v>48</v>
      </c>
      <c r="C160" s="9" t="s">
        <v>750</v>
      </c>
      <c r="D160" s="98" t="s">
        <v>380</v>
      </c>
      <c r="E160" s="98"/>
    </row>
    <row r="161" spans="1:5">
      <c r="B161" s="29" t="s">
        <v>63</v>
      </c>
      <c r="C161" s="9" t="s">
        <v>750</v>
      </c>
      <c r="D161" s="121" t="s">
        <v>742</v>
      </c>
      <c r="E161" s="102"/>
    </row>
    <row r="162" spans="1:5">
      <c r="B162" s="29"/>
      <c r="C162" s="9"/>
      <c r="D162" s="98"/>
      <c r="E162" s="114">
        <f>SUM(E160:E161)</f>
        <v>0</v>
      </c>
    </row>
    <row r="163" spans="1:5">
      <c r="B163" s="34" t="s">
        <v>64</v>
      </c>
      <c r="C163" s="9"/>
      <c r="D163" s="98"/>
      <c r="E163" s="98"/>
    </row>
    <row r="164" spans="1:5">
      <c r="B164" s="34" t="s">
        <v>65</v>
      </c>
      <c r="C164" s="9"/>
      <c r="D164" s="98"/>
      <c r="E164" s="98"/>
    </row>
    <row r="165" spans="1:5">
      <c r="B165" s="34" t="s">
        <v>66</v>
      </c>
      <c r="C165" s="9" t="s">
        <v>751</v>
      </c>
      <c r="D165" s="98" t="s">
        <v>381</v>
      </c>
      <c r="E165" s="98"/>
    </row>
    <row r="166" spans="1:5">
      <c r="B166" s="34" t="s">
        <v>67</v>
      </c>
      <c r="C166" s="9" t="s">
        <v>751</v>
      </c>
      <c r="D166" s="98" t="s">
        <v>382</v>
      </c>
      <c r="E166" s="98"/>
    </row>
    <row r="167" spans="1:5">
      <c r="B167" s="34" t="s">
        <v>68</v>
      </c>
      <c r="C167" s="9" t="s">
        <v>751</v>
      </c>
      <c r="D167" s="98" t="s">
        <v>383</v>
      </c>
      <c r="E167" s="98"/>
    </row>
    <row r="168" spans="1:5">
      <c r="B168" s="34" t="s">
        <v>69</v>
      </c>
      <c r="C168" s="9" t="s">
        <v>751</v>
      </c>
      <c r="D168" s="98" t="s">
        <v>384</v>
      </c>
      <c r="E168" s="98"/>
    </row>
    <row r="169" spans="1:5">
      <c r="B169" s="34" t="s">
        <v>70</v>
      </c>
      <c r="C169" s="9" t="s">
        <v>751</v>
      </c>
      <c r="D169" s="98" t="s">
        <v>385</v>
      </c>
      <c r="E169" s="98"/>
    </row>
    <row r="170" spans="1:5">
      <c r="B170" s="34" t="s">
        <v>71</v>
      </c>
      <c r="C170" s="9" t="s">
        <v>751</v>
      </c>
      <c r="D170" s="98" t="s">
        <v>377</v>
      </c>
      <c r="E170" s="98"/>
    </row>
    <row r="171" spans="1:5">
      <c r="B171" s="35"/>
      <c r="C171" s="80"/>
      <c r="D171" s="105"/>
      <c r="E171" s="120">
        <f>SUM(E165:E170)</f>
        <v>0</v>
      </c>
    </row>
    <row r="172" spans="1:5">
      <c r="B172" s="34"/>
      <c r="C172" s="9"/>
      <c r="D172" s="98"/>
      <c r="E172" s="98"/>
    </row>
    <row r="173" spans="1:5">
      <c r="A173">
        <v>2</v>
      </c>
      <c r="B173" s="123" t="s">
        <v>752</v>
      </c>
      <c r="C173" s="83">
        <v>2</v>
      </c>
      <c r="D173" s="108"/>
      <c r="E173" s="113">
        <f>+E126+E131+E136+E141+E146+E151+E156+E162-E171</f>
        <v>0</v>
      </c>
    </row>
    <row r="174" spans="1:5">
      <c r="B174" s="29"/>
      <c r="C174" s="9"/>
      <c r="D174" s="98"/>
      <c r="E174" s="98"/>
    </row>
    <row r="175" spans="1:5">
      <c r="B175" s="30" t="s">
        <v>72</v>
      </c>
      <c r="C175" s="9"/>
      <c r="D175" s="98"/>
      <c r="E175" s="98"/>
    </row>
    <row r="176" spans="1:5">
      <c r="B176" s="29" t="s">
        <v>73</v>
      </c>
      <c r="C176" s="9">
        <v>3</v>
      </c>
      <c r="D176" s="98" t="s">
        <v>386</v>
      </c>
      <c r="E176" s="98"/>
    </row>
    <row r="177" spans="1:5">
      <c r="B177" s="29" t="s">
        <v>74</v>
      </c>
      <c r="C177" s="9"/>
      <c r="D177" s="98"/>
      <c r="E177" s="98"/>
    </row>
    <row r="178" spans="1:5">
      <c r="B178" s="36" t="s">
        <v>75</v>
      </c>
      <c r="C178" s="9">
        <v>3</v>
      </c>
      <c r="D178" s="98" t="s">
        <v>387</v>
      </c>
      <c r="E178" s="98"/>
    </row>
    <row r="179" spans="1:5">
      <c r="B179" s="36" t="s">
        <v>76</v>
      </c>
      <c r="C179" s="9">
        <v>3</v>
      </c>
      <c r="D179" s="98" t="s">
        <v>388</v>
      </c>
      <c r="E179" s="98"/>
    </row>
    <row r="180" spans="1:5">
      <c r="B180" s="29" t="s">
        <v>77</v>
      </c>
      <c r="C180" s="9">
        <v>3</v>
      </c>
      <c r="D180" s="98" t="s">
        <v>389</v>
      </c>
      <c r="E180" s="98"/>
    </row>
    <row r="181" spans="1:5">
      <c r="B181" s="29" t="s">
        <v>78</v>
      </c>
      <c r="C181" s="9">
        <v>3</v>
      </c>
      <c r="D181" s="98" t="s">
        <v>390</v>
      </c>
      <c r="E181" s="98"/>
    </row>
    <row r="182" spans="1:5">
      <c r="B182" s="29" t="s">
        <v>79</v>
      </c>
      <c r="C182" s="9">
        <v>3</v>
      </c>
      <c r="D182" s="98" t="s">
        <v>391</v>
      </c>
      <c r="E182" s="98"/>
    </row>
    <row r="183" spans="1:5">
      <c r="B183" s="29" t="s">
        <v>80</v>
      </c>
      <c r="C183" s="9">
        <v>3</v>
      </c>
      <c r="D183" s="98" t="s">
        <v>392</v>
      </c>
      <c r="E183" s="98"/>
    </row>
    <row r="184" spans="1:5">
      <c r="B184" s="29" t="s">
        <v>81</v>
      </c>
      <c r="C184" s="9">
        <v>3</v>
      </c>
      <c r="D184" s="98" t="s">
        <v>393</v>
      </c>
      <c r="E184" s="98"/>
    </row>
    <row r="185" spans="1:5" s="117" customFormat="1">
      <c r="A185" s="117">
        <v>3</v>
      </c>
      <c r="B185" s="37"/>
      <c r="C185" s="19">
        <v>3</v>
      </c>
      <c r="D185" s="113"/>
      <c r="E185" s="113">
        <f>SUM(E176:E184)</f>
        <v>0</v>
      </c>
    </row>
    <row r="186" spans="1:5">
      <c r="B186" s="29"/>
      <c r="C186" s="9"/>
      <c r="D186" s="98"/>
      <c r="E186" s="98"/>
    </row>
    <row r="187" spans="1:5">
      <c r="B187" s="24" t="s">
        <v>82</v>
      </c>
      <c r="C187" s="9">
        <v>4</v>
      </c>
      <c r="D187" s="98" t="s">
        <v>394</v>
      </c>
      <c r="E187" s="98"/>
    </row>
    <row r="188" spans="1:5">
      <c r="B188" s="24"/>
      <c r="C188" s="9"/>
      <c r="D188" s="98"/>
      <c r="E188" s="98"/>
    </row>
    <row r="189" spans="1:5" s="117" customFormat="1">
      <c r="A189" s="117">
        <v>4</v>
      </c>
      <c r="B189" s="27"/>
      <c r="C189" s="19">
        <v>4</v>
      </c>
      <c r="D189" s="113"/>
      <c r="E189" s="113">
        <f>SUM(E187:E188)</f>
        <v>0</v>
      </c>
    </row>
    <row r="190" spans="1:5">
      <c r="B190" s="25"/>
      <c r="C190" s="9"/>
      <c r="D190" s="98"/>
      <c r="E190" s="98"/>
    </row>
    <row r="191" spans="1:5">
      <c r="B191" s="24" t="s">
        <v>83</v>
      </c>
      <c r="C191" s="9"/>
      <c r="D191" s="98"/>
      <c r="E191" s="98"/>
    </row>
    <row r="192" spans="1:5">
      <c r="B192" s="38" t="s">
        <v>84</v>
      </c>
      <c r="C192" s="9">
        <v>5</v>
      </c>
      <c r="D192" s="98" t="s">
        <v>395</v>
      </c>
      <c r="E192" s="98"/>
    </row>
    <row r="193" spans="1:5">
      <c r="B193" s="38" t="s">
        <v>85</v>
      </c>
      <c r="C193" s="9"/>
      <c r="D193" s="98"/>
      <c r="E193" s="98"/>
    </row>
    <row r="194" spans="1:5">
      <c r="B194" s="38" t="s">
        <v>86</v>
      </c>
      <c r="C194" s="9">
        <v>5</v>
      </c>
      <c r="D194" s="98" t="s">
        <v>396</v>
      </c>
      <c r="E194" s="98"/>
    </row>
    <row r="195" spans="1:5">
      <c r="B195" s="38" t="s">
        <v>87</v>
      </c>
      <c r="C195" s="9">
        <v>5</v>
      </c>
      <c r="D195" s="98" t="s">
        <v>397</v>
      </c>
      <c r="E195" s="98"/>
    </row>
    <row r="196" spans="1:5">
      <c r="B196" s="38" t="s">
        <v>88</v>
      </c>
      <c r="C196" s="9">
        <v>5</v>
      </c>
      <c r="D196" s="98" t="s">
        <v>398</v>
      </c>
      <c r="E196" s="98"/>
    </row>
    <row r="197" spans="1:5">
      <c r="B197" s="38" t="s">
        <v>89</v>
      </c>
      <c r="C197" s="9">
        <v>5</v>
      </c>
      <c r="D197" s="98" t="s">
        <v>399</v>
      </c>
      <c r="E197" s="98"/>
    </row>
    <row r="198" spans="1:5">
      <c r="B198" s="38" t="s">
        <v>90</v>
      </c>
      <c r="C198" s="9">
        <v>5</v>
      </c>
      <c r="D198" s="98" t="s">
        <v>400</v>
      </c>
      <c r="E198" s="98"/>
    </row>
    <row r="199" spans="1:5" s="117" customFormat="1">
      <c r="A199" s="117">
        <v>5</v>
      </c>
      <c r="B199" s="119"/>
      <c r="C199" s="19">
        <v>5</v>
      </c>
      <c r="D199" s="113"/>
      <c r="E199" s="113">
        <f>SUM(E192:E198)</f>
        <v>0</v>
      </c>
    </row>
    <row r="200" spans="1:5">
      <c r="B200" s="25"/>
      <c r="C200" s="9"/>
      <c r="D200" s="98"/>
      <c r="E200" s="98"/>
    </row>
    <row r="201" spans="1:5">
      <c r="B201" s="24" t="s">
        <v>91</v>
      </c>
      <c r="C201" s="9"/>
      <c r="D201" s="98"/>
      <c r="E201" s="98"/>
    </row>
    <row r="202" spans="1:5">
      <c r="B202" s="39" t="s">
        <v>92</v>
      </c>
      <c r="C202" s="9"/>
      <c r="D202" s="98"/>
      <c r="E202" s="98"/>
    </row>
    <row r="203" spans="1:5">
      <c r="B203" s="38" t="s">
        <v>93</v>
      </c>
      <c r="C203" s="9">
        <v>6</v>
      </c>
      <c r="D203" s="98" t="s">
        <v>401</v>
      </c>
      <c r="E203" s="98"/>
    </row>
    <row r="204" spans="1:5">
      <c r="B204" s="38"/>
      <c r="C204" s="9"/>
      <c r="D204" s="98"/>
      <c r="E204" s="98"/>
    </row>
    <row r="205" spans="1:5">
      <c r="B205" s="38"/>
      <c r="C205" s="9"/>
      <c r="D205" s="98"/>
      <c r="E205" s="98"/>
    </row>
    <row r="206" spans="1:5">
      <c r="B206" s="38" t="s">
        <v>94</v>
      </c>
      <c r="C206" s="9"/>
      <c r="D206" s="98"/>
      <c r="E206" s="98"/>
    </row>
    <row r="207" spans="1:5">
      <c r="B207" s="38" t="s">
        <v>95</v>
      </c>
      <c r="C207" s="9">
        <v>6</v>
      </c>
      <c r="D207" s="98" t="s">
        <v>402</v>
      </c>
      <c r="E207" s="98"/>
    </row>
    <row r="208" spans="1:5" s="117" customFormat="1">
      <c r="A208" s="117">
        <v>6</v>
      </c>
      <c r="B208" s="27"/>
      <c r="C208" s="19">
        <v>6</v>
      </c>
      <c r="D208" s="113"/>
      <c r="E208" s="113">
        <f>+E207+E203</f>
        <v>0</v>
      </c>
    </row>
    <row r="209" spans="1:5">
      <c r="B209" s="29"/>
      <c r="C209" s="9"/>
      <c r="D209" s="98"/>
      <c r="E209" s="98"/>
    </row>
    <row r="210" spans="1:5">
      <c r="B210" s="30" t="s">
        <v>96</v>
      </c>
      <c r="C210" s="9"/>
      <c r="D210" s="98"/>
      <c r="E210" s="98"/>
    </row>
    <row r="211" spans="1:5">
      <c r="B211" s="38" t="s">
        <v>97</v>
      </c>
      <c r="C211" s="9"/>
      <c r="D211" s="98"/>
      <c r="E211" s="98"/>
    </row>
    <row r="212" spans="1:5">
      <c r="B212" s="38" t="s">
        <v>98</v>
      </c>
      <c r="C212" s="9">
        <v>7</v>
      </c>
      <c r="D212" s="98" t="s">
        <v>403</v>
      </c>
      <c r="E212" s="98"/>
    </row>
    <row r="213" spans="1:5">
      <c r="B213" s="38" t="s">
        <v>99</v>
      </c>
      <c r="C213" s="9">
        <v>7</v>
      </c>
      <c r="D213" s="98" t="s">
        <v>404</v>
      </c>
      <c r="E213" s="98"/>
    </row>
    <row r="214" spans="1:5">
      <c r="B214" s="38" t="s">
        <v>100</v>
      </c>
      <c r="C214" s="9">
        <v>7</v>
      </c>
      <c r="D214" s="98" t="s">
        <v>405</v>
      </c>
      <c r="E214" s="98"/>
    </row>
    <row r="215" spans="1:5">
      <c r="B215" s="38" t="s">
        <v>101</v>
      </c>
      <c r="C215" s="9">
        <v>7</v>
      </c>
      <c r="D215" s="98" t="s">
        <v>406</v>
      </c>
      <c r="E215" s="98"/>
    </row>
    <row r="216" spans="1:5">
      <c r="B216" s="38" t="s">
        <v>102</v>
      </c>
      <c r="C216" s="9">
        <v>7</v>
      </c>
      <c r="D216" s="98" t="s">
        <v>407</v>
      </c>
      <c r="E216" s="98"/>
    </row>
    <row r="217" spans="1:5" s="117" customFormat="1">
      <c r="A217" s="117">
        <v>7</v>
      </c>
      <c r="B217" s="119"/>
      <c r="C217" s="19">
        <v>7</v>
      </c>
      <c r="D217" s="113"/>
      <c r="E217" s="113">
        <f>SUM(E212:E216)</f>
        <v>0</v>
      </c>
    </row>
    <row r="218" spans="1:5">
      <c r="B218" s="29"/>
      <c r="C218" s="9"/>
      <c r="D218" s="98"/>
      <c r="E218" s="98"/>
    </row>
    <row r="219" spans="1:5">
      <c r="B219" s="30" t="s">
        <v>103</v>
      </c>
      <c r="C219" s="9"/>
      <c r="D219" s="98"/>
      <c r="E219" s="98"/>
    </row>
    <row r="220" spans="1:5">
      <c r="B220" s="29" t="s">
        <v>104</v>
      </c>
      <c r="C220" s="9">
        <v>8</v>
      </c>
      <c r="D220" s="98" t="s">
        <v>408</v>
      </c>
      <c r="E220" s="98"/>
    </row>
    <row r="221" spans="1:5">
      <c r="B221" s="29" t="s">
        <v>105</v>
      </c>
      <c r="C221" s="9">
        <v>8</v>
      </c>
      <c r="D221" s="98" t="s">
        <v>409</v>
      </c>
      <c r="E221" s="98"/>
    </row>
    <row r="222" spans="1:5">
      <c r="B222" s="40" t="s">
        <v>106</v>
      </c>
      <c r="C222" s="9">
        <v>8</v>
      </c>
      <c r="D222" s="98" t="s">
        <v>410</v>
      </c>
      <c r="E222" s="98"/>
    </row>
    <row r="223" spans="1:5">
      <c r="B223" s="38"/>
      <c r="C223" s="9"/>
      <c r="D223" s="98"/>
      <c r="E223" s="98"/>
    </row>
    <row r="224" spans="1:5">
      <c r="B224" s="38"/>
      <c r="C224" s="9"/>
      <c r="D224" s="98"/>
      <c r="E224" s="98"/>
    </row>
    <row r="225" spans="1:5" s="117" customFormat="1">
      <c r="A225" s="117">
        <v>8</v>
      </c>
      <c r="B225" s="119"/>
      <c r="C225" s="19">
        <v>8</v>
      </c>
      <c r="D225" s="113"/>
      <c r="E225" s="113">
        <f>SUM(E220:E224)</f>
        <v>0</v>
      </c>
    </row>
    <row r="226" spans="1:5">
      <c r="B226" s="39" t="s">
        <v>107</v>
      </c>
      <c r="C226" s="9"/>
      <c r="D226" s="98"/>
      <c r="E226" s="98"/>
    </row>
    <row r="227" spans="1:5">
      <c r="B227" s="29" t="s">
        <v>108</v>
      </c>
      <c r="C227" s="9">
        <v>9</v>
      </c>
      <c r="D227" s="98" t="s">
        <v>411</v>
      </c>
      <c r="E227" s="98"/>
    </row>
    <row r="228" spans="1:5">
      <c r="B228" s="29" t="s">
        <v>109</v>
      </c>
      <c r="C228" s="9">
        <v>9</v>
      </c>
      <c r="D228" s="98" t="s">
        <v>412</v>
      </c>
      <c r="E228" s="98"/>
    </row>
    <row r="229" spans="1:5">
      <c r="B229" s="29" t="s">
        <v>110</v>
      </c>
      <c r="C229" s="9">
        <v>9</v>
      </c>
      <c r="D229" s="98" t="s">
        <v>413</v>
      </c>
      <c r="E229" s="98"/>
    </row>
    <row r="230" spans="1:5">
      <c r="B230" s="29" t="s">
        <v>111</v>
      </c>
      <c r="C230" s="9">
        <v>9</v>
      </c>
      <c r="D230" s="98" t="s">
        <v>414</v>
      </c>
      <c r="E230" s="98"/>
    </row>
    <row r="231" spans="1:5">
      <c r="B231" s="29" t="s">
        <v>112</v>
      </c>
      <c r="C231" s="9">
        <v>9</v>
      </c>
      <c r="D231" s="98" t="s">
        <v>415</v>
      </c>
      <c r="E231" s="98"/>
    </row>
    <row r="232" spans="1:5">
      <c r="B232" s="29" t="s">
        <v>113</v>
      </c>
      <c r="C232" s="9"/>
      <c r="D232" s="98"/>
      <c r="E232" s="98"/>
    </row>
    <row r="233" spans="1:5">
      <c r="B233" s="41" t="s">
        <v>114</v>
      </c>
      <c r="C233" s="9">
        <v>9</v>
      </c>
      <c r="D233" s="98" t="s">
        <v>416</v>
      </c>
      <c r="E233" s="98"/>
    </row>
    <row r="234" spans="1:5">
      <c r="B234" s="41" t="s">
        <v>115</v>
      </c>
      <c r="C234" s="9">
        <v>9</v>
      </c>
      <c r="D234" s="98" t="s">
        <v>417</v>
      </c>
      <c r="E234" s="98"/>
    </row>
    <row r="235" spans="1:5">
      <c r="B235" s="41" t="s">
        <v>116</v>
      </c>
      <c r="C235" s="9">
        <v>9</v>
      </c>
      <c r="D235" s="98" t="s">
        <v>418</v>
      </c>
      <c r="E235" s="98"/>
    </row>
    <row r="236" spans="1:5">
      <c r="B236" s="41" t="s">
        <v>117</v>
      </c>
      <c r="C236" s="9">
        <v>9</v>
      </c>
      <c r="D236" s="98" t="s">
        <v>419</v>
      </c>
      <c r="E236" s="98"/>
    </row>
    <row r="237" spans="1:5">
      <c r="B237" s="41" t="s">
        <v>118</v>
      </c>
      <c r="C237" s="9">
        <v>9</v>
      </c>
      <c r="D237" s="98" t="s">
        <v>420</v>
      </c>
      <c r="E237" s="98"/>
    </row>
    <row r="238" spans="1:5">
      <c r="B238" s="41" t="s">
        <v>119</v>
      </c>
      <c r="C238" s="9">
        <v>9</v>
      </c>
      <c r="D238" s="98" t="s">
        <v>421</v>
      </c>
      <c r="E238" s="98"/>
    </row>
    <row r="239" spans="1:5">
      <c r="B239" s="41" t="s">
        <v>120</v>
      </c>
      <c r="C239" s="9">
        <v>9</v>
      </c>
      <c r="D239" s="98" t="s">
        <v>422</v>
      </c>
      <c r="E239" s="98"/>
    </row>
    <row r="240" spans="1:5">
      <c r="B240" s="41" t="s">
        <v>121</v>
      </c>
      <c r="C240" s="9">
        <v>9</v>
      </c>
      <c r="D240" s="98" t="s">
        <v>423</v>
      </c>
      <c r="E240" s="98"/>
    </row>
    <row r="241" spans="1:5">
      <c r="B241" s="41" t="s">
        <v>122</v>
      </c>
      <c r="C241" s="9">
        <v>9</v>
      </c>
      <c r="D241" s="98" t="s">
        <v>424</v>
      </c>
      <c r="E241" s="98"/>
    </row>
    <row r="242" spans="1:5" s="117" customFormat="1">
      <c r="A242" s="117">
        <v>9</v>
      </c>
      <c r="B242" s="119"/>
      <c r="C242" s="19">
        <v>9</v>
      </c>
      <c r="D242" s="113"/>
      <c r="E242" s="113">
        <f>SUM(E233:E241,E227:E231)</f>
        <v>0</v>
      </c>
    </row>
    <row r="243" spans="1:5">
      <c r="B243" s="38"/>
      <c r="C243" s="9"/>
      <c r="D243" s="98"/>
      <c r="E243" s="98"/>
    </row>
    <row r="244" spans="1:5">
      <c r="B244" s="30" t="s">
        <v>123</v>
      </c>
      <c r="C244" s="9"/>
      <c r="D244" s="98"/>
      <c r="E244" s="98"/>
    </row>
    <row r="245" spans="1:5">
      <c r="B245" s="29" t="s">
        <v>92</v>
      </c>
      <c r="C245" s="9"/>
      <c r="D245" s="98"/>
      <c r="E245" s="98"/>
    </row>
    <row r="246" spans="1:5">
      <c r="B246" s="38" t="s">
        <v>93</v>
      </c>
      <c r="C246" s="9">
        <v>10</v>
      </c>
      <c r="D246" s="98" t="s">
        <v>425</v>
      </c>
      <c r="E246" s="98"/>
    </row>
    <row r="247" spans="1:5">
      <c r="B247" s="38"/>
      <c r="C247" s="9"/>
      <c r="D247" s="98"/>
      <c r="E247" s="98"/>
    </row>
    <row r="248" spans="1:5">
      <c r="B248" s="29" t="s">
        <v>124</v>
      </c>
      <c r="C248" s="9"/>
      <c r="D248" s="98"/>
      <c r="E248" s="98"/>
    </row>
    <row r="249" spans="1:5">
      <c r="B249" s="38" t="s">
        <v>125</v>
      </c>
      <c r="C249" s="9">
        <v>10</v>
      </c>
      <c r="D249" s="98" t="s">
        <v>426</v>
      </c>
      <c r="E249" s="98"/>
    </row>
    <row r="250" spans="1:5">
      <c r="B250" s="38" t="s">
        <v>126</v>
      </c>
      <c r="C250" s="9">
        <v>10</v>
      </c>
      <c r="D250" s="98" t="s">
        <v>427</v>
      </c>
      <c r="E250" s="98"/>
    </row>
    <row r="251" spans="1:5">
      <c r="B251" s="38" t="s">
        <v>127</v>
      </c>
      <c r="C251" s="9">
        <v>10</v>
      </c>
      <c r="D251" s="98" t="s">
        <v>428</v>
      </c>
      <c r="E251" s="98"/>
    </row>
    <row r="252" spans="1:5">
      <c r="B252" s="38" t="s">
        <v>128</v>
      </c>
      <c r="C252" s="9">
        <v>10</v>
      </c>
      <c r="D252" s="98" t="s">
        <v>429</v>
      </c>
      <c r="E252" s="98"/>
    </row>
    <row r="253" spans="1:5">
      <c r="B253" s="38" t="s">
        <v>129</v>
      </c>
      <c r="C253" s="9">
        <v>10</v>
      </c>
      <c r="D253" s="98" t="s">
        <v>430</v>
      </c>
      <c r="E253" s="98"/>
    </row>
    <row r="254" spans="1:5">
      <c r="B254" s="38" t="s">
        <v>130</v>
      </c>
      <c r="C254" s="9">
        <v>10</v>
      </c>
      <c r="D254" s="98" t="s">
        <v>431</v>
      </c>
      <c r="E254" s="98"/>
    </row>
    <row r="255" spans="1:5">
      <c r="B255" s="38" t="s">
        <v>131</v>
      </c>
      <c r="C255" s="9">
        <v>10</v>
      </c>
      <c r="D255" s="98" t="s">
        <v>432</v>
      </c>
      <c r="E255" s="98"/>
    </row>
    <row r="256" spans="1:5" s="117" customFormat="1">
      <c r="A256" s="117">
        <v>10</v>
      </c>
      <c r="B256" s="27"/>
      <c r="C256" s="19">
        <v>10</v>
      </c>
      <c r="D256" s="113"/>
      <c r="E256" s="113">
        <f>SUM(E249:E255,E246)</f>
        <v>0</v>
      </c>
    </row>
    <row r="257" spans="1:5">
      <c r="B257" s="29"/>
      <c r="C257" s="9"/>
      <c r="D257" s="98"/>
      <c r="E257" s="98"/>
    </row>
    <row r="258" spans="1:5">
      <c r="B258" s="30" t="s">
        <v>132</v>
      </c>
      <c r="C258" s="9"/>
      <c r="D258" s="98"/>
      <c r="E258" s="98"/>
    </row>
    <row r="259" spans="1:5">
      <c r="B259" s="29" t="s">
        <v>133</v>
      </c>
      <c r="C259" s="9">
        <v>12</v>
      </c>
      <c r="D259" s="98" t="s">
        <v>433</v>
      </c>
      <c r="E259" s="98"/>
    </row>
    <row r="260" spans="1:5">
      <c r="B260" s="29" t="s">
        <v>134</v>
      </c>
      <c r="C260" s="9">
        <v>12</v>
      </c>
      <c r="D260" s="98" t="s">
        <v>434</v>
      </c>
      <c r="E260" s="98"/>
    </row>
    <row r="261" spans="1:5">
      <c r="B261" s="29" t="s">
        <v>135</v>
      </c>
      <c r="C261" s="9">
        <v>12</v>
      </c>
      <c r="D261" s="98" t="s">
        <v>435</v>
      </c>
      <c r="E261" s="98"/>
    </row>
    <row r="262" spans="1:5">
      <c r="B262" s="29" t="s">
        <v>136</v>
      </c>
      <c r="C262" s="9">
        <v>12</v>
      </c>
      <c r="D262" s="98" t="s">
        <v>436</v>
      </c>
      <c r="E262" s="98"/>
    </row>
    <row r="263" spans="1:5">
      <c r="B263" s="29" t="s">
        <v>137</v>
      </c>
      <c r="C263" s="9">
        <v>12</v>
      </c>
      <c r="D263" s="98" t="s">
        <v>437</v>
      </c>
      <c r="E263" s="98"/>
    </row>
    <row r="264" spans="1:5">
      <c r="B264" s="29" t="s">
        <v>138</v>
      </c>
      <c r="C264" s="9">
        <v>12</v>
      </c>
      <c r="D264" s="98" t="s">
        <v>438</v>
      </c>
      <c r="E264" s="98"/>
    </row>
    <row r="265" spans="1:5">
      <c r="B265" s="29" t="s">
        <v>139</v>
      </c>
      <c r="C265" s="9">
        <v>12</v>
      </c>
      <c r="D265" s="98" t="s">
        <v>439</v>
      </c>
      <c r="E265" s="98"/>
    </row>
    <row r="266" spans="1:5">
      <c r="B266" s="29" t="s">
        <v>140</v>
      </c>
      <c r="C266" s="9">
        <v>12</v>
      </c>
      <c r="D266" s="98" t="s">
        <v>440</v>
      </c>
      <c r="E266" s="98"/>
    </row>
    <row r="267" spans="1:5">
      <c r="B267" s="29" t="s">
        <v>141</v>
      </c>
      <c r="C267" s="9">
        <v>12</v>
      </c>
      <c r="D267" s="98" t="s">
        <v>441</v>
      </c>
      <c r="E267" s="98"/>
    </row>
    <row r="268" spans="1:5">
      <c r="B268" s="29" t="s">
        <v>142</v>
      </c>
      <c r="C268" s="9">
        <v>12</v>
      </c>
      <c r="D268" s="98" t="s">
        <v>442</v>
      </c>
      <c r="E268" s="98"/>
    </row>
    <row r="269" spans="1:5" s="117" customFormat="1">
      <c r="A269" s="117">
        <v>12</v>
      </c>
      <c r="B269" s="27"/>
      <c r="C269" s="19">
        <v>12</v>
      </c>
      <c r="D269" s="113"/>
      <c r="E269" s="113">
        <f>SUM(E259:E268)</f>
        <v>0</v>
      </c>
    </row>
    <row r="270" spans="1:5">
      <c r="B270" s="24"/>
      <c r="C270" s="9"/>
      <c r="D270" s="98"/>
      <c r="E270" s="98"/>
    </row>
    <row r="271" spans="1:5">
      <c r="B271" s="30" t="s">
        <v>143</v>
      </c>
      <c r="C271" s="9">
        <v>13</v>
      </c>
      <c r="D271" s="98" t="s">
        <v>443</v>
      </c>
      <c r="E271" s="98"/>
    </row>
    <row r="272" spans="1:5">
      <c r="B272" s="30"/>
      <c r="C272" s="9"/>
      <c r="D272" s="98"/>
      <c r="E272" s="98"/>
    </row>
    <row r="273" spans="1:5" s="117" customFormat="1">
      <c r="A273" s="117">
        <v>13</v>
      </c>
      <c r="B273" s="37"/>
      <c r="C273" s="19">
        <v>13</v>
      </c>
      <c r="D273" s="113"/>
      <c r="E273" s="113">
        <f>+E271</f>
        <v>0</v>
      </c>
    </row>
    <row r="274" spans="1:5">
      <c r="B274" s="24"/>
      <c r="C274" s="9"/>
      <c r="D274" s="98"/>
      <c r="E274" s="98"/>
    </row>
    <row r="275" spans="1:5">
      <c r="B275" s="30" t="s">
        <v>144</v>
      </c>
      <c r="C275" s="9"/>
      <c r="D275" s="98"/>
      <c r="E275" s="98"/>
    </row>
    <row r="276" spans="1:5">
      <c r="B276" s="38" t="s">
        <v>145</v>
      </c>
      <c r="C276" s="9"/>
      <c r="D276" s="98"/>
      <c r="E276" s="98"/>
    </row>
    <row r="277" spans="1:5">
      <c r="B277" s="38" t="s">
        <v>146</v>
      </c>
      <c r="C277" s="9">
        <v>14</v>
      </c>
      <c r="D277" s="98" t="s">
        <v>444</v>
      </c>
      <c r="E277" s="98"/>
    </row>
    <row r="278" spans="1:5">
      <c r="B278" s="38" t="s">
        <v>147</v>
      </c>
      <c r="C278" s="9">
        <v>14</v>
      </c>
      <c r="D278" s="98" t="s">
        <v>445</v>
      </c>
      <c r="E278" s="98"/>
    </row>
    <row r="279" spans="1:5">
      <c r="B279" s="38" t="s">
        <v>148</v>
      </c>
      <c r="C279" s="9">
        <v>14</v>
      </c>
      <c r="D279" s="98" t="s">
        <v>446</v>
      </c>
      <c r="E279" s="98"/>
    </row>
    <row r="280" spans="1:5">
      <c r="B280" s="38" t="s">
        <v>149</v>
      </c>
      <c r="C280" s="9">
        <v>14</v>
      </c>
      <c r="D280" s="98" t="s">
        <v>447</v>
      </c>
      <c r="E280" s="98"/>
    </row>
    <row r="281" spans="1:5">
      <c r="B281" s="42"/>
      <c r="C281" s="80"/>
      <c r="D281" s="105"/>
      <c r="E281" s="105"/>
    </row>
    <row r="282" spans="1:5">
      <c r="B282" s="38" t="s">
        <v>150</v>
      </c>
      <c r="C282" s="9"/>
      <c r="D282" s="98"/>
      <c r="E282" s="98"/>
    </row>
    <row r="283" spans="1:5">
      <c r="B283" s="38" t="s">
        <v>146</v>
      </c>
      <c r="C283" s="9">
        <v>14</v>
      </c>
      <c r="D283" s="98" t="s">
        <v>448</v>
      </c>
      <c r="E283" s="98"/>
    </row>
    <row r="284" spans="1:5">
      <c r="B284" s="38" t="s">
        <v>147</v>
      </c>
      <c r="C284" s="9">
        <v>14</v>
      </c>
      <c r="D284" s="98" t="s">
        <v>449</v>
      </c>
      <c r="E284" s="98"/>
    </row>
    <row r="285" spans="1:5">
      <c r="B285" s="38" t="s">
        <v>148</v>
      </c>
      <c r="C285" s="9">
        <v>14</v>
      </c>
      <c r="D285" s="98" t="s">
        <v>450</v>
      </c>
      <c r="E285" s="98"/>
    </row>
    <row r="286" spans="1:5">
      <c r="B286" s="38" t="s">
        <v>149</v>
      </c>
      <c r="C286" s="9">
        <v>14</v>
      </c>
      <c r="D286" s="98" t="s">
        <v>451</v>
      </c>
      <c r="E286" s="98"/>
    </row>
    <row r="287" spans="1:5">
      <c r="B287" s="42"/>
      <c r="C287" s="80"/>
      <c r="D287" s="105"/>
      <c r="E287" s="105"/>
    </row>
    <row r="288" spans="1:5">
      <c r="B288" s="38" t="s">
        <v>151</v>
      </c>
      <c r="C288" s="9"/>
      <c r="D288" s="98"/>
      <c r="E288" s="98"/>
    </row>
    <row r="289" spans="2:5">
      <c r="B289" s="38" t="s">
        <v>146</v>
      </c>
      <c r="C289" s="9">
        <v>14</v>
      </c>
      <c r="D289" s="98" t="s">
        <v>452</v>
      </c>
      <c r="E289" s="98"/>
    </row>
    <row r="290" spans="2:5">
      <c r="B290" s="38" t="s">
        <v>147</v>
      </c>
      <c r="C290" s="9">
        <v>14</v>
      </c>
      <c r="D290" s="98" t="s">
        <v>453</v>
      </c>
      <c r="E290" s="98"/>
    </row>
    <row r="291" spans="2:5">
      <c r="B291" s="43" t="s">
        <v>152</v>
      </c>
      <c r="C291" s="9">
        <v>14</v>
      </c>
      <c r="D291" s="98" t="s">
        <v>454</v>
      </c>
      <c r="E291" s="98"/>
    </row>
    <row r="292" spans="2:5">
      <c r="B292" s="38" t="s">
        <v>148</v>
      </c>
      <c r="C292" s="9">
        <v>14</v>
      </c>
      <c r="D292" s="98" t="s">
        <v>455</v>
      </c>
      <c r="E292" s="98"/>
    </row>
    <row r="293" spans="2:5">
      <c r="B293" s="38" t="s">
        <v>149</v>
      </c>
      <c r="C293" s="9">
        <v>14</v>
      </c>
      <c r="D293" s="98" t="s">
        <v>456</v>
      </c>
      <c r="E293" s="98"/>
    </row>
    <row r="294" spans="2:5">
      <c r="B294" s="42"/>
      <c r="C294" s="80"/>
      <c r="D294" s="105"/>
      <c r="E294" s="105"/>
    </row>
    <row r="295" spans="2:5">
      <c r="B295" s="38" t="s">
        <v>153</v>
      </c>
      <c r="C295" s="9"/>
      <c r="D295" s="98"/>
      <c r="E295" s="98"/>
    </row>
    <row r="296" spans="2:5">
      <c r="B296" s="38" t="s">
        <v>146</v>
      </c>
      <c r="C296" s="9">
        <v>14</v>
      </c>
      <c r="D296" s="98" t="s">
        <v>457</v>
      </c>
      <c r="E296" s="98"/>
    </row>
    <row r="297" spans="2:5">
      <c r="B297" s="38" t="s">
        <v>147</v>
      </c>
      <c r="C297" s="9">
        <v>14</v>
      </c>
      <c r="D297" s="98" t="s">
        <v>458</v>
      </c>
      <c r="E297" s="98"/>
    </row>
    <row r="298" spans="2:5">
      <c r="B298" s="44" t="s">
        <v>154</v>
      </c>
      <c r="C298" s="9">
        <v>14</v>
      </c>
      <c r="D298" s="98"/>
      <c r="E298" s="98"/>
    </row>
    <row r="299" spans="2:5">
      <c r="B299" s="38" t="s">
        <v>155</v>
      </c>
      <c r="C299" s="9">
        <v>14</v>
      </c>
      <c r="D299" s="98" t="s">
        <v>459</v>
      </c>
      <c r="E299" s="98"/>
    </row>
    <row r="300" spans="2:5">
      <c r="B300" s="38" t="s">
        <v>156</v>
      </c>
      <c r="C300" s="9">
        <v>14</v>
      </c>
      <c r="D300" s="98" t="s">
        <v>460</v>
      </c>
      <c r="E300" s="98"/>
    </row>
    <row r="301" spans="2:5">
      <c r="B301" s="38" t="s">
        <v>157</v>
      </c>
      <c r="C301" s="9">
        <v>14</v>
      </c>
      <c r="D301" s="98" t="s">
        <v>461</v>
      </c>
      <c r="E301" s="98"/>
    </row>
    <row r="302" spans="2:5">
      <c r="B302" s="38" t="s">
        <v>158</v>
      </c>
      <c r="C302" s="9">
        <v>14</v>
      </c>
      <c r="D302" s="98" t="s">
        <v>462</v>
      </c>
      <c r="E302" s="98"/>
    </row>
    <row r="303" spans="2:5">
      <c r="B303" s="38" t="s">
        <v>159</v>
      </c>
      <c r="C303" s="9">
        <v>14</v>
      </c>
      <c r="D303" s="98" t="s">
        <v>463</v>
      </c>
      <c r="E303" s="98"/>
    </row>
    <row r="304" spans="2:5">
      <c r="B304" s="38" t="s">
        <v>148</v>
      </c>
      <c r="C304" s="9">
        <v>14</v>
      </c>
      <c r="D304" s="98" t="s">
        <v>464</v>
      </c>
      <c r="E304" s="98"/>
    </row>
    <row r="305" spans="1:5">
      <c r="B305" s="38" t="s">
        <v>149</v>
      </c>
      <c r="C305" s="9">
        <v>14</v>
      </c>
      <c r="D305" s="98" t="s">
        <v>465</v>
      </c>
      <c r="E305" s="98"/>
    </row>
    <row r="306" spans="1:5">
      <c r="B306" s="42"/>
      <c r="C306" s="80"/>
      <c r="D306" s="105"/>
      <c r="E306" s="105"/>
    </row>
    <row r="307" spans="1:5">
      <c r="B307" s="38"/>
      <c r="C307" s="9"/>
      <c r="D307" s="98"/>
      <c r="E307" s="98"/>
    </row>
    <row r="308" spans="1:5" s="117" customFormat="1">
      <c r="A308" s="117">
        <v>14</v>
      </c>
      <c r="B308" s="27"/>
      <c r="C308" s="19">
        <v>14</v>
      </c>
      <c r="D308" s="113"/>
      <c r="E308" s="113">
        <f>SUM(E296:E305,E289:E293,E283:E286,E277:E280)</f>
        <v>0</v>
      </c>
    </row>
    <row r="309" spans="1:5">
      <c r="B309" s="24"/>
      <c r="C309" s="9"/>
      <c r="D309" s="98"/>
      <c r="E309" s="98"/>
    </row>
    <row r="310" spans="1:5">
      <c r="B310" s="30" t="s">
        <v>160</v>
      </c>
      <c r="C310" s="9"/>
      <c r="D310" s="98"/>
      <c r="E310" s="98"/>
    </row>
    <row r="311" spans="1:5">
      <c r="B311" s="38"/>
      <c r="C311" s="9"/>
      <c r="D311" s="98"/>
      <c r="E311" s="98"/>
    </row>
    <row r="312" spans="1:5">
      <c r="B312" s="38" t="s">
        <v>161</v>
      </c>
      <c r="C312" s="9">
        <v>15</v>
      </c>
      <c r="D312" s="98" t="s">
        <v>466</v>
      </c>
      <c r="E312" s="98"/>
    </row>
    <row r="313" spans="1:5">
      <c r="B313" s="38" t="s">
        <v>162</v>
      </c>
      <c r="C313" s="9">
        <v>15</v>
      </c>
      <c r="D313" s="98" t="s">
        <v>467</v>
      </c>
      <c r="E313" s="98"/>
    </row>
    <row r="314" spans="1:5">
      <c r="B314" s="38" t="s">
        <v>163</v>
      </c>
      <c r="C314" s="9">
        <v>15</v>
      </c>
      <c r="D314" s="98" t="s">
        <v>468</v>
      </c>
      <c r="E314" s="98"/>
    </row>
    <row r="315" spans="1:5" s="117" customFormat="1">
      <c r="A315" s="117">
        <v>15</v>
      </c>
      <c r="B315" s="119"/>
      <c r="C315" s="19">
        <v>15</v>
      </c>
      <c r="D315" s="113"/>
      <c r="E315" s="113">
        <f>SUM(E312:E314)</f>
        <v>0</v>
      </c>
    </row>
    <row r="316" spans="1:5">
      <c r="B316" s="38"/>
      <c r="C316" s="9"/>
      <c r="D316" s="98"/>
      <c r="E316" s="98"/>
    </row>
    <row r="317" spans="1:5">
      <c r="B317" s="30" t="s">
        <v>164</v>
      </c>
      <c r="C317" s="9"/>
      <c r="D317" s="98"/>
      <c r="E317" s="98"/>
    </row>
    <row r="318" spans="1:5">
      <c r="B318" s="38" t="s">
        <v>165</v>
      </c>
      <c r="C318" s="9">
        <v>16</v>
      </c>
      <c r="D318" s="98" t="s">
        <v>469</v>
      </c>
      <c r="E318" s="98"/>
    </row>
    <row r="319" spans="1:5">
      <c r="B319" s="38" t="s">
        <v>166</v>
      </c>
      <c r="C319" s="9">
        <v>16</v>
      </c>
      <c r="D319" s="98" t="s">
        <v>470</v>
      </c>
      <c r="E319" s="98"/>
    </row>
    <row r="320" spans="1:5">
      <c r="B320" s="38" t="s">
        <v>167</v>
      </c>
      <c r="C320" s="9">
        <v>16</v>
      </c>
      <c r="D320" s="98" t="s">
        <v>471</v>
      </c>
      <c r="E320" s="98"/>
    </row>
    <row r="321" spans="1:5">
      <c r="B321" s="38" t="s">
        <v>168</v>
      </c>
      <c r="C321" s="9">
        <v>16</v>
      </c>
      <c r="D321" s="98" t="s">
        <v>472</v>
      </c>
      <c r="E321" s="98"/>
    </row>
    <row r="322" spans="1:5">
      <c r="B322" s="38" t="s">
        <v>169</v>
      </c>
      <c r="C322" s="9">
        <v>16</v>
      </c>
      <c r="D322" s="98" t="s">
        <v>473</v>
      </c>
      <c r="E322" s="98"/>
    </row>
    <row r="323" spans="1:5">
      <c r="B323" s="38" t="s">
        <v>170</v>
      </c>
      <c r="C323" s="9">
        <v>16</v>
      </c>
      <c r="D323" s="98" t="s">
        <v>474</v>
      </c>
      <c r="E323" s="98"/>
    </row>
    <row r="324" spans="1:5">
      <c r="B324" s="38" t="s">
        <v>171</v>
      </c>
      <c r="C324" s="9">
        <v>16</v>
      </c>
      <c r="D324" s="98" t="s">
        <v>475</v>
      </c>
      <c r="E324" s="98"/>
    </row>
    <row r="325" spans="1:5" s="117" customFormat="1">
      <c r="A325" s="117">
        <v>16</v>
      </c>
      <c r="B325" s="37"/>
      <c r="C325" s="19">
        <v>16</v>
      </c>
      <c r="D325" s="113"/>
      <c r="E325" s="113">
        <f>SUM(E318:E324)</f>
        <v>0</v>
      </c>
    </row>
    <row r="326" spans="1:5">
      <c r="B326" s="29"/>
      <c r="C326" s="9"/>
      <c r="D326" s="98"/>
      <c r="E326" s="98"/>
    </row>
    <row r="327" spans="1:5">
      <c r="B327" s="30" t="s">
        <v>172</v>
      </c>
      <c r="C327" s="85"/>
      <c r="D327" s="109"/>
      <c r="E327" s="109"/>
    </row>
    <row r="328" spans="1:5">
      <c r="B328" s="29" t="s">
        <v>173</v>
      </c>
      <c r="C328" s="9">
        <v>17</v>
      </c>
      <c r="D328" s="98" t="s">
        <v>476</v>
      </c>
      <c r="E328" s="98"/>
    </row>
    <row r="329" spans="1:5">
      <c r="B329" s="29" t="s">
        <v>174</v>
      </c>
      <c r="C329" s="9">
        <v>17</v>
      </c>
      <c r="D329" s="98" t="s">
        <v>477</v>
      </c>
      <c r="E329" s="98"/>
    </row>
    <row r="330" spans="1:5">
      <c r="B330" s="29" t="s">
        <v>175</v>
      </c>
      <c r="C330" s="9">
        <v>17</v>
      </c>
      <c r="D330" s="98" t="s">
        <v>478</v>
      </c>
      <c r="E330" s="98"/>
    </row>
    <row r="331" spans="1:5">
      <c r="B331" s="29" t="s">
        <v>176</v>
      </c>
      <c r="C331" s="9">
        <v>17</v>
      </c>
      <c r="D331" s="98" t="s">
        <v>479</v>
      </c>
      <c r="E331" s="98"/>
    </row>
    <row r="332" spans="1:5">
      <c r="B332" s="29" t="s">
        <v>177</v>
      </c>
      <c r="C332" s="9">
        <v>17</v>
      </c>
      <c r="D332" s="98" t="s">
        <v>480</v>
      </c>
      <c r="E332" s="98"/>
    </row>
    <row r="333" spans="1:5">
      <c r="B333" s="29" t="s">
        <v>178</v>
      </c>
      <c r="C333" s="9">
        <v>17</v>
      </c>
      <c r="D333" s="98" t="s">
        <v>481</v>
      </c>
      <c r="E333" s="98"/>
    </row>
    <row r="334" spans="1:5">
      <c r="B334" s="29" t="s">
        <v>179</v>
      </c>
      <c r="C334" s="9">
        <v>17</v>
      </c>
      <c r="D334" s="98" t="s">
        <v>482</v>
      </c>
      <c r="E334" s="98"/>
    </row>
    <row r="335" spans="1:5" s="117" customFormat="1">
      <c r="A335" s="117">
        <v>17</v>
      </c>
      <c r="B335" s="37"/>
      <c r="C335" s="19">
        <v>17</v>
      </c>
      <c r="D335" s="113"/>
      <c r="E335" s="113">
        <f>SUM(E328:E334)</f>
        <v>0</v>
      </c>
    </row>
    <row r="336" spans="1:5">
      <c r="B336" s="29"/>
      <c r="C336" s="9"/>
      <c r="D336" s="98"/>
      <c r="E336" s="98"/>
    </row>
    <row r="337" spans="2:5">
      <c r="B337" s="30" t="s">
        <v>180</v>
      </c>
      <c r="C337" s="9"/>
      <c r="D337" s="98"/>
      <c r="E337" s="98"/>
    </row>
    <row r="338" spans="2:5" ht="25.5">
      <c r="B338" s="44" t="s">
        <v>181</v>
      </c>
      <c r="C338" s="9"/>
      <c r="D338" s="98"/>
      <c r="E338" s="98"/>
    </row>
    <row r="339" spans="2:5">
      <c r="B339" s="38" t="s">
        <v>182</v>
      </c>
      <c r="C339" s="9">
        <v>18</v>
      </c>
      <c r="D339" s="98" t="s">
        <v>483</v>
      </c>
      <c r="E339" s="98"/>
    </row>
    <row r="340" spans="2:5">
      <c r="B340" s="38" t="s">
        <v>183</v>
      </c>
      <c r="C340" s="9">
        <v>18</v>
      </c>
      <c r="D340" s="98" t="s">
        <v>484</v>
      </c>
      <c r="E340" s="98"/>
    </row>
    <row r="341" spans="2:5">
      <c r="B341" s="38" t="s">
        <v>184</v>
      </c>
      <c r="C341" s="9">
        <v>18</v>
      </c>
      <c r="D341" s="98" t="s">
        <v>485</v>
      </c>
      <c r="E341" s="98"/>
    </row>
    <row r="342" spans="2:5">
      <c r="B342" s="38" t="s">
        <v>185</v>
      </c>
      <c r="C342" s="9">
        <v>18</v>
      </c>
      <c r="D342" s="98" t="s">
        <v>486</v>
      </c>
      <c r="E342" s="98"/>
    </row>
    <row r="343" spans="2:5">
      <c r="B343" s="42"/>
      <c r="C343" s="80"/>
      <c r="D343" s="105"/>
      <c r="E343" s="105"/>
    </row>
    <row r="344" spans="2:5">
      <c r="B344" s="30"/>
      <c r="C344" s="9"/>
      <c r="D344" s="98"/>
      <c r="E344" s="98"/>
    </row>
    <row r="345" spans="2:5" ht="25.5">
      <c r="B345" s="44" t="s">
        <v>186</v>
      </c>
      <c r="C345" s="9"/>
      <c r="D345" s="98"/>
      <c r="E345" s="98"/>
    </row>
    <row r="346" spans="2:5">
      <c r="B346" s="38" t="s">
        <v>182</v>
      </c>
      <c r="C346" s="9">
        <v>18</v>
      </c>
      <c r="D346" s="98" t="s">
        <v>487</v>
      </c>
      <c r="E346" s="98"/>
    </row>
    <row r="347" spans="2:5">
      <c r="B347" s="38" t="s">
        <v>183</v>
      </c>
      <c r="C347" s="9">
        <v>18</v>
      </c>
      <c r="D347" s="98" t="s">
        <v>488</v>
      </c>
      <c r="E347" s="98"/>
    </row>
    <row r="348" spans="2:5">
      <c r="B348" s="38" t="s">
        <v>184</v>
      </c>
      <c r="C348" s="9">
        <v>18</v>
      </c>
      <c r="D348" s="98" t="s">
        <v>489</v>
      </c>
      <c r="E348" s="98"/>
    </row>
    <row r="349" spans="2:5">
      <c r="B349" s="38" t="s">
        <v>185</v>
      </c>
      <c r="C349" s="9">
        <v>18</v>
      </c>
      <c r="D349" s="98" t="s">
        <v>490</v>
      </c>
      <c r="E349" s="98"/>
    </row>
    <row r="350" spans="2:5">
      <c r="B350" s="42"/>
      <c r="C350" s="80"/>
      <c r="D350" s="105"/>
      <c r="E350" s="105"/>
    </row>
    <row r="351" spans="2:5">
      <c r="B351" s="38" t="s">
        <v>187</v>
      </c>
      <c r="C351" s="9"/>
      <c r="D351" s="98"/>
      <c r="E351" s="98"/>
    </row>
    <row r="352" spans="2:5">
      <c r="B352" s="38" t="s">
        <v>182</v>
      </c>
      <c r="C352" s="9">
        <v>18</v>
      </c>
      <c r="D352" s="98" t="s">
        <v>491</v>
      </c>
      <c r="E352" s="98"/>
    </row>
    <row r="353" spans="1:5">
      <c r="B353" s="38" t="s">
        <v>183</v>
      </c>
      <c r="C353" s="9">
        <v>18</v>
      </c>
      <c r="D353" s="98" t="s">
        <v>492</v>
      </c>
      <c r="E353" s="98"/>
    </row>
    <row r="354" spans="1:5">
      <c r="B354" s="38" t="s">
        <v>184</v>
      </c>
      <c r="C354" s="9">
        <v>18</v>
      </c>
      <c r="D354" s="98" t="s">
        <v>493</v>
      </c>
      <c r="E354" s="98"/>
    </row>
    <row r="355" spans="1:5">
      <c r="B355" s="38" t="s">
        <v>185</v>
      </c>
      <c r="C355" s="9">
        <v>18</v>
      </c>
      <c r="D355" s="98" t="s">
        <v>493</v>
      </c>
      <c r="E355" s="98"/>
    </row>
    <row r="356" spans="1:5">
      <c r="B356" s="42"/>
      <c r="C356" s="80"/>
      <c r="D356" s="105"/>
      <c r="E356" s="105"/>
    </row>
    <row r="357" spans="1:5">
      <c r="B357" s="38"/>
      <c r="C357" s="9"/>
      <c r="D357" s="98"/>
      <c r="E357" s="98"/>
    </row>
    <row r="358" spans="1:5" s="117" customFormat="1">
      <c r="A358" s="117">
        <v>18</v>
      </c>
      <c r="B358" s="37"/>
      <c r="C358" s="19">
        <v>18</v>
      </c>
      <c r="D358" s="113"/>
      <c r="E358" s="113">
        <f>SUM(E352:E355,E346:E349,E339:E342)</f>
        <v>0</v>
      </c>
    </row>
    <row r="359" spans="1:5">
      <c r="B359" s="29"/>
      <c r="C359" s="9"/>
      <c r="D359" s="98"/>
      <c r="E359" s="98"/>
    </row>
    <row r="360" spans="1:5">
      <c r="B360" s="30" t="s">
        <v>188</v>
      </c>
      <c r="C360" s="9"/>
      <c r="D360" s="98"/>
      <c r="E360" s="98"/>
    </row>
    <row r="361" spans="1:5">
      <c r="B361" s="38" t="s">
        <v>189</v>
      </c>
      <c r="C361" s="9">
        <v>19</v>
      </c>
      <c r="D361" s="98" t="s">
        <v>494</v>
      </c>
      <c r="E361" s="98"/>
    </row>
    <row r="362" spans="1:5">
      <c r="B362" s="38" t="s">
        <v>190</v>
      </c>
      <c r="C362" s="9">
        <v>19</v>
      </c>
      <c r="D362" s="98" t="s">
        <v>495</v>
      </c>
      <c r="E362" s="98"/>
    </row>
    <row r="363" spans="1:5">
      <c r="B363" s="44" t="s">
        <v>191</v>
      </c>
      <c r="C363" s="9"/>
      <c r="D363" s="98"/>
      <c r="E363" s="98"/>
    </row>
    <row r="364" spans="1:5">
      <c r="B364" s="45" t="s">
        <v>192</v>
      </c>
      <c r="C364" s="9">
        <v>19</v>
      </c>
      <c r="D364" s="98" t="s">
        <v>496</v>
      </c>
      <c r="E364" s="98"/>
    </row>
    <row r="365" spans="1:5">
      <c r="B365" s="45" t="s">
        <v>193</v>
      </c>
      <c r="C365" s="9">
        <v>19</v>
      </c>
      <c r="D365" s="98" t="s">
        <v>497</v>
      </c>
      <c r="E365" s="98"/>
    </row>
    <row r="366" spans="1:5">
      <c r="B366" s="46"/>
      <c r="C366" s="9"/>
      <c r="D366" s="98"/>
      <c r="E366" s="98"/>
    </row>
    <row r="367" spans="1:5">
      <c r="B367" s="47" t="s">
        <v>194</v>
      </c>
      <c r="C367" s="80"/>
      <c r="D367" s="105"/>
      <c r="E367" s="105"/>
    </row>
    <row r="368" spans="1:5">
      <c r="B368" s="39"/>
      <c r="C368" s="9"/>
      <c r="D368" s="98"/>
      <c r="E368" s="98"/>
    </row>
    <row r="369" spans="1:5">
      <c r="B369" s="38" t="s">
        <v>195</v>
      </c>
      <c r="C369" s="9">
        <v>19</v>
      </c>
      <c r="D369" s="98" t="s">
        <v>498</v>
      </c>
      <c r="E369" s="98"/>
    </row>
    <row r="370" spans="1:5">
      <c r="B370" s="44" t="s">
        <v>196</v>
      </c>
      <c r="C370" s="9">
        <v>19</v>
      </c>
      <c r="D370" s="98" t="s">
        <v>499</v>
      </c>
      <c r="E370" s="98"/>
    </row>
    <row r="371" spans="1:5" ht="25.5">
      <c r="B371" s="44" t="s">
        <v>197</v>
      </c>
      <c r="C371" s="9">
        <v>19</v>
      </c>
      <c r="D371" s="102" t="s">
        <v>500</v>
      </c>
      <c r="E371" s="98"/>
    </row>
    <row r="372" spans="1:5" s="117" customFormat="1">
      <c r="A372" s="117">
        <v>19</v>
      </c>
      <c r="B372" s="37"/>
      <c r="C372" s="116">
        <v>19</v>
      </c>
      <c r="D372" s="113"/>
      <c r="E372" s="113">
        <f>SUM(E369:E371,E361:E365)</f>
        <v>0</v>
      </c>
    </row>
    <row r="373" spans="1:5">
      <c r="B373" s="29"/>
      <c r="C373" s="7"/>
      <c r="D373" s="98"/>
      <c r="E373" s="98"/>
    </row>
    <row r="374" spans="1:5">
      <c r="B374" s="30" t="s">
        <v>198</v>
      </c>
      <c r="C374" s="7"/>
      <c r="D374" s="98"/>
      <c r="E374" s="98"/>
    </row>
    <row r="375" spans="1:5">
      <c r="B375" s="39"/>
      <c r="C375" s="7"/>
      <c r="D375" s="98"/>
      <c r="E375" s="98"/>
    </row>
    <row r="376" spans="1:5">
      <c r="B376" s="38" t="s">
        <v>199</v>
      </c>
      <c r="C376" s="7"/>
      <c r="D376" s="98"/>
      <c r="E376" s="98"/>
    </row>
    <row r="377" spans="1:5">
      <c r="B377" s="38" t="s">
        <v>146</v>
      </c>
      <c r="C377" s="7">
        <v>20</v>
      </c>
      <c r="D377" s="98" t="s">
        <v>501</v>
      </c>
      <c r="E377" s="98"/>
    </row>
    <row r="378" spans="1:5">
      <c r="B378" s="38" t="s">
        <v>147</v>
      </c>
      <c r="C378" s="7">
        <v>20</v>
      </c>
      <c r="D378" s="98" t="s">
        <v>502</v>
      </c>
      <c r="E378" s="98"/>
    </row>
    <row r="379" spans="1:5">
      <c r="B379" s="38" t="s">
        <v>148</v>
      </c>
      <c r="C379" s="7">
        <v>20</v>
      </c>
      <c r="D379" s="98" t="s">
        <v>503</v>
      </c>
      <c r="E379" s="98"/>
    </row>
    <row r="380" spans="1:5">
      <c r="B380" s="38" t="s">
        <v>200</v>
      </c>
      <c r="C380" s="7">
        <v>20</v>
      </c>
      <c r="D380" s="98" t="s">
        <v>504</v>
      </c>
      <c r="E380" s="98"/>
    </row>
    <row r="381" spans="1:5">
      <c r="B381" s="48"/>
      <c r="C381" s="23"/>
      <c r="D381" s="105"/>
      <c r="E381" s="105"/>
    </row>
    <row r="382" spans="1:5">
      <c r="B382" s="38" t="s">
        <v>201</v>
      </c>
      <c r="C382" s="7"/>
      <c r="D382" s="98"/>
      <c r="E382" s="98"/>
    </row>
    <row r="383" spans="1:5">
      <c r="B383" s="38" t="s">
        <v>146</v>
      </c>
      <c r="C383" s="7">
        <v>20</v>
      </c>
      <c r="D383" s="98" t="s">
        <v>505</v>
      </c>
      <c r="E383" s="98"/>
    </row>
    <row r="384" spans="1:5">
      <c r="B384" s="38" t="s">
        <v>147</v>
      </c>
      <c r="C384" s="7">
        <v>20</v>
      </c>
      <c r="D384" s="98" t="s">
        <v>506</v>
      </c>
      <c r="E384" s="98"/>
    </row>
    <row r="385" spans="2:5">
      <c r="B385" s="38" t="s">
        <v>154</v>
      </c>
      <c r="C385" s="7">
        <v>20</v>
      </c>
      <c r="D385" s="98"/>
      <c r="E385" s="98"/>
    </row>
    <row r="386" spans="2:5">
      <c r="B386" s="38" t="s">
        <v>159</v>
      </c>
      <c r="C386" s="7">
        <v>20</v>
      </c>
      <c r="D386" s="98" t="s">
        <v>507</v>
      </c>
      <c r="E386" s="98"/>
    </row>
    <row r="387" spans="2:5">
      <c r="B387" s="38" t="s">
        <v>155</v>
      </c>
      <c r="C387" s="7">
        <v>20</v>
      </c>
      <c r="D387" s="98" t="s">
        <v>508</v>
      </c>
      <c r="E387" s="98"/>
    </row>
    <row r="388" spans="2:5">
      <c r="B388" s="38" t="s">
        <v>156</v>
      </c>
      <c r="C388" s="7">
        <v>20</v>
      </c>
      <c r="D388" s="98" t="s">
        <v>509</v>
      </c>
      <c r="E388" s="98"/>
    </row>
    <row r="389" spans="2:5">
      <c r="B389" s="38" t="s">
        <v>202</v>
      </c>
      <c r="C389" s="7">
        <v>20</v>
      </c>
      <c r="D389" s="98" t="s">
        <v>510</v>
      </c>
      <c r="E389" s="98"/>
    </row>
    <row r="390" spans="2:5">
      <c r="B390" s="38" t="s">
        <v>157</v>
      </c>
      <c r="C390" s="7">
        <v>20</v>
      </c>
      <c r="D390" s="98" t="s">
        <v>511</v>
      </c>
      <c r="E390" s="98"/>
    </row>
    <row r="391" spans="2:5">
      <c r="B391" s="38" t="s">
        <v>158</v>
      </c>
      <c r="C391" s="7">
        <v>20</v>
      </c>
      <c r="D391" s="98" t="s">
        <v>512</v>
      </c>
      <c r="E391" s="98"/>
    </row>
    <row r="392" spans="2:5">
      <c r="B392" s="38" t="s">
        <v>203</v>
      </c>
      <c r="C392" s="7">
        <v>20</v>
      </c>
      <c r="D392" s="98" t="s">
        <v>513</v>
      </c>
      <c r="E392" s="98"/>
    </row>
    <row r="393" spans="2:5">
      <c r="B393" s="38" t="s">
        <v>204</v>
      </c>
      <c r="C393" s="7">
        <v>20</v>
      </c>
      <c r="D393" s="98" t="s">
        <v>514</v>
      </c>
      <c r="E393" s="98"/>
    </row>
    <row r="394" spans="2:5">
      <c r="B394" s="38" t="s">
        <v>205</v>
      </c>
      <c r="C394" s="7">
        <v>20</v>
      </c>
      <c r="D394" s="98" t="s">
        <v>515</v>
      </c>
      <c r="E394" s="98"/>
    </row>
    <row r="395" spans="2:5">
      <c r="B395" s="38" t="s">
        <v>206</v>
      </c>
      <c r="C395" s="7">
        <v>20</v>
      </c>
      <c r="D395" s="98" t="s">
        <v>516</v>
      </c>
      <c r="E395" s="98"/>
    </row>
    <row r="396" spans="2:5">
      <c r="B396" s="38" t="s">
        <v>207</v>
      </c>
      <c r="C396" s="7">
        <v>20</v>
      </c>
      <c r="D396" s="98" t="s">
        <v>517</v>
      </c>
      <c r="E396" s="98"/>
    </row>
    <row r="397" spans="2:5">
      <c r="B397" s="38" t="s">
        <v>106</v>
      </c>
      <c r="C397" s="7">
        <v>20</v>
      </c>
      <c r="D397" s="98" t="s">
        <v>518</v>
      </c>
      <c r="E397" s="98"/>
    </row>
    <row r="398" spans="2:5">
      <c r="B398" s="38" t="s">
        <v>148</v>
      </c>
      <c r="C398" s="7">
        <v>20</v>
      </c>
      <c r="D398" s="98" t="s">
        <v>519</v>
      </c>
      <c r="E398" s="98"/>
    </row>
    <row r="399" spans="2:5">
      <c r="B399" s="38" t="s">
        <v>208</v>
      </c>
      <c r="C399" s="7">
        <v>20</v>
      </c>
      <c r="D399" s="98" t="s">
        <v>520</v>
      </c>
      <c r="E399" s="98"/>
    </row>
    <row r="400" spans="2:5">
      <c r="B400" s="42"/>
      <c r="C400" s="23"/>
      <c r="D400" s="105"/>
      <c r="E400" s="105"/>
    </row>
    <row r="401" spans="1:5">
      <c r="B401" s="38" t="s">
        <v>209</v>
      </c>
      <c r="C401" s="7"/>
      <c r="D401" s="98"/>
      <c r="E401" s="98"/>
    </row>
    <row r="402" spans="1:5">
      <c r="B402" s="38" t="s">
        <v>146</v>
      </c>
      <c r="C402" s="7">
        <v>20</v>
      </c>
      <c r="D402" s="98" t="s">
        <v>521</v>
      </c>
      <c r="E402" s="98"/>
    </row>
    <row r="403" spans="1:5">
      <c r="B403" s="38" t="s">
        <v>210</v>
      </c>
      <c r="C403" s="7">
        <v>20</v>
      </c>
      <c r="D403" s="98" t="s">
        <v>522</v>
      </c>
      <c r="E403" s="98"/>
    </row>
    <row r="404" spans="1:5">
      <c r="B404" s="38" t="s">
        <v>148</v>
      </c>
      <c r="C404" s="7">
        <v>20</v>
      </c>
      <c r="D404" s="98" t="s">
        <v>523</v>
      </c>
      <c r="E404" s="98"/>
    </row>
    <row r="405" spans="1:5">
      <c r="B405" s="38" t="s">
        <v>149</v>
      </c>
      <c r="C405" s="7">
        <v>20</v>
      </c>
      <c r="D405" s="98" t="s">
        <v>524</v>
      </c>
      <c r="E405" s="98"/>
    </row>
    <row r="406" spans="1:5" s="117" customFormat="1">
      <c r="A406" s="117">
        <v>20</v>
      </c>
      <c r="B406" s="37"/>
      <c r="C406" s="116">
        <v>20</v>
      </c>
      <c r="D406" s="113"/>
      <c r="E406" s="113">
        <f>SUM(E402:E405,E383:E399,E377:E380)</f>
        <v>0</v>
      </c>
    </row>
    <row r="407" spans="1:5">
      <c r="B407" s="29"/>
      <c r="C407" s="7"/>
      <c r="D407" s="98"/>
      <c r="E407" s="98"/>
    </row>
    <row r="408" spans="1:5">
      <c r="B408" s="30" t="s">
        <v>211</v>
      </c>
      <c r="C408" s="7"/>
      <c r="D408" s="98"/>
      <c r="E408" s="98"/>
    </row>
    <row r="409" spans="1:5">
      <c r="B409" s="38" t="s">
        <v>212</v>
      </c>
      <c r="C409" s="7">
        <v>21</v>
      </c>
      <c r="D409" s="98" t="s">
        <v>525</v>
      </c>
      <c r="E409" s="98"/>
    </row>
    <row r="410" spans="1:5">
      <c r="B410" s="38" t="s">
        <v>213</v>
      </c>
      <c r="C410" s="7">
        <v>21</v>
      </c>
      <c r="D410" s="98" t="s">
        <v>526</v>
      </c>
      <c r="E410" s="98"/>
    </row>
    <row r="411" spans="1:5">
      <c r="B411" s="38" t="s">
        <v>106</v>
      </c>
      <c r="C411" s="7">
        <v>21</v>
      </c>
      <c r="D411" s="98" t="s">
        <v>527</v>
      </c>
      <c r="E411" s="98"/>
    </row>
    <row r="412" spans="1:5" s="117" customFormat="1">
      <c r="A412" s="117">
        <v>21</v>
      </c>
      <c r="B412" s="37"/>
      <c r="C412" s="116">
        <v>21</v>
      </c>
      <c r="D412" s="113"/>
      <c r="E412" s="113">
        <f>SUM(E409:E411)</f>
        <v>0</v>
      </c>
    </row>
    <row r="414" spans="1:5">
      <c r="B414" s="66" t="s">
        <v>248</v>
      </c>
      <c r="C414" s="23"/>
      <c r="D414" s="105"/>
      <c r="E414" s="105"/>
    </row>
    <row r="415" spans="1:5">
      <c r="B415" s="67"/>
      <c r="C415" s="7"/>
      <c r="D415" s="98"/>
      <c r="E415" s="98"/>
    </row>
    <row r="416" spans="1:5">
      <c r="B416" s="68" t="s">
        <v>249</v>
      </c>
      <c r="C416" s="7">
        <v>22</v>
      </c>
      <c r="D416" s="98" t="s">
        <v>528</v>
      </c>
      <c r="E416" s="98"/>
    </row>
    <row r="417" spans="1:5">
      <c r="B417" s="68" t="s">
        <v>250</v>
      </c>
      <c r="C417" s="7">
        <v>22</v>
      </c>
      <c r="D417" s="98" t="s">
        <v>529</v>
      </c>
      <c r="E417" s="98"/>
    </row>
    <row r="418" spans="1:5">
      <c r="B418" s="68" t="s">
        <v>251</v>
      </c>
      <c r="C418" s="7">
        <v>22</v>
      </c>
      <c r="D418" s="98" t="s">
        <v>530</v>
      </c>
      <c r="E418" s="98"/>
    </row>
    <row r="419" spans="1:5" s="117" customFormat="1">
      <c r="A419" s="117">
        <v>22</v>
      </c>
      <c r="B419" s="115"/>
      <c r="C419" s="116">
        <v>22</v>
      </c>
      <c r="D419" s="113"/>
      <c r="E419" s="113">
        <f>SUM(E416:E418)</f>
        <v>0</v>
      </c>
    </row>
    <row r="420" spans="1:5">
      <c r="B420" s="68"/>
      <c r="C420" s="7"/>
      <c r="D420" s="98"/>
      <c r="E420" s="98"/>
    </row>
    <row r="421" spans="1:5">
      <c r="B421" s="67" t="s">
        <v>218</v>
      </c>
      <c r="C421" s="7"/>
      <c r="D421" s="98"/>
      <c r="E421" s="98"/>
    </row>
    <row r="422" spans="1:5">
      <c r="B422" s="68"/>
      <c r="C422" s="7"/>
      <c r="D422" s="98"/>
      <c r="E422" s="98"/>
    </row>
    <row r="423" spans="1:5">
      <c r="B423" s="68" t="s">
        <v>252</v>
      </c>
      <c r="C423" s="7"/>
      <c r="D423" s="98"/>
      <c r="E423" s="98"/>
    </row>
    <row r="424" spans="1:5">
      <c r="B424" s="70" t="s">
        <v>253</v>
      </c>
      <c r="C424" s="7">
        <v>23</v>
      </c>
      <c r="D424" s="98" t="s">
        <v>531</v>
      </c>
      <c r="E424" s="98"/>
    </row>
    <row r="425" spans="1:5">
      <c r="B425" s="70" t="s">
        <v>254</v>
      </c>
      <c r="C425" s="7">
        <v>23</v>
      </c>
      <c r="D425" s="98" t="s">
        <v>532</v>
      </c>
      <c r="E425" s="98"/>
    </row>
    <row r="426" spans="1:5">
      <c r="B426" s="68" t="s">
        <v>255</v>
      </c>
      <c r="C426" s="7"/>
      <c r="D426" s="98"/>
      <c r="E426" s="98"/>
    </row>
    <row r="427" spans="1:5">
      <c r="B427" s="70" t="s">
        <v>256</v>
      </c>
      <c r="C427" s="7">
        <v>23</v>
      </c>
      <c r="D427" s="98" t="s">
        <v>533</v>
      </c>
      <c r="E427" s="98"/>
    </row>
    <row r="428" spans="1:5">
      <c r="B428" s="70" t="s">
        <v>257</v>
      </c>
      <c r="C428" s="7">
        <v>23</v>
      </c>
      <c r="D428" s="98" t="s">
        <v>534</v>
      </c>
      <c r="E428" s="98"/>
    </row>
    <row r="429" spans="1:5">
      <c r="B429" s="68" t="s">
        <v>258</v>
      </c>
      <c r="C429" s="7"/>
      <c r="D429" s="98"/>
      <c r="E429" s="98"/>
    </row>
    <row r="430" spans="1:5">
      <c r="B430" s="70" t="s">
        <v>259</v>
      </c>
      <c r="C430" s="7">
        <v>23</v>
      </c>
      <c r="D430" s="98" t="s">
        <v>535</v>
      </c>
      <c r="E430" s="98"/>
    </row>
    <row r="431" spans="1:5">
      <c r="B431" s="70" t="s">
        <v>260</v>
      </c>
      <c r="C431" s="7">
        <v>23</v>
      </c>
      <c r="D431" s="98" t="s">
        <v>536</v>
      </c>
      <c r="E431" s="98"/>
    </row>
    <row r="432" spans="1:5">
      <c r="B432" s="70" t="s">
        <v>261</v>
      </c>
      <c r="C432" s="7">
        <v>23</v>
      </c>
      <c r="D432" s="98" t="s">
        <v>537</v>
      </c>
      <c r="E432" s="98"/>
    </row>
    <row r="433" spans="1:5">
      <c r="B433" s="68" t="s">
        <v>262</v>
      </c>
      <c r="C433" s="7"/>
      <c r="D433" s="98"/>
      <c r="E433" s="98"/>
    </row>
    <row r="434" spans="1:5">
      <c r="B434" s="70" t="s">
        <v>263</v>
      </c>
      <c r="C434" s="7">
        <v>23</v>
      </c>
      <c r="D434" s="98" t="s">
        <v>538</v>
      </c>
      <c r="E434" s="98"/>
    </row>
    <row r="435" spans="1:5">
      <c r="B435" s="70" t="s">
        <v>264</v>
      </c>
      <c r="C435" s="7">
        <v>23</v>
      </c>
      <c r="D435" s="98" t="s">
        <v>539</v>
      </c>
      <c r="E435" s="98"/>
    </row>
    <row r="436" spans="1:5">
      <c r="B436" s="70" t="s">
        <v>265</v>
      </c>
      <c r="C436" s="7">
        <v>23</v>
      </c>
      <c r="D436" s="98" t="s">
        <v>540</v>
      </c>
      <c r="E436" s="98"/>
    </row>
    <row r="437" spans="1:5">
      <c r="B437" s="70" t="s">
        <v>266</v>
      </c>
      <c r="C437" s="7">
        <v>23</v>
      </c>
      <c r="D437" s="98" t="s">
        <v>541</v>
      </c>
      <c r="E437" s="98"/>
    </row>
    <row r="438" spans="1:5" ht="25.5">
      <c r="B438" s="71" t="s">
        <v>267</v>
      </c>
      <c r="C438" s="7">
        <v>23</v>
      </c>
      <c r="D438" s="98" t="s">
        <v>542</v>
      </c>
      <c r="E438" s="98"/>
    </row>
    <row r="439" spans="1:5" s="117" customFormat="1">
      <c r="A439" s="117">
        <v>23</v>
      </c>
      <c r="B439" s="118"/>
      <c r="C439" s="116">
        <v>23</v>
      </c>
      <c r="D439" s="113"/>
      <c r="E439" s="113">
        <f>SUM(E424:E438)</f>
        <v>0</v>
      </c>
    </row>
    <row r="440" spans="1:5">
      <c r="B440" s="68"/>
      <c r="C440" s="7"/>
      <c r="D440" s="98"/>
      <c r="E440" s="98"/>
    </row>
    <row r="441" spans="1:5">
      <c r="B441" s="72" t="s">
        <v>268</v>
      </c>
      <c r="C441" s="7"/>
      <c r="D441" s="98"/>
      <c r="E441" s="98"/>
    </row>
    <row r="442" spans="1:5">
      <c r="B442" s="68" t="s">
        <v>269</v>
      </c>
      <c r="C442" s="7">
        <v>24</v>
      </c>
      <c r="D442" s="98" t="s">
        <v>543</v>
      </c>
      <c r="E442" s="98"/>
    </row>
    <row r="443" spans="1:5">
      <c r="B443" s="68" t="s">
        <v>270</v>
      </c>
      <c r="C443" s="7">
        <v>24</v>
      </c>
      <c r="D443" s="98" t="s">
        <v>544</v>
      </c>
      <c r="E443" s="102"/>
    </row>
    <row r="444" spans="1:5">
      <c r="B444" s="68"/>
      <c r="C444" s="7"/>
      <c r="D444" s="98"/>
      <c r="E444" s="114">
        <f>SUM(E442:E443)</f>
        <v>0</v>
      </c>
    </row>
    <row r="445" spans="1:5">
      <c r="B445" s="68" t="s">
        <v>271</v>
      </c>
      <c r="C445" s="7" t="s">
        <v>740</v>
      </c>
      <c r="D445" s="98" t="s">
        <v>545</v>
      </c>
      <c r="E445" s="98"/>
    </row>
    <row r="446" spans="1:5">
      <c r="B446" s="68" t="s">
        <v>272</v>
      </c>
      <c r="C446" s="7" t="s">
        <v>740</v>
      </c>
      <c r="D446" s="98" t="s">
        <v>546</v>
      </c>
      <c r="E446" s="98"/>
    </row>
    <row r="447" spans="1:5">
      <c r="B447" s="68" t="s">
        <v>273</v>
      </c>
      <c r="C447" s="7" t="s">
        <v>740</v>
      </c>
      <c r="D447" s="98" t="s">
        <v>547</v>
      </c>
      <c r="E447" s="102"/>
    </row>
    <row r="448" spans="1:5">
      <c r="B448" s="68"/>
      <c r="C448" s="7"/>
      <c r="D448" s="98"/>
      <c r="E448" s="114">
        <f>SUM(E445:E447)</f>
        <v>0</v>
      </c>
    </row>
    <row r="449" spans="1:5">
      <c r="A449">
        <v>24</v>
      </c>
      <c r="B449" s="69"/>
      <c r="C449" s="28">
        <v>24</v>
      </c>
      <c r="D449" s="113" t="s">
        <v>741</v>
      </c>
      <c r="E449" s="113">
        <f>+E444-E448</f>
        <v>0</v>
      </c>
    </row>
    <row r="450" spans="1:5">
      <c r="B450" s="68"/>
      <c r="C450" s="7"/>
      <c r="D450" s="98"/>
      <c r="E450" s="98"/>
    </row>
    <row r="451" spans="1:5">
      <c r="A451">
        <v>25</v>
      </c>
      <c r="B451" s="69" t="s">
        <v>222</v>
      </c>
      <c r="C451" s="28">
        <v>25</v>
      </c>
      <c r="D451" s="108" t="s">
        <v>548</v>
      </c>
      <c r="E451" s="108"/>
    </row>
    <row r="452" spans="1:5">
      <c r="B452" s="68"/>
      <c r="C452" s="7"/>
      <c r="D452" s="98"/>
      <c r="E452" s="98"/>
    </row>
    <row r="453" spans="1:5">
      <c r="B453" s="72" t="s">
        <v>274</v>
      </c>
      <c r="C453" s="33"/>
      <c r="D453" s="109"/>
      <c r="E453" s="109"/>
    </row>
    <row r="454" spans="1:5">
      <c r="B454" s="68" t="s">
        <v>275</v>
      </c>
      <c r="C454" s="33"/>
      <c r="D454" s="109"/>
      <c r="E454" s="109"/>
    </row>
    <row r="455" spans="1:5">
      <c r="B455" s="73" t="s">
        <v>276</v>
      </c>
      <c r="C455" s="7" t="s">
        <v>737</v>
      </c>
      <c r="D455" s="98" t="s">
        <v>549</v>
      </c>
      <c r="E455" s="98"/>
    </row>
    <row r="456" spans="1:5">
      <c r="B456" s="73" t="s">
        <v>277</v>
      </c>
      <c r="C456" s="7" t="s">
        <v>737</v>
      </c>
      <c r="D456" s="98" t="s">
        <v>550</v>
      </c>
      <c r="E456" s="98"/>
    </row>
    <row r="457" spans="1:5">
      <c r="B457" s="73" t="s">
        <v>278</v>
      </c>
      <c r="C457" s="7" t="s">
        <v>737</v>
      </c>
      <c r="D457" s="98" t="s">
        <v>551</v>
      </c>
      <c r="E457" s="102"/>
    </row>
    <row r="458" spans="1:5">
      <c r="B458" s="68"/>
      <c r="C458" s="7" t="s">
        <v>737</v>
      </c>
      <c r="D458" s="98"/>
      <c r="E458" s="114">
        <f>SUM(E455:E457)</f>
        <v>0</v>
      </c>
    </row>
    <row r="459" spans="1:5">
      <c r="B459" s="68" t="s">
        <v>279</v>
      </c>
      <c r="C459" s="7"/>
      <c r="D459" s="98"/>
      <c r="E459" s="98"/>
    </row>
    <row r="460" spans="1:5">
      <c r="B460" s="73" t="s">
        <v>276</v>
      </c>
      <c r="C460" s="7" t="s">
        <v>738</v>
      </c>
      <c r="D460" s="98" t="s">
        <v>552</v>
      </c>
      <c r="E460" s="98"/>
    </row>
    <row r="461" spans="1:5">
      <c r="B461" s="73" t="s">
        <v>277</v>
      </c>
      <c r="C461" s="7" t="s">
        <v>738</v>
      </c>
      <c r="D461" s="98" t="s">
        <v>553</v>
      </c>
      <c r="E461" s="98"/>
    </row>
    <row r="462" spans="1:5">
      <c r="B462" s="73" t="s">
        <v>278</v>
      </c>
      <c r="C462" s="7" t="s">
        <v>738</v>
      </c>
      <c r="D462" s="98" t="s">
        <v>554</v>
      </c>
      <c r="E462" s="102"/>
    </row>
    <row r="463" spans="1:5">
      <c r="B463" s="73"/>
      <c r="C463" s="7"/>
      <c r="D463" s="98"/>
      <c r="E463" s="114">
        <f>SUM(E460:E462)</f>
        <v>0</v>
      </c>
    </row>
    <row r="464" spans="1:5" s="117" customFormat="1">
      <c r="A464" s="117">
        <v>26</v>
      </c>
      <c r="B464" s="115" t="s">
        <v>280</v>
      </c>
      <c r="C464" s="116">
        <v>26</v>
      </c>
      <c r="D464" s="113" t="s">
        <v>739</v>
      </c>
      <c r="E464" s="113">
        <f>+E458-E463</f>
        <v>0</v>
      </c>
    </row>
    <row r="465" spans="2:5">
      <c r="B465" s="68"/>
      <c r="C465" s="7"/>
      <c r="D465" s="98"/>
      <c r="E465" s="98"/>
    </row>
    <row r="466" spans="2:5">
      <c r="B466" s="67" t="s">
        <v>281</v>
      </c>
      <c r="C466" s="7"/>
      <c r="D466" s="98"/>
      <c r="E466" s="98"/>
    </row>
    <row r="467" spans="2:5">
      <c r="B467" s="67"/>
      <c r="C467" s="7"/>
      <c r="D467" s="98"/>
      <c r="E467" s="98"/>
    </row>
    <row r="468" spans="2:5">
      <c r="B468" s="68" t="s">
        <v>282</v>
      </c>
      <c r="C468" s="7"/>
      <c r="D468" s="98"/>
      <c r="E468" s="98"/>
    </row>
    <row r="469" spans="2:5">
      <c r="B469" s="74" t="s">
        <v>283</v>
      </c>
      <c r="C469" s="7">
        <v>27</v>
      </c>
      <c r="D469" s="98" t="s">
        <v>555</v>
      </c>
      <c r="E469" s="98"/>
    </row>
    <row r="470" spans="2:5">
      <c r="B470" s="74" t="s">
        <v>284</v>
      </c>
      <c r="C470" s="7">
        <v>27</v>
      </c>
      <c r="D470" s="98" t="s">
        <v>556</v>
      </c>
      <c r="E470" s="98"/>
    </row>
    <row r="471" spans="2:5">
      <c r="B471" s="74" t="s">
        <v>285</v>
      </c>
      <c r="C471" s="7">
        <v>27</v>
      </c>
      <c r="D471" s="98" t="s">
        <v>557</v>
      </c>
      <c r="E471" s="98"/>
    </row>
    <row r="472" spans="2:5">
      <c r="B472" s="74"/>
      <c r="C472" s="7"/>
      <c r="D472" s="98"/>
      <c r="E472" s="98"/>
    </row>
    <row r="473" spans="2:5">
      <c r="B473" s="68" t="s">
        <v>286</v>
      </c>
      <c r="C473" s="7"/>
      <c r="D473" s="98"/>
      <c r="E473" s="98"/>
    </row>
    <row r="474" spans="2:5">
      <c r="B474" s="75" t="s">
        <v>287</v>
      </c>
      <c r="C474" s="7">
        <v>27</v>
      </c>
      <c r="D474" s="98" t="s">
        <v>558</v>
      </c>
      <c r="E474" s="98"/>
    </row>
    <row r="475" spans="2:5">
      <c r="B475" s="75" t="s">
        <v>288</v>
      </c>
      <c r="C475" s="7">
        <v>27</v>
      </c>
      <c r="D475" s="98" t="s">
        <v>559</v>
      </c>
      <c r="E475" s="98"/>
    </row>
    <row r="476" spans="2:5">
      <c r="B476" s="75" t="s">
        <v>289</v>
      </c>
      <c r="C476" s="7">
        <v>27</v>
      </c>
      <c r="D476" s="98" t="s">
        <v>560</v>
      </c>
      <c r="E476" s="98"/>
    </row>
    <row r="477" spans="2:5">
      <c r="B477" s="75" t="s">
        <v>290</v>
      </c>
      <c r="C477" s="7">
        <v>27</v>
      </c>
      <c r="D477" s="98" t="s">
        <v>561</v>
      </c>
      <c r="E477" s="98"/>
    </row>
    <row r="478" spans="2:5">
      <c r="B478" s="75" t="s">
        <v>291</v>
      </c>
      <c r="C478" s="7">
        <v>27</v>
      </c>
      <c r="D478" s="98" t="s">
        <v>562</v>
      </c>
      <c r="E478" s="98"/>
    </row>
    <row r="479" spans="2:5" ht="25.5">
      <c r="B479" s="74" t="s">
        <v>292</v>
      </c>
      <c r="C479" s="7">
        <v>27</v>
      </c>
      <c r="D479" s="98" t="s">
        <v>563</v>
      </c>
      <c r="E479" s="98"/>
    </row>
    <row r="480" spans="2:5">
      <c r="B480" s="75" t="s">
        <v>293</v>
      </c>
      <c r="C480" s="7">
        <v>27</v>
      </c>
      <c r="D480" s="98" t="s">
        <v>564</v>
      </c>
      <c r="E480" s="98"/>
    </row>
    <row r="481" spans="1:5" s="117" customFormat="1">
      <c r="A481" s="117">
        <v>27</v>
      </c>
      <c r="B481" s="115"/>
      <c r="C481" s="116">
        <v>27</v>
      </c>
      <c r="D481" s="113"/>
      <c r="E481" s="113">
        <f>SUM(E469:E480)</f>
        <v>0</v>
      </c>
    </row>
    <row r="482" spans="1:5">
      <c r="B482" s="68"/>
      <c r="C482" s="7"/>
      <c r="D482" s="98"/>
      <c r="E482" s="98"/>
    </row>
    <row r="483" spans="1:5">
      <c r="B483" s="67" t="s">
        <v>294</v>
      </c>
      <c r="C483" s="7"/>
      <c r="D483" s="98"/>
      <c r="E483" s="98"/>
    </row>
    <row r="484" spans="1:5">
      <c r="B484" s="68" t="s">
        <v>282</v>
      </c>
      <c r="C484" s="7"/>
      <c r="D484" s="98"/>
      <c r="E484" s="98"/>
    </row>
    <row r="485" spans="1:5">
      <c r="B485" s="75" t="s">
        <v>295</v>
      </c>
      <c r="C485" s="7">
        <v>28</v>
      </c>
      <c r="D485" s="98" t="s">
        <v>565</v>
      </c>
      <c r="E485" s="98"/>
    </row>
    <row r="486" spans="1:5">
      <c r="B486" s="68" t="s">
        <v>296</v>
      </c>
      <c r="C486" s="7">
        <v>28</v>
      </c>
      <c r="D486" s="98" t="s">
        <v>566</v>
      </c>
      <c r="E486" s="98"/>
    </row>
    <row r="487" spans="1:5">
      <c r="B487" s="29" t="s">
        <v>297</v>
      </c>
      <c r="C487" s="7">
        <v>28</v>
      </c>
      <c r="D487" s="98" t="s">
        <v>567</v>
      </c>
      <c r="E487" s="98"/>
    </row>
    <row r="488" spans="1:5" s="117" customFormat="1">
      <c r="A488" s="117">
        <v>28</v>
      </c>
      <c r="B488" s="115"/>
      <c r="C488" s="116">
        <v>28</v>
      </c>
      <c r="D488" s="113"/>
      <c r="E488" s="113">
        <f>SUM(E485:E487)</f>
        <v>0</v>
      </c>
    </row>
    <row r="489" spans="1:5">
      <c r="B489" s="68"/>
      <c r="C489" s="7"/>
      <c r="D489" s="98"/>
      <c r="E489" s="98"/>
    </row>
    <row r="490" spans="1:5">
      <c r="B490" s="67" t="s">
        <v>354</v>
      </c>
      <c r="C490" s="7"/>
      <c r="D490" s="98"/>
      <c r="E490" s="98"/>
    </row>
    <row r="491" spans="1:5">
      <c r="B491" s="68" t="s">
        <v>298</v>
      </c>
      <c r="C491" s="7">
        <v>29</v>
      </c>
      <c r="D491" s="98" t="s">
        <v>568</v>
      </c>
      <c r="E491" s="98"/>
    </row>
    <row r="492" spans="1:5">
      <c r="B492" s="68" t="s">
        <v>299</v>
      </c>
      <c r="C492" s="7">
        <v>29</v>
      </c>
      <c r="D492" s="98" t="s">
        <v>569</v>
      </c>
      <c r="E492" s="98"/>
    </row>
    <row r="493" spans="1:5">
      <c r="B493" s="68" t="s">
        <v>300</v>
      </c>
      <c r="C493" s="7">
        <v>29</v>
      </c>
      <c r="D493" s="98" t="s">
        <v>570</v>
      </c>
      <c r="E493" s="98"/>
    </row>
    <row r="494" spans="1:5" s="117" customFormat="1">
      <c r="A494" s="117">
        <v>29</v>
      </c>
      <c r="B494" s="115"/>
      <c r="C494" s="116">
        <v>29</v>
      </c>
      <c r="D494" s="113"/>
      <c r="E494" s="113">
        <f>SUM(E491:E493)</f>
        <v>0</v>
      </c>
    </row>
    <row r="495" spans="1:5">
      <c r="B495" s="67" t="s">
        <v>301</v>
      </c>
      <c r="C495" s="7"/>
      <c r="D495" s="98"/>
      <c r="E495" s="98"/>
    </row>
    <row r="496" spans="1:5">
      <c r="B496" s="67"/>
      <c r="C496" s="7"/>
      <c r="D496" s="98"/>
      <c r="E496" s="98"/>
    </row>
    <row r="497" spans="2:5">
      <c r="B497" s="68" t="s">
        <v>302</v>
      </c>
      <c r="C497" s="7"/>
      <c r="D497" s="98"/>
      <c r="E497" s="98"/>
    </row>
    <row r="498" spans="2:5">
      <c r="B498" s="68" t="s">
        <v>303</v>
      </c>
      <c r="C498" s="7">
        <v>30</v>
      </c>
      <c r="D498" s="98" t="s">
        <v>571</v>
      </c>
      <c r="E498" s="98"/>
    </row>
    <row r="499" spans="2:5">
      <c r="B499" s="68" t="s">
        <v>304</v>
      </c>
      <c r="C499" s="7">
        <v>30</v>
      </c>
      <c r="D499" s="98" t="s">
        <v>572</v>
      </c>
      <c r="E499" s="98"/>
    </row>
    <row r="500" spans="2:5">
      <c r="B500" s="68" t="s">
        <v>305</v>
      </c>
      <c r="C500" s="7">
        <v>30</v>
      </c>
      <c r="D500" s="98" t="s">
        <v>573</v>
      </c>
      <c r="E500" s="98"/>
    </row>
    <row r="501" spans="2:5">
      <c r="B501" s="68" t="s">
        <v>306</v>
      </c>
      <c r="C501" s="7">
        <v>30</v>
      </c>
      <c r="D501" s="98" t="s">
        <v>574</v>
      </c>
      <c r="E501" s="98"/>
    </row>
    <row r="502" spans="2:5">
      <c r="B502" s="68" t="s">
        <v>307</v>
      </c>
      <c r="C502" s="7">
        <v>30</v>
      </c>
      <c r="D502" s="98" t="s">
        <v>575</v>
      </c>
      <c r="E502" s="98"/>
    </row>
    <row r="503" spans="2:5">
      <c r="B503" s="68" t="s">
        <v>308</v>
      </c>
      <c r="C503" s="7">
        <v>30</v>
      </c>
      <c r="D503" s="98" t="s">
        <v>576</v>
      </c>
      <c r="E503" s="98"/>
    </row>
    <row r="504" spans="2:5">
      <c r="B504" s="29" t="s">
        <v>309</v>
      </c>
      <c r="C504" s="7">
        <v>30</v>
      </c>
      <c r="D504" s="98" t="s">
        <v>577</v>
      </c>
      <c r="E504" s="98"/>
    </row>
    <row r="505" spans="2:5">
      <c r="B505" s="29" t="s">
        <v>310</v>
      </c>
      <c r="C505" s="7">
        <v>30</v>
      </c>
      <c r="D505" s="98" t="s">
        <v>578</v>
      </c>
      <c r="E505" s="98"/>
    </row>
    <row r="506" spans="2:5">
      <c r="B506" s="29" t="s">
        <v>311</v>
      </c>
      <c r="C506" s="7">
        <v>30</v>
      </c>
      <c r="D506" s="98" t="s">
        <v>579</v>
      </c>
      <c r="E506" s="98"/>
    </row>
    <row r="507" spans="2:5">
      <c r="B507" s="76" t="s">
        <v>312</v>
      </c>
      <c r="C507" s="7">
        <v>30</v>
      </c>
      <c r="D507" s="98" t="s">
        <v>580</v>
      </c>
      <c r="E507" s="98"/>
    </row>
    <row r="508" spans="2:5">
      <c r="B508" s="76" t="s">
        <v>313</v>
      </c>
      <c r="C508" s="7">
        <v>30</v>
      </c>
      <c r="D508" s="98" t="s">
        <v>581</v>
      </c>
      <c r="E508" s="98"/>
    </row>
    <row r="509" spans="2:5">
      <c r="B509" s="76" t="s">
        <v>314</v>
      </c>
      <c r="C509" s="7">
        <v>30</v>
      </c>
      <c r="D509" s="98" t="s">
        <v>582</v>
      </c>
      <c r="E509" s="98"/>
    </row>
    <row r="510" spans="2:5">
      <c r="B510" s="76" t="s">
        <v>315</v>
      </c>
      <c r="C510" s="7">
        <v>30</v>
      </c>
      <c r="D510" s="98" t="s">
        <v>583</v>
      </c>
      <c r="E510" s="98"/>
    </row>
    <row r="511" spans="2:5">
      <c r="B511" s="76" t="s">
        <v>316</v>
      </c>
      <c r="C511" s="7">
        <v>30</v>
      </c>
      <c r="D511" s="98" t="s">
        <v>584</v>
      </c>
      <c r="E511" s="98"/>
    </row>
    <row r="512" spans="2:5">
      <c r="B512" s="76" t="s">
        <v>317</v>
      </c>
      <c r="C512" s="7">
        <v>30</v>
      </c>
      <c r="D512" s="98" t="s">
        <v>585</v>
      </c>
      <c r="E512" s="98"/>
    </row>
    <row r="513" spans="2:5">
      <c r="B513" s="76" t="s">
        <v>318</v>
      </c>
      <c r="C513" s="7">
        <v>30</v>
      </c>
      <c r="D513" s="98" t="s">
        <v>586</v>
      </c>
      <c r="E513" s="98"/>
    </row>
    <row r="514" spans="2:5">
      <c r="B514" s="76" t="s">
        <v>319</v>
      </c>
      <c r="C514" s="7">
        <v>30</v>
      </c>
      <c r="D514" s="98" t="s">
        <v>587</v>
      </c>
      <c r="E514" s="98"/>
    </row>
    <row r="515" spans="2:5">
      <c r="B515" s="76" t="s">
        <v>320</v>
      </c>
      <c r="C515" s="7">
        <v>30</v>
      </c>
      <c r="D515" s="98" t="s">
        <v>588</v>
      </c>
      <c r="E515" s="98"/>
    </row>
    <row r="516" spans="2:5">
      <c r="B516" s="76" t="s">
        <v>321</v>
      </c>
      <c r="C516" s="7">
        <v>30</v>
      </c>
      <c r="D516" s="98" t="s">
        <v>589</v>
      </c>
      <c r="E516" s="98"/>
    </row>
    <row r="517" spans="2:5">
      <c r="B517" s="76" t="s">
        <v>322</v>
      </c>
      <c r="C517" s="7">
        <v>30</v>
      </c>
      <c r="D517" s="98" t="s">
        <v>590</v>
      </c>
      <c r="E517" s="98"/>
    </row>
    <row r="518" spans="2:5">
      <c r="B518" s="76" t="s">
        <v>323</v>
      </c>
      <c r="C518" s="7">
        <v>30</v>
      </c>
      <c r="D518" s="98" t="s">
        <v>591</v>
      </c>
      <c r="E518" s="98"/>
    </row>
    <row r="519" spans="2:5">
      <c r="B519" s="29" t="s">
        <v>324</v>
      </c>
      <c r="C519" s="7">
        <v>30</v>
      </c>
      <c r="D519" s="98" t="s">
        <v>592</v>
      </c>
      <c r="E519" s="98"/>
    </row>
    <row r="520" spans="2:5">
      <c r="B520" s="29" t="s">
        <v>325</v>
      </c>
      <c r="C520" s="7">
        <v>30</v>
      </c>
      <c r="D520" s="98" t="s">
        <v>593</v>
      </c>
      <c r="E520" s="98"/>
    </row>
    <row r="521" spans="2:5">
      <c r="B521" s="29" t="s">
        <v>326</v>
      </c>
      <c r="C521" s="7">
        <v>30</v>
      </c>
      <c r="D521" s="98" t="s">
        <v>594</v>
      </c>
      <c r="E521" s="98"/>
    </row>
    <row r="522" spans="2:5">
      <c r="B522" s="29" t="s">
        <v>327</v>
      </c>
      <c r="C522" s="7">
        <v>30</v>
      </c>
      <c r="D522" s="98" t="s">
        <v>595</v>
      </c>
      <c r="E522" s="98"/>
    </row>
    <row r="523" spans="2:5">
      <c r="B523" s="29" t="s">
        <v>328</v>
      </c>
      <c r="C523" s="7">
        <v>30</v>
      </c>
      <c r="D523" s="98" t="s">
        <v>596</v>
      </c>
      <c r="E523" s="98"/>
    </row>
    <row r="524" spans="2:5">
      <c r="B524" s="29" t="s">
        <v>329</v>
      </c>
      <c r="C524" s="7">
        <v>30</v>
      </c>
      <c r="D524" s="98" t="s">
        <v>597</v>
      </c>
      <c r="E524" s="98"/>
    </row>
    <row r="525" spans="2:5">
      <c r="B525" s="29" t="s">
        <v>330</v>
      </c>
      <c r="C525" s="7">
        <v>30</v>
      </c>
      <c r="D525" s="98" t="s">
        <v>598</v>
      </c>
      <c r="E525" s="98"/>
    </row>
    <row r="526" spans="2:5">
      <c r="B526" s="29" t="s">
        <v>331</v>
      </c>
      <c r="C526" s="7">
        <v>30</v>
      </c>
      <c r="D526" s="98" t="s">
        <v>599</v>
      </c>
      <c r="E526" s="98"/>
    </row>
    <row r="527" spans="2:5">
      <c r="B527" s="29" t="s">
        <v>332</v>
      </c>
      <c r="C527" s="7">
        <v>30</v>
      </c>
      <c r="D527" s="98" t="s">
        <v>600</v>
      </c>
      <c r="E527" s="98"/>
    </row>
    <row r="528" spans="2:5">
      <c r="B528" s="29" t="s">
        <v>333</v>
      </c>
      <c r="C528" s="7">
        <v>30</v>
      </c>
      <c r="D528" s="98" t="s">
        <v>601</v>
      </c>
      <c r="E528" s="98"/>
    </row>
    <row r="529" spans="2:5">
      <c r="B529" s="29" t="s">
        <v>334</v>
      </c>
      <c r="C529" s="7">
        <v>30</v>
      </c>
      <c r="D529" s="98" t="s">
        <v>602</v>
      </c>
      <c r="E529" s="98"/>
    </row>
    <row r="530" spans="2:5">
      <c r="B530" s="29" t="s">
        <v>335</v>
      </c>
      <c r="C530" s="7">
        <v>30</v>
      </c>
      <c r="D530" s="98" t="s">
        <v>603</v>
      </c>
      <c r="E530" s="98"/>
    </row>
    <row r="531" spans="2:5">
      <c r="B531" s="29" t="s">
        <v>336</v>
      </c>
      <c r="C531" s="7">
        <v>30</v>
      </c>
      <c r="D531" s="98" t="s">
        <v>604</v>
      </c>
      <c r="E531" s="98"/>
    </row>
    <row r="532" spans="2:5">
      <c r="B532" s="29" t="s">
        <v>337</v>
      </c>
      <c r="C532" s="7">
        <v>30</v>
      </c>
      <c r="D532" s="98" t="s">
        <v>605</v>
      </c>
      <c r="E532" s="98"/>
    </row>
    <row r="533" spans="2:5">
      <c r="B533" s="29" t="s">
        <v>338</v>
      </c>
      <c r="C533" s="7">
        <v>30</v>
      </c>
      <c r="D533" s="98" t="s">
        <v>606</v>
      </c>
      <c r="E533" s="98"/>
    </row>
    <row r="534" spans="2:5">
      <c r="B534" s="29" t="s">
        <v>339</v>
      </c>
      <c r="C534" s="7">
        <v>30</v>
      </c>
      <c r="D534" s="98" t="s">
        <v>607</v>
      </c>
      <c r="E534" s="98"/>
    </row>
    <row r="535" spans="2:5">
      <c r="B535" s="29" t="s">
        <v>340</v>
      </c>
      <c r="C535" s="7">
        <v>30</v>
      </c>
      <c r="D535" s="98" t="s">
        <v>608</v>
      </c>
      <c r="E535" s="98"/>
    </row>
    <row r="536" spans="2:5">
      <c r="B536" s="29" t="s">
        <v>341</v>
      </c>
      <c r="C536" s="7">
        <v>30</v>
      </c>
      <c r="D536" s="98" t="s">
        <v>609</v>
      </c>
      <c r="E536" s="98"/>
    </row>
    <row r="537" spans="2:5">
      <c r="B537" s="29" t="s">
        <v>342</v>
      </c>
      <c r="C537" s="7">
        <v>30</v>
      </c>
      <c r="D537" s="98" t="s">
        <v>985</v>
      </c>
      <c r="E537" s="98"/>
    </row>
    <row r="538" spans="2:5">
      <c r="B538" s="29" t="s">
        <v>343</v>
      </c>
      <c r="C538" s="7">
        <v>30</v>
      </c>
      <c r="D538" s="98" t="s">
        <v>610</v>
      </c>
      <c r="E538" s="98"/>
    </row>
    <row r="539" spans="2:5">
      <c r="B539" s="76" t="s">
        <v>344</v>
      </c>
      <c r="C539" s="7">
        <v>30</v>
      </c>
      <c r="D539" s="98" t="s">
        <v>611</v>
      </c>
      <c r="E539" s="98"/>
    </row>
    <row r="540" spans="2:5">
      <c r="B540" s="76" t="s">
        <v>345</v>
      </c>
      <c r="C540" s="7">
        <v>30</v>
      </c>
      <c r="D540" s="98" t="s">
        <v>612</v>
      </c>
      <c r="E540" s="98"/>
    </row>
    <row r="541" spans="2:5">
      <c r="B541" s="76" t="s">
        <v>346</v>
      </c>
      <c r="C541" s="7">
        <v>30</v>
      </c>
      <c r="D541" s="98" t="s">
        <v>613</v>
      </c>
      <c r="E541" s="98"/>
    </row>
    <row r="542" spans="2:5">
      <c r="B542" s="29" t="s">
        <v>347</v>
      </c>
      <c r="C542" s="7">
        <v>30</v>
      </c>
      <c r="D542" s="98" t="s">
        <v>614</v>
      </c>
      <c r="E542" s="98"/>
    </row>
    <row r="543" spans="2:5">
      <c r="B543" s="29" t="s">
        <v>348</v>
      </c>
      <c r="C543" s="7">
        <v>30</v>
      </c>
      <c r="D543" s="98" t="s">
        <v>615</v>
      </c>
      <c r="E543" s="98"/>
    </row>
    <row r="544" spans="2:5">
      <c r="B544" s="76" t="s">
        <v>349</v>
      </c>
      <c r="C544" s="7">
        <v>30</v>
      </c>
      <c r="D544" s="98" t="s">
        <v>616</v>
      </c>
      <c r="E544" s="98"/>
    </row>
    <row r="545" spans="1:5">
      <c r="B545" s="76" t="s">
        <v>350</v>
      </c>
      <c r="C545" s="7">
        <v>30</v>
      </c>
      <c r="D545" s="98" t="s">
        <v>617</v>
      </c>
      <c r="E545" s="98"/>
    </row>
    <row r="546" spans="1:5">
      <c r="B546" s="76" t="s">
        <v>351</v>
      </c>
      <c r="C546" s="7">
        <v>30</v>
      </c>
      <c r="D546" s="98" t="s">
        <v>618</v>
      </c>
      <c r="E546" s="98"/>
    </row>
    <row r="547" spans="1:5">
      <c r="B547" s="29" t="s">
        <v>352</v>
      </c>
      <c r="C547" s="7">
        <v>30</v>
      </c>
      <c r="D547" s="98" t="s">
        <v>619</v>
      </c>
      <c r="E547" s="98"/>
    </row>
    <row r="548" spans="1:5" ht="25.5">
      <c r="B548" s="32" t="s">
        <v>353</v>
      </c>
      <c r="C548" s="7">
        <v>30</v>
      </c>
      <c r="D548" s="98" t="s">
        <v>620</v>
      </c>
      <c r="E548" s="98"/>
    </row>
    <row r="549" spans="1:5" s="117" customFormat="1">
      <c r="A549" s="117">
        <v>30</v>
      </c>
      <c r="B549" s="115"/>
      <c r="C549" s="116">
        <v>30</v>
      </c>
      <c r="D549" s="113"/>
      <c r="E549" s="113">
        <f>SUM(E498:E548)</f>
        <v>0</v>
      </c>
    </row>
  </sheetData>
  <conditionalFormatting sqref="E3">
    <cfRule type="cellIs" dxfId="47" priority="1" operator="notEqual">
      <formula>0</formula>
    </cfRule>
  </conditionalFormatting>
  <pageMargins left="0.7" right="0.7" top="0.75" bottom="0.75" header="0.3" footer="0.3"/>
  <pageSetup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>
  <dimension ref="A1:X363"/>
  <sheetViews>
    <sheetView topLeftCell="A349" workbookViewId="0">
      <selection activeCell="A6" sqref="A6"/>
    </sheetView>
  </sheetViews>
  <sheetFormatPr defaultRowHeight="12.75"/>
  <cols>
    <col min="1" max="2" width="9.140625" style="132"/>
    <col min="3" max="3" width="62.5703125" style="130" customWidth="1"/>
    <col min="4" max="4" width="9.140625" style="130" bestFit="1" customWidth="1"/>
    <col min="5" max="5" width="13.28515625" style="131" bestFit="1" customWidth="1"/>
    <col min="6" max="6" width="16" style="132" customWidth="1"/>
    <col min="7" max="23" width="12.7109375" style="132" customWidth="1"/>
    <col min="24" max="24" width="62.5703125" style="130" customWidth="1"/>
    <col min="25" max="16384" width="9.140625" style="133"/>
  </cols>
  <sheetData>
    <row r="1" spans="1:24">
      <c r="A1" s="133"/>
      <c r="B1" s="129" t="s">
        <v>633</v>
      </c>
    </row>
    <row r="2" spans="1:24">
      <c r="A2" s="133"/>
      <c r="B2" s="368" t="s">
        <v>755</v>
      </c>
      <c r="C2" s="368" t="s">
        <v>756</v>
      </c>
      <c r="D2" s="373" t="s">
        <v>757</v>
      </c>
      <c r="E2" s="375" t="s">
        <v>758</v>
      </c>
      <c r="F2" s="134" t="s">
        <v>759</v>
      </c>
      <c r="G2" s="135">
        <v>100000</v>
      </c>
      <c r="H2" s="135">
        <f t="shared" ref="H2:W2" si="0">G2+1</f>
        <v>100001</v>
      </c>
      <c r="I2" s="135">
        <f t="shared" si="0"/>
        <v>100002</v>
      </c>
      <c r="J2" s="135">
        <f t="shared" si="0"/>
        <v>100003</v>
      </c>
      <c r="K2" s="135">
        <f t="shared" si="0"/>
        <v>100004</v>
      </c>
      <c r="L2" s="135">
        <f t="shared" si="0"/>
        <v>100005</v>
      </c>
      <c r="M2" s="135">
        <f t="shared" si="0"/>
        <v>100006</v>
      </c>
      <c r="N2" s="135">
        <f t="shared" si="0"/>
        <v>100007</v>
      </c>
      <c r="O2" s="135">
        <f t="shared" si="0"/>
        <v>100008</v>
      </c>
      <c r="P2" s="135">
        <f t="shared" si="0"/>
        <v>100009</v>
      </c>
      <c r="Q2" s="135">
        <f t="shared" si="0"/>
        <v>100010</v>
      </c>
      <c r="R2" s="135">
        <f t="shared" si="0"/>
        <v>100011</v>
      </c>
      <c r="S2" s="135">
        <f t="shared" si="0"/>
        <v>100012</v>
      </c>
      <c r="T2" s="135">
        <f t="shared" si="0"/>
        <v>100013</v>
      </c>
      <c r="U2" s="135">
        <f t="shared" si="0"/>
        <v>100014</v>
      </c>
      <c r="V2" s="135">
        <f t="shared" si="0"/>
        <v>100015</v>
      </c>
      <c r="W2" s="135">
        <f t="shared" si="0"/>
        <v>100016</v>
      </c>
      <c r="X2" s="368" t="s">
        <v>756</v>
      </c>
    </row>
    <row r="3" spans="1:24" ht="114.75">
      <c r="A3" s="133" t="s">
        <v>984</v>
      </c>
      <c r="B3" s="369"/>
      <c r="C3" s="369"/>
      <c r="D3" s="374"/>
      <c r="E3" s="376"/>
      <c r="F3" s="136" t="s">
        <v>639</v>
      </c>
      <c r="G3" s="137" t="s">
        <v>0</v>
      </c>
      <c r="H3" s="137" t="s">
        <v>760</v>
      </c>
      <c r="I3" s="137" t="s">
        <v>761</v>
      </c>
      <c r="J3" s="137" t="s">
        <v>762</v>
      </c>
      <c r="K3" s="137" t="s">
        <v>763</v>
      </c>
      <c r="L3" s="137" t="s">
        <v>764</v>
      </c>
      <c r="M3" s="137" t="s">
        <v>765</v>
      </c>
      <c r="N3" s="137" t="s">
        <v>766</v>
      </c>
      <c r="O3" s="137" t="s">
        <v>767</v>
      </c>
      <c r="P3" s="137" t="s">
        <v>768</v>
      </c>
      <c r="Q3" s="137" t="s">
        <v>769</v>
      </c>
      <c r="R3" s="137" t="s">
        <v>770</v>
      </c>
      <c r="S3" s="137" t="s">
        <v>771</v>
      </c>
      <c r="T3" s="137" t="s">
        <v>772</v>
      </c>
      <c r="U3" s="137" t="s">
        <v>773</v>
      </c>
      <c r="V3" s="137" t="s">
        <v>774</v>
      </c>
      <c r="W3" s="137" t="s">
        <v>775</v>
      </c>
      <c r="X3" s="369"/>
    </row>
    <row r="4" spans="1:24">
      <c r="A4" s="133"/>
      <c r="B4" s="138"/>
      <c r="C4" s="138"/>
      <c r="D4" s="139"/>
      <c r="E4" s="136"/>
      <c r="F4" s="136"/>
      <c r="G4" s="370" t="s">
        <v>776</v>
      </c>
      <c r="H4" s="371"/>
      <c r="I4" s="371"/>
      <c r="J4" s="371"/>
      <c r="K4" s="371"/>
      <c r="L4" s="371"/>
      <c r="M4" s="371"/>
      <c r="N4" s="371"/>
      <c r="O4" s="371"/>
      <c r="P4" s="371"/>
      <c r="Q4" s="371"/>
      <c r="R4" s="371"/>
      <c r="S4" s="371"/>
      <c r="T4" s="371"/>
      <c r="U4" s="371"/>
      <c r="V4" s="371"/>
      <c r="W4" s="372"/>
      <c r="X4" s="138"/>
    </row>
    <row r="5" spans="1:24">
      <c r="A5" s="161">
        <v>1</v>
      </c>
      <c r="B5" s="140">
        <v>1</v>
      </c>
      <c r="C5" s="141" t="s">
        <v>705</v>
      </c>
      <c r="D5" s="141" t="s">
        <v>777</v>
      </c>
      <c r="E5" s="142">
        <v>100</v>
      </c>
      <c r="F5" s="142" t="str">
        <f>D5&amp;E5</f>
        <v>BS100</v>
      </c>
      <c r="G5" s="143" t="str">
        <f>$G$2&amp;$F5</f>
        <v>100000BS100</v>
      </c>
      <c r="H5" s="143" t="str">
        <f>$H$2&amp;$F5</f>
        <v>100001BS100</v>
      </c>
      <c r="I5" s="143" t="str">
        <f>$I$2&amp;$F5</f>
        <v>100002BS100</v>
      </c>
      <c r="J5" s="143" t="str">
        <f>$J$2&amp;$F5</f>
        <v>100003BS100</v>
      </c>
      <c r="K5" s="143" t="str">
        <f>$K$2&amp;$F5</f>
        <v>100004BS100</v>
      </c>
      <c r="L5" s="143" t="str">
        <f>$L$2&amp;$F5</f>
        <v>100005BS100</v>
      </c>
      <c r="M5" s="143" t="str">
        <f>$M$2&amp;$F5</f>
        <v>100006BS100</v>
      </c>
      <c r="N5" s="143" t="str">
        <f>$N$2&amp;$F5</f>
        <v>100007BS100</v>
      </c>
      <c r="O5" s="143" t="str">
        <f>$O$2&amp;$F5</f>
        <v>100008BS100</v>
      </c>
      <c r="P5" s="143" t="str">
        <f>$P$2&amp;$F5</f>
        <v>100009BS100</v>
      </c>
      <c r="Q5" s="143" t="str">
        <f>$Q$2&amp;$F5</f>
        <v>100010BS100</v>
      </c>
      <c r="R5" s="143" t="str">
        <f>$R$2&amp;$F5</f>
        <v>100011BS100</v>
      </c>
      <c r="S5" s="143" t="str">
        <f>$S$2&amp;$F5</f>
        <v>100012BS100</v>
      </c>
      <c r="T5" s="143" t="str">
        <f>$T$2&amp;$F5</f>
        <v>100013BS100</v>
      </c>
      <c r="U5" s="143" t="str">
        <f>$U$2&amp;$F5</f>
        <v>100014BS100</v>
      </c>
      <c r="V5" s="143" t="str">
        <f>$V$2&amp;$F5</f>
        <v>100015BS100</v>
      </c>
      <c r="W5" s="143" t="str">
        <f>$W$2&amp;$F5</f>
        <v>100016BS100</v>
      </c>
      <c r="X5" s="141" t="s">
        <v>705</v>
      </c>
    </row>
    <row r="6" spans="1:24">
      <c r="A6" s="161" t="s">
        <v>747</v>
      </c>
      <c r="B6" s="140">
        <f>B5+1</f>
        <v>2</v>
      </c>
      <c r="C6" s="144" t="s">
        <v>704</v>
      </c>
      <c r="D6" s="141" t="s">
        <v>777</v>
      </c>
      <c r="E6" s="142">
        <f>E5+1</f>
        <v>101</v>
      </c>
      <c r="F6" s="142" t="str">
        <f t="shared" ref="F6:F69" si="1">D6&amp;E6</f>
        <v>BS101</v>
      </c>
      <c r="G6" s="143" t="str">
        <f t="shared" ref="G6:G69" si="2">$G$2&amp;$F6</f>
        <v>100000BS101</v>
      </c>
      <c r="H6" s="143" t="str">
        <f t="shared" ref="H6:H69" si="3">$H$2&amp;$F6</f>
        <v>100001BS101</v>
      </c>
      <c r="I6" s="143" t="str">
        <f t="shared" ref="I6:I69" si="4">$I$2&amp;$F6</f>
        <v>100002BS101</v>
      </c>
      <c r="J6" s="143" t="str">
        <f t="shared" ref="J6:J69" si="5">$J$2&amp;$F6</f>
        <v>100003BS101</v>
      </c>
      <c r="K6" s="143" t="str">
        <f t="shared" ref="K6:K69" si="6">$K$2&amp;$F6</f>
        <v>100004BS101</v>
      </c>
      <c r="L6" s="143" t="str">
        <f t="shared" ref="L6:L69" si="7">$L$2&amp;$F6</f>
        <v>100005BS101</v>
      </c>
      <c r="M6" s="143" t="str">
        <f t="shared" ref="M6:M69" si="8">$M$2&amp;$F6</f>
        <v>100006BS101</v>
      </c>
      <c r="N6" s="143" t="str">
        <f t="shared" ref="N6:N69" si="9">$N$2&amp;$F6</f>
        <v>100007BS101</v>
      </c>
      <c r="O6" s="143" t="str">
        <f t="shared" ref="O6:O69" si="10">$O$2&amp;$F6</f>
        <v>100008BS101</v>
      </c>
      <c r="P6" s="143" t="str">
        <f t="shared" ref="P6:P69" si="11">$P$2&amp;$F6</f>
        <v>100009BS101</v>
      </c>
      <c r="Q6" s="143" t="str">
        <f t="shared" ref="Q6:Q69" si="12">$Q$2&amp;$F6</f>
        <v>100010BS101</v>
      </c>
      <c r="R6" s="143" t="str">
        <f t="shared" ref="R6:R69" si="13">$R$2&amp;$F6</f>
        <v>100011BS101</v>
      </c>
      <c r="S6" s="143" t="str">
        <f t="shared" ref="S6:S69" si="14">$S$2&amp;$F6</f>
        <v>100012BS101</v>
      </c>
      <c r="T6" s="143" t="str">
        <f t="shared" ref="T6:T69" si="15">$T$2&amp;$F6</f>
        <v>100013BS101</v>
      </c>
      <c r="U6" s="143" t="str">
        <f t="shared" ref="U6:U69" si="16">$U$2&amp;$F6</f>
        <v>100014BS101</v>
      </c>
      <c r="V6" s="143" t="str">
        <f t="shared" ref="V6:V69" si="17">$V$2&amp;$F6</f>
        <v>100015BS101</v>
      </c>
      <c r="W6" s="143" t="str">
        <f t="shared" ref="W6:W69" si="18">$W$2&amp;$F6</f>
        <v>100016BS101</v>
      </c>
      <c r="X6" s="144" t="s">
        <v>704</v>
      </c>
    </row>
    <row r="7" spans="1:24">
      <c r="A7" s="161" t="s">
        <v>747</v>
      </c>
      <c r="B7" s="140">
        <f t="shared" ref="B7:B70" si="19">B6+1</f>
        <v>3</v>
      </c>
      <c r="C7" s="144" t="s">
        <v>778</v>
      </c>
      <c r="D7" s="141" t="s">
        <v>777</v>
      </c>
      <c r="E7" s="142">
        <f t="shared" ref="E7:E70" si="20">E6+1</f>
        <v>102</v>
      </c>
      <c r="F7" s="142" t="str">
        <f t="shared" si="1"/>
        <v>BS102</v>
      </c>
      <c r="G7" s="143" t="str">
        <f t="shared" si="2"/>
        <v>100000BS102</v>
      </c>
      <c r="H7" s="143" t="str">
        <f t="shared" si="3"/>
        <v>100001BS102</v>
      </c>
      <c r="I7" s="143" t="str">
        <f t="shared" si="4"/>
        <v>100002BS102</v>
      </c>
      <c r="J7" s="143" t="str">
        <f t="shared" si="5"/>
        <v>100003BS102</v>
      </c>
      <c r="K7" s="143" t="str">
        <f t="shared" si="6"/>
        <v>100004BS102</v>
      </c>
      <c r="L7" s="143" t="str">
        <f t="shared" si="7"/>
        <v>100005BS102</v>
      </c>
      <c r="M7" s="143" t="str">
        <f t="shared" si="8"/>
        <v>100006BS102</v>
      </c>
      <c r="N7" s="143" t="str">
        <f t="shared" si="9"/>
        <v>100007BS102</v>
      </c>
      <c r="O7" s="143" t="str">
        <f t="shared" si="10"/>
        <v>100008BS102</v>
      </c>
      <c r="P7" s="143" t="str">
        <f t="shared" si="11"/>
        <v>100009BS102</v>
      </c>
      <c r="Q7" s="143" t="str">
        <f t="shared" si="12"/>
        <v>100010BS102</v>
      </c>
      <c r="R7" s="143" t="str">
        <f t="shared" si="13"/>
        <v>100011BS102</v>
      </c>
      <c r="S7" s="143" t="str">
        <f t="shared" si="14"/>
        <v>100012BS102</v>
      </c>
      <c r="T7" s="143" t="str">
        <f t="shared" si="15"/>
        <v>100013BS102</v>
      </c>
      <c r="U7" s="143" t="str">
        <f t="shared" si="16"/>
        <v>100014BS102</v>
      </c>
      <c r="V7" s="143" t="str">
        <f t="shared" si="17"/>
        <v>100015BS102</v>
      </c>
      <c r="W7" s="143" t="str">
        <f t="shared" si="18"/>
        <v>100016BS102</v>
      </c>
      <c r="X7" s="144" t="s">
        <v>778</v>
      </c>
    </row>
    <row r="8" spans="1:24">
      <c r="A8" s="161" t="s">
        <v>748</v>
      </c>
      <c r="B8" s="140">
        <f t="shared" si="19"/>
        <v>4</v>
      </c>
      <c r="C8" s="144" t="s">
        <v>674</v>
      </c>
      <c r="D8" s="141" t="s">
        <v>777</v>
      </c>
      <c r="E8" s="142">
        <f t="shared" si="20"/>
        <v>103</v>
      </c>
      <c r="F8" s="142" t="str">
        <f t="shared" si="1"/>
        <v>BS103</v>
      </c>
      <c r="G8" s="143" t="str">
        <f t="shared" si="2"/>
        <v>100000BS103</v>
      </c>
      <c r="H8" s="143" t="str">
        <f t="shared" si="3"/>
        <v>100001BS103</v>
      </c>
      <c r="I8" s="143" t="str">
        <f t="shared" si="4"/>
        <v>100002BS103</v>
      </c>
      <c r="J8" s="143" t="str">
        <f t="shared" si="5"/>
        <v>100003BS103</v>
      </c>
      <c r="K8" s="143" t="str">
        <f t="shared" si="6"/>
        <v>100004BS103</v>
      </c>
      <c r="L8" s="143" t="str">
        <f t="shared" si="7"/>
        <v>100005BS103</v>
      </c>
      <c r="M8" s="143" t="str">
        <f t="shared" si="8"/>
        <v>100006BS103</v>
      </c>
      <c r="N8" s="143" t="str">
        <f t="shared" si="9"/>
        <v>100007BS103</v>
      </c>
      <c r="O8" s="143" t="str">
        <f t="shared" si="10"/>
        <v>100008BS103</v>
      </c>
      <c r="P8" s="143" t="str">
        <f t="shared" si="11"/>
        <v>100009BS103</v>
      </c>
      <c r="Q8" s="143" t="str">
        <f t="shared" si="12"/>
        <v>100010BS103</v>
      </c>
      <c r="R8" s="143" t="str">
        <f t="shared" si="13"/>
        <v>100011BS103</v>
      </c>
      <c r="S8" s="143" t="str">
        <f t="shared" si="14"/>
        <v>100012BS103</v>
      </c>
      <c r="T8" s="143" t="str">
        <f t="shared" si="15"/>
        <v>100013BS103</v>
      </c>
      <c r="U8" s="143" t="str">
        <f t="shared" si="16"/>
        <v>100014BS103</v>
      </c>
      <c r="V8" s="143" t="str">
        <f t="shared" si="17"/>
        <v>100015BS103</v>
      </c>
      <c r="W8" s="143" t="str">
        <f t="shared" si="18"/>
        <v>100016BS103</v>
      </c>
      <c r="X8" s="144" t="s">
        <v>674</v>
      </c>
    </row>
    <row r="9" spans="1:24">
      <c r="A9" s="161" t="s">
        <v>749</v>
      </c>
      <c r="B9" s="140">
        <f t="shared" si="19"/>
        <v>5</v>
      </c>
      <c r="C9" s="144" t="s">
        <v>779</v>
      </c>
      <c r="D9" s="141" t="s">
        <v>777</v>
      </c>
      <c r="E9" s="142">
        <f t="shared" si="20"/>
        <v>104</v>
      </c>
      <c r="F9" s="142" t="str">
        <f t="shared" si="1"/>
        <v>BS104</v>
      </c>
      <c r="G9" s="143" t="str">
        <f t="shared" si="2"/>
        <v>100000BS104</v>
      </c>
      <c r="H9" s="143" t="str">
        <f t="shared" si="3"/>
        <v>100001BS104</v>
      </c>
      <c r="I9" s="143" t="str">
        <f t="shared" si="4"/>
        <v>100002BS104</v>
      </c>
      <c r="J9" s="143" t="str">
        <f t="shared" si="5"/>
        <v>100003BS104</v>
      </c>
      <c r="K9" s="143" t="str">
        <f t="shared" si="6"/>
        <v>100004BS104</v>
      </c>
      <c r="L9" s="143" t="str">
        <f t="shared" si="7"/>
        <v>100005BS104</v>
      </c>
      <c r="M9" s="143" t="str">
        <f t="shared" si="8"/>
        <v>100006BS104</v>
      </c>
      <c r="N9" s="143" t="str">
        <f t="shared" si="9"/>
        <v>100007BS104</v>
      </c>
      <c r="O9" s="143" t="str">
        <f t="shared" si="10"/>
        <v>100008BS104</v>
      </c>
      <c r="P9" s="143" t="str">
        <f t="shared" si="11"/>
        <v>100009BS104</v>
      </c>
      <c r="Q9" s="143" t="str">
        <f t="shared" si="12"/>
        <v>100010BS104</v>
      </c>
      <c r="R9" s="143" t="str">
        <f t="shared" si="13"/>
        <v>100011BS104</v>
      </c>
      <c r="S9" s="143" t="str">
        <f t="shared" si="14"/>
        <v>100012BS104</v>
      </c>
      <c r="T9" s="143" t="str">
        <f t="shared" si="15"/>
        <v>100013BS104</v>
      </c>
      <c r="U9" s="143" t="str">
        <f t="shared" si="16"/>
        <v>100014BS104</v>
      </c>
      <c r="V9" s="143" t="str">
        <f t="shared" si="17"/>
        <v>100015BS104</v>
      </c>
      <c r="W9" s="143" t="str">
        <f t="shared" si="18"/>
        <v>100016BS104</v>
      </c>
      <c r="X9" s="144" t="s">
        <v>779</v>
      </c>
    </row>
    <row r="10" spans="1:24">
      <c r="A10" s="161" t="s">
        <v>749</v>
      </c>
      <c r="B10" s="140">
        <f t="shared" si="19"/>
        <v>6</v>
      </c>
      <c r="C10" s="144" t="s">
        <v>780</v>
      </c>
      <c r="D10" s="141" t="s">
        <v>777</v>
      </c>
      <c r="E10" s="142">
        <f t="shared" si="20"/>
        <v>105</v>
      </c>
      <c r="F10" s="142" t="str">
        <f t="shared" si="1"/>
        <v>BS105</v>
      </c>
      <c r="G10" s="143" t="str">
        <f t="shared" si="2"/>
        <v>100000BS105</v>
      </c>
      <c r="H10" s="143" t="str">
        <f t="shared" si="3"/>
        <v>100001BS105</v>
      </c>
      <c r="I10" s="143" t="str">
        <f t="shared" si="4"/>
        <v>100002BS105</v>
      </c>
      <c r="J10" s="143" t="str">
        <f t="shared" si="5"/>
        <v>100003BS105</v>
      </c>
      <c r="K10" s="143" t="str">
        <f t="shared" si="6"/>
        <v>100004BS105</v>
      </c>
      <c r="L10" s="143" t="str">
        <f t="shared" si="7"/>
        <v>100005BS105</v>
      </c>
      <c r="M10" s="143" t="str">
        <f t="shared" si="8"/>
        <v>100006BS105</v>
      </c>
      <c r="N10" s="143" t="str">
        <f t="shared" si="9"/>
        <v>100007BS105</v>
      </c>
      <c r="O10" s="143" t="str">
        <f t="shared" si="10"/>
        <v>100008BS105</v>
      </c>
      <c r="P10" s="143" t="str">
        <f t="shared" si="11"/>
        <v>100009BS105</v>
      </c>
      <c r="Q10" s="143" t="str">
        <f t="shared" si="12"/>
        <v>100010BS105</v>
      </c>
      <c r="R10" s="143" t="str">
        <f t="shared" si="13"/>
        <v>100011BS105</v>
      </c>
      <c r="S10" s="143" t="str">
        <f t="shared" si="14"/>
        <v>100012BS105</v>
      </c>
      <c r="T10" s="143" t="str">
        <f t="shared" si="15"/>
        <v>100013BS105</v>
      </c>
      <c r="U10" s="143" t="str">
        <f t="shared" si="16"/>
        <v>100014BS105</v>
      </c>
      <c r="V10" s="143" t="str">
        <f t="shared" si="17"/>
        <v>100015BS105</v>
      </c>
      <c r="W10" s="143" t="str">
        <f t="shared" si="18"/>
        <v>100016BS105</v>
      </c>
      <c r="X10" s="144" t="s">
        <v>780</v>
      </c>
    </row>
    <row r="11" spans="1:24">
      <c r="A11" s="161" t="s">
        <v>751</v>
      </c>
      <c r="B11" s="140">
        <f t="shared" si="19"/>
        <v>7</v>
      </c>
      <c r="C11" s="144" t="s">
        <v>781</v>
      </c>
      <c r="D11" s="141" t="s">
        <v>777</v>
      </c>
      <c r="E11" s="142">
        <f t="shared" si="20"/>
        <v>106</v>
      </c>
      <c r="F11" s="142" t="str">
        <f t="shared" si="1"/>
        <v>BS106</v>
      </c>
      <c r="G11" s="143" t="str">
        <f t="shared" si="2"/>
        <v>100000BS106</v>
      </c>
      <c r="H11" s="143" t="str">
        <f t="shared" si="3"/>
        <v>100001BS106</v>
      </c>
      <c r="I11" s="143" t="str">
        <f t="shared" si="4"/>
        <v>100002BS106</v>
      </c>
      <c r="J11" s="143" t="str">
        <f t="shared" si="5"/>
        <v>100003BS106</v>
      </c>
      <c r="K11" s="143" t="str">
        <f t="shared" si="6"/>
        <v>100004BS106</v>
      </c>
      <c r="L11" s="143" t="str">
        <f t="shared" si="7"/>
        <v>100005BS106</v>
      </c>
      <c r="M11" s="143" t="str">
        <f t="shared" si="8"/>
        <v>100006BS106</v>
      </c>
      <c r="N11" s="143" t="str">
        <f t="shared" si="9"/>
        <v>100007BS106</v>
      </c>
      <c r="O11" s="143" t="str">
        <f t="shared" si="10"/>
        <v>100008BS106</v>
      </c>
      <c r="P11" s="143" t="str">
        <f t="shared" si="11"/>
        <v>100009BS106</v>
      </c>
      <c r="Q11" s="143" t="str">
        <f t="shared" si="12"/>
        <v>100010BS106</v>
      </c>
      <c r="R11" s="143" t="str">
        <f t="shared" si="13"/>
        <v>100011BS106</v>
      </c>
      <c r="S11" s="143" t="str">
        <f t="shared" si="14"/>
        <v>100012BS106</v>
      </c>
      <c r="T11" s="143" t="str">
        <f t="shared" si="15"/>
        <v>100013BS106</v>
      </c>
      <c r="U11" s="143" t="str">
        <f t="shared" si="16"/>
        <v>100014BS106</v>
      </c>
      <c r="V11" s="143" t="str">
        <f t="shared" si="17"/>
        <v>100015BS106</v>
      </c>
      <c r="W11" s="143" t="str">
        <f t="shared" si="18"/>
        <v>100016BS106</v>
      </c>
      <c r="X11" s="144" t="s">
        <v>781</v>
      </c>
    </row>
    <row r="12" spans="1:24">
      <c r="A12" s="161" t="s">
        <v>751</v>
      </c>
      <c r="B12" s="140">
        <f t="shared" si="19"/>
        <v>8</v>
      </c>
      <c r="C12" s="144" t="s">
        <v>723</v>
      </c>
      <c r="D12" s="141" t="s">
        <v>777</v>
      </c>
      <c r="E12" s="142">
        <f t="shared" si="20"/>
        <v>107</v>
      </c>
      <c r="F12" s="142" t="str">
        <f t="shared" si="1"/>
        <v>BS107</v>
      </c>
      <c r="G12" s="143" t="str">
        <f t="shared" si="2"/>
        <v>100000BS107</v>
      </c>
      <c r="H12" s="143" t="str">
        <f t="shared" si="3"/>
        <v>100001BS107</v>
      </c>
      <c r="I12" s="143" t="str">
        <f t="shared" si="4"/>
        <v>100002BS107</v>
      </c>
      <c r="J12" s="143" t="str">
        <f t="shared" si="5"/>
        <v>100003BS107</v>
      </c>
      <c r="K12" s="143" t="str">
        <f t="shared" si="6"/>
        <v>100004BS107</v>
      </c>
      <c r="L12" s="143" t="str">
        <f t="shared" si="7"/>
        <v>100005BS107</v>
      </c>
      <c r="M12" s="143" t="str">
        <f t="shared" si="8"/>
        <v>100006BS107</v>
      </c>
      <c r="N12" s="143" t="str">
        <f t="shared" si="9"/>
        <v>100007BS107</v>
      </c>
      <c r="O12" s="143" t="str">
        <f t="shared" si="10"/>
        <v>100008BS107</v>
      </c>
      <c r="P12" s="143" t="str">
        <f t="shared" si="11"/>
        <v>100009BS107</v>
      </c>
      <c r="Q12" s="143" t="str">
        <f t="shared" si="12"/>
        <v>100010BS107</v>
      </c>
      <c r="R12" s="143" t="str">
        <f t="shared" si="13"/>
        <v>100011BS107</v>
      </c>
      <c r="S12" s="143" t="str">
        <f t="shared" si="14"/>
        <v>100012BS107</v>
      </c>
      <c r="T12" s="143" t="str">
        <f t="shared" si="15"/>
        <v>100013BS107</v>
      </c>
      <c r="U12" s="143" t="str">
        <f t="shared" si="16"/>
        <v>100014BS107</v>
      </c>
      <c r="V12" s="143" t="str">
        <f t="shared" si="17"/>
        <v>100015BS107</v>
      </c>
      <c r="W12" s="143" t="str">
        <f t="shared" si="18"/>
        <v>100016BS107</v>
      </c>
      <c r="X12" s="144" t="s">
        <v>723</v>
      </c>
    </row>
    <row r="13" spans="1:24">
      <c r="A13" s="161" t="s">
        <v>751</v>
      </c>
      <c r="B13" s="140">
        <f t="shared" si="19"/>
        <v>9</v>
      </c>
      <c r="C13" s="144" t="s">
        <v>68</v>
      </c>
      <c r="D13" s="141" t="s">
        <v>777</v>
      </c>
      <c r="E13" s="142">
        <f t="shared" si="20"/>
        <v>108</v>
      </c>
      <c r="F13" s="142" t="str">
        <f t="shared" si="1"/>
        <v>BS108</v>
      </c>
      <c r="G13" s="143" t="str">
        <f t="shared" si="2"/>
        <v>100000BS108</v>
      </c>
      <c r="H13" s="143" t="str">
        <f t="shared" si="3"/>
        <v>100001BS108</v>
      </c>
      <c r="I13" s="143" t="str">
        <f t="shared" si="4"/>
        <v>100002BS108</v>
      </c>
      <c r="J13" s="143" t="str">
        <f t="shared" si="5"/>
        <v>100003BS108</v>
      </c>
      <c r="K13" s="143" t="str">
        <f t="shared" si="6"/>
        <v>100004BS108</v>
      </c>
      <c r="L13" s="143" t="str">
        <f t="shared" si="7"/>
        <v>100005BS108</v>
      </c>
      <c r="M13" s="143" t="str">
        <f t="shared" si="8"/>
        <v>100006BS108</v>
      </c>
      <c r="N13" s="143" t="str">
        <f t="shared" si="9"/>
        <v>100007BS108</v>
      </c>
      <c r="O13" s="143" t="str">
        <f t="shared" si="10"/>
        <v>100008BS108</v>
      </c>
      <c r="P13" s="143" t="str">
        <f t="shared" si="11"/>
        <v>100009BS108</v>
      </c>
      <c r="Q13" s="143" t="str">
        <f t="shared" si="12"/>
        <v>100010BS108</v>
      </c>
      <c r="R13" s="143" t="str">
        <f t="shared" si="13"/>
        <v>100011BS108</v>
      </c>
      <c r="S13" s="143" t="str">
        <f t="shared" si="14"/>
        <v>100012BS108</v>
      </c>
      <c r="T13" s="143" t="str">
        <f t="shared" si="15"/>
        <v>100013BS108</v>
      </c>
      <c r="U13" s="143" t="str">
        <f t="shared" si="16"/>
        <v>100014BS108</v>
      </c>
      <c r="V13" s="143" t="str">
        <f t="shared" si="17"/>
        <v>100015BS108</v>
      </c>
      <c r="W13" s="143" t="str">
        <f t="shared" si="18"/>
        <v>100016BS108</v>
      </c>
      <c r="X13" s="144" t="s">
        <v>68</v>
      </c>
    </row>
    <row r="14" spans="1:24">
      <c r="A14" s="161" t="s">
        <v>751</v>
      </c>
      <c r="B14" s="140">
        <f t="shared" si="19"/>
        <v>10</v>
      </c>
      <c r="C14" s="144" t="s">
        <v>69</v>
      </c>
      <c r="D14" s="141" t="s">
        <v>777</v>
      </c>
      <c r="E14" s="142">
        <f t="shared" si="20"/>
        <v>109</v>
      </c>
      <c r="F14" s="142" t="str">
        <f t="shared" si="1"/>
        <v>BS109</v>
      </c>
      <c r="G14" s="143" t="str">
        <f t="shared" si="2"/>
        <v>100000BS109</v>
      </c>
      <c r="H14" s="143" t="str">
        <f t="shared" si="3"/>
        <v>100001BS109</v>
      </c>
      <c r="I14" s="143" t="str">
        <f t="shared" si="4"/>
        <v>100002BS109</v>
      </c>
      <c r="J14" s="143" t="str">
        <f t="shared" si="5"/>
        <v>100003BS109</v>
      </c>
      <c r="K14" s="143" t="str">
        <f t="shared" si="6"/>
        <v>100004BS109</v>
      </c>
      <c r="L14" s="143" t="str">
        <f t="shared" si="7"/>
        <v>100005BS109</v>
      </c>
      <c r="M14" s="143" t="str">
        <f t="shared" si="8"/>
        <v>100006BS109</v>
      </c>
      <c r="N14" s="143" t="str">
        <f t="shared" si="9"/>
        <v>100007BS109</v>
      </c>
      <c r="O14" s="143" t="str">
        <f t="shared" si="10"/>
        <v>100008BS109</v>
      </c>
      <c r="P14" s="143" t="str">
        <f t="shared" si="11"/>
        <v>100009BS109</v>
      </c>
      <c r="Q14" s="143" t="str">
        <f t="shared" si="12"/>
        <v>100010BS109</v>
      </c>
      <c r="R14" s="143" t="str">
        <f t="shared" si="13"/>
        <v>100011BS109</v>
      </c>
      <c r="S14" s="143" t="str">
        <f t="shared" si="14"/>
        <v>100012BS109</v>
      </c>
      <c r="T14" s="143" t="str">
        <f t="shared" si="15"/>
        <v>100013BS109</v>
      </c>
      <c r="U14" s="143" t="str">
        <f t="shared" si="16"/>
        <v>100014BS109</v>
      </c>
      <c r="V14" s="143" t="str">
        <f t="shared" si="17"/>
        <v>100015BS109</v>
      </c>
      <c r="W14" s="143" t="str">
        <f t="shared" si="18"/>
        <v>100016BS109</v>
      </c>
      <c r="X14" s="144" t="s">
        <v>69</v>
      </c>
    </row>
    <row r="15" spans="1:24">
      <c r="A15" s="161" t="s">
        <v>751</v>
      </c>
      <c r="B15" s="140">
        <f t="shared" si="19"/>
        <v>11</v>
      </c>
      <c r="C15" s="144" t="s">
        <v>782</v>
      </c>
      <c r="D15" s="141" t="s">
        <v>777</v>
      </c>
      <c r="E15" s="142">
        <f t="shared" si="20"/>
        <v>110</v>
      </c>
      <c r="F15" s="142" t="str">
        <f t="shared" si="1"/>
        <v>BS110</v>
      </c>
      <c r="G15" s="143" t="str">
        <f t="shared" si="2"/>
        <v>100000BS110</v>
      </c>
      <c r="H15" s="143" t="str">
        <f t="shared" si="3"/>
        <v>100001BS110</v>
      </c>
      <c r="I15" s="143" t="str">
        <f t="shared" si="4"/>
        <v>100002BS110</v>
      </c>
      <c r="J15" s="143" t="str">
        <f t="shared" si="5"/>
        <v>100003BS110</v>
      </c>
      <c r="K15" s="143" t="str">
        <f t="shared" si="6"/>
        <v>100004BS110</v>
      </c>
      <c r="L15" s="143" t="str">
        <f t="shared" si="7"/>
        <v>100005BS110</v>
      </c>
      <c r="M15" s="143" t="str">
        <f t="shared" si="8"/>
        <v>100006BS110</v>
      </c>
      <c r="N15" s="143" t="str">
        <f t="shared" si="9"/>
        <v>100007BS110</v>
      </c>
      <c r="O15" s="143" t="str">
        <f t="shared" si="10"/>
        <v>100008BS110</v>
      </c>
      <c r="P15" s="143" t="str">
        <f t="shared" si="11"/>
        <v>100009BS110</v>
      </c>
      <c r="Q15" s="143" t="str">
        <f t="shared" si="12"/>
        <v>100010BS110</v>
      </c>
      <c r="R15" s="143" t="str">
        <f t="shared" si="13"/>
        <v>100011BS110</v>
      </c>
      <c r="S15" s="143" t="str">
        <f t="shared" si="14"/>
        <v>100012BS110</v>
      </c>
      <c r="T15" s="143" t="str">
        <f t="shared" si="15"/>
        <v>100013BS110</v>
      </c>
      <c r="U15" s="143" t="str">
        <f t="shared" si="16"/>
        <v>100014BS110</v>
      </c>
      <c r="V15" s="143" t="str">
        <f t="shared" si="17"/>
        <v>100015BS110</v>
      </c>
      <c r="W15" s="143" t="str">
        <f t="shared" si="18"/>
        <v>100016BS110</v>
      </c>
      <c r="X15" s="144" t="s">
        <v>782</v>
      </c>
    </row>
    <row r="16" spans="1:24">
      <c r="A16" s="161" t="s">
        <v>748</v>
      </c>
      <c r="B16" s="140">
        <f t="shared" si="19"/>
        <v>12</v>
      </c>
      <c r="C16" s="144" t="s">
        <v>726</v>
      </c>
      <c r="D16" s="141" t="s">
        <v>777</v>
      </c>
      <c r="E16" s="142">
        <f t="shared" si="20"/>
        <v>111</v>
      </c>
      <c r="F16" s="142" t="str">
        <f t="shared" si="1"/>
        <v>BS111</v>
      </c>
      <c r="G16" s="143" t="str">
        <f t="shared" si="2"/>
        <v>100000BS111</v>
      </c>
      <c r="H16" s="143" t="str">
        <f t="shared" si="3"/>
        <v>100001BS111</v>
      </c>
      <c r="I16" s="143" t="str">
        <f t="shared" si="4"/>
        <v>100002BS111</v>
      </c>
      <c r="J16" s="143" t="str">
        <f t="shared" si="5"/>
        <v>100003BS111</v>
      </c>
      <c r="K16" s="143" t="str">
        <f t="shared" si="6"/>
        <v>100004BS111</v>
      </c>
      <c r="L16" s="143" t="str">
        <f t="shared" si="7"/>
        <v>100005BS111</v>
      </c>
      <c r="M16" s="143" t="str">
        <f t="shared" si="8"/>
        <v>100006BS111</v>
      </c>
      <c r="N16" s="143" t="str">
        <f t="shared" si="9"/>
        <v>100007BS111</v>
      </c>
      <c r="O16" s="143" t="str">
        <f t="shared" si="10"/>
        <v>100008BS111</v>
      </c>
      <c r="P16" s="143" t="str">
        <f t="shared" si="11"/>
        <v>100009BS111</v>
      </c>
      <c r="Q16" s="143" t="str">
        <f t="shared" si="12"/>
        <v>100010BS111</v>
      </c>
      <c r="R16" s="143" t="str">
        <f t="shared" si="13"/>
        <v>100011BS111</v>
      </c>
      <c r="S16" s="143" t="str">
        <f t="shared" si="14"/>
        <v>100012BS111</v>
      </c>
      <c r="T16" s="143" t="str">
        <f t="shared" si="15"/>
        <v>100013BS111</v>
      </c>
      <c r="U16" s="143" t="str">
        <f t="shared" si="16"/>
        <v>100014BS111</v>
      </c>
      <c r="V16" s="143" t="str">
        <f t="shared" si="17"/>
        <v>100015BS111</v>
      </c>
      <c r="W16" s="143" t="str">
        <f t="shared" si="18"/>
        <v>100016BS111</v>
      </c>
      <c r="X16" s="144" t="s">
        <v>726</v>
      </c>
    </row>
    <row r="17" spans="1:24">
      <c r="A17" s="161">
        <v>3</v>
      </c>
      <c r="B17" s="140">
        <f t="shared" si="19"/>
        <v>13</v>
      </c>
      <c r="C17" s="144" t="s">
        <v>783</v>
      </c>
      <c r="D17" s="141" t="s">
        <v>777</v>
      </c>
      <c r="E17" s="142">
        <f t="shared" si="20"/>
        <v>112</v>
      </c>
      <c r="F17" s="142" t="str">
        <f t="shared" si="1"/>
        <v>BS112</v>
      </c>
      <c r="G17" s="143" t="str">
        <f t="shared" si="2"/>
        <v>100000BS112</v>
      </c>
      <c r="H17" s="143" t="str">
        <f t="shared" si="3"/>
        <v>100001BS112</v>
      </c>
      <c r="I17" s="143" t="str">
        <f t="shared" si="4"/>
        <v>100002BS112</v>
      </c>
      <c r="J17" s="143" t="str">
        <f t="shared" si="5"/>
        <v>100003BS112</v>
      </c>
      <c r="K17" s="143" t="str">
        <f t="shared" si="6"/>
        <v>100004BS112</v>
      </c>
      <c r="L17" s="143" t="str">
        <f t="shared" si="7"/>
        <v>100005BS112</v>
      </c>
      <c r="M17" s="143" t="str">
        <f t="shared" si="8"/>
        <v>100006BS112</v>
      </c>
      <c r="N17" s="143" t="str">
        <f t="shared" si="9"/>
        <v>100007BS112</v>
      </c>
      <c r="O17" s="143" t="str">
        <f t="shared" si="10"/>
        <v>100008BS112</v>
      </c>
      <c r="P17" s="143" t="str">
        <f t="shared" si="11"/>
        <v>100009BS112</v>
      </c>
      <c r="Q17" s="143" t="str">
        <f t="shared" si="12"/>
        <v>100010BS112</v>
      </c>
      <c r="R17" s="143" t="str">
        <f t="shared" si="13"/>
        <v>100011BS112</v>
      </c>
      <c r="S17" s="143" t="str">
        <f t="shared" si="14"/>
        <v>100012BS112</v>
      </c>
      <c r="T17" s="143" t="str">
        <f t="shared" si="15"/>
        <v>100013BS112</v>
      </c>
      <c r="U17" s="143" t="str">
        <f t="shared" si="16"/>
        <v>100014BS112</v>
      </c>
      <c r="V17" s="143" t="str">
        <f t="shared" si="17"/>
        <v>100015BS112</v>
      </c>
      <c r="W17" s="143" t="str">
        <f t="shared" si="18"/>
        <v>100016BS112</v>
      </c>
      <c r="X17" s="144" t="s">
        <v>783</v>
      </c>
    </row>
    <row r="18" spans="1:24">
      <c r="A18" s="161">
        <v>3</v>
      </c>
      <c r="B18" s="140">
        <f t="shared" si="19"/>
        <v>14</v>
      </c>
      <c r="C18" s="144" t="s">
        <v>784</v>
      </c>
      <c r="D18" s="141" t="s">
        <v>777</v>
      </c>
      <c r="E18" s="142">
        <f t="shared" si="20"/>
        <v>113</v>
      </c>
      <c r="F18" s="142" t="str">
        <f t="shared" si="1"/>
        <v>BS113</v>
      </c>
      <c r="G18" s="143" t="str">
        <f t="shared" si="2"/>
        <v>100000BS113</v>
      </c>
      <c r="H18" s="143" t="str">
        <f t="shared" si="3"/>
        <v>100001BS113</v>
      </c>
      <c r="I18" s="143" t="str">
        <f t="shared" si="4"/>
        <v>100002BS113</v>
      </c>
      <c r="J18" s="143" t="str">
        <f t="shared" si="5"/>
        <v>100003BS113</v>
      </c>
      <c r="K18" s="143" t="str">
        <f t="shared" si="6"/>
        <v>100004BS113</v>
      </c>
      <c r="L18" s="143" t="str">
        <f t="shared" si="7"/>
        <v>100005BS113</v>
      </c>
      <c r="M18" s="143" t="str">
        <f t="shared" si="8"/>
        <v>100006BS113</v>
      </c>
      <c r="N18" s="143" t="str">
        <f t="shared" si="9"/>
        <v>100007BS113</v>
      </c>
      <c r="O18" s="143" t="str">
        <f t="shared" si="10"/>
        <v>100008BS113</v>
      </c>
      <c r="P18" s="143" t="str">
        <f t="shared" si="11"/>
        <v>100009BS113</v>
      </c>
      <c r="Q18" s="143" t="str">
        <f t="shared" si="12"/>
        <v>100010BS113</v>
      </c>
      <c r="R18" s="143" t="str">
        <f t="shared" si="13"/>
        <v>100011BS113</v>
      </c>
      <c r="S18" s="143" t="str">
        <f t="shared" si="14"/>
        <v>100012BS113</v>
      </c>
      <c r="T18" s="143" t="str">
        <f t="shared" si="15"/>
        <v>100013BS113</v>
      </c>
      <c r="U18" s="143" t="str">
        <f t="shared" si="16"/>
        <v>100014BS113</v>
      </c>
      <c r="V18" s="143" t="str">
        <f t="shared" si="17"/>
        <v>100015BS113</v>
      </c>
      <c r="W18" s="143" t="str">
        <f t="shared" si="18"/>
        <v>100016BS113</v>
      </c>
      <c r="X18" s="144" t="s">
        <v>784</v>
      </c>
    </row>
    <row r="19" spans="1:24">
      <c r="A19" s="161">
        <v>3</v>
      </c>
      <c r="B19" s="140">
        <f t="shared" si="19"/>
        <v>15</v>
      </c>
      <c r="C19" s="144" t="s">
        <v>785</v>
      </c>
      <c r="D19" s="141" t="s">
        <v>777</v>
      </c>
      <c r="E19" s="142">
        <f t="shared" si="20"/>
        <v>114</v>
      </c>
      <c r="F19" s="142" t="str">
        <f t="shared" si="1"/>
        <v>BS114</v>
      </c>
      <c r="G19" s="143" t="str">
        <f t="shared" si="2"/>
        <v>100000BS114</v>
      </c>
      <c r="H19" s="143" t="str">
        <f t="shared" si="3"/>
        <v>100001BS114</v>
      </c>
      <c r="I19" s="143" t="str">
        <f t="shared" si="4"/>
        <v>100002BS114</v>
      </c>
      <c r="J19" s="143" t="str">
        <f t="shared" si="5"/>
        <v>100003BS114</v>
      </c>
      <c r="K19" s="143" t="str">
        <f t="shared" si="6"/>
        <v>100004BS114</v>
      </c>
      <c r="L19" s="143" t="str">
        <f t="shared" si="7"/>
        <v>100005BS114</v>
      </c>
      <c r="M19" s="143" t="str">
        <f t="shared" si="8"/>
        <v>100006BS114</v>
      </c>
      <c r="N19" s="143" t="str">
        <f t="shared" si="9"/>
        <v>100007BS114</v>
      </c>
      <c r="O19" s="143" t="str">
        <f t="shared" si="10"/>
        <v>100008BS114</v>
      </c>
      <c r="P19" s="143" t="str">
        <f t="shared" si="11"/>
        <v>100009BS114</v>
      </c>
      <c r="Q19" s="143" t="str">
        <f t="shared" si="12"/>
        <v>100010BS114</v>
      </c>
      <c r="R19" s="143" t="str">
        <f t="shared" si="13"/>
        <v>100011BS114</v>
      </c>
      <c r="S19" s="143" t="str">
        <f t="shared" si="14"/>
        <v>100012BS114</v>
      </c>
      <c r="T19" s="143" t="str">
        <f t="shared" si="15"/>
        <v>100013BS114</v>
      </c>
      <c r="U19" s="143" t="str">
        <f t="shared" si="16"/>
        <v>100014BS114</v>
      </c>
      <c r="V19" s="143" t="str">
        <f t="shared" si="17"/>
        <v>100015BS114</v>
      </c>
      <c r="W19" s="143" t="str">
        <f t="shared" si="18"/>
        <v>100016BS114</v>
      </c>
      <c r="X19" s="144" t="s">
        <v>785</v>
      </c>
    </row>
    <row r="20" spans="1:24">
      <c r="A20" s="161">
        <v>3</v>
      </c>
      <c r="B20" s="140">
        <f t="shared" si="19"/>
        <v>16</v>
      </c>
      <c r="C20" s="144" t="s">
        <v>786</v>
      </c>
      <c r="D20" s="141" t="s">
        <v>777</v>
      </c>
      <c r="E20" s="142">
        <f t="shared" si="20"/>
        <v>115</v>
      </c>
      <c r="F20" s="142" t="str">
        <f t="shared" si="1"/>
        <v>BS115</v>
      </c>
      <c r="G20" s="143" t="str">
        <f t="shared" si="2"/>
        <v>100000BS115</v>
      </c>
      <c r="H20" s="143" t="str">
        <f t="shared" si="3"/>
        <v>100001BS115</v>
      </c>
      <c r="I20" s="143" t="str">
        <f t="shared" si="4"/>
        <v>100002BS115</v>
      </c>
      <c r="J20" s="143" t="str">
        <f t="shared" si="5"/>
        <v>100003BS115</v>
      </c>
      <c r="K20" s="143" t="str">
        <f t="shared" si="6"/>
        <v>100004BS115</v>
      </c>
      <c r="L20" s="143" t="str">
        <f t="shared" si="7"/>
        <v>100005BS115</v>
      </c>
      <c r="M20" s="143" t="str">
        <f t="shared" si="8"/>
        <v>100006BS115</v>
      </c>
      <c r="N20" s="143" t="str">
        <f t="shared" si="9"/>
        <v>100007BS115</v>
      </c>
      <c r="O20" s="143" t="str">
        <f t="shared" si="10"/>
        <v>100008BS115</v>
      </c>
      <c r="P20" s="143" t="str">
        <f t="shared" si="11"/>
        <v>100009BS115</v>
      </c>
      <c r="Q20" s="143" t="str">
        <f t="shared" si="12"/>
        <v>100010BS115</v>
      </c>
      <c r="R20" s="143" t="str">
        <f t="shared" si="13"/>
        <v>100011BS115</v>
      </c>
      <c r="S20" s="143" t="str">
        <f t="shared" si="14"/>
        <v>100012BS115</v>
      </c>
      <c r="T20" s="143" t="str">
        <f t="shared" si="15"/>
        <v>100013BS115</v>
      </c>
      <c r="U20" s="143" t="str">
        <f t="shared" si="16"/>
        <v>100014BS115</v>
      </c>
      <c r="V20" s="143" t="str">
        <f t="shared" si="17"/>
        <v>100015BS115</v>
      </c>
      <c r="W20" s="143" t="str">
        <f t="shared" si="18"/>
        <v>100016BS115</v>
      </c>
      <c r="X20" s="144" t="s">
        <v>786</v>
      </c>
    </row>
    <row r="21" spans="1:24">
      <c r="A21" s="161">
        <v>3</v>
      </c>
      <c r="B21" s="140">
        <f t="shared" si="19"/>
        <v>17</v>
      </c>
      <c r="C21" s="144" t="s">
        <v>101</v>
      </c>
      <c r="D21" s="141" t="s">
        <v>777</v>
      </c>
      <c r="E21" s="142">
        <f t="shared" si="20"/>
        <v>116</v>
      </c>
      <c r="F21" s="142" t="str">
        <f t="shared" si="1"/>
        <v>BS116</v>
      </c>
      <c r="G21" s="143" t="str">
        <f t="shared" si="2"/>
        <v>100000BS116</v>
      </c>
      <c r="H21" s="143" t="str">
        <f t="shared" si="3"/>
        <v>100001BS116</v>
      </c>
      <c r="I21" s="143" t="str">
        <f t="shared" si="4"/>
        <v>100002BS116</v>
      </c>
      <c r="J21" s="143" t="str">
        <f t="shared" si="5"/>
        <v>100003BS116</v>
      </c>
      <c r="K21" s="143" t="str">
        <f t="shared" si="6"/>
        <v>100004BS116</v>
      </c>
      <c r="L21" s="143" t="str">
        <f t="shared" si="7"/>
        <v>100005BS116</v>
      </c>
      <c r="M21" s="143" t="str">
        <f t="shared" si="8"/>
        <v>100006BS116</v>
      </c>
      <c r="N21" s="143" t="str">
        <f t="shared" si="9"/>
        <v>100007BS116</v>
      </c>
      <c r="O21" s="143" t="str">
        <f t="shared" si="10"/>
        <v>100008BS116</v>
      </c>
      <c r="P21" s="143" t="str">
        <f t="shared" si="11"/>
        <v>100009BS116</v>
      </c>
      <c r="Q21" s="143" t="str">
        <f t="shared" si="12"/>
        <v>100010BS116</v>
      </c>
      <c r="R21" s="143" t="str">
        <f t="shared" si="13"/>
        <v>100011BS116</v>
      </c>
      <c r="S21" s="143" t="str">
        <f t="shared" si="14"/>
        <v>100012BS116</v>
      </c>
      <c r="T21" s="143" t="str">
        <f t="shared" si="15"/>
        <v>100013BS116</v>
      </c>
      <c r="U21" s="143" t="str">
        <f t="shared" si="16"/>
        <v>100014BS116</v>
      </c>
      <c r="V21" s="143" t="str">
        <f t="shared" si="17"/>
        <v>100015BS116</v>
      </c>
      <c r="W21" s="143" t="str">
        <f t="shared" si="18"/>
        <v>100016BS116</v>
      </c>
      <c r="X21" s="144" t="s">
        <v>101</v>
      </c>
    </row>
    <row r="22" spans="1:24">
      <c r="A22" s="161">
        <v>3</v>
      </c>
      <c r="B22" s="140">
        <f t="shared" si="19"/>
        <v>18</v>
      </c>
      <c r="C22" s="144" t="s">
        <v>787</v>
      </c>
      <c r="D22" s="141" t="s">
        <v>777</v>
      </c>
      <c r="E22" s="142">
        <f t="shared" si="20"/>
        <v>117</v>
      </c>
      <c r="F22" s="142" t="str">
        <f t="shared" si="1"/>
        <v>BS117</v>
      </c>
      <c r="G22" s="143" t="str">
        <f t="shared" si="2"/>
        <v>100000BS117</v>
      </c>
      <c r="H22" s="143" t="str">
        <f t="shared" si="3"/>
        <v>100001BS117</v>
      </c>
      <c r="I22" s="143" t="str">
        <f t="shared" si="4"/>
        <v>100002BS117</v>
      </c>
      <c r="J22" s="143" t="str">
        <f t="shared" si="5"/>
        <v>100003BS117</v>
      </c>
      <c r="K22" s="143" t="str">
        <f t="shared" si="6"/>
        <v>100004BS117</v>
      </c>
      <c r="L22" s="143" t="str">
        <f t="shared" si="7"/>
        <v>100005BS117</v>
      </c>
      <c r="M22" s="143" t="str">
        <f t="shared" si="8"/>
        <v>100006BS117</v>
      </c>
      <c r="N22" s="143" t="str">
        <f t="shared" si="9"/>
        <v>100007BS117</v>
      </c>
      <c r="O22" s="143" t="str">
        <f t="shared" si="10"/>
        <v>100008BS117</v>
      </c>
      <c r="P22" s="143" t="str">
        <f t="shared" si="11"/>
        <v>100009BS117</v>
      </c>
      <c r="Q22" s="143" t="str">
        <f t="shared" si="12"/>
        <v>100010BS117</v>
      </c>
      <c r="R22" s="143" t="str">
        <f t="shared" si="13"/>
        <v>100011BS117</v>
      </c>
      <c r="S22" s="143" t="str">
        <f t="shared" si="14"/>
        <v>100012BS117</v>
      </c>
      <c r="T22" s="143" t="str">
        <f t="shared" si="15"/>
        <v>100013BS117</v>
      </c>
      <c r="U22" s="143" t="str">
        <f t="shared" si="16"/>
        <v>100014BS117</v>
      </c>
      <c r="V22" s="143" t="str">
        <f t="shared" si="17"/>
        <v>100015BS117</v>
      </c>
      <c r="W22" s="143" t="str">
        <f t="shared" si="18"/>
        <v>100016BS117</v>
      </c>
      <c r="X22" s="144" t="s">
        <v>787</v>
      </c>
    </row>
    <row r="23" spans="1:24">
      <c r="A23" s="161">
        <v>3</v>
      </c>
      <c r="B23" s="140">
        <f t="shared" si="19"/>
        <v>19</v>
      </c>
      <c r="C23" s="144" t="s">
        <v>788</v>
      </c>
      <c r="D23" s="141" t="s">
        <v>777</v>
      </c>
      <c r="E23" s="142">
        <f t="shared" si="20"/>
        <v>118</v>
      </c>
      <c r="F23" s="142" t="str">
        <f t="shared" si="1"/>
        <v>BS118</v>
      </c>
      <c r="G23" s="143" t="str">
        <f t="shared" si="2"/>
        <v>100000BS118</v>
      </c>
      <c r="H23" s="143" t="str">
        <f t="shared" si="3"/>
        <v>100001BS118</v>
      </c>
      <c r="I23" s="143" t="str">
        <f t="shared" si="4"/>
        <v>100002BS118</v>
      </c>
      <c r="J23" s="143" t="str">
        <f t="shared" si="5"/>
        <v>100003BS118</v>
      </c>
      <c r="K23" s="143" t="str">
        <f t="shared" si="6"/>
        <v>100004BS118</v>
      </c>
      <c r="L23" s="143" t="str">
        <f t="shared" si="7"/>
        <v>100005BS118</v>
      </c>
      <c r="M23" s="143" t="str">
        <f t="shared" si="8"/>
        <v>100006BS118</v>
      </c>
      <c r="N23" s="143" t="str">
        <f t="shared" si="9"/>
        <v>100007BS118</v>
      </c>
      <c r="O23" s="143" t="str">
        <f t="shared" si="10"/>
        <v>100008BS118</v>
      </c>
      <c r="P23" s="143" t="str">
        <f t="shared" si="11"/>
        <v>100009BS118</v>
      </c>
      <c r="Q23" s="143" t="str">
        <f t="shared" si="12"/>
        <v>100010BS118</v>
      </c>
      <c r="R23" s="143" t="str">
        <f t="shared" si="13"/>
        <v>100011BS118</v>
      </c>
      <c r="S23" s="143" t="str">
        <f t="shared" si="14"/>
        <v>100012BS118</v>
      </c>
      <c r="T23" s="143" t="str">
        <f t="shared" si="15"/>
        <v>100013BS118</v>
      </c>
      <c r="U23" s="143" t="str">
        <f t="shared" si="16"/>
        <v>100014BS118</v>
      </c>
      <c r="V23" s="143" t="str">
        <f t="shared" si="17"/>
        <v>100015BS118</v>
      </c>
      <c r="W23" s="143" t="str">
        <f t="shared" si="18"/>
        <v>100016BS118</v>
      </c>
      <c r="X23" s="144" t="s">
        <v>788</v>
      </c>
    </row>
    <row r="24" spans="1:24">
      <c r="A24" s="161">
        <v>3</v>
      </c>
      <c r="B24" s="140">
        <f t="shared" si="19"/>
        <v>20</v>
      </c>
      <c r="C24" s="144" t="s">
        <v>789</v>
      </c>
      <c r="D24" s="141" t="s">
        <v>777</v>
      </c>
      <c r="E24" s="142">
        <f t="shared" si="20"/>
        <v>119</v>
      </c>
      <c r="F24" s="142" t="str">
        <f t="shared" si="1"/>
        <v>BS119</v>
      </c>
      <c r="G24" s="143" t="str">
        <f t="shared" si="2"/>
        <v>100000BS119</v>
      </c>
      <c r="H24" s="143" t="str">
        <f t="shared" si="3"/>
        <v>100001BS119</v>
      </c>
      <c r="I24" s="143" t="str">
        <f t="shared" si="4"/>
        <v>100002BS119</v>
      </c>
      <c r="J24" s="143" t="str">
        <f t="shared" si="5"/>
        <v>100003BS119</v>
      </c>
      <c r="K24" s="143" t="str">
        <f t="shared" si="6"/>
        <v>100004BS119</v>
      </c>
      <c r="L24" s="143" t="str">
        <f t="shared" si="7"/>
        <v>100005BS119</v>
      </c>
      <c r="M24" s="143" t="str">
        <f t="shared" si="8"/>
        <v>100006BS119</v>
      </c>
      <c r="N24" s="143" t="str">
        <f t="shared" si="9"/>
        <v>100007BS119</v>
      </c>
      <c r="O24" s="143" t="str">
        <f t="shared" si="10"/>
        <v>100008BS119</v>
      </c>
      <c r="P24" s="143" t="str">
        <f t="shared" si="11"/>
        <v>100009BS119</v>
      </c>
      <c r="Q24" s="143" t="str">
        <f t="shared" si="12"/>
        <v>100010BS119</v>
      </c>
      <c r="R24" s="143" t="str">
        <f t="shared" si="13"/>
        <v>100011BS119</v>
      </c>
      <c r="S24" s="143" t="str">
        <f t="shared" si="14"/>
        <v>100012BS119</v>
      </c>
      <c r="T24" s="143" t="str">
        <f t="shared" si="15"/>
        <v>100013BS119</v>
      </c>
      <c r="U24" s="143" t="str">
        <f t="shared" si="16"/>
        <v>100014BS119</v>
      </c>
      <c r="V24" s="143" t="str">
        <f t="shared" si="17"/>
        <v>100015BS119</v>
      </c>
      <c r="W24" s="143" t="str">
        <f t="shared" si="18"/>
        <v>100016BS119</v>
      </c>
      <c r="X24" s="144" t="s">
        <v>789</v>
      </c>
    </row>
    <row r="25" spans="1:24">
      <c r="A25" s="161">
        <v>4</v>
      </c>
      <c r="B25" s="140">
        <f t="shared" si="19"/>
        <v>21</v>
      </c>
      <c r="C25" s="144" t="s">
        <v>667</v>
      </c>
      <c r="D25" s="141" t="s">
        <v>777</v>
      </c>
      <c r="E25" s="142">
        <f t="shared" si="20"/>
        <v>120</v>
      </c>
      <c r="F25" s="142" t="str">
        <f t="shared" si="1"/>
        <v>BS120</v>
      </c>
      <c r="G25" s="143" t="str">
        <f t="shared" si="2"/>
        <v>100000BS120</v>
      </c>
      <c r="H25" s="143" t="str">
        <f t="shared" si="3"/>
        <v>100001BS120</v>
      </c>
      <c r="I25" s="143" t="str">
        <f t="shared" si="4"/>
        <v>100002BS120</v>
      </c>
      <c r="J25" s="143" t="str">
        <f t="shared" si="5"/>
        <v>100003BS120</v>
      </c>
      <c r="K25" s="143" t="str">
        <f t="shared" si="6"/>
        <v>100004BS120</v>
      </c>
      <c r="L25" s="143" t="str">
        <f t="shared" si="7"/>
        <v>100005BS120</v>
      </c>
      <c r="M25" s="143" t="str">
        <f t="shared" si="8"/>
        <v>100006BS120</v>
      </c>
      <c r="N25" s="143" t="str">
        <f t="shared" si="9"/>
        <v>100007BS120</v>
      </c>
      <c r="O25" s="143" t="str">
        <f t="shared" si="10"/>
        <v>100008BS120</v>
      </c>
      <c r="P25" s="143" t="str">
        <f t="shared" si="11"/>
        <v>100009BS120</v>
      </c>
      <c r="Q25" s="143" t="str">
        <f t="shared" si="12"/>
        <v>100010BS120</v>
      </c>
      <c r="R25" s="143" t="str">
        <f t="shared" si="13"/>
        <v>100011BS120</v>
      </c>
      <c r="S25" s="143" t="str">
        <f t="shared" si="14"/>
        <v>100012BS120</v>
      </c>
      <c r="T25" s="143" t="str">
        <f t="shared" si="15"/>
        <v>100013BS120</v>
      </c>
      <c r="U25" s="143" t="str">
        <f t="shared" si="16"/>
        <v>100014BS120</v>
      </c>
      <c r="V25" s="143" t="str">
        <f t="shared" si="17"/>
        <v>100015BS120</v>
      </c>
      <c r="W25" s="143" t="str">
        <f t="shared" si="18"/>
        <v>100016BS120</v>
      </c>
      <c r="X25" s="144" t="s">
        <v>667</v>
      </c>
    </row>
    <row r="26" spans="1:24">
      <c r="A26" s="161">
        <v>5</v>
      </c>
      <c r="B26" s="140">
        <f t="shared" si="19"/>
        <v>22</v>
      </c>
      <c r="C26" s="144" t="s">
        <v>790</v>
      </c>
      <c r="D26" s="141" t="s">
        <v>777</v>
      </c>
      <c r="E26" s="142">
        <f t="shared" si="20"/>
        <v>121</v>
      </c>
      <c r="F26" s="142" t="str">
        <f t="shared" si="1"/>
        <v>BS121</v>
      </c>
      <c r="G26" s="143" t="str">
        <f t="shared" si="2"/>
        <v>100000BS121</v>
      </c>
      <c r="H26" s="143" t="str">
        <f t="shared" si="3"/>
        <v>100001BS121</v>
      </c>
      <c r="I26" s="143" t="str">
        <f t="shared" si="4"/>
        <v>100002BS121</v>
      </c>
      <c r="J26" s="143" t="str">
        <f t="shared" si="5"/>
        <v>100003BS121</v>
      </c>
      <c r="K26" s="143" t="str">
        <f t="shared" si="6"/>
        <v>100004BS121</v>
      </c>
      <c r="L26" s="143" t="str">
        <f t="shared" si="7"/>
        <v>100005BS121</v>
      </c>
      <c r="M26" s="143" t="str">
        <f t="shared" si="8"/>
        <v>100006BS121</v>
      </c>
      <c r="N26" s="143" t="str">
        <f t="shared" si="9"/>
        <v>100007BS121</v>
      </c>
      <c r="O26" s="143" t="str">
        <f t="shared" si="10"/>
        <v>100008BS121</v>
      </c>
      <c r="P26" s="143" t="str">
        <f t="shared" si="11"/>
        <v>100009BS121</v>
      </c>
      <c r="Q26" s="143" t="str">
        <f t="shared" si="12"/>
        <v>100010BS121</v>
      </c>
      <c r="R26" s="143" t="str">
        <f t="shared" si="13"/>
        <v>100011BS121</v>
      </c>
      <c r="S26" s="143" t="str">
        <f t="shared" si="14"/>
        <v>100012BS121</v>
      </c>
      <c r="T26" s="143" t="str">
        <f t="shared" si="15"/>
        <v>100013BS121</v>
      </c>
      <c r="U26" s="143" t="str">
        <f t="shared" si="16"/>
        <v>100014BS121</v>
      </c>
      <c r="V26" s="143" t="str">
        <f t="shared" si="17"/>
        <v>100015BS121</v>
      </c>
      <c r="W26" s="143" t="str">
        <f t="shared" si="18"/>
        <v>100016BS121</v>
      </c>
      <c r="X26" s="144" t="s">
        <v>790</v>
      </c>
    </row>
    <row r="27" spans="1:24">
      <c r="A27" s="161">
        <v>5</v>
      </c>
      <c r="B27" s="140">
        <f t="shared" si="19"/>
        <v>23</v>
      </c>
      <c r="C27" s="144" t="s">
        <v>791</v>
      </c>
      <c r="D27" s="141" t="s">
        <v>777</v>
      </c>
      <c r="E27" s="142">
        <f t="shared" si="20"/>
        <v>122</v>
      </c>
      <c r="F27" s="142" t="str">
        <f t="shared" si="1"/>
        <v>BS122</v>
      </c>
      <c r="G27" s="143" t="str">
        <f t="shared" si="2"/>
        <v>100000BS122</v>
      </c>
      <c r="H27" s="143" t="str">
        <f t="shared" si="3"/>
        <v>100001BS122</v>
      </c>
      <c r="I27" s="143" t="str">
        <f t="shared" si="4"/>
        <v>100002BS122</v>
      </c>
      <c r="J27" s="143" t="str">
        <f t="shared" si="5"/>
        <v>100003BS122</v>
      </c>
      <c r="K27" s="143" t="str">
        <f t="shared" si="6"/>
        <v>100004BS122</v>
      </c>
      <c r="L27" s="143" t="str">
        <f t="shared" si="7"/>
        <v>100005BS122</v>
      </c>
      <c r="M27" s="143" t="str">
        <f t="shared" si="8"/>
        <v>100006BS122</v>
      </c>
      <c r="N27" s="143" t="str">
        <f t="shared" si="9"/>
        <v>100007BS122</v>
      </c>
      <c r="O27" s="143" t="str">
        <f t="shared" si="10"/>
        <v>100008BS122</v>
      </c>
      <c r="P27" s="143" t="str">
        <f t="shared" si="11"/>
        <v>100009BS122</v>
      </c>
      <c r="Q27" s="143" t="str">
        <f t="shared" si="12"/>
        <v>100010BS122</v>
      </c>
      <c r="R27" s="143" t="str">
        <f t="shared" si="13"/>
        <v>100011BS122</v>
      </c>
      <c r="S27" s="143" t="str">
        <f t="shared" si="14"/>
        <v>100012BS122</v>
      </c>
      <c r="T27" s="143" t="str">
        <f t="shared" si="15"/>
        <v>100013BS122</v>
      </c>
      <c r="U27" s="143" t="str">
        <f t="shared" si="16"/>
        <v>100014BS122</v>
      </c>
      <c r="V27" s="143" t="str">
        <f t="shared" si="17"/>
        <v>100015BS122</v>
      </c>
      <c r="W27" s="143" t="str">
        <f t="shared" si="18"/>
        <v>100016BS122</v>
      </c>
      <c r="X27" s="144" t="s">
        <v>791</v>
      </c>
    </row>
    <row r="28" spans="1:24">
      <c r="A28" s="161">
        <v>5</v>
      </c>
      <c r="B28" s="140">
        <f t="shared" si="19"/>
        <v>24</v>
      </c>
      <c r="C28" s="144" t="s">
        <v>792</v>
      </c>
      <c r="D28" s="141" t="s">
        <v>777</v>
      </c>
      <c r="E28" s="142">
        <f t="shared" si="20"/>
        <v>123</v>
      </c>
      <c r="F28" s="142" t="str">
        <f t="shared" si="1"/>
        <v>BS123</v>
      </c>
      <c r="G28" s="143" t="str">
        <f t="shared" si="2"/>
        <v>100000BS123</v>
      </c>
      <c r="H28" s="143" t="str">
        <f t="shared" si="3"/>
        <v>100001BS123</v>
      </c>
      <c r="I28" s="143" t="str">
        <f t="shared" si="4"/>
        <v>100002BS123</v>
      </c>
      <c r="J28" s="143" t="str">
        <f t="shared" si="5"/>
        <v>100003BS123</v>
      </c>
      <c r="K28" s="143" t="str">
        <f t="shared" si="6"/>
        <v>100004BS123</v>
      </c>
      <c r="L28" s="143" t="str">
        <f t="shared" si="7"/>
        <v>100005BS123</v>
      </c>
      <c r="M28" s="143" t="str">
        <f t="shared" si="8"/>
        <v>100006BS123</v>
      </c>
      <c r="N28" s="143" t="str">
        <f t="shared" si="9"/>
        <v>100007BS123</v>
      </c>
      <c r="O28" s="143" t="str">
        <f t="shared" si="10"/>
        <v>100008BS123</v>
      </c>
      <c r="P28" s="143" t="str">
        <f t="shared" si="11"/>
        <v>100009BS123</v>
      </c>
      <c r="Q28" s="143" t="str">
        <f t="shared" si="12"/>
        <v>100010BS123</v>
      </c>
      <c r="R28" s="143" t="str">
        <f t="shared" si="13"/>
        <v>100011BS123</v>
      </c>
      <c r="S28" s="143" t="str">
        <f t="shared" si="14"/>
        <v>100012BS123</v>
      </c>
      <c r="T28" s="143" t="str">
        <f t="shared" si="15"/>
        <v>100013BS123</v>
      </c>
      <c r="U28" s="143" t="str">
        <f t="shared" si="16"/>
        <v>100014BS123</v>
      </c>
      <c r="V28" s="143" t="str">
        <f t="shared" si="17"/>
        <v>100015BS123</v>
      </c>
      <c r="W28" s="143" t="str">
        <f t="shared" si="18"/>
        <v>100016BS123</v>
      </c>
      <c r="X28" s="144" t="s">
        <v>792</v>
      </c>
    </row>
    <row r="29" spans="1:24">
      <c r="A29" s="161">
        <v>5</v>
      </c>
      <c r="B29" s="140">
        <f t="shared" si="19"/>
        <v>25</v>
      </c>
      <c r="C29" s="144" t="s">
        <v>793</v>
      </c>
      <c r="D29" s="141" t="s">
        <v>777</v>
      </c>
      <c r="E29" s="142">
        <f t="shared" si="20"/>
        <v>124</v>
      </c>
      <c r="F29" s="142" t="str">
        <f t="shared" si="1"/>
        <v>BS124</v>
      </c>
      <c r="G29" s="143" t="str">
        <f t="shared" si="2"/>
        <v>100000BS124</v>
      </c>
      <c r="H29" s="143" t="str">
        <f t="shared" si="3"/>
        <v>100001BS124</v>
      </c>
      <c r="I29" s="143" t="str">
        <f t="shared" si="4"/>
        <v>100002BS124</v>
      </c>
      <c r="J29" s="143" t="str">
        <f t="shared" si="5"/>
        <v>100003BS124</v>
      </c>
      <c r="K29" s="143" t="str">
        <f t="shared" si="6"/>
        <v>100004BS124</v>
      </c>
      <c r="L29" s="143" t="str">
        <f t="shared" si="7"/>
        <v>100005BS124</v>
      </c>
      <c r="M29" s="143" t="str">
        <f t="shared" si="8"/>
        <v>100006BS124</v>
      </c>
      <c r="N29" s="143" t="str">
        <f t="shared" si="9"/>
        <v>100007BS124</v>
      </c>
      <c r="O29" s="143" t="str">
        <f t="shared" si="10"/>
        <v>100008BS124</v>
      </c>
      <c r="P29" s="143" t="str">
        <f t="shared" si="11"/>
        <v>100009BS124</v>
      </c>
      <c r="Q29" s="143" t="str">
        <f t="shared" si="12"/>
        <v>100010BS124</v>
      </c>
      <c r="R29" s="143" t="str">
        <f t="shared" si="13"/>
        <v>100011BS124</v>
      </c>
      <c r="S29" s="143" t="str">
        <f t="shared" si="14"/>
        <v>100012BS124</v>
      </c>
      <c r="T29" s="143" t="str">
        <f t="shared" si="15"/>
        <v>100013BS124</v>
      </c>
      <c r="U29" s="143" t="str">
        <f t="shared" si="16"/>
        <v>100014BS124</v>
      </c>
      <c r="V29" s="143" t="str">
        <f t="shared" si="17"/>
        <v>100015BS124</v>
      </c>
      <c r="W29" s="143" t="str">
        <f t="shared" si="18"/>
        <v>100016BS124</v>
      </c>
      <c r="X29" s="144" t="s">
        <v>793</v>
      </c>
    </row>
    <row r="30" spans="1:24">
      <c r="A30" s="161">
        <v>5</v>
      </c>
      <c r="B30" s="140">
        <f t="shared" si="19"/>
        <v>26</v>
      </c>
      <c r="C30" s="144" t="s">
        <v>794</v>
      </c>
      <c r="D30" s="141" t="s">
        <v>777</v>
      </c>
      <c r="E30" s="142">
        <f t="shared" si="20"/>
        <v>125</v>
      </c>
      <c r="F30" s="142" t="str">
        <f t="shared" si="1"/>
        <v>BS125</v>
      </c>
      <c r="G30" s="143" t="str">
        <f t="shared" si="2"/>
        <v>100000BS125</v>
      </c>
      <c r="H30" s="143" t="str">
        <f t="shared" si="3"/>
        <v>100001BS125</v>
      </c>
      <c r="I30" s="143" t="str">
        <f t="shared" si="4"/>
        <v>100002BS125</v>
      </c>
      <c r="J30" s="143" t="str">
        <f t="shared" si="5"/>
        <v>100003BS125</v>
      </c>
      <c r="K30" s="143" t="str">
        <f t="shared" si="6"/>
        <v>100004BS125</v>
      </c>
      <c r="L30" s="143" t="str">
        <f t="shared" si="7"/>
        <v>100005BS125</v>
      </c>
      <c r="M30" s="143" t="str">
        <f t="shared" si="8"/>
        <v>100006BS125</v>
      </c>
      <c r="N30" s="143" t="str">
        <f t="shared" si="9"/>
        <v>100007BS125</v>
      </c>
      <c r="O30" s="143" t="str">
        <f t="shared" si="10"/>
        <v>100008BS125</v>
      </c>
      <c r="P30" s="143" t="str">
        <f t="shared" si="11"/>
        <v>100009BS125</v>
      </c>
      <c r="Q30" s="143" t="str">
        <f t="shared" si="12"/>
        <v>100010BS125</v>
      </c>
      <c r="R30" s="143" t="str">
        <f t="shared" si="13"/>
        <v>100011BS125</v>
      </c>
      <c r="S30" s="143" t="str">
        <f t="shared" si="14"/>
        <v>100012BS125</v>
      </c>
      <c r="T30" s="143" t="str">
        <f t="shared" si="15"/>
        <v>100013BS125</v>
      </c>
      <c r="U30" s="143" t="str">
        <f t="shared" si="16"/>
        <v>100014BS125</v>
      </c>
      <c r="V30" s="143" t="str">
        <f t="shared" si="17"/>
        <v>100015BS125</v>
      </c>
      <c r="W30" s="143" t="str">
        <f t="shared" si="18"/>
        <v>100016BS125</v>
      </c>
      <c r="X30" s="144" t="s">
        <v>794</v>
      </c>
    </row>
    <row r="31" spans="1:24">
      <c r="A31" s="161">
        <v>5</v>
      </c>
      <c r="B31" s="140">
        <f t="shared" si="19"/>
        <v>27</v>
      </c>
      <c r="C31" s="144" t="s">
        <v>795</v>
      </c>
      <c r="D31" s="141" t="s">
        <v>777</v>
      </c>
      <c r="E31" s="142">
        <f t="shared" si="20"/>
        <v>126</v>
      </c>
      <c r="F31" s="142" t="str">
        <f t="shared" si="1"/>
        <v>BS126</v>
      </c>
      <c r="G31" s="143" t="str">
        <f t="shared" si="2"/>
        <v>100000BS126</v>
      </c>
      <c r="H31" s="143" t="str">
        <f t="shared" si="3"/>
        <v>100001BS126</v>
      </c>
      <c r="I31" s="143" t="str">
        <f t="shared" si="4"/>
        <v>100002BS126</v>
      </c>
      <c r="J31" s="143" t="str">
        <f t="shared" si="5"/>
        <v>100003BS126</v>
      </c>
      <c r="K31" s="143" t="str">
        <f t="shared" si="6"/>
        <v>100004BS126</v>
      </c>
      <c r="L31" s="143" t="str">
        <f t="shared" si="7"/>
        <v>100005BS126</v>
      </c>
      <c r="M31" s="143" t="str">
        <f t="shared" si="8"/>
        <v>100006BS126</v>
      </c>
      <c r="N31" s="143" t="str">
        <f t="shared" si="9"/>
        <v>100007BS126</v>
      </c>
      <c r="O31" s="143" t="str">
        <f t="shared" si="10"/>
        <v>100008BS126</v>
      </c>
      <c r="P31" s="143" t="str">
        <f t="shared" si="11"/>
        <v>100009BS126</v>
      </c>
      <c r="Q31" s="143" t="str">
        <f t="shared" si="12"/>
        <v>100010BS126</v>
      </c>
      <c r="R31" s="143" t="str">
        <f t="shared" si="13"/>
        <v>100011BS126</v>
      </c>
      <c r="S31" s="143" t="str">
        <f t="shared" si="14"/>
        <v>100012BS126</v>
      </c>
      <c r="T31" s="143" t="str">
        <f t="shared" si="15"/>
        <v>100013BS126</v>
      </c>
      <c r="U31" s="143" t="str">
        <f t="shared" si="16"/>
        <v>100014BS126</v>
      </c>
      <c r="V31" s="143" t="str">
        <f t="shared" si="17"/>
        <v>100015BS126</v>
      </c>
      <c r="W31" s="143" t="str">
        <f t="shared" si="18"/>
        <v>100016BS126</v>
      </c>
      <c r="X31" s="144" t="s">
        <v>795</v>
      </c>
    </row>
    <row r="32" spans="1:24">
      <c r="A32" s="161">
        <v>6</v>
      </c>
      <c r="B32" s="140">
        <f t="shared" si="19"/>
        <v>28</v>
      </c>
      <c r="C32" s="144" t="s">
        <v>796</v>
      </c>
      <c r="D32" s="141" t="s">
        <v>777</v>
      </c>
      <c r="E32" s="142">
        <f t="shared" si="20"/>
        <v>127</v>
      </c>
      <c r="F32" s="142" t="str">
        <f t="shared" si="1"/>
        <v>BS127</v>
      </c>
      <c r="G32" s="143" t="str">
        <f t="shared" si="2"/>
        <v>100000BS127</v>
      </c>
      <c r="H32" s="143" t="str">
        <f t="shared" si="3"/>
        <v>100001BS127</v>
      </c>
      <c r="I32" s="143" t="str">
        <f t="shared" si="4"/>
        <v>100002BS127</v>
      </c>
      <c r="J32" s="143" t="str">
        <f t="shared" si="5"/>
        <v>100003BS127</v>
      </c>
      <c r="K32" s="143" t="str">
        <f t="shared" si="6"/>
        <v>100004BS127</v>
      </c>
      <c r="L32" s="143" t="str">
        <f t="shared" si="7"/>
        <v>100005BS127</v>
      </c>
      <c r="M32" s="143" t="str">
        <f t="shared" si="8"/>
        <v>100006BS127</v>
      </c>
      <c r="N32" s="143" t="str">
        <f t="shared" si="9"/>
        <v>100007BS127</v>
      </c>
      <c r="O32" s="143" t="str">
        <f t="shared" si="10"/>
        <v>100008BS127</v>
      </c>
      <c r="P32" s="143" t="str">
        <f t="shared" si="11"/>
        <v>100009BS127</v>
      </c>
      <c r="Q32" s="143" t="str">
        <f t="shared" si="12"/>
        <v>100010BS127</v>
      </c>
      <c r="R32" s="143" t="str">
        <f t="shared" si="13"/>
        <v>100011BS127</v>
      </c>
      <c r="S32" s="143" t="str">
        <f t="shared" si="14"/>
        <v>100012BS127</v>
      </c>
      <c r="T32" s="143" t="str">
        <f t="shared" si="15"/>
        <v>100013BS127</v>
      </c>
      <c r="U32" s="143" t="str">
        <f t="shared" si="16"/>
        <v>100014BS127</v>
      </c>
      <c r="V32" s="143" t="str">
        <f t="shared" si="17"/>
        <v>100015BS127</v>
      </c>
      <c r="W32" s="143" t="str">
        <f t="shared" si="18"/>
        <v>100016BS127</v>
      </c>
      <c r="X32" s="144" t="s">
        <v>796</v>
      </c>
    </row>
    <row r="33" spans="1:24">
      <c r="A33" s="161">
        <v>6</v>
      </c>
      <c r="B33" s="140">
        <f t="shared" si="19"/>
        <v>29</v>
      </c>
      <c r="C33" s="144" t="s">
        <v>797</v>
      </c>
      <c r="D33" s="141" t="s">
        <v>777</v>
      </c>
      <c r="E33" s="142">
        <f t="shared" si="20"/>
        <v>128</v>
      </c>
      <c r="F33" s="142" t="str">
        <f t="shared" si="1"/>
        <v>BS128</v>
      </c>
      <c r="G33" s="143" t="str">
        <f t="shared" si="2"/>
        <v>100000BS128</v>
      </c>
      <c r="H33" s="143" t="str">
        <f t="shared" si="3"/>
        <v>100001BS128</v>
      </c>
      <c r="I33" s="143" t="str">
        <f t="shared" si="4"/>
        <v>100002BS128</v>
      </c>
      <c r="J33" s="143" t="str">
        <f t="shared" si="5"/>
        <v>100003BS128</v>
      </c>
      <c r="K33" s="143" t="str">
        <f t="shared" si="6"/>
        <v>100004BS128</v>
      </c>
      <c r="L33" s="143" t="str">
        <f t="shared" si="7"/>
        <v>100005BS128</v>
      </c>
      <c r="M33" s="143" t="str">
        <f t="shared" si="8"/>
        <v>100006BS128</v>
      </c>
      <c r="N33" s="143" t="str">
        <f t="shared" si="9"/>
        <v>100007BS128</v>
      </c>
      <c r="O33" s="143" t="str">
        <f t="shared" si="10"/>
        <v>100008BS128</v>
      </c>
      <c r="P33" s="143" t="str">
        <f t="shared" si="11"/>
        <v>100009BS128</v>
      </c>
      <c r="Q33" s="143" t="str">
        <f t="shared" si="12"/>
        <v>100010BS128</v>
      </c>
      <c r="R33" s="143" t="str">
        <f t="shared" si="13"/>
        <v>100011BS128</v>
      </c>
      <c r="S33" s="143" t="str">
        <f t="shared" si="14"/>
        <v>100012BS128</v>
      </c>
      <c r="T33" s="143" t="str">
        <f t="shared" si="15"/>
        <v>100013BS128</v>
      </c>
      <c r="U33" s="143" t="str">
        <f t="shared" si="16"/>
        <v>100014BS128</v>
      </c>
      <c r="V33" s="143" t="str">
        <f t="shared" si="17"/>
        <v>100015BS128</v>
      </c>
      <c r="W33" s="143" t="str">
        <f t="shared" si="18"/>
        <v>100016BS128</v>
      </c>
      <c r="X33" s="144" t="s">
        <v>797</v>
      </c>
    </row>
    <row r="34" spans="1:24">
      <c r="A34" s="161">
        <v>6</v>
      </c>
      <c r="B34" s="140">
        <f t="shared" si="19"/>
        <v>30</v>
      </c>
      <c r="C34" s="144" t="s">
        <v>798</v>
      </c>
      <c r="D34" s="141" t="s">
        <v>777</v>
      </c>
      <c r="E34" s="142">
        <f t="shared" si="20"/>
        <v>129</v>
      </c>
      <c r="F34" s="142" t="str">
        <f t="shared" si="1"/>
        <v>BS129</v>
      </c>
      <c r="G34" s="143" t="str">
        <f t="shared" si="2"/>
        <v>100000BS129</v>
      </c>
      <c r="H34" s="143" t="str">
        <f t="shared" si="3"/>
        <v>100001BS129</v>
      </c>
      <c r="I34" s="143" t="str">
        <f t="shared" si="4"/>
        <v>100002BS129</v>
      </c>
      <c r="J34" s="143" t="str">
        <f t="shared" si="5"/>
        <v>100003BS129</v>
      </c>
      <c r="K34" s="143" t="str">
        <f t="shared" si="6"/>
        <v>100004BS129</v>
      </c>
      <c r="L34" s="143" t="str">
        <f t="shared" si="7"/>
        <v>100005BS129</v>
      </c>
      <c r="M34" s="143" t="str">
        <f t="shared" si="8"/>
        <v>100006BS129</v>
      </c>
      <c r="N34" s="143" t="str">
        <f t="shared" si="9"/>
        <v>100007BS129</v>
      </c>
      <c r="O34" s="143" t="str">
        <f t="shared" si="10"/>
        <v>100008BS129</v>
      </c>
      <c r="P34" s="143" t="str">
        <f t="shared" si="11"/>
        <v>100009BS129</v>
      </c>
      <c r="Q34" s="143" t="str">
        <f t="shared" si="12"/>
        <v>100010BS129</v>
      </c>
      <c r="R34" s="143" t="str">
        <f t="shared" si="13"/>
        <v>100011BS129</v>
      </c>
      <c r="S34" s="143" t="str">
        <f t="shared" si="14"/>
        <v>100012BS129</v>
      </c>
      <c r="T34" s="143" t="str">
        <f t="shared" si="15"/>
        <v>100013BS129</v>
      </c>
      <c r="U34" s="143" t="str">
        <f t="shared" si="16"/>
        <v>100014BS129</v>
      </c>
      <c r="V34" s="143" t="str">
        <f t="shared" si="17"/>
        <v>100015BS129</v>
      </c>
      <c r="W34" s="143" t="str">
        <f t="shared" si="18"/>
        <v>100016BS129</v>
      </c>
      <c r="X34" s="144" t="s">
        <v>798</v>
      </c>
    </row>
    <row r="35" spans="1:24">
      <c r="A35" s="161">
        <v>7</v>
      </c>
      <c r="B35" s="140">
        <f t="shared" si="19"/>
        <v>31</v>
      </c>
      <c r="C35" s="144" t="s">
        <v>682</v>
      </c>
      <c r="D35" s="141" t="s">
        <v>777</v>
      </c>
      <c r="E35" s="142">
        <f t="shared" si="20"/>
        <v>130</v>
      </c>
      <c r="F35" s="142" t="str">
        <f t="shared" si="1"/>
        <v>BS130</v>
      </c>
      <c r="G35" s="143" t="str">
        <f t="shared" si="2"/>
        <v>100000BS130</v>
      </c>
      <c r="H35" s="143" t="str">
        <f t="shared" si="3"/>
        <v>100001BS130</v>
      </c>
      <c r="I35" s="143" t="str">
        <f t="shared" si="4"/>
        <v>100002BS130</v>
      </c>
      <c r="J35" s="143" t="str">
        <f t="shared" si="5"/>
        <v>100003BS130</v>
      </c>
      <c r="K35" s="143" t="str">
        <f t="shared" si="6"/>
        <v>100004BS130</v>
      </c>
      <c r="L35" s="143" t="str">
        <f t="shared" si="7"/>
        <v>100005BS130</v>
      </c>
      <c r="M35" s="143" t="str">
        <f t="shared" si="8"/>
        <v>100006BS130</v>
      </c>
      <c r="N35" s="143" t="str">
        <f t="shared" si="9"/>
        <v>100007BS130</v>
      </c>
      <c r="O35" s="143" t="str">
        <f t="shared" si="10"/>
        <v>100008BS130</v>
      </c>
      <c r="P35" s="143" t="str">
        <f t="shared" si="11"/>
        <v>100009BS130</v>
      </c>
      <c r="Q35" s="143" t="str">
        <f t="shared" si="12"/>
        <v>100010BS130</v>
      </c>
      <c r="R35" s="143" t="str">
        <f t="shared" si="13"/>
        <v>100011BS130</v>
      </c>
      <c r="S35" s="143" t="str">
        <f t="shared" si="14"/>
        <v>100012BS130</v>
      </c>
      <c r="T35" s="143" t="str">
        <f t="shared" si="15"/>
        <v>100013BS130</v>
      </c>
      <c r="U35" s="143" t="str">
        <f t="shared" si="16"/>
        <v>100014BS130</v>
      </c>
      <c r="V35" s="143" t="str">
        <f t="shared" si="17"/>
        <v>100015BS130</v>
      </c>
      <c r="W35" s="143" t="str">
        <f t="shared" si="18"/>
        <v>100016BS130</v>
      </c>
      <c r="X35" s="144" t="s">
        <v>682</v>
      </c>
    </row>
    <row r="36" spans="1:24">
      <c r="A36" s="161">
        <v>7</v>
      </c>
      <c r="B36" s="140">
        <f t="shared" si="19"/>
        <v>32</v>
      </c>
      <c r="C36" s="144" t="s">
        <v>799</v>
      </c>
      <c r="D36" s="141" t="s">
        <v>777</v>
      </c>
      <c r="E36" s="142">
        <f t="shared" si="20"/>
        <v>131</v>
      </c>
      <c r="F36" s="142" t="str">
        <f t="shared" si="1"/>
        <v>BS131</v>
      </c>
      <c r="G36" s="143" t="str">
        <f t="shared" si="2"/>
        <v>100000BS131</v>
      </c>
      <c r="H36" s="143" t="str">
        <f t="shared" si="3"/>
        <v>100001BS131</v>
      </c>
      <c r="I36" s="143" t="str">
        <f t="shared" si="4"/>
        <v>100002BS131</v>
      </c>
      <c r="J36" s="143" t="str">
        <f t="shared" si="5"/>
        <v>100003BS131</v>
      </c>
      <c r="K36" s="143" t="str">
        <f t="shared" si="6"/>
        <v>100004BS131</v>
      </c>
      <c r="L36" s="143" t="str">
        <f t="shared" si="7"/>
        <v>100005BS131</v>
      </c>
      <c r="M36" s="143" t="str">
        <f t="shared" si="8"/>
        <v>100006BS131</v>
      </c>
      <c r="N36" s="143" t="str">
        <f t="shared" si="9"/>
        <v>100007BS131</v>
      </c>
      <c r="O36" s="143" t="str">
        <f t="shared" si="10"/>
        <v>100008BS131</v>
      </c>
      <c r="P36" s="143" t="str">
        <f t="shared" si="11"/>
        <v>100009BS131</v>
      </c>
      <c r="Q36" s="143" t="str">
        <f t="shared" si="12"/>
        <v>100010BS131</v>
      </c>
      <c r="R36" s="143" t="str">
        <f t="shared" si="13"/>
        <v>100011BS131</v>
      </c>
      <c r="S36" s="143" t="str">
        <f t="shared" si="14"/>
        <v>100012BS131</v>
      </c>
      <c r="T36" s="143" t="str">
        <f t="shared" si="15"/>
        <v>100013BS131</v>
      </c>
      <c r="U36" s="143" t="str">
        <f t="shared" si="16"/>
        <v>100014BS131</v>
      </c>
      <c r="V36" s="143" t="str">
        <f t="shared" si="17"/>
        <v>100015BS131</v>
      </c>
      <c r="W36" s="143" t="str">
        <f t="shared" si="18"/>
        <v>100016BS131</v>
      </c>
      <c r="X36" s="144" t="s">
        <v>799</v>
      </c>
    </row>
    <row r="37" spans="1:24">
      <c r="A37" s="161">
        <v>7</v>
      </c>
      <c r="B37" s="140">
        <f t="shared" si="19"/>
        <v>33</v>
      </c>
      <c r="C37" s="144" t="s">
        <v>800</v>
      </c>
      <c r="D37" s="141" t="s">
        <v>777</v>
      </c>
      <c r="E37" s="142">
        <f t="shared" si="20"/>
        <v>132</v>
      </c>
      <c r="F37" s="142" t="str">
        <f t="shared" si="1"/>
        <v>BS132</v>
      </c>
      <c r="G37" s="143" t="str">
        <f t="shared" si="2"/>
        <v>100000BS132</v>
      </c>
      <c r="H37" s="143" t="str">
        <f t="shared" si="3"/>
        <v>100001BS132</v>
      </c>
      <c r="I37" s="143" t="str">
        <f t="shared" si="4"/>
        <v>100002BS132</v>
      </c>
      <c r="J37" s="143" t="str">
        <f t="shared" si="5"/>
        <v>100003BS132</v>
      </c>
      <c r="K37" s="143" t="str">
        <f t="shared" si="6"/>
        <v>100004BS132</v>
      </c>
      <c r="L37" s="143" t="str">
        <f t="shared" si="7"/>
        <v>100005BS132</v>
      </c>
      <c r="M37" s="143" t="str">
        <f t="shared" si="8"/>
        <v>100006BS132</v>
      </c>
      <c r="N37" s="143" t="str">
        <f t="shared" si="9"/>
        <v>100007BS132</v>
      </c>
      <c r="O37" s="143" t="str">
        <f t="shared" si="10"/>
        <v>100008BS132</v>
      </c>
      <c r="P37" s="143" t="str">
        <f t="shared" si="11"/>
        <v>100009BS132</v>
      </c>
      <c r="Q37" s="143" t="str">
        <f t="shared" si="12"/>
        <v>100010BS132</v>
      </c>
      <c r="R37" s="143" t="str">
        <f t="shared" si="13"/>
        <v>100011BS132</v>
      </c>
      <c r="S37" s="143" t="str">
        <f t="shared" si="14"/>
        <v>100012BS132</v>
      </c>
      <c r="T37" s="143" t="str">
        <f t="shared" si="15"/>
        <v>100013BS132</v>
      </c>
      <c r="U37" s="143" t="str">
        <f t="shared" si="16"/>
        <v>100014BS132</v>
      </c>
      <c r="V37" s="143" t="str">
        <f t="shared" si="17"/>
        <v>100015BS132</v>
      </c>
      <c r="W37" s="143" t="str">
        <f t="shared" si="18"/>
        <v>100016BS132</v>
      </c>
      <c r="X37" s="144" t="s">
        <v>800</v>
      </c>
    </row>
    <row r="38" spans="1:24">
      <c r="A38" s="161">
        <v>7</v>
      </c>
      <c r="B38" s="140">
        <f t="shared" si="19"/>
        <v>34</v>
      </c>
      <c r="C38" s="144" t="s">
        <v>801</v>
      </c>
      <c r="D38" s="141" t="s">
        <v>777</v>
      </c>
      <c r="E38" s="142">
        <f t="shared" si="20"/>
        <v>133</v>
      </c>
      <c r="F38" s="142" t="str">
        <f t="shared" si="1"/>
        <v>BS133</v>
      </c>
      <c r="G38" s="143" t="str">
        <f t="shared" si="2"/>
        <v>100000BS133</v>
      </c>
      <c r="H38" s="143" t="str">
        <f t="shared" si="3"/>
        <v>100001BS133</v>
      </c>
      <c r="I38" s="143" t="str">
        <f t="shared" si="4"/>
        <v>100002BS133</v>
      </c>
      <c r="J38" s="143" t="str">
        <f t="shared" si="5"/>
        <v>100003BS133</v>
      </c>
      <c r="K38" s="143" t="str">
        <f t="shared" si="6"/>
        <v>100004BS133</v>
      </c>
      <c r="L38" s="143" t="str">
        <f t="shared" si="7"/>
        <v>100005BS133</v>
      </c>
      <c r="M38" s="143" t="str">
        <f t="shared" si="8"/>
        <v>100006BS133</v>
      </c>
      <c r="N38" s="143" t="str">
        <f t="shared" si="9"/>
        <v>100007BS133</v>
      </c>
      <c r="O38" s="143" t="str">
        <f t="shared" si="10"/>
        <v>100008BS133</v>
      </c>
      <c r="P38" s="143" t="str">
        <f t="shared" si="11"/>
        <v>100009BS133</v>
      </c>
      <c r="Q38" s="143" t="str">
        <f t="shared" si="12"/>
        <v>100010BS133</v>
      </c>
      <c r="R38" s="143" t="str">
        <f t="shared" si="13"/>
        <v>100011BS133</v>
      </c>
      <c r="S38" s="143" t="str">
        <f t="shared" si="14"/>
        <v>100012BS133</v>
      </c>
      <c r="T38" s="143" t="str">
        <f t="shared" si="15"/>
        <v>100013BS133</v>
      </c>
      <c r="U38" s="143" t="str">
        <f t="shared" si="16"/>
        <v>100014BS133</v>
      </c>
      <c r="V38" s="143" t="str">
        <f t="shared" si="17"/>
        <v>100015BS133</v>
      </c>
      <c r="W38" s="143" t="str">
        <f t="shared" si="18"/>
        <v>100016BS133</v>
      </c>
      <c r="X38" s="144" t="s">
        <v>801</v>
      </c>
    </row>
    <row r="39" spans="1:24">
      <c r="A39" s="161">
        <v>7</v>
      </c>
      <c r="B39" s="140">
        <f t="shared" si="19"/>
        <v>35</v>
      </c>
      <c r="C39" s="144" t="s">
        <v>102</v>
      </c>
      <c r="D39" s="141" t="s">
        <v>777</v>
      </c>
      <c r="E39" s="142">
        <f t="shared" si="20"/>
        <v>134</v>
      </c>
      <c r="F39" s="142" t="str">
        <f t="shared" si="1"/>
        <v>BS134</v>
      </c>
      <c r="G39" s="143" t="str">
        <f t="shared" si="2"/>
        <v>100000BS134</v>
      </c>
      <c r="H39" s="143" t="str">
        <f t="shared" si="3"/>
        <v>100001BS134</v>
      </c>
      <c r="I39" s="143" t="str">
        <f t="shared" si="4"/>
        <v>100002BS134</v>
      </c>
      <c r="J39" s="143" t="str">
        <f t="shared" si="5"/>
        <v>100003BS134</v>
      </c>
      <c r="K39" s="143" t="str">
        <f t="shared" si="6"/>
        <v>100004BS134</v>
      </c>
      <c r="L39" s="143" t="str">
        <f t="shared" si="7"/>
        <v>100005BS134</v>
      </c>
      <c r="M39" s="143" t="str">
        <f t="shared" si="8"/>
        <v>100006BS134</v>
      </c>
      <c r="N39" s="143" t="str">
        <f t="shared" si="9"/>
        <v>100007BS134</v>
      </c>
      <c r="O39" s="143" t="str">
        <f t="shared" si="10"/>
        <v>100008BS134</v>
      </c>
      <c r="P39" s="143" t="str">
        <f t="shared" si="11"/>
        <v>100009BS134</v>
      </c>
      <c r="Q39" s="143" t="str">
        <f t="shared" si="12"/>
        <v>100010BS134</v>
      </c>
      <c r="R39" s="143" t="str">
        <f t="shared" si="13"/>
        <v>100011BS134</v>
      </c>
      <c r="S39" s="143" t="str">
        <f t="shared" si="14"/>
        <v>100012BS134</v>
      </c>
      <c r="T39" s="143" t="str">
        <f t="shared" si="15"/>
        <v>100013BS134</v>
      </c>
      <c r="U39" s="143" t="str">
        <f t="shared" si="16"/>
        <v>100014BS134</v>
      </c>
      <c r="V39" s="143" t="str">
        <f t="shared" si="17"/>
        <v>100015BS134</v>
      </c>
      <c r="W39" s="143" t="str">
        <f t="shared" si="18"/>
        <v>100016BS134</v>
      </c>
      <c r="X39" s="144" t="s">
        <v>102</v>
      </c>
    </row>
    <row r="40" spans="1:24">
      <c r="A40" s="161">
        <v>8</v>
      </c>
      <c r="B40" s="140">
        <f t="shared" si="19"/>
        <v>36</v>
      </c>
      <c r="C40" s="144" t="s">
        <v>714</v>
      </c>
      <c r="D40" s="141" t="s">
        <v>777</v>
      </c>
      <c r="E40" s="142">
        <f t="shared" si="20"/>
        <v>135</v>
      </c>
      <c r="F40" s="142" t="str">
        <f t="shared" si="1"/>
        <v>BS135</v>
      </c>
      <c r="G40" s="143" t="str">
        <f t="shared" si="2"/>
        <v>100000BS135</v>
      </c>
      <c r="H40" s="143" t="str">
        <f t="shared" si="3"/>
        <v>100001BS135</v>
      </c>
      <c r="I40" s="143" t="str">
        <f t="shared" si="4"/>
        <v>100002BS135</v>
      </c>
      <c r="J40" s="143" t="str">
        <f t="shared" si="5"/>
        <v>100003BS135</v>
      </c>
      <c r="K40" s="143" t="str">
        <f t="shared" si="6"/>
        <v>100004BS135</v>
      </c>
      <c r="L40" s="143" t="str">
        <f t="shared" si="7"/>
        <v>100005BS135</v>
      </c>
      <c r="M40" s="143" t="str">
        <f t="shared" si="8"/>
        <v>100006BS135</v>
      </c>
      <c r="N40" s="143" t="str">
        <f t="shared" si="9"/>
        <v>100007BS135</v>
      </c>
      <c r="O40" s="143" t="str">
        <f t="shared" si="10"/>
        <v>100008BS135</v>
      </c>
      <c r="P40" s="143" t="str">
        <f t="shared" si="11"/>
        <v>100009BS135</v>
      </c>
      <c r="Q40" s="143" t="str">
        <f t="shared" si="12"/>
        <v>100010BS135</v>
      </c>
      <c r="R40" s="143" t="str">
        <f t="shared" si="13"/>
        <v>100011BS135</v>
      </c>
      <c r="S40" s="143" t="str">
        <f t="shared" si="14"/>
        <v>100012BS135</v>
      </c>
      <c r="T40" s="143" t="str">
        <f t="shared" si="15"/>
        <v>100013BS135</v>
      </c>
      <c r="U40" s="143" t="str">
        <f t="shared" si="16"/>
        <v>100014BS135</v>
      </c>
      <c r="V40" s="143" t="str">
        <f t="shared" si="17"/>
        <v>100015BS135</v>
      </c>
      <c r="W40" s="143" t="str">
        <f t="shared" si="18"/>
        <v>100016BS135</v>
      </c>
      <c r="X40" s="144" t="s">
        <v>714</v>
      </c>
    </row>
    <row r="41" spans="1:24">
      <c r="A41" s="161">
        <v>9</v>
      </c>
      <c r="B41" s="140">
        <f t="shared" si="19"/>
        <v>37</v>
      </c>
      <c r="C41" s="144" t="s">
        <v>802</v>
      </c>
      <c r="D41" s="141" t="s">
        <v>777</v>
      </c>
      <c r="E41" s="142">
        <f t="shared" si="20"/>
        <v>136</v>
      </c>
      <c r="F41" s="142" t="str">
        <f t="shared" si="1"/>
        <v>BS136</v>
      </c>
      <c r="G41" s="143" t="str">
        <f t="shared" si="2"/>
        <v>100000BS136</v>
      </c>
      <c r="H41" s="143" t="str">
        <f t="shared" si="3"/>
        <v>100001BS136</v>
      </c>
      <c r="I41" s="143" t="str">
        <f t="shared" si="4"/>
        <v>100002BS136</v>
      </c>
      <c r="J41" s="143" t="str">
        <f t="shared" si="5"/>
        <v>100003BS136</v>
      </c>
      <c r="K41" s="143" t="str">
        <f t="shared" si="6"/>
        <v>100004BS136</v>
      </c>
      <c r="L41" s="143" t="str">
        <f t="shared" si="7"/>
        <v>100005BS136</v>
      </c>
      <c r="M41" s="143" t="str">
        <f t="shared" si="8"/>
        <v>100006BS136</v>
      </c>
      <c r="N41" s="143" t="str">
        <f t="shared" si="9"/>
        <v>100007BS136</v>
      </c>
      <c r="O41" s="143" t="str">
        <f t="shared" si="10"/>
        <v>100008BS136</v>
      </c>
      <c r="P41" s="143" t="str">
        <f t="shared" si="11"/>
        <v>100009BS136</v>
      </c>
      <c r="Q41" s="143" t="str">
        <f t="shared" si="12"/>
        <v>100010BS136</v>
      </c>
      <c r="R41" s="143" t="str">
        <f t="shared" si="13"/>
        <v>100011BS136</v>
      </c>
      <c r="S41" s="143" t="str">
        <f t="shared" si="14"/>
        <v>100012BS136</v>
      </c>
      <c r="T41" s="143" t="str">
        <f t="shared" si="15"/>
        <v>100013BS136</v>
      </c>
      <c r="U41" s="143" t="str">
        <f t="shared" si="16"/>
        <v>100014BS136</v>
      </c>
      <c r="V41" s="143" t="str">
        <f t="shared" si="17"/>
        <v>100015BS136</v>
      </c>
      <c r="W41" s="143" t="str">
        <f t="shared" si="18"/>
        <v>100016BS136</v>
      </c>
      <c r="X41" s="144" t="s">
        <v>802</v>
      </c>
    </row>
    <row r="42" spans="1:24">
      <c r="A42" s="161">
        <v>9</v>
      </c>
      <c r="B42" s="140">
        <f t="shared" si="19"/>
        <v>38</v>
      </c>
      <c r="C42" s="144" t="s">
        <v>803</v>
      </c>
      <c r="D42" s="141" t="s">
        <v>777</v>
      </c>
      <c r="E42" s="142">
        <f t="shared" si="20"/>
        <v>137</v>
      </c>
      <c r="F42" s="142" t="str">
        <f t="shared" si="1"/>
        <v>BS137</v>
      </c>
      <c r="G42" s="143" t="str">
        <f t="shared" si="2"/>
        <v>100000BS137</v>
      </c>
      <c r="H42" s="143" t="str">
        <f t="shared" si="3"/>
        <v>100001BS137</v>
      </c>
      <c r="I42" s="143" t="str">
        <f t="shared" si="4"/>
        <v>100002BS137</v>
      </c>
      <c r="J42" s="143" t="str">
        <f t="shared" si="5"/>
        <v>100003BS137</v>
      </c>
      <c r="K42" s="143" t="str">
        <f t="shared" si="6"/>
        <v>100004BS137</v>
      </c>
      <c r="L42" s="143" t="str">
        <f t="shared" si="7"/>
        <v>100005BS137</v>
      </c>
      <c r="M42" s="143" t="str">
        <f t="shared" si="8"/>
        <v>100006BS137</v>
      </c>
      <c r="N42" s="143" t="str">
        <f t="shared" si="9"/>
        <v>100007BS137</v>
      </c>
      <c r="O42" s="143" t="str">
        <f t="shared" si="10"/>
        <v>100008BS137</v>
      </c>
      <c r="P42" s="143" t="str">
        <f t="shared" si="11"/>
        <v>100009BS137</v>
      </c>
      <c r="Q42" s="143" t="str">
        <f t="shared" si="12"/>
        <v>100010BS137</v>
      </c>
      <c r="R42" s="143" t="str">
        <f t="shared" si="13"/>
        <v>100011BS137</v>
      </c>
      <c r="S42" s="143" t="str">
        <f t="shared" si="14"/>
        <v>100012BS137</v>
      </c>
      <c r="T42" s="143" t="str">
        <f t="shared" si="15"/>
        <v>100013BS137</v>
      </c>
      <c r="U42" s="143" t="str">
        <f t="shared" si="16"/>
        <v>100014BS137</v>
      </c>
      <c r="V42" s="143" t="str">
        <f t="shared" si="17"/>
        <v>100015BS137</v>
      </c>
      <c r="W42" s="143" t="str">
        <f t="shared" si="18"/>
        <v>100016BS137</v>
      </c>
      <c r="X42" s="144" t="s">
        <v>803</v>
      </c>
    </row>
    <row r="43" spans="1:24">
      <c r="A43" s="161">
        <v>9</v>
      </c>
      <c r="B43" s="140">
        <f t="shared" si="19"/>
        <v>39</v>
      </c>
      <c r="C43" s="144" t="s">
        <v>733</v>
      </c>
      <c r="D43" s="141" t="s">
        <v>777</v>
      </c>
      <c r="E43" s="142">
        <f t="shared" si="20"/>
        <v>138</v>
      </c>
      <c r="F43" s="142" t="str">
        <f t="shared" si="1"/>
        <v>BS138</v>
      </c>
      <c r="G43" s="143" t="str">
        <f t="shared" si="2"/>
        <v>100000BS138</v>
      </c>
      <c r="H43" s="143" t="str">
        <f t="shared" si="3"/>
        <v>100001BS138</v>
      </c>
      <c r="I43" s="143" t="str">
        <f t="shared" si="4"/>
        <v>100002BS138</v>
      </c>
      <c r="J43" s="143" t="str">
        <f t="shared" si="5"/>
        <v>100003BS138</v>
      </c>
      <c r="K43" s="143" t="str">
        <f t="shared" si="6"/>
        <v>100004BS138</v>
      </c>
      <c r="L43" s="143" t="str">
        <f t="shared" si="7"/>
        <v>100005BS138</v>
      </c>
      <c r="M43" s="143" t="str">
        <f t="shared" si="8"/>
        <v>100006BS138</v>
      </c>
      <c r="N43" s="143" t="str">
        <f t="shared" si="9"/>
        <v>100007BS138</v>
      </c>
      <c r="O43" s="143" t="str">
        <f t="shared" si="10"/>
        <v>100008BS138</v>
      </c>
      <c r="P43" s="143" t="str">
        <f t="shared" si="11"/>
        <v>100009BS138</v>
      </c>
      <c r="Q43" s="143" t="str">
        <f t="shared" si="12"/>
        <v>100010BS138</v>
      </c>
      <c r="R43" s="143" t="str">
        <f t="shared" si="13"/>
        <v>100011BS138</v>
      </c>
      <c r="S43" s="143" t="str">
        <f t="shared" si="14"/>
        <v>100012BS138</v>
      </c>
      <c r="T43" s="143" t="str">
        <f t="shared" si="15"/>
        <v>100013BS138</v>
      </c>
      <c r="U43" s="143" t="str">
        <f t="shared" si="16"/>
        <v>100014BS138</v>
      </c>
      <c r="V43" s="143" t="str">
        <f t="shared" si="17"/>
        <v>100015BS138</v>
      </c>
      <c r="W43" s="143" t="str">
        <f t="shared" si="18"/>
        <v>100016BS138</v>
      </c>
      <c r="X43" s="144" t="s">
        <v>733</v>
      </c>
    </row>
    <row r="44" spans="1:24">
      <c r="A44" s="161">
        <v>9</v>
      </c>
      <c r="B44" s="140">
        <f t="shared" si="19"/>
        <v>40</v>
      </c>
      <c r="C44" s="144" t="s">
        <v>804</v>
      </c>
      <c r="D44" s="141" t="s">
        <v>777</v>
      </c>
      <c r="E44" s="142">
        <f t="shared" si="20"/>
        <v>139</v>
      </c>
      <c r="F44" s="142" t="str">
        <f t="shared" si="1"/>
        <v>BS139</v>
      </c>
      <c r="G44" s="143" t="str">
        <f t="shared" si="2"/>
        <v>100000BS139</v>
      </c>
      <c r="H44" s="143" t="str">
        <f t="shared" si="3"/>
        <v>100001BS139</v>
      </c>
      <c r="I44" s="143" t="str">
        <f t="shared" si="4"/>
        <v>100002BS139</v>
      </c>
      <c r="J44" s="143" t="str">
        <f t="shared" si="5"/>
        <v>100003BS139</v>
      </c>
      <c r="K44" s="143" t="str">
        <f t="shared" si="6"/>
        <v>100004BS139</v>
      </c>
      <c r="L44" s="143" t="str">
        <f t="shared" si="7"/>
        <v>100005BS139</v>
      </c>
      <c r="M44" s="143" t="str">
        <f t="shared" si="8"/>
        <v>100006BS139</v>
      </c>
      <c r="N44" s="143" t="str">
        <f t="shared" si="9"/>
        <v>100007BS139</v>
      </c>
      <c r="O44" s="143" t="str">
        <f t="shared" si="10"/>
        <v>100008BS139</v>
      </c>
      <c r="P44" s="143" t="str">
        <f t="shared" si="11"/>
        <v>100009BS139</v>
      </c>
      <c r="Q44" s="143" t="str">
        <f t="shared" si="12"/>
        <v>100010BS139</v>
      </c>
      <c r="R44" s="143" t="str">
        <f t="shared" si="13"/>
        <v>100011BS139</v>
      </c>
      <c r="S44" s="143" t="str">
        <f t="shared" si="14"/>
        <v>100012BS139</v>
      </c>
      <c r="T44" s="143" t="str">
        <f t="shared" si="15"/>
        <v>100013BS139</v>
      </c>
      <c r="U44" s="143" t="str">
        <f t="shared" si="16"/>
        <v>100014BS139</v>
      </c>
      <c r="V44" s="143" t="str">
        <f t="shared" si="17"/>
        <v>100015BS139</v>
      </c>
      <c r="W44" s="143" t="str">
        <f t="shared" si="18"/>
        <v>100016BS139</v>
      </c>
      <c r="X44" s="144" t="s">
        <v>804</v>
      </c>
    </row>
    <row r="45" spans="1:24">
      <c r="A45" s="161">
        <v>9</v>
      </c>
      <c r="B45" s="140">
        <f t="shared" si="19"/>
        <v>41</v>
      </c>
      <c r="C45" s="144" t="s">
        <v>717</v>
      </c>
      <c r="D45" s="141" t="s">
        <v>777</v>
      </c>
      <c r="E45" s="142">
        <f t="shared" si="20"/>
        <v>140</v>
      </c>
      <c r="F45" s="142" t="str">
        <f t="shared" si="1"/>
        <v>BS140</v>
      </c>
      <c r="G45" s="143" t="str">
        <f t="shared" si="2"/>
        <v>100000BS140</v>
      </c>
      <c r="H45" s="143" t="str">
        <f t="shared" si="3"/>
        <v>100001BS140</v>
      </c>
      <c r="I45" s="143" t="str">
        <f t="shared" si="4"/>
        <v>100002BS140</v>
      </c>
      <c r="J45" s="143" t="str">
        <f t="shared" si="5"/>
        <v>100003BS140</v>
      </c>
      <c r="K45" s="143" t="str">
        <f t="shared" si="6"/>
        <v>100004BS140</v>
      </c>
      <c r="L45" s="143" t="str">
        <f t="shared" si="7"/>
        <v>100005BS140</v>
      </c>
      <c r="M45" s="143" t="str">
        <f t="shared" si="8"/>
        <v>100006BS140</v>
      </c>
      <c r="N45" s="143" t="str">
        <f t="shared" si="9"/>
        <v>100007BS140</v>
      </c>
      <c r="O45" s="143" t="str">
        <f t="shared" si="10"/>
        <v>100008BS140</v>
      </c>
      <c r="P45" s="143" t="str">
        <f t="shared" si="11"/>
        <v>100009BS140</v>
      </c>
      <c r="Q45" s="143" t="str">
        <f t="shared" si="12"/>
        <v>100010BS140</v>
      </c>
      <c r="R45" s="143" t="str">
        <f t="shared" si="13"/>
        <v>100011BS140</v>
      </c>
      <c r="S45" s="143" t="str">
        <f t="shared" si="14"/>
        <v>100012BS140</v>
      </c>
      <c r="T45" s="143" t="str">
        <f t="shared" si="15"/>
        <v>100013BS140</v>
      </c>
      <c r="U45" s="143" t="str">
        <f t="shared" si="16"/>
        <v>100014BS140</v>
      </c>
      <c r="V45" s="143" t="str">
        <f t="shared" si="17"/>
        <v>100015BS140</v>
      </c>
      <c r="W45" s="143" t="str">
        <f t="shared" si="18"/>
        <v>100016BS140</v>
      </c>
      <c r="X45" s="144" t="s">
        <v>717</v>
      </c>
    </row>
    <row r="46" spans="1:24">
      <c r="A46" s="161">
        <v>9</v>
      </c>
      <c r="B46" s="140">
        <f t="shared" si="19"/>
        <v>42</v>
      </c>
      <c r="C46" s="144" t="s">
        <v>710</v>
      </c>
      <c r="D46" s="141" t="s">
        <v>777</v>
      </c>
      <c r="E46" s="142">
        <f t="shared" si="20"/>
        <v>141</v>
      </c>
      <c r="F46" s="142" t="str">
        <f t="shared" si="1"/>
        <v>BS141</v>
      </c>
      <c r="G46" s="143" t="str">
        <f t="shared" si="2"/>
        <v>100000BS141</v>
      </c>
      <c r="H46" s="143" t="str">
        <f t="shared" si="3"/>
        <v>100001BS141</v>
      </c>
      <c r="I46" s="143" t="str">
        <f t="shared" si="4"/>
        <v>100002BS141</v>
      </c>
      <c r="J46" s="143" t="str">
        <f t="shared" si="5"/>
        <v>100003BS141</v>
      </c>
      <c r="K46" s="143" t="str">
        <f t="shared" si="6"/>
        <v>100004BS141</v>
      </c>
      <c r="L46" s="143" t="str">
        <f t="shared" si="7"/>
        <v>100005BS141</v>
      </c>
      <c r="M46" s="143" t="str">
        <f t="shared" si="8"/>
        <v>100006BS141</v>
      </c>
      <c r="N46" s="143" t="str">
        <f t="shared" si="9"/>
        <v>100007BS141</v>
      </c>
      <c r="O46" s="143" t="str">
        <f t="shared" si="10"/>
        <v>100008BS141</v>
      </c>
      <c r="P46" s="143" t="str">
        <f t="shared" si="11"/>
        <v>100009BS141</v>
      </c>
      <c r="Q46" s="143" t="str">
        <f t="shared" si="12"/>
        <v>100010BS141</v>
      </c>
      <c r="R46" s="143" t="str">
        <f t="shared" si="13"/>
        <v>100011BS141</v>
      </c>
      <c r="S46" s="143" t="str">
        <f t="shared" si="14"/>
        <v>100012BS141</v>
      </c>
      <c r="T46" s="143" t="str">
        <f t="shared" si="15"/>
        <v>100013BS141</v>
      </c>
      <c r="U46" s="143" t="str">
        <f t="shared" si="16"/>
        <v>100014BS141</v>
      </c>
      <c r="V46" s="143" t="str">
        <f t="shared" si="17"/>
        <v>100015BS141</v>
      </c>
      <c r="W46" s="143" t="str">
        <f t="shared" si="18"/>
        <v>100016BS141</v>
      </c>
      <c r="X46" s="144" t="s">
        <v>710</v>
      </c>
    </row>
    <row r="47" spans="1:24">
      <c r="A47" s="161">
        <v>9</v>
      </c>
      <c r="B47" s="140">
        <f t="shared" si="19"/>
        <v>43</v>
      </c>
      <c r="C47" s="144" t="s">
        <v>805</v>
      </c>
      <c r="D47" s="141" t="s">
        <v>777</v>
      </c>
      <c r="E47" s="142">
        <f t="shared" si="20"/>
        <v>142</v>
      </c>
      <c r="F47" s="142" t="str">
        <f t="shared" si="1"/>
        <v>BS142</v>
      </c>
      <c r="G47" s="143" t="str">
        <f t="shared" si="2"/>
        <v>100000BS142</v>
      </c>
      <c r="H47" s="143" t="str">
        <f t="shared" si="3"/>
        <v>100001BS142</v>
      </c>
      <c r="I47" s="143" t="str">
        <f t="shared" si="4"/>
        <v>100002BS142</v>
      </c>
      <c r="J47" s="143" t="str">
        <f t="shared" si="5"/>
        <v>100003BS142</v>
      </c>
      <c r="K47" s="143" t="str">
        <f t="shared" si="6"/>
        <v>100004BS142</v>
      </c>
      <c r="L47" s="143" t="str">
        <f t="shared" si="7"/>
        <v>100005BS142</v>
      </c>
      <c r="M47" s="143" t="str">
        <f t="shared" si="8"/>
        <v>100006BS142</v>
      </c>
      <c r="N47" s="143" t="str">
        <f t="shared" si="9"/>
        <v>100007BS142</v>
      </c>
      <c r="O47" s="143" t="str">
        <f t="shared" si="10"/>
        <v>100008BS142</v>
      </c>
      <c r="P47" s="143" t="str">
        <f t="shared" si="11"/>
        <v>100009BS142</v>
      </c>
      <c r="Q47" s="143" t="str">
        <f t="shared" si="12"/>
        <v>100010BS142</v>
      </c>
      <c r="R47" s="143" t="str">
        <f t="shared" si="13"/>
        <v>100011BS142</v>
      </c>
      <c r="S47" s="143" t="str">
        <f t="shared" si="14"/>
        <v>100012BS142</v>
      </c>
      <c r="T47" s="143" t="str">
        <f t="shared" si="15"/>
        <v>100013BS142</v>
      </c>
      <c r="U47" s="143" t="str">
        <f t="shared" si="16"/>
        <v>100014BS142</v>
      </c>
      <c r="V47" s="143" t="str">
        <f t="shared" si="17"/>
        <v>100015BS142</v>
      </c>
      <c r="W47" s="143" t="str">
        <f t="shared" si="18"/>
        <v>100016BS142</v>
      </c>
      <c r="X47" s="144" t="s">
        <v>805</v>
      </c>
    </row>
    <row r="48" spans="1:24">
      <c r="A48" s="161">
        <v>9</v>
      </c>
      <c r="B48" s="140">
        <f t="shared" si="19"/>
        <v>44</v>
      </c>
      <c r="C48" s="144" t="s">
        <v>665</v>
      </c>
      <c r="D48" s="141" t="s">
        <v>777</v>
      </c>
      <c r="E48" s="142">
        <f t="shared" si="20"/>
        <v>143</v>
      </c>
      <c r="F48" s="142" t="str">
        <f t="shared" si="1"/>
        <v>BS143</v>
      </c>
      <c r="G48" s="143" t="str">
        <f t="shared" si="2"/>
        <v>100000BS143</v>
      </c>
      <c r="H48" s="143" t="str">
        <f t="shared" si="3"/>
        <v>100001BS143</v>
      </c>
      <c r="I48" s="143" t="str">
        <f t="shared" si="4"/>
        <v>100002BS143</v>
      </c>
      <c r="J48" s="143" t="str">
        <f t="shared" si="5"/>
        <v>100003BS143</v>
      </c>
      <c r="K48" s="143" t="str">
        <f t="shared" si="6"/>
        <v>100004BS143</v>
      </c>
      <c r="L48" s="143" t="str">
        <f t="shared" si="7"/>
        <v>100005BS143</v>
      </c>
      <c r="M48" s="143" t="str">
        <f t="shared" si="8"/>
        <v>100006BS143</v>
      </c>
      <c r="N48" s="143" t="str">
        <f t="shared" si="9"/>
        <v>100007BS143</v>
      </c>
      <c r="O48" s="143" t="str">
        <f t="shared" si="10"/>
        <v>100008BS143</v>
      </c>
      <c r="P48" s="143" t="str">
        <f t="shared" si="11"/>
        <v>100009BS143</v>
      </c>
      <c r="Q48" s="143" t="str">
        <f t="shared" si="12"/>
        <v>100010BS143</v>
      </c>
      <c r="R48" s="143" t="str">
        <f t="shared" si="13"/>
        <v>100011BS143</v>
      </c>
      <c r="S48" s="143" t="str">
        <f t="shared" si="14"/>
        <v>100012BS143</v>
      </c>
      <c r="T48" s="143" t="str">
        <f t="shared" si="15"/>
        <v>100013BS143</v>
      </c>
      <c r="U48" s="143" t="str">
        <f t="shared" si="16"/>
        <v>100014BS143</v>
      </c>
      <c r="V48" s="143" t="str">
        <f t="shared" si="17"/>
        <v>100015BS143</v>
      </c>
      <c r="W48" s="143" t="str">
        <f t="shared" si="18"/>
        <v>100016BS143</v>
      </c>
      <c r="X48" s="144" t="s">
        <v>665</v>
      </c>
    </row>
    <row r="49" spans="1:24">
      <c r="A49" s="161">
        <v>9</v>
      </c>
      <c r="B49" s="140">
        <f t="shared" si="19"/>
        <v>45</v>
      </c>
      <c r="C49" s="144" t="s">
        <v>691</v>
      </c>
      <c r="D49" s="141" t="s">
        <v>777</v>
      </c>
      <c r="E49" s="142">
        <f t="shared" si="20"/>
        <v>144</v>
      </c>
      <c r="F49" s="142" t="str">
        <f t="shared" si="1"/>
        <v>BS144</v>
      </c>
      <c r="G49" s="143" t="str">
        <f t="shared" si="2"/>
        <v>100000BS144</v>
      </c>
      <c r="H49" s="143" t="str">
        <f t="shared" si="3"/>
        <v>100001BS144</v>
      </c>
      <c r="I49" s="143" t="str">
        <f t="shared" si="4"/>
        <v>100002BS144</v>
      </c>
      <c r="J49" s="143" t="str">
        <f t="shared" si="5"/>
        <v>100003BS144</v>
      </c>
      <c r="K49" s="143" t="str">
        <f t="shared" si="6"/>
        <v>100004BS144</v>
      </c>
      <c r="L49" s="143" t="str">
        <f t="shared" si="7"/>
        <v>100005BS144</v>
      </c>
      <c r="M49" s="143" t="str">
        <f t="shared" si="8"/>
        <v>100006BS144</v>
      </c>
      <c r="N49" s="143" t="str">
        <f t="shared" si="9"/>
        <v>100007BS144</v>
      </c>
      <c r="O49" s="143" t="str">
        <f t="shared" si="10"/>
        <v>100008BS144</v>
      </c>
      <c r="P49" s="143" t="str">
        <f t="shared" si="11"/>
        <v>100009BS144</v>
      </c>
      <c r="Q49" s="143" t="str">
        <f t="shared" si="12"/>
        <v>100010BS144</v>
      </c>
      <c r="R49" s="143" t="str">
        <f t="shared" si="13"/>
        <v>100011BS144</v>
      </c>
      <c r="S49" s="143" t="str">
        <f t="shared" si="14"/>
        <v>100012BS144</v>
      </c>
      <c r="T49" s="143" t="str">
        <f t="shared" si="15"/>
        <v>100013BS144</v>
      </c>
      <c r="U49" s="143" t="str">
        <f t="shared" si="16"/>
        <v>100014BS144</v>
      </c>
      <c r="V49" s="143" t="str">
        <f t="shared" si="17"/>
        <v>100015BS144</v>
      </c>
      <c r="W49" s="143" t="str">
        <f t="shared" si="18"/>
        <v>100016BS144</v>
      </c>
      <c r="X49" s="144" t="s">
        <v>691</v>
      </c>
    </row>
    <row r="50" spans="1:24">
      <c r="A50" s="161">
        <v>9</v>
      </c>
      <c r="B50" s="140">
        <f t="shared" si="19"/>
        <v>46</v>
      </c>
      <c r="C50" s="144" t="s">
        <v>648</v>
      </c>
      <c r="D50" s="141" t="s">
        <v>777</v>
      </c>
      <c r="E50" s="142">
        <f t="shared" si="20"/>
        <v>145</v>
      </c>
      <c r="F50" s="142" t="str">
        <f t="shared" si="1"/>
        <v>BS145</v>
      </c>
      <c r="G50" s="143" t="str">
        <f t="shared" si="2"/>
        <v>100000BS145</v>
      </c>
      <c r="H50" s="143" t="str">
        <f t="shared" si="3"/>
        <v>100001BS145</v>
      </c>
      <c r="I50" s="143" t="str">
        <f t="shared" si="4"/>
        <v>100002BS145</v>
      </c>
      <c r="J50" s="143" t="str">
        <f t="shared" si="5"/>
        <v>100003BS145</v>
      </c>
      <c r="K50" s="143" t="str">
        <f t="shared" si="6"/>
        <v>100004BS145</v>
      </c>
      <c r="L50" s="143" t="str">
        <f t="shared" si="7"/>
        <v>100005BS145</v>
      </c>
      <c r="M50" s="143" t="str">
        <f t="shared" si="8"/>
        <v>100006BS145</v>
      </c>
      <c r="N50" s="143" t="str">
        <f t="shared" si="9"/>
        <v>100007BS145</v>
      </c>
      <c r="O50" s="143" t="str">
        <f t="shared" si="10"/>
        <v>100008BS145</v>
      </c>
      <c r="P50" s="143" t="str">
        <f t="shared" si="11"/>
        <v>100009BS145</v>
      </c>
      <c r="Q50" s="143" t="str">
        <f t="shared" si="12"/>
        <v>100010BS145</v>
      </c>
      <c r="R50" s="143" t="str">
        <f t="shared" si="13"/>
        <v>100011BS145</v>
      </c>
      <c r="S50" s="143" t="str">
        <f t="shared" si="14"/>
        <v>100012BS145</v>
      </c>
      <c r="T50" s="143" t="str">
        <f t="shared" si="15"/>
        <v>100013BS145</v>
      </c>
      <c r="U50" s="143" t="str">
        <f t="shared" si="16"/>
        <v>100014BS145</v>
      </c>
      <c r="V50" s="143" t="str">
        <f t="shared" si="17"/>
        <v>100015BS145</v>
      </c>
      <c r="W50" s="143" t="str">
        <f t="shared" si="18"/>
        <v>100016BS145</v>
      </c>
      <c r="X50" s="144" t="s">
        <v>648</v>
      </c>
    </row>
    <row r="51" spans="1:24">
      <c r="A51" s="161">
        <v>9</v>
      </c>
      <c r="B51" s="140">
        <f t="shared" si="19"/>
        <v>47</v>
      </c>
      <c r="C51" s="144" t="s">
        <v>735</v>
      </c>
      <c r="D51" s="141" t="s">
        <v>777</v>
      </c>
      <c r="E51" s="142">
        <f t="shared" si="20"/>
        <v>146</v>
      </c>
      <c r="F51" s="142" t="str">
        <f t="shared" si="1"/>
        <v>BS146</v>
      </c>
      <c r="G51" s="143" t="str">
        <f t="shared" si="2"/>
        <v>100000BS146</v>
      </c>
      <c r="H51" s="143" t="str">
        <f t="shared" si="3"/>
        <v>100001BS146</v>
      </c>
      <c r="I51" s="143" t="str">
        <f t="shared" si="4"/>
        <v>100002BS146</v>
      </c>
      <c r="J51" s="143" t="str">
        <f t="shared" si="5"/>
        <v>100003BS146</v>
      </c>
      <c r="K51" s="143" t="str">
        <f t="shared" si="6"/>
        <v>100004BS146</v>
      </c>
      <c r="L51" s="143" t="str">
        <f t="shared" si="7"/>
        <v>100005BS146</v>
      </c>
      <c r="M51" s="143" t="str">
        <f t="shared" si="8"/>
        <v>100006BS146</v>
      </c>
      <c r="N51" s="143" t="str">
        <f t="shared" si="9"/>
        <v>100007BS146</v>
      </c>
      <c r="O51" s="143" t="str">
        <f t="shared" si="10"/>
        <v>100008BS146</v>
      </c>
      <c r="P51" s="143" t="str">
        <f t="shared" si="11"/>
        <v>100009BS146</v>
      </c>
      <c r="Q51" s="143" t="str">
        <f t="shared" si="12"/>
        <v>100010BS146</v>
      </c>
      <c r="R51" s="143" t="str">
        <f t="shared" si="13"/>
        <v>100011BS146</v>
      </c>
      <c r="S51" s="143" t="str">
        <f t="shared" si="14"/>
        <v>100012BS146</v>
      </c>
      <c r="T51" s="143" t="str">
        <f t="shared" si="15"/>
        <v>100013BS146</v>
      </c>
      <c r="U51" s="143" t="str">
        <f t="shared" si="16"/>
        <v>100014BS146</v>
      </c>
      <c r="V51" s="143" t="str">
        <f t="shared" si="17"/>
        <v>100015BS146</v>
      </c>
      <c r="W51" s="143" t="str">
        <f t="shared" si="18"/>
        <v>100016BS146</v>
      </c>
      <c r="X51" s="144" t="s">
        <v>735</v>
      </c>
    </row>
    <row r="52" spans="1:24">
      <c r="A52" s="161">
        <v>9</v>
      </c>
      <c r="B52" s="140">
        <f t="shared" si="19"/>
        <v>48</v>
      </c>
      <c r="C52" s="144" t="s">
        <v>707</v>
      </c>
      <c r="D52" s="141" t="s">
        <v>777</v>
      </c>
      <c r="E52" s="142">
        <f t="shared" si="20"/>
        <v>147</v>
      </c>
      <c r="F52" s="142" t="str">
        <f t="shared" si="1"/>
        <v>BS147</v>
      </c>
      <c r="G52" s="143" t="str">
        <f t="shared" si="2"/>
        <v>100000BS147</v>
      </c>
      <c r="H52" s="143" t="str">
        <f t="shared" si="3"/>
        <v>100001BS147</v>
      </c>
      <c r="I52" s="143" t="str">
        <f t="shared" si="4"/>
        <v>100002BS147</v>
      </c>
      <c r="J52" s="143" t="str">
        <f t="shared" si="5"/>
        <v>100003BS147</v>
      </c>
      <c r="K52" s="143" t="str">
        <f t="shared" si="6"/>
        <v>100004BS147</v>
      </c>
      <c r="L52" s="143" t="str">
        <f t="shared" si="7"/>
        <v>100005BS147</v>
      </c>
      <c r="M52" s="143" t="str">
        <f t="shared" si="8"/>
        <v>100006BS147</v>
      </c>
      <c r="N52" s="143" t="str">
        <f t="shared" si="9"/>
        <v>100007BS147</v>
      </c>
      <c r="O52" s="143" t="str">
        <f t="shared" si="10"/>
        <v>100008BS147</v>
      </c>
      <c r="P52" s="143" t="str">
        <f t="shared" si="11"/>
        <v>100009BS147</v>
      </c>
      <c r="Q52" s="143" t="str">
        <f t="shared" si="12"/>
        <v>100010BS147</v>
      </c>
      <c r="R52" s="143" t="str">
        <f t="shared" si="13"/>
        <v>100011BS147</v>
      </c>
      <c r="S52" s="143" t="str">
        <f t="shared" si="14"/>
        <v>100012BS147</v>
      </c>
      <c r="T52" s="143" t="str">
        <f t="shared" si="15"/>
        <v>100013BS147</v>
      </c>
      <c r="U52" s="143" t="str">
        <f t="shared" si="16"/>
        <v>100014BS147</v>
      </c>
      <c r="V52" s="143" t="str">
        <f t="shared" si="17"/>
        <v>100015BS147</v>
      </c>
      <c r="W52" s="143" t="str">
        <f t="shared" si="18"/>
        <v>100016BS147</v>
      </c>
      <c r="X52" s="144" t="s">
        <v>707</v>
      </c>
    </row>
    <row r="53" spans="1:24">
      <c r="A53" s="161">
        <v>10</v>
      </c>
      <c r="B53" s="140">
        <f t="shared" si="19"/>
        <v>49</v>
      </c>
      <c r="C53" s="144" t="s">
        <v>697</v>
      </c>
      <c r="D53" s="141" t="s">
        <v>777</v>
      </c>
      <c r="E53" s="142">
        <f t="shared" si="20"/>
        <v>148</v>
      </c>
      <c r="F53" s="142" t="str">
        <f t="shared" si="1"/>
        <v>BS148</v>
      </c>
      <c r="G53" s="143" t="str">
        <f t="shared" si="2"/>
        <v>100000BS148</v>
      </c>
      <c r="H53" s="143" t="str">
        <f t="shared" si="3"/>
        <v>100001BS148</v>
      </c>
      <c r="I53" s="143" t="str">
        <f t="shared" si="4"/>
        <v>100002BS148</v>
      </c>
      <c r="J53" s="143" t="str">
        <f t="shared" si="5"/>
        <v>100003BS148</v>
      </c>
      <c r="K53" s="143" t="str">
        <f t="shared" si="6"/>
        <v>100004BS148</v>
      </c>
      <c r="L53" s="143" t="str">
        <f t="shared" si="7"/>
        <v>100005BS148</v>
      </c>
      <c r="M53" s="143" t="str">
        <f t="shared" si="8"/>
        <v>100006BS148</v>
      </c>
      <c r="N53" s="143" t="str">
        <f t="shared" si="9"/>
        <v>100007BS148</v>
      </c>
      <c r="O53" s="143" t="str">
        <f t="shared" si="10"/>
        <v>100008BS148</v>
      </c>
      <c r="P53" s="143" t="str">
        <f t="shared" si="11"/>
        <v>100009BS148</v>
      </c>
      <c r="Q53" s="143" t="str">
        <f t="shared" si="12"/>
        <v>100010BS148</v>
      </c>
      <c r="R53" s="143" t="str">
        <f t="shared" si="13"/>
        <v>100011BS148</v>
      </c>
      <c r="S53" s="143" t="str">
        <f t="shared" si="14"/>
        <v>100012BS148</v>
      </c>
      <c r="T53" s="143" t="str">
        <f t="shared" si="15"/>
        <v>100013BS148</v>
      </c>
      <c r="U53" s="143" t="str">
        <f t="shared" si="16"/>
        <v>100014BS148</v>
      </c>
      <c r="V53" s="143" t="str">
        <f t="shared" si="17"/>
        <v>100015BS148</v>
      </c>
      <c r="W53" s="143" t="str">
        <f t="shared" si="18"/>
        <v>100016BS148</v>
      </c>
      <c r="X53" s="144" t="s">
        <v>697</v>
      </c>
    </row>
    <row r="54" spans="1:24">
      <c r="A54" s="161">
        <v>10</v>
      </c>
      <c r="B54" s="140">
        <f t="shared" si="19"/>
        <v>50</v>
      </c>
      <c r="C54" s="144" t="s">
        <v>806</v>
      </c>
      <c r="D54" s="141" t="s">
        <v>777</v>
      </c>
      <c r="E54" s="142">
        <f t="shared" si="20"/>
        <v>149</v>
      </c>
      <c r="F54" s="142" t="str">
        <f t="shared" si="1"/>
        <v>BS149</v>
      </c>
      <c r="G54" s="143" t="str">
        <f t="shared" si="2"/>
        <v>100000BS149</v>
      </c>
      <c r="H54" s="143" t="str">
        <f t="shared" si="3"/>
        <v>100001BS149</v>
      </c>
      <c r="I54" s="143" t="str">
        <f t="shared" si="4"/>
        <v>100002BS149</v>
      </c>
      <c r="J54" s="143" t="str">
        <f t="shared" si="5"/>
        <v>100003BS149</v>
      </c>
      <c r="K54" s="143" t="str">
        <f t="shared" si="6"/>
        <v>100004BS149</v>
      </c>
      <c r="L54" s="143" t="str">
        <f t="shared" si="7"/>
        <v>100005BS149</v>
      </c>
      <c r="M54" s="143" t="str">
        <f t="shared" si="8"/>
        <v>100006BS149</v>
      </c>
      <c r="N54" s="143" t="str">
        <f t="shared" si="9"/>
        <v>100007BS149</v>
      </c>
      <c r="O54" s="143" t="str">
        <f t="shared" si="10"/>
        <v>100008BS149</v>
      </c>
      <c r="P54" s="143" t="str">
        <f t="shared" si="11"/>
        <v>100009BS149</v>
      </c>
      <c r="Q54" s="143" t="str">
        <f t="shared" si="12"/>
        <v>100010BS149</v>
      </c>
      <c r="R54" s="143" t="str">
        <f t="shared" si="13"/>
        <v>100011BS149</v>
      </c>
      <c r="S54" s="143" t="str">
        <f t="shared" si="14"/>
        <v>100012BS149</v>
      </c>
      <c r="T54" s="143" t="str">
        <f t="shared" si="15"/>
        <v>100013BS149</v>
      </c>
      <c r="U54" s="143" t="str">
        <f t="shared" si="16"/>
        <v>100014BS149</v>
      </c>
      <c r="V54" s="143" t="str">
        <f t="shared" si="17"/>
        <v>100015BS149</v>
      </c>
      <c r="W54" s="143" t="str">
        <f t="shared" si="18"/>
        <v>100016BS149</v>
      </c>
      <c r="X54" s="144" t="s">
        <v>806</v>
      </c>
    </row>
    <row r="55" spans="1:24">
      <c r="A55" s="161">
        <v>10</v>
      </c>
      <c r="B55" s="140">
        <f t="shared" si="19"/>
        <v>51</v>
      </c>
      <c r="C55" s="144" t="s">
        <v>699</v>
      </c>
      <c r="D55" s="141" t="s">
        <v>777</v>
      </c>
      <c r="E55" s="142">
        <f t="shared" si="20"/>
        <v>150</v>
      </c>
      <c r="F55" s="142" t="str">
        <f t="shared" si="1"/>
        <v>BS150</v>
      </c>
      <c r="G55" s="143" t="str">
        <f t="shared" si="2"/>
        <v>100000BS150</v>
      </c>
      <c r="H55" s="143" t="str">
        <f t="shared" si="3"/>
        <v>100001BS150</v>
      </c>
      <c r="I55" s="143" t="str">
        <f t="shared" si="4"/>
        <v>100002BS150</v>
      </c>
      <c r="J55" s="143" t="str">
        <f t="shared" si="5"/>
        <v>100003BS150</v>
      </c>
      <c r="K55" s="143" t="str">
        <f t="shared" si="6"/>
        <v>100004BS150</v>
      </c>
      <c r="L55" s="143" t="str">
        <f t="shared" si="7"/>
        <v>100005BS150</v>
      </c>
      <c r="M55" s="143" t="str">
        <f t="shared" si="8"/>
        <v>100006BS150</v>
      </c>
      <c r="N55" s="143" t="str">
        <f t="shared" si="9"/>
        <v>100007BS150</v>
      </c>
      <c r="O55" s="143" t="str">
        <f t="shared" si="10"/>
        <v>100008BS150</v>
      </c>
      <c r="P55" s="143" t="str">
        <f t="shared" si="11"/>
        <v>100009BS150</v>
      </c>
      <c r="Q55" s="143" t="str">
        <f t="shared" si="12"/>
        <v>100010BS150</v>
      </c>
      <c r="R55" s="143" t="str">
        <f t="shared" si="13"/>
        <v>100011BS150</v>
      </c>
      <c r="S55" s="143" t="str">
        <f t="shared" si="14"/>
        <v>100012BS150</v>
      </c>
      <c r="T55" s="143" t="str">
        <f t="shared" si="15"/>
        <v>100013BS150</v>
      </c>
      <c r="U55" s="143" t="str">
        <f t="shared" si="16"/>
        <v>100014BS150</v>
      </c>
      <c r="V55" s="143" t="str">
        <f t="shared" si="17"/>
        <v>100015BS150</v>
      </c>
      <c r="W55" s="143" t="str">
        <f t="shared" si="18"/>
        <v>100016BS150</v>
      </c>
      <c r="X55" s="144" t="s">
        <v>699</v>
      </c>
    </row>
    <row r="56" spans="1:24">
      <c r="A56" s="161">
        <v>10</v>
      </c>
      <c r="B56" s="140">
        <f t="shared" si="19"/>
        <v>52</v>
      </c>
      <c r="C56" s="144" t="s">
        <v>807</v>
      </c>
      <c r="D56" s="141" t="s">
        <v>777</v>
      </c>
      <c r="E56" s="142">
        <f t="shared" si="20"/>
        <v>151</v>
      </c>
      <c r="F56" s="142" t="str">
        <f t="shared" si="1"/>
        <v>BS151</v>
      </c>
      <c r="G56" s="143" t="str">
        <f t="shared" si="2"/>
        <v>100000BS151</v>
      </c>
      <c r="H56" s="143" t="str">
        <f t="shared" si="3"/>
        <v>100001BS151</v>
      </c>
      <c r="I56" s="143" t="str">
        <f t="shared" si="4"/>
        <v>100002BS151</v>
      </c>
      <c r="J56" s="143" t="str">
        <f t="shared" si="5"/>
        <v>100003BS151</v>
      </c>
      <c r="K56" s="143" t="str">
        <f t="shared" si="6"/>
        <v>100004BS151</v>
      </c>
      <c r="L56" s="143" t="str">
        <f t="shared" si="7"/>
        <v>100005BS151</v>
      </c>
      <c r="M56" s="143" t="str">
        <f t="shared" si="8"/>
        <v>100006BS151</v>
      </c>
      <c r="N56" s="143" t="str">
        <f t="shared" si="9"/>
        <v>100007BS151</v>
      </c>
      <c r="O56" s="143" t="str">
        <f t="shared" si="10"/>
        <v>100008BS151</v>
      </c>
      <c r="P56" s="143" t="str">
        <f t="shared" si="11"/>
        <v>100009BS151</v>
      </c>
      <c r="Q56" s="143" t="str">
        <f t="shared" si="12"/>
        <v>100010BS151</v>
      </c>
      <c r="R56" s="143" t="str">
        <f t="shared" si="13"/>
        <v>100011BS151</v>
      </c>
      <c r="S56" s="143" t="str">
        <f t="shared" si="14"/>
        <v>100012BS151</v>
      </c>
      <c r="T56" s="143" t="str">
        <f t="shared" si="15"/>
        <v>100013BS151</v>
      </c>
      <c r="U56" s="143" t="str">
        <f t="shared" si="16"/>
        <v>100014BS151</v>
      </c>
      <c r="V56" s="143" t="str">
        <f t="shared" si="17"/>
        <v>100015BS151</v>
      </c>
      <c r="W56" s="143" t="str">
        <f t="shared" si="18"/>
        <v>100016BS151</v>
      </c>
      <c r="X56" s="144" t="s">
        <v>807</v>
      </c>
    </row>
    <row r="57" spans="1:24">
      <c r="A57" s="161">
        <v>10</v>
      </c>
      <c r="B57" s="140">
        <f t="shared" si="19"/>
        <v>53</v>
      </c>
      <c r="C57" s="144" t="s">
        <v>696</v>
      </c>
      <c r="D57" s="141" t="s">
        <v>777</v>
      </c>
      <c r="E57" s="142">
        <f t="shared" si="20"/>
        <v>152</v>
      </c>
      <c r="F57" s="142" t="str">
        <f t="shared" si="1"/>
        <v>BS152</v>
      </c>
      <c r="G57" s="143" t="str">
        <f t="shared" si="2"/>
        <v>100000BS152</v>
      </c>
      <c r="H57" s="143" t="str">
        <f t="shared" si="3"/>
        <v>100001BS152</v>
      </c>
      <c r="I57" s="143" t="str">
        <f t="shared" si="4"/>
        <v>100002BS152</v>
      </c>
      <c r="J57" s="143" t="str">
        <f t="shared" si="5"/>
        <v>100003BS152</v>
      </c>
      <c r="K57" s="143" t="str">
        <f t="shared" si="6"/>
        <v>100004BS152</v>
      </c>
      <c r="L57" s="143" t="str">
        <f t="shared" si="7"/>
        <v>100005BS152</v>
      </c>
      <c r="M57" s="143" t="str">
        <f t="shared" si="8"/>
        <v>100006BS152</v>
      </c>
      <c r="N57" s="143" t="str">
        <f t="shared" si="9"/>
        <v>100007BS152</v>
      </c>
      <c r="O57" s="143" t="str">
        <f t="shared" si="10"/>
        <v>100008BS152</v>
      </c>
      <c r="P57" s="143" t="str">
        <f t="shared" si="11"/>
        <v>100009BS152</v>
      </c>
      <c r="Q57" s="143" t="str">
        <f t="shared" si="12"/>
        <v>100010BS152</v>
      </c>
      <c r="R57" s="143" t="str">
        <f t="shared" si="13"/>
        <v>100011BS152</v>
      </c>
      <c r="S57" s="143" t="str">
        <f t="shared" si="14"/>
        <v>100012BS152</v>
      </c>
      <c r="T57" s="143" t="str">
        <f t="shared" si="15"/>
        <v>100013BS152</v>
      </c>
      <c r="U57" s="143" t="str">
        <f t="shared" si="16"/>
        <v>100014BS152</v>
      </c>
      <c r="V57" s="143" t="str">
        <f t="shared" si="17"/>
        <v>100015BS152</v>
      </c>
      <c r="W57" s="143" t="str">
        <f t="shared" si="18"/>
        <v>100016BS152</v>
      </c>
      <c r="X57" s="144" t="s">
        <v>696</v>
      </c>
    </row>
    <row r="58" spans="1:24">
      <c r="A58" s="161">
        <v>10</v>
      </c>
      <c r="B58" s="140">
        <f t="shared" si="19"/>
        <v>54</v>
      </c>
      <c r="C58" s="144" t="s">
        <v>698</v>
      </c>
      <c r="D58" s="141" t="s">
        <v>777</v>
      </c>
      <c r="E58" s="142">
        <f t="shared" si="20"/>
        <v>153</v>
      </c>
      <c r="F58" s="142" t="str">
        <f t="shared" si="1"/>
        <v>BS153</v>
      </c>
      <c r="G58" s="143" t="str">
        <f t="shared" si="2"/>
        <v>100000BS153</v>
      </c>
      <c r="H58" s="143" t="str">
        <f t="shared" si="3"/>
        <v>100001BS153</v>
      </c>
      <c r="I58" s="143" t="str">
        <f t="shared" si="4"/>
        <v>100002BS153</v>
      </c>
      <c r="J58" s="143" t="str">
        <f t="shared" si="5"/>
        <v>100003BS153</v>
      </c>
      <c r="K58" s="143" t="str">
        <f t="shared" si="6"/>
        <v>100004BS153</v>
      </c>
      <c r="L58" s="143" t="str">
        <f t="shared" si="7"/>
        <v>100005BS153</v>
      </c>
      <c r="M58" s="143" t="str">
        <f t="shared" si="8"/>
        <v>100006BS153</v>
      </c>
      <c r="N58" s="143" t="str">
        <f t="shared" si="9"/>
        <v>100007BS153</v>
      </c>
      <c r="O58" s="143" t="str">
        <f t="shared" si="10"/>
        <v>100008BS153</v>
      </c>
      <c r="P58" s="143" t="str">
        <f t="shared" si="11"/>
        <v>100009BS153</v>
      </c>
      <c r="Q58" s="143" t="str">
        <f t="shared" si="12"/>
        <v>100010BS153</v>
      </c>
      <c r="R58" s="143" t="str">
        <f t="shared" si="13"/>
        <v>100011BS153</v>
      </c>
      <c r="S58" s="143" t="str">
        <f t="shared" si="14"/>
        <v>100012BS153</v>
      </c>
      <c r="T58" s="143" t="str">
        <f t="shared" si="15"/>
        <v>100013BS153</v>
      </c>
      <c r="U58" s="143" t="str">
        <f t="shared" si="16"/>
        <v>100014BS153</v>
      </c>
      <c r="V58" s="143" t="str">
        <f t="shared" si="17"/>
        <v>100015BS153</v>
      </c>
      <c r="W58" s="143" t="str">
        <f t="shared" si="18"/>
        <v>100016BS153</v>
      </c>
      <c r="X58" s="144" t="s">
        <v>698</v>
      </c>
    </row>
    <row r="59" spans="1:24">
      <c r="A59" s="161">
        <v>10</v>
      </c>
      <c r="B59" s="140">
        <f t="shared" si="19"/>
        <v>55</v>
      </c>
      <c r="C59" s="144" t="s">
        <v>808</v>
      </c>
      <c r="D59" s="141" t="s">
        <v>777</v>
      </c>
      <c r="E59" s="142">
        <f t="shared" si="20"/>
        <v>154</v>
      </c>
      <c r="F59" s="142" t="str">
        <f t="shared" si="1"/>
        <v>BS154</v>
      </c>
      <c r="G59" s="143" t="str">
        <f t="shared" si="2"/>
        <v>100000BS154</v>
      </c>
      <c r="H59" s="143" t="str">
        <f t="shared" si="3"/>
        <v>100001BS154</v>
      </c>
      <c r="I59" s="143" t="str">
        <f t="shared" si="4"/>
        <v>100002BS154</v>
      </c>
      <c r="J59" s="143" t="str">
        <f t="shared" si="5"/>
        <v>100003BS154</v>
      </c>
      <c r="K59" s="143" t="str">
        <f t="shared" si="6"/>
        <v>100004BS154</v>
      </c>
      <c r="L59" s="143" t="str">
        <f t="shared" si="7"/>
        <v>100005BS154</v>
      </c>
      <c r="M59" s="143" t="str">
        <f t="shared" si="8"/>
        <v>100006BS154</v>
      </c>
      <c r="N59" s="143" t="str">
        <f t="shared" si="9"/>
        <v>100007BS154</v>
      </c>
      <c r="O59" s="143" t="str">
        <f t="shared" si="10"/>
        <v>100008BS154</v>
      </c>
      <c r="P59" s="143" t="str">
        <f t="shared" si="11"/>
        <v>100009BS154</v>
      </c>
      <c r="Q59" s="143" t="str">
        <f t="shared" si="12"/>
        <v>100010BS154</v>
      </c>
      <c r="R59" s="143" t="str">
        <f t="shared" si="13"/>
        <v>100011BS154</v>
      </c>
      <c r="S59" s="143" t="str">
        <f t="shared" si="14"/>
        <v>100012BS154</v>
      </c>
      <c r="T59" s="143" t="str">
        <f t="shared" si="15"/>
        <v>100013BS154</v>
      </c>
      <c r="U59" s="143" t="str">
        <f t="shared" si="16"/>
        <v>100014BS154</v>
      </c>
      <c r="V59" s="143" t="str">
        <f t="shared" si="17"/>
        <v>100015BS154</v>
      </c>
      <c r="W59" s="143" t="str">
        <f t="shared" si="18"/>
        <v>100016BS154</v>
      </c>
      <c r="X59" s="144" t="s">
        <v>808</v>
      </c>
    </row>
    <row r="60" spans="1:24">
      <c r="A60" s="161">
        <v>12</v>
      </c>
      <c r="B60" s="140">
        <f t="shared" si="19"/>
        <v>56</v>
      </c>
      <c r="C60" s="144" t="s">
        <v>679</v>
      </c>
      <c r="D60" s="141" t="s">
        <v>777</v>
      </c>
      <c r="E60" s="142">
        <f t="shared" si="20"/>
        <v>155</v>
      </c>
      <c r="F60" s="142" t="str">
        <f t="shared" si="1"/>
        <v>BS155</v>
      </c>
      <c r="G60" s="143" t="str">
        <f t="shared" si="2"/>
        <v>100000BS155</v>
      </c>
      <c r="H60" s="143" t="str">
        <f t="shared" si="3"/>
        <v>100001BS155</v>
      </c>
      <c r="I60" s="143" t="str">
        <f t="shared" si="4"/>
        <v>100002BS155</v>
      </c>
      <c r="J60" s="143" t="str">
        <f t="shared" si="5"/>
        <v>100003BS155</v>
      </c>
      <c r="K60" s="143" t="str">
        <f t="shared" si="6"/>
        <v>100004BS155</v>
      </c>
      <c r="L60" s="143" t="str">
        <f t="shared" si="7"/>
        <v>100005BS155</v>
      </c>
      <c r="M60" s="143" t="str">
        <f t="shared" si="8"/>
        <v>100006BS155</v>
      </c>
      <c r="N60" s="143" t="str">
        <f t="shared" si="9"/>
        <v>100007BS155</v>
      </c>
      <c r="O60" s="143" t="str">
        <f t="shared" si="10"/>
        <v>100008BS155</v>
      </c>
      <c r="P60" s="143" t="str">
        <f t="shared" si="11"/>
        <v>100009BS155</v>
      </c>
      <c r="Q60" s="143" t="str">
        <f t="shared" si="12"/>
        <v>100010BS155</v>
      </c>
      <c r="R60" s="143" t="str">
        <f t="shared" si="13"/>
        <v>100011BS155</v>
      </c>
      <c r="S60" s="143" t="str">
        <f t="shared" si="14"/>
        <v>100012BS155</v>
      </c>
      <c r="T60" s="143" t="str">
        <f t="shared" si="15"/>
        <v>100013BS155</v>
      </c>
      <c r="U60" s="143" t="str">
        <f t="shared" si="16"/>
        <v>100014BS155</v>
      </c>
      <c r="V60" s="143" t="str">
        <f t="shared" si="17"/>
        <v>100015BS155</v>
      </c>
      <c r="W60" s="143" t="str">
        <f t="shared" si="18"/>
        <v>100016BS155</v>
      </c>
      <c r="X60" s="144" t="s">
        <v>679</v>
      </c>
    </row>
    <row r="61" spans="1:24">
      <c r="A61" s="161">
        <v>12</v>
      </c>
      <c r="B61" s="140">
        <f t="shared" si="19"/>
        <v>57</v>
      </c>
      <c r="C61" s="144" t="s">
        <v>680</v>
      </c>
      <c r="D61" s="141" t="s">
        <v>777</v>
      </c>
      <c r="E61" s="142">
        <f t="shared" si="20"/>
        <v>156</v>
      </c>
      <c r="F61" s="142" t="str">
        <f t="shared" si="1"/>
        <v>BS156</v>
      </c>
      <c r="G61" s="143" t="str">
        <f t="shared" si="2"/>
        <v>100000BS156</v>
      </c>
      <c r="H61" s="143" t="str">
        <f t="shared" si="3"/>
        <v>100001BS156</v>
      </c>
      <c r="I61" s="143" t="str">
        <f t="shared" si="4"/>
        <v>100002BS156</v>
      </c>
      <c r="J61" s="143" t="str">
        <f t="shared" si="5"/>
        <v>100003BS156</v>
      </c>
      <c r="K61" s="143" t="str">
        <f t="shared" si="6"/>
        <v>100004BS156</v>
      </c>
      <c r="L61" s="143" t="str">
        <f t="shared" si="7"/>
        <v>100005BS156</v>
      </c>
      <c r="M61" s="143" t="str">
        <f t="shared" si="8"/>
        <v>100006BS156</v>
      </c>
      <c r="N61" s="143" t="str">
        <f t="shared" si="9"/>
        <v>100007BS156</v>
      </c>
      <c r="O61" s="143" t="str">
        <f t="shared" si="10"/>
        <v>100008BS156</v>
      </c>
      <c r="P61" s="143" t="str">
        <f t="shared" si="11"/>
        <v>100009BS156</v>
      </c>
      <c r="Q61" s="143" t="str">
        <f t="shared" si="12"/>
        <v>100010BS156</v>
      </c>
      <c r="R61" s="143" t="str">
        <f t="shared" si="13"/>
        <v>100011BS156</v>
      </c>
      <c r="S61" s="143" t="str">
        <f t="shared" si="14"/>
        <v>100012BS156</v>
      </c>
      <c r="T61" s="143" t="str">
        <f t="shared" si="15"/>
        <v>100013BS156</v>
      </c>
      <c r="U61" s="143" t="str">
        <f t="shared" si="16"/>
        <v>100014BS156</v>
      </c>
      <c r="V61" s="143" t="str">
        <f t="shared" si="17"/>
        <v>100015BS156</v>
      </c>
      <c r="W61" s="143" t="str">
        <f t="shared" si="18"/>
        <v>100016BS156</v>
      </c>
      <c r="X61" s="144" t="s">
        <v>680</v>
      </c>
    </row>
    <row r="62" spans="1:24">
      <c r="A62" s="161">
        <v>12</v>
      </c>
      <c r="B62" s="140">
        <f t="shared" si="19"/>
        <v>58</v>
      </c>
      <c r="C62" s="144" t="s">
        <v>809</v>
      </c>
      <c r="D62" s="141" t="s">
        <v>777</v>
      </c>
      <c r="E62" s="142">
        <f t="shared" si="20"/>
        <v>157</v>
      </c>
      <c r="F62" s="142" t="str">
        <f t="shared" si="1"/>
        <v>BS157</v>
      </c>
      <c r="G62" s="143" t="str">
        <f t="shared" si="2"/>
        <v>100000BS157</v>
      </c>
      <c r="H62" s="143" t="str">
        <f t="shared" si="3"/>
        <v>100001BS157</v>
      </c>
      <c r="I62" s="143" t="str">
        <f t="shared" si="4"/>
        <v>100002BS157</v>
      </c>
      <c r="J62" s="143" t="str">
        <f t="shared" si="5"/>
        <v>100003BS157</v>
      </c>
      <c r="K62" s="143" t="str">
        <f t="shared" si="6"/>
        <v>100004BS157</v>
      </c>
      <c r="L62" s="143" t="str">
        <f t="shared" si="7"/>
        <v>100005BS157</v>
      </c>
      <c r="M62" s="143" t="str">
        <f t="shared" si="8"/>
        <v>100006BS157</v>
      </c>
      <c r="N62" s="143" t="str">
        <f t="shared" si="9"/>
        <v>100007BS157</v>
      </c>
      <c r="O62" s="143" t="str">
        <f t="shared" si="10"/>
        <v>100008BS157</v>
      </c>
      <c r="P62" s="143" t="str">
        <f t="shared" si="11"/>
        <v>100009BS157</v>
      </c>
      <c r="Q62" s="143" t="str">
        <f t="shared" si="12"/>
        <v>100010BS157</v>
      </c>
      <c r="R62" s="143" t="str">
        <f t="shared" si="13"/>
        <v>100011BS157</v>
      </c>
      <c r="S62" s="143" t="str">
        <f t="shared" si="14"/>
        <v>100012BS157</v>
      </c>
      <c r="T62" s="143" t="str">
        <f t="shared" si="15"/>
        <v>100013BS157</v>
      </c>
      <c r="U62" s="143" t="str">
        <f t="shared" si="16"/>
        <v>100014BS157</v>
      </c>
      <c r="V62" s="143" t="str">
        <f t="shared" si="17"/>
        <v>100015BS157</v>
      </c>
      <c r="W62" s="143" t="str">
        <f t="shared" si="18"/>
        <v>100016BS157</v>
      </c>
      <c r="X62" s="144" t="s">
        <v>809</v>
      </c>
    </row>
    <row r="63" spans="1:24">
      <c r="A63" s="161">
        <v>12</v>
      </c>
      <c r="B63" s="140">
        <f t="shared" si="19"/>
        <v>59</v>
      </c>
      <c r="C63" s="144" t="s">
        <v>810</v>
      </c>
      <c r="D63" s="141" t="s">
        <v>777</v>
      </c>
      <c r="E63" s="142">
        <f t="shared" si="20"/>
        <v>158</v>
      </c>
      <c r="F63" s="142" t="str">
        <f t="shared" si="1"/>
        <v>BS158</v>
      </c>
      <c r="G63" s="143" t="str">
        <f t="shared" si="2"/>
        <v>100000BS158</v>
      </c>
      <c r="H63" s="143" t="str">
        <f t="shared" si="3"/>
        <v>100001BS158</v>
      </c>
      <c r="I63" s="143" t="str">
        <f t="shared" si="4"/>
        <v>100002BS158</v>
      </c>
      <c r="J63" s="143" t="str">
        <f t="shared" si="5"/>
        <v>100003BS158</v>
      </c>
      <c r="K63" s="143" t="str">
        <f t="shared" si="6"/>
        <v>100004BS158</v>
      </c>
      <c r="L63" s="143" t="str">
        <f t="shared" si="7"/>
        <v>100005BS158</v>
      </c>
      <c r="M63" s="143" t="str">
        <f t="shared" si="8"/>
        <v>100006BS158</v>
      </c>
      <c r="N63" s="143" t="str">
        <f t="shared" si="9"/>
        <v>100007BS158</v>
      </c>
      <c r="O63" s="143" t="str">
        <f t="shared" si="10"/>
        <v>100008BS158</v>
      </c>
      <c r="P63" s="143" t="str">
        <f t="shared" si="11"/>
        <v>100009BS158</v>
      </c>
      <c r="Q63" s="143" t="str">
        <f t="shared" si="12"/>
        <v>100010BS158</v>
      </c>
      <c r="R63" s="143" t="str">
        <f t="shared" si="13"/>
        <v>100011BS158</v>
      </c>
      <c r="S63" s="143" t="str">
        <f t="shared" si="14"/>
        <v>100012BS158</v>
      </c>
      <c r="T63" s="143" t="str">
        <f t="shared" si="15"/>
        <v>100013BS158</v>
      </c>
      <c r="U63" s="143" t="str">
        <f t="shared" si="16"/>
        <v>100014BS158</v>
      </c>
      <c r="V63" s="143" t="str">
        <f t="shared" si="17"/>
        <v>100015BS158</v>
      </c>
      <c r="W63" s="143" t="str">
        <f t="shared" si="18"/>
        <v>100016BS158</v>
      </c>
      <c r="X63" s="144" t="s">
        <v>810</v>
      </c>
    </row>
    <row r="64" spans="1:24">
      <c r="A64" s="161">
        <v>12</v>
      </c>
      <c r="B64" s="140">
        <f t="shared" si="19"/>
        <v>60</v>
      </c>
      <c r="C64" s="144" t="s">
        <v>811</v>
      </c>
      <c r="D64" s="141" t="s">
        <v>777</v>
      </c>
      <c r="E64" s="142">
        <f t="shared" si="20"/>
        <v>159</v>
      </c>
      <c r="F64" s="142" t="str">
        <f t="shared" si="1"/>
        <v>BS159</v>
      </c>
      <c r="G64" s="143" t="str">
        <f t="shared" si="2"/>
        <v>100000BS159</v>
      </c>
      <c r="H64" s="143" t="str">
        <f t="shared" si="3"/>
        <v>100001BS159</v>
      </c>
      <c r="I64" s="143" t="str">
        <f t="shared" si="4"/>
        <v>100002BS159</v>
      </c>
      <c r="J64" s="143" t="str">
        <f t="shared" si="5"/>
        <v>100003BS159</v>
      </c>
      <c r="K64" s="143" t="str">
        <f t="shared" si="6"/>
        <v>100004BS159</v>
      </c>
      <c r="L64" s="143" t="str">
        <f t="shared" si="7"/>
        <v>100005BS159</v>
      </c>
      <c r="M64" s="143" t="str">
        <f t="shared" si="8"/>
        <v>100006BS159</v>
      </c>
      <c r="N64" s="143" t="str">
        <f t="shared" si="9"/>
        <v>100007BS159</v>
      </c>
      <c r="O64" s="143" t="str">
        <f t="shared" si="10"/>
        <v>100008BS159</v>
      </c>
      <c r="P64" s="143" t="str">
        <f t="shared" si="11"/>
        <v>100009BS159</v>
      </c>
      <c r="Q64" s="143" t="str">
        <f t="shared" si="12"/>
        <v>100010BS159</v>
      </c>
      <c r="R64" s="143" t="str">
        <f t="shared" si="13"/>
        <v>100011BS159</v>
      </c>
      <c r="S64" s="143" t="str">
        <f t="shared" si="14"/>
        <v>100012BS159</v>
      </c>
      <c r="T64" s="143" t="str">
        <f t="shared" si="15"/>
        <v>100013BS159</v>
      </c>
      <c r="U64" s="143" t="str">
        <f t="shared" si="16"/>
        <v>100014BS159</v>
      </c>
      <c r="V64" s="143" t="str">
        <f t="shared" si="17"/>
        <v>100015BS159</v>
      </c>
      <c r="W64" s="143" t="str">
        <f t="shared" si="18"/>
        <v>100016BS159</v>
      </c>
      <c r="X64" s="144" t="s">
        <v>811</v>
      </c>
    </row>
    <row r="65" spans="1:24">
      <c r="A65" s="161">
        <v>12</v>
      </c>
      <c r="B65" s="140">
        <f t="shared" si="19"/>
        <v>61</v>
      </c>
      <c r="C65" s="144" t="s">
        <v>812</v>
      </c>
      <c r="D65" s="141" t="s">
        <v>777</v>
      </c>
      <c r="E65" s="142">
        <f t="shared" si="20"/>
        <v>160</v>
      </c>
      <c r="F65" s="142" t="str">
        <f t="shared" si="1"/>
        <v>BS160</v>
      </c>
      <c r="G65" s="143" t="str">
        <f t="shared" si="2"/>
        <v>100000BS160</v>
      </c>
      <c r="H65" s="143" t="str">
        <f t="shared" si="3"/>
        <v>100001BS160</v>
      </c>
      <c r="I65" s="143" t="str">
        <f t="shared" si="4"/>
        <v>100002BS160</v>
      </c>
      <c r="J65" s="143" t="str">
        <f t="shared" si="5"/>
        <v>100003BS160</v>
      </c>
      <c r="K65" s="143" t="str">
        <f t="shared" si="6"/>
        <v>100004BS160</v>
      </c>
      <c r="L65" s="143" t="str">
        <f t="shared" si="7"/>
        <v>100005BS160</v>
      </c>
      <c r="M65" s="143" t="str">
        <f t="shared" si="8"/>
        <v>100006BS160</v>
      </c>
      <c r="N65" s="143" t="str">
        <f t="shared" si="9"/>
        <v>100007BS160</v>
      </c>
      <c r="O65" s="143" t="str">
        <f t="shared" si="10"/>
        <v>100008BS160</v>
      </c>
      <c r="P65" s="143" t="str">
        <f t="shared" si="11"/>
        <v>100009BS160</v>
      </c>
      <c r="Q65" s="143" t="str">
        <f t="shared" si="12"/>
        <v>100010BS160</v>
      </c>
      <c r="R65" s="143" t="str">
        <f t="shared" si="13"/>
        <v>100011BS160</v>
      </c>
      <c r="S65" s="143" t="str">
        <f t="shared" si="14"/>
        <v>100012BS160</v>
      </c>
      <c r="T65" s="143" t="str">
        <f t="shared" si="15"/>
        <v>100013BS160</v>
      </c>
      <c r="U65" s="143" t="str">
        <f t="shared" si="16"/>
        <v>100014BS160</v>
      </c>
      <c r="V65" s="143" t="str">
        <f t="shared" si="17"/>
        <v>100015BS160</v>
      </c>
      <c r="W65" s="143" t="str">
        <f t="shared" si="18"/>
        <v>100016BS160</v>
      </c>
      <c r="X65" s="144" t="s">
        <v>812</v>
      </c>
    </row>
    <row r="66" spans="1:24">
      <c r="A66" s="161">
        <v>12</v>
      </c>
      <c r="B66" s="140">
        <f t="shared" si="19"/>
        <v>62</v>
      </c>
      <c r="C66" s="144" t="s">
        <v>813</v>
      </c>
      <c r="D66" s="141" t="s">
        <v>777</v>
      </c>
      <c r="E66" s="142">
        <f t="shared" si="20"/>
        <v>161</v>
      </c>
      <c r="F66" s="142" t="str">
        <f t="shared" si="1"/>
        <v>BS161</v>
      </c>
      <c r="G66" s="143" t="str">
        <f t="shared" si="2"/>
        <v>100000BS161</v>
      </c>
      <c r="H66" s="143" t="str">
        <f t="shared" si="3"/>
        <v>100001BS161</v>
      </c>
      <c r="I66" s="143" t="str">
        <f t="shared" si="4"/>
        <v>100002BS161</v>
      </c>
      <c r="J66" s="143" t="str">
        <f t="shared" si="5"/>
        <v>100003BS161</v>
      </c>
      <c r="K66" s="143" t="str">
        <f t="shared" si="6"/>
        <v>100004BS161</v>
      </c>
      <c r="L66" s="143" t="str">
        <f t="shared" si="7"/>
        <v>100005BS161</v>
      </c>
      <c r="M66" s="143" t="str">
        <f t="shared" si="8"/>
        <v>100006BS161</v>
      </c>
      <c r="N66" s="143" t="str">
        <f t="shared" si="9"/>
        <v>100007BS161</v>
      </c>
      <c r="O66" s="143" t="str">
        <f t="shared" si="10"/>
        <v>100008BS161</v>
      </c>
      <c r="P66" s="143" t="str">
        <f t="shared" si="11"/>
        <v>100009BS161</v>
      </c>
      <c r="Q66" s="143" t="str">
        <f t="shared" si="12"/>
        <v>100010BS161</v>
      </c>
      <c r="R66" s="143" t="str">
        <f t="shared" si="13"/>
        <v>100011BS161</v>
      </c>
      <c r="S66" s="143" t="str">
        <f t="shared" si="14"/>
        <v>100012BS161</v>
      </c>
      <c r="T66" s="143" t="str">
        <f t="shared" si="15"/>
        <v>100013BS161</v>
      </c>
      <c r="U66" s="143" t="str">
        <f t="shared" si="16"/>
        <v>100014BS161</v>
      </c>
      <c r="V66" s="143" t="str">
        <f t="shared" si="17"/>
        <v>100015BS161</v>
      </c>
      <c r="W66" s="143" t="str">
        <f t="shared" si="18"/>
        <v>100016BS161</v>
      </c>
      <c r="X66" s="144" t="s">
        <v>813</v>
      </c>
    </row>
    <row r="67" spans="1:24">
      <c r="A67" s="161">
        <v>12</v>
      </c>
      <c r="B67" s="140">
        <f t="shared" si="19"/>
        <v>63</v>
      </c>
      <c r="C67" s="144" t="s">
        <v>681</v>
      </c>
      <c r="D67" s="141" t="s">
        <v>777</v>
      </c>
      <c r="E67" s="142">
        <f t="shared" si="20"/>
        <v>162</v>
      </c>
      <c r="F67" s="142" t="str">
        <f t="shared" si="1"/>
        <v>BS162</v>
      </c>
      <c r="G67" s="143" t="str">
        <f t="shared" si="2"/>
        <v>100000BS162</v>
      </c>
      <c r="H67" s="143" t="str">
        <f t="shared" si="3"/>
        <v>100001BS162</v>
      </c>
      <c r="I67" s="143" t="str">
        <f t="shared" si="4"/>
        <v>100002BS162</v>
      </c>
      <c r="J67" s="143" t="str">
        <f t="shared" si="5"/>
        <v>100003BS162</v>
      </c>
      <c r="K67" s="143" t="str">
        <f t="shared" si="6"/>
        <v>100004BS162</v>
      </c>
      <c r="L67" s="143" t="str">
        <f t="shared" si="7"/>
        <v>100005BS162</v>
      </c>
      <c r="M67" s="143" t="str">
        <f t="shared" si="8"/>
        <v>100006BS162</v>
      </c>
      <c r="N67" s="143" t="str">
        <f t="shared" si="9"/>
        <v>100007BS162</v>
      </c>
      <c r="O67" s="143" t="str">
        <f t="shared" si="10"/>
        <v>100008BS162</v>
      </c>
      <c r="P67" s="143" t="str">
        <f t="shared" si="11"/>
        <v>100009BS162</v>
      </c>
      <c r="Q67" s="143" t="str">
        <f t="shared" si="12"/>
        <v>100010BS162</v>
      </c>
      <c r="R67" s="143" t="str">
        <f t="shared" si="13"/>
        <v>100011BS162</v>
      </c>
      <c r="S67" s="143" t="str">
        <f t="shared" si="14"/>
        <v>100012BS162</v>
      </c>
      <c r="T67" s="143" t="str">
        <f t="shared" si="15"/>
        <v>100013BS162</v>
      </c>
      <c r="U67" s="143" t="str">
        <f t="shared" si="16"/>
        <v>100014BS162</v>
      </c>
      <c r="V67" s="143" t="str">
        <f t="shared" si="17"/>
        <v>100015BS162</v>
      </c>
      <c r="W67" s="143" t="str">
        <f t="shared" si="18"/>
        <v>100016BS162</v>
      </c>
      <c r="X67" s="144" t="s">
        <v>681</v>
      </c>
    </row>
    <row r="68" spans="1:24">
      <c r="A68" s="161">
        <v>12</v>
      </c>
      <c r="B68" s="140">
        <f t="shared" si="19"/>
        <v>64</v>
      </c>
      <c r="C68" s="144" t="s">
        <v>814</v>
      </c>
      <c r="D68" s="141" t="s">
        <v>777</v>
      </c>
      <c r="E68" s="142">
        <f t="shared" si="20"/>
        <v>163</v>
      </c>
      <c r="F68" s="142" t="str">
        <f t="shared" si="1"/>
        <v>BS163</v>
      </c>
      <c r="G68" s="143" t="str">
        <f t="shared" si="2"/>
        <v>100000BS163</v>
      </c>
      <c r="H68" s="143" t="str">
        <f t="shared" si="3"/>
        <v>100001BS163</v>
      </c>
      <c r="I68" s="143" t="str">
        <f t="shared" si="4"/>
        <v>100002BS163</v>
      </c>
      <c r="J68" s="143" t="str">
        <f t="shared" si="5"/>
        <v>100003BS163</v>
      </c>
      <c r="K68" s="143" t="str">
        <f t="shared" si="6"/>
        <v>100004BS163</v>
      </c>
      <c r="L68" s="143" t="str">
        <f t="shared" si="7"/>
        <v>100005BS163</v>
      </c>
      <c r="M68" s="143" t="str">
        <f t="shared" si="8"/>
        <v>100006BS163</v>
      </c>
      <c r="N68" s="143" t="str">
        <f t="shared" si="9"/>
        <v>100007BS163</v>
      </c>
      <c r="O68" s="143" t="str">
        <f t="shared" si="10"/>
        <v>100008BS163</v>
      </c>
      <c r="P68" s="143" t="str">
        <f t="shared" si="11"/>
        <v>100009BS163</v>
      </c>
      <c r="Q68" s="143" t="str">
        <f t="shared" si="12"/>
        <v>100010BS163</v>
      </c>
      <c r="R68" s="143" t="str">
        <f t="shared" si="13"/>
        <v>100011BS163</v>
      </c>
      <c r="S68" s="143" t="str">
        <f t="shared" si="14"/>
        <v>100012BS163</v>
      </c>
      <c r="T68" s="143" t="str">
        <f t="shared" si="15"/>
        <v>100013BS163</v>
      </c>
      <c r="U68" s="143" t="str">
        <f t="shared" si="16"/>
        <v>100014BS163</v>
      </c>
      <c r="V68" s="143" t="str">
        <f t="shared" si="17"/>
        <v>100015BS163</v>
      </c>
      <c r="W68" s="143" t="str">
        <f t="shared" si="18"/>
        <v>100016BS163</v>
      </c>
      <c r="X68" s="144" t="s">
        <v>814</v>
      </c>
    </row>
    <row r="69" spans="1:24">
      <c r="A69" s="161">
        <v>13</v>
      </c>
      <c r="B69" s="140">
        <f t="shared" si="19"/>
        <v>65</v>
      </c>
      <c r="C69" s="144" t="s">
        <v>815</v>
      </c>
      <c r="D69" s="141" t="s">
        <v>777</v>
      </c>
      <c r="E69" s="142">
        <f t="shared" si="20"/>
        <v>164</v>
      </c>
      <c r="F69" s="142" t="str">
        <f t="shared" si="1"/>
        <v>BS164</v>
      </c>
      <c r="G69" s="143" t="str">
        <f t="shared" si="2"/>
        <v>100000BS164</v>
      </c>
      <c r="H69" s="143" t="str">
        <f t="shared" si="3"/>
        <v>100001BS164</v>
      </c>
      <c r="I69" s="143" t="str">
        <f t="shared" si="4"/>
        <v>100002BS164</v>
      </c>
      <c r="J69" s="143" t="str">
        <f t="shared" si="5"/>
        <v>100003BS164</v>
      </c>
      <c r="K69" s="143" t="str">
        <f t="shared" si="6"/>
        <v>100004BS164</v>
      </c>
      <c r="L69" s="143" t="str">
        <f t="shared" si="7"/>
        <v>100005BS164</v>
      </c>
      <c r="M69" s="143" t="str">
        <f t="shared" si="8"/>
        <v>100006BS164</v>
      </c>
      <c r="N69" s="143" t="str">
        <f t="shared" si="9"/>
        <v>100007BS164</v>
      </c>
      <c r="O69" s="143" t="str">
        <f t="shared" si="10"/>
        <v>100008BS164</v>
      </c>
      <c r="P69" s="143" t="str">
        <f t="shared" si="11"/>
        <v>100009BS164</v>
      </c>
      <c r="Q69" s="143" t="str">
        <f t="shared" si="12"/>
        <v>100010BS164</v>
      </c>
      <c r="R69" s="143" t="str">
        <f t="shared" si="13"/>
        <v>100011BS164</v>
      </c>
      <c r="S69" s="143" t="str">
        <f t="shared" si="14"/>
        <v>100012BS164</v>
      </c>
      <c r="T69" s="143" t="str">
        <f t="shared" si="15"/>
        <v>100013BS164</v>
      </c>
      <c r="U69" s="143" t="str">
        <f t="shared" si="16"/>
        <v>100014BS164</v>
      </c>
      <c r="V69" s="143" t="str">
        <f t="shared" si="17"/>
        <v>100015BS164</v>
      </c>
      <c r="W69" s="143" t="str">
        <f t="shared" si="18"/>
        <v>100016BS164</v>
      </c>
      <c r="X69" s="144" t="s">
        <v>815</v>
      </c>
    </row>
    <row r="70" spans="1:24">
      <c r="A70" s="161">
        <v>14</v>
      </c>
      <c r="B70" s="140">
        <f t="shared" si="19"/>
        <v>66</v>
      </c>
      <c r="C70" s="144" t="s">
        <v>816</v>
      </c>
      <c r="D70" s="141" t="s">
        <v>777</v>
      </c>
      <c r="E70" s="142">
        <f t="shared" si="20"/>
        <v>165</v>
      </c>
      <c r="F70" s="142" t="str">
        <f t="shared" ref="F70:F133" si="21">D70&amp;E70</f>
        <v>BS165</v>
      </c>
      <c r="G70" s="143" t="str">
        <f t="shared" ref="G70:G133" si="22">$G$2&amp;$F70</f>
        <v>100000BS165</v>
      </c>
      <c r="H70" s="143" t="str">
        <f t="shared" ref="H70:H133" si="23">$H$2&amp;$F70</f>
        <v>100001BS165</v>
      </c>
      <c r="I70" s="143" t="str">
        <f t="shared" ref="I70:I133" si="24">$I$2&amp;$F70</f>
        <v>100002BS165</v>
      </c>
      <c r="J70" s="143" t="str">
        <f t="shared" ref="J70:J133" si="25">$J$2&amp;$F70</f>
        <v>100003BS165</v>
      </c>
      <c r="K70" s="143" t="str">
        <f t="shared" ref="K70:K133" si="26">$K$2&amp;$F70</f>
        <v>100004BS165</v>
      </c>
      <c r="L70" s="143" t="str">
        <f t="shared" ref="L70:L133" si="27">$L$2&amp;$F70</f>
        <v>100005BS165</v>
      </c>
      <c r="M70" s="143" t="str">
        <f t="shared" ref="M70:M133" si="28">$M$2&amp;$F70</f>
        <v>100006BS165</v>
      </c>
      <c r="N70" s="143" t="str">
        <f t="shared" ref="N70:N133" si="29">$N$2&amp;$F70</f>
        <v>100007BS165</v>
      </c>
      <c r="O70" s="143" t="str">
        <f t="shared" ref="O70:O133" si="30">$O$2&amp;$F70</f>
        <v>100008BS165</v>
      </c>
      <c r="P70" s="143" t="str">
        <f t="shared" ref="P70:P133" si="31">$P$2&amp;$F70</f>
        <v>100009BS165</v>
      </c>
      <c r="Q70" s="143" t="str">
        <f t="shared" ref="Q70:Q133" si="32">$Q$2&amp;$F70</f>
        <v>100010BS165</v>
      </c>
      <c r="R70" s="143" t="str">
        <f t="shared" ref="R70:R133" si="33">$R$2&amp;$F70</f>
        <v>100011BS165</v>
      </c>
      <c r="S70" s="143" t="str">
        <f t="shared" ref="S70:S133" si="34">$S$2&amp;$F70</f>
        <v>100012BS165</v>
      </c>
      <c r="T70" s="143" t="str">
        <f t="shared" ref="T70:T133" si="35">$T$2&amp;$F70</f>
        <v>100013BS165</v>
      </c>
      <c r="U70" s="143" t="str">
        <f t="shared" ref="U70:U133" si="36">$U$2&amp;$F70</f>
        <v>100014BS165</v>
      </c>
      <c r="V70" s="143" t="str">
        <f t="shared" ref="V70:V133" si="37">$V$2&amp;$F70</f>
        <v>100015BS165</v>
      </c>
      <c r="W70" s="143" t="str">
        <f t="shared" ref="W70:W133" si="38">$W$2&amp;$F70</f>
        <v>100016BS165</v>
      </c>
      <c r="X70" s="144" t="s">
        <v>816</v>
      </c>
    </row>
    <row r="71" spans="1:24">
      <c r="A71" s="161">
        <v>14</v>
      </c>
      <c r="B71" s="140">
        <f t="shared" ref="B71:B132" si="39">B70+1</f>
        <v>67</v>
      </c>
      <c r="C71" s="144" t="s">
        <v>720</v>
      </c>
      <c r="D71" s="141" t="s">
        <v>777</v>
      </c>
      <c r="E71" s="142">
        <f t="shared" ref="E71:E134" si="40">E70+1</f>
        <v>166</v>
      </c>
      <c r="F71" s="142" t="str">
        <f t="shared" si="21"/>
        <v>BS166</v>
      </c>
      <c r="G71" s="143" t="str">
        <f t="shared" si="22"/>
        <v>100000BS166</v>
      </c>
      <c r="H71" s="143" t="str">
        <f t="shared" si="23"/>
        <v>100001BS166</v>
      </c>
      <c r="I71" s="143" t="str">
        <f t="shared" si="24"/>
        <v>100002BS166</v>
      </c>
      <c r="J71" s="143" t="str">
        <f t="shared" si="25"/>
        <v>100003BS166</v>
      </c>
      <c r="K71" s="143" t="str">
        <f t="shared" si="26"/>
        <v>100004BS166</v>
      </c>
      <c r="L71" s="143" t="str">
        <f t="shared" si="27"/>
        <v>100005BS166</v>
      </c>
      <c r="M71" s="143" t="str">
        <f t="shared" si="28"/>
        <v>100006BS166</v>
      </c>
      <c r="N71" s="143" t="str">
        <f t="shared" si="29"/>
        <v>100007BS166</v>
      </c>
      <c r="O71" s="143" t="str">
        <f t="shared" si="30"/>
        <v>100008BS166</v>
      </c>
      <c r="P71" s="143" t="str">
        <f t="shared" si="31"/>
        <v>100009BS166</v>
      </c>
      <c r="Q71" s="143" t="str">
        <f t="shared" si="32"/>
        <v>100010BS166</v>
      </c>
      <c r="R71" s="143" t="str">
        <f t="shared" si="33"/>
        <v>100011BS166</v>
      </c>
      <c r="S71" s="143" t="str">
        <f t="shared" si="34"/>
        <v>100012BS166</v>
      </c>
      <c r="T71" s="143" t="str">
        <f t="shared" si="35"/>
        <v>100013BS166</v>
      </c>
      <c r="U71" s="143" t="str">
        <f t="shared" si="36"/>
        <v>100014BS166</v>
      </c>
      <c r="V71" s="143" t="str">
        <f t="shared" si="37"/>
        <v>100015BS166</v>
      </c>
      <c r="W71" s="143" t="str">
        <f t="shared" si="38"/>
        <v>100016BS166</v>
      </c>
      <c r="X71" s="144" t="s">
        <v>720</v>
      </c>
    </row>
    <row r="72" spans="1:24">
      <c r="A72" s="161">
        <v>14</v>
      </c>
      <c r="B72" s="140">
        <f t="shared" si="39"/>
        <v>68</v>
      </c>
      <c r="C72" s="144" t="s">
        <v>817</v>
      </c>
      <c r="D72" s="141" t="s">
        <v>777</v>
      </c>
      <c r="E72" s="142">
        <f t="shared" si="40"/>
        <v>167</v>
      </c>
      <c r="F72" s="142" t="str">
        <f t="shared" si="21"/>
        <v>BS167</v>
      </c>
      <c r="G72" s="143" t="str">
        <f t="shared" si="22"/>
        <v>100000BS167</v>
      </c>
      <c r="H72" s="143" t="str">
        <f t="shared" si="23"/>
        <v>100001BS167</v>
      </c>
      <c r="I72" s="143" t="str">
        <f t="shared" si="24"/>
        <v>100002BS167</v>
      </c>
      <c r="J72" s="143" t="str">
        <f t="shared" si="25"/>
        <v>100003BS167</v>
      </c>
      <c r="K72" s="143" t="str">
        <f t="shared" si="26"/>
        <v>100004BS167</v>
      </c>
      <c r="L72" s="143" t="str">
        <f t="shared" si="27"/>
        <v>100005BS167</v>
      </c>
      <c r="M72" s="143" t="str">
        <f t="shared" si="28"/>
        <v>100006BS167</v>
      </c>
      <c r="N72" s="143" t="str">
        <f t="shared" si="29"/>
        <v>100007BS167</v>
      </c>
      <c r="O72" s="143" t="str">
        <f t="shared" si="30"/>
        <v>100008BS167</v>
      </c>
      <c r="P72" s="143" t="str">
        <f t="shared" si="31"/>
        <v>100009BS167</v>
      </c>
      <c r="Q72" s="143" t="str">
        <f t="shared" si="32"/>
        <v>100010BS167</v>
      </c>
      <c r="R72" s="143" t="str">
        <f t="shared" si="33"/>
        <v>100011BS167</v>
      </c>
      <c r="S72" s="143" t="str">
        <f t="shared" si="34"/>
        <v>100012BS167</v>
      </c>
      <c r="T72" s="143" t="str">
        <f t="shared" si="35"/>
        <v>100013BS167</v>
      </c>
      <c r="U72" s="143" t="str">
        <f t="shared" si="36"/>
        <v>100014BS167</v>
      </c>
      <c r="V72" s="143" t="str">
        <f t="shared" si="37"/>
        <v>100015BS167</v>
      </c>
      <c r="W72" s="143" t="str">
        <f t="shared" si="38"/>
        <v>100016BS167</v>
      </c>
      <c r="X72" s="144" t="s">
        <v>817</v>
      </c>
    </row>
    <row r="73" spans="1:24">
      <c r="A73" s="161">
        <v>14</v>
      </c>
      <c r="B73" s="140">
        <f t="shared" si="39"/>
        <v>69</v>
      </c>
      <c r="C73" s="144" t="s">
        <v>818</v>
      </c>
      <c r="D73" s="141" t="s">
        <v>777</v>
      </c>
      <c r="E73" s="142">
        <f t="shared" si="40"/>
        <v>168</v>
      </c>
      <c r="F73" s="142" t="str">
        <f t="shared" si="21"/>
        <v>BS168</v>
      </c>
      <c r="G73" s="143" t="str">
        <f t="shared" si="22"/>
        <v>100000BS168</v>
      </c>
      <c r="H73" s="143" t="str">
        <f t="shared" si="23"/>
        <v>100001BS168</v>
      </c>
      <c r="I73" s="143" t="str">
        <f t="shared" si="24"/>
        <v>100002BS168</v>
      </c>
      <c r="J73" s="143" t="str">
        <f t="shared" si="25"/>
        <v>100003BS168</v>
      </c>
      <c r="K73" s="143" t="str">
        <f t="shared" si="26"/>
        <v>100004BS168</v>
      </c>
      <c r="L73" s="143" t="str">
        <f t="shared" si="27"/>
        <v>100005BS168</v>
      </c>
      <c r="M73" s="143" t="str">
        <f t="shared" si="28"/>
        <v>100006BS168</v>
      </c>
      <c r="N73" s="143" t="str">
        <f t="shared" si="29"/>
        <v>100007BS168</v>
      </c>
      <c r="O73" s="143" t="str">
        <f t="shared" si="30"/>
        <v>100008BS168</v>
      </c>
      <c r="P73" s="143" t="str">
        <f t="shared" si="31"/>
        <v>100009BS168</v>
      </c>
      <c r="Q73" s="143" t="str">
        <f t="shared" si="32"/>
        <v>100010BS168</v>
      </c>
      <c r="R73" s="143" t="str">
        <f t="shared" si="33"/>
        <v>100011BS168</v>
      </c>
      <c r="S73" s="143" t="str">
        <f t="shared" si="34"/>
        <v>100012BS168</v>
      </c>
      <c r="T73" s="143" t="str">
        <f t="shared" si="35"/>
        <v>100013BS168</v>
      </c>
      <c r="U73" s="143" t="str">
        <f t="shared" si="36"/>
        <v>100014BS168</v>
      </c>
      <c r="V73" s="143" t="str">
        <f t="shared" si="37"/>
        <v>100015BS168</v>
      </c>
      <c r="W73" s="143" t="str">
        <f t="shared" si="38"/>
        <v>100016BS168</v>
      </c>
      <c r="X73" s="144" t="s">
        <v>818</v>
      </c>
    </row>
    <row r="74" spans="1:24">
      <c r="A74" s="161">
        <v>14</v>
      </c>
      <c r="B74" s="140">
        <f t="shared" si="39"/>
        <v>70</v>
      </c>
      <c r="C74" s="144" t="s">
        <v>819</v>
      </c>
      <c r="D74" s="141" t="s">
        <v>777</v>
      </c>
      <c r="E74" s="142">
        <f t="shared" si="40"/>
        <v>169</v>
      </c>
      <c r="F74" s="142" t="str">
        <f t="shared" si="21"/>
        <v>BS169</v>
      </c>
      <c r="G74" s="143" t="str">
        <f t="shared" si="22"/>
        <v>100000BS169</v>
      </c>
      <c r="H74" s="143" t="str">
        <f t="shared" si="23"/>
        <v>100001BS169</v>
      </c>
      <c r="I74" s="143" t="str">
        <f t="shared" si="24"/>
        <v>100002BS169</v>
      </c>
      <c r="J74" s="143" t="str">
        <f t="shared" si="25"/>
        <v>100003BS169</v>
      </c>
      <c r="K74" s="143" t="str">
        <f t="shared" si="26"/>
        <v>100004BS169</v>
      </c>
      <c r="L74" s="143" t="str">
        <f t="shared" si="27"/>
        <v>100005BS169</v>
      </c>
      <c r="M74" s="143" t="str">
        <f t="shared" si="28"/>
        <v>100006BS169</v>
      </c>
      <c r="N74" s="143" t="str">
        <f t="shared" si="29"/>
        <v>100007BS169</v>
      </c>
      <c r="O74" s="143" t="str">
        <f t="shared" si="30"/>
        <v>100008BS169</v>
      </c>
      <c r="P74" s="143" t="str">
        <f t="shared" si="31"/>
        <v>100009BS169</v>
      </c>
      <c r="Q74" s="143" t="str">
        <f t="shared" si="32"/>
        <v>100010BS169</v>
      </c>
      <c r="R74" s="143" t="str">
        <f t="shared" si="33"/>
        <v>100011BS169</v>
      </c>
      <c r="S74" s="143" t="str">
        <f t="shared" si="34"/>
        <v>100012BS169</v>
      </c>
      <c r="T74" s="143" t="str">
        <f t="shared" si="35"/>
        <v>100013BS169</v>
      </c>
      <c r="U74" s="143" t="str">
        <f t="shared" si="36"/>
        <v>100014BS169</v>
      </c>
      <c r="V74" s="143" t="str">
        <f t="shared" si="37"/>
        <v>100015BS169</v>
      </c>
      <c r="W74" s="143" t="str">
        <f t="shared" si="38"/>
        <v>100016BS169</v>
      </c>
      <c r="X74" s="144" t="s">
        <v>819</v>
      </c>
    </row>
    <row r="75" spans="1:24">
      <c r="A75" s="161">
        <v>14</v>
      </c>
      <c r="B75" s="140">
        <f t="shared" si="39"/>
        <v>71</v>
      </c>
      <c r="C75" s="144" t="s">
        <v>721</v>
      </c>
      <c r="D75" s="141" t="s">
        <v>777</v>
      </c>
      <c r="E75" s="142">
        <f t="shared" si="40"/>
        <v>170</v>
      </c>
      <c r="F75" s="142" t="str">
        <f t="shared" si="21"/>
        <v>BS170</v>
      </c>
      <c r="G75" s="143" t="str">
        <f t="shared" si="22"/>
        <v>100000BS170</v>
      </c>
      <c r="H75" s="143" t="str">
        <f t="shared" si="23"/>
        <v>100001BS170</v>
      </c>
      <c r="I75" s="143" t="str">
        <f t="shared" si="24"/>
        <v>100002BS170</v>
      </c>
      <c r="J75" s="143" t="str">
        <f t="shared" si="25"/>
        <v>100003BS170</v>
      </c>
      <c r="K75" s="143" t="str">
        <f t="shared" si="26"/>
        <v>100004BS170</v>
      </c>
      <c r="L75" s="143" t="str">
        <f t="shared" si="27"/>
        <v>100005BS170</v>
      </c>
      <c r="M75" s="143" t="str">
        <f t="shared" si="28"/>
        <v>100006BS170</v>
      </c>
      <c r="N75" s="143" t="str">
        <f t="shared" si="29"/>
        <v>100007BS170</v>
      </c>
      <c r="O75" s="143" t="str">
        <f t="shared" si="30"/>
        <v>100008BS170</v>
      </c>
      <c r="P75" s="143" t="str">
        <f t="shared" si="31"/>
        <v>100009BS170</v>
      </c>
      <c r="Q75" s="143" t="str">
        <f t="shared" si="32"/>
        <v>100010BS170</v>
      </c>
      <c r="R75" s="143" t="str">
        <f t="shared" si="33"/>
        <v>100011BS170</v>
      </c>
      <c r="S75" s="143" t="str">
        <f t="shared" si="34"/>
        <v>100012BS170</v>
      </c>
      <c r="T75" s="143" t="str">
        <f t="shared" si="35"/>
        <v>100013BS170</v>
      </c>
      <c r="U75" s="143" t="str">
        <f t="shared" si="36"/>
        <v>100014BS170</v>
      </c>
      <c r="V75" s="143" t="str">
        <f t="shared" si="37"/>
        <v>100015BS170</v>
      </c>
      <c r="W75" s="143" t="str">
        <f t="shared" si="38"/>
        <v>100016BS170</v>
      </c>
      <c r="X75" s="144" t="s">
        <v>721</v>
      </c>
    </row>
    <row r="76" spans="1:24">
      <c r="A76" s="161">
        <v>14</v>
      </c>
      <c r="B76" s="140">
        <f t="shared" si="39"/>
        <v>72</v>
      </c>
      <c r="C76" s="144" t="s">
        <v>820</v>
      </c>
      <c r="D76" s="141" t="s">
        <v>777</v>
      </c>
      <c r="E76" s="142">
        <f t="shared" si="40"/>
        <v>171</v>
      </c>
      <c r="F76" s="142" t="str">
        <f t="shared" si="21"/>
        <v>BS171</v>
      </c>
      <c r="G76" s="143" t="str">
        <f t="shared" si="22"/>
        <v>100000BS171</v>
      </c>
      <c r="H76" s="143" t="str">
        <f t="shared" si="23"/>
        <v>100001BS171</v>
      </c>
      <c r="I76" s="143" t="str">
        <f t="shared" si="24"/>
        <v>100002BS171</v>
      </c>
      <c r="J76" s="143" t="str">
        <f t="shared" si="25"/>
        <v>100003BS171</v>
      </c>
      <c r="K76" s="143" t="str">
        <f t="shared" si="26"/>
        <v>100004BS171</v>
      </c>
      <c r="L76" s="143" t="str">
        <f t="shared" si="27"/>
        <v>100005BS171</v>
      </c>
      <c r="M76" s="143" t="str">
        <f t="shared" si="28"/>
        <v>100006BS171</v>
      </c>
      <c r="N76" s="143" t="str">
        <f t="shared" si="29"/>
        <v>100007BS171</v>
      </c>
      <c r="O76" s="143" t="str">
        <f t="shared" si="30"/>
        <v>100008BS171</v>
      </c>
      <c r="P76" s="143" t="str">
        <f t="shared" si="31"/>
        <v>100009BS171</v>
      </c>
      <c r="Q76" s="143" t="str">
        <f t="shared" si="32"/>
        <v>100010BS171</v>
      </c>
      <c r="R76" s="143" t="str">
        <f t="shared" si="33"/>
        <v>100011BS171</v>
      </c>
      <c r="S76" s="143" t="str">
        <f t="shared" si="34"/>
        <v>100012BS171</v>
      </c>
      <c r="T76" s="143" t="str">
        <f t="shared" si="35"/>
        <v>100013BS171</v>
      </c>
      <c r="U76" s="143" t="str">
        <f t="shared" si="36"/>
        <v>100014BS171</v>
      </c>
      <c r="V76" s="143" t="str">
        <f t="shared" si="37"/>
        <v>100015BS171</v>
      </c>
      <c r="W76" s="143" t="str">
        <f t="shared" si="38"/>
        <v>100016BS171</v>
      </c>
      <c r="X76" s="144" t="s">
        <v>820</v>
      </c>
    </row>
    <row r="77" spans="1:24">
      <c r="A77" s="161">
        <v>14</v>
      </c>
      <c r="B77" s="140">
        <f t="shared" si="39"/>
        <v>73</v>
      </c>
      <c r="C77" s="144" t="s">
        <v>821</v>
      </c>
      <c r="D77" s="141" t="s">
        <v>777</v>
      </c>
      <c r="E77" s="142">
        <f t="shared" si="40"/>
        <v>172</v>
      </c>
      <c r="F77" s="142" t="str">
        <f t="shared" si="21"/>
        <v>BS172</v>
      </c>
      <c r="G77" s="143" t="str">
        <f t="shared" si="22"/>
        <v>100000BS172</v>
      </c>
      <c r="H77" s="143" t="str">
        <f t="shared" si="23"/>
        <v>100001BS172</v>
      </c>
      <c r="I77" s="143" t="str">
        <f t="shared" si="24"/>
        <v>100002BS172</v>
      </c>
      <c r="J77" s="143" t="str">
        <f t="shared" si="25"/>
        <v>100003BS172</v>
      </c>
      <c r="K77" s="143" t="str">
        <f t="shared" si="26"/>
        <v>100004BS172</v>
      </c>
      <c r="L77" s="143" t="str">
        <f t="shared" si="27"/>
        <v>100005BS172</v>
      </c>
      <c r="M77" s="143" t="str">
        <f t="shared" si="28"/>
        <v>100006BS172</v>
      </c>
      <c r="N77" s="143" t="str">
        <f t="shared" si="29"/>
        <v>100007BS172</v>
      </c>
      <c r="O77" s="143" t="str">
        <f t="shared" si="30"/>
        <v>100008BS172</v>
      </c>
      <c r="P77" s="143" t="str">
        <f t="shared" si="31"/>
        <v>100009BS172</v>
      </c>
      <c r="Q77" s="143" t="str">
        <f t="shared" si="32"/>
        <v>100010BS172</v>
      </c>
      <c r="R77" s="143" t="str">
        <f t="shared" si="33"/>
        <v>100011BS172</v>
      </c>
      <c r="S77" s="143" t="str">
        <f t="shared" si="34"/>
        <v>100012BS172</v>
      </c>
      <c r="T77" s="143" t="str">
        <f t="shared" si="35"/>
        <v>100013BS172</v>
      </c>
      <c r="U77" s="143" t="str">
        <f t="shared" si="36"/>
        <v>100014BS172</v>
      </c>
      <c r="V77" s="143" t="str">
        <f t="shared" si="37"/>
        <v>100015BS172</v>
      </c>
      <c r="W77" s="143" t="str">
        <f t="shared" si="38"/>
        <v>100016BS172</v>
      </c>
      <c r="X77" s="144" t="s">
        <v>821</v>
      </c>
    </row>
    <row r="78" spans="1:24" ht="25.5">
      <c r="A78" s="161">
        <v>14</v>
      </c>
      <c r="B78" s="140">
        <f t="shared" si="39"/>
        <v>74</v>
      </c>
      <c r="C78" s="144" t="s">
        <v>822</v>
      </c>
      <c r="D78" s="141" t="s">
        <v>777</v>
      </c>
      <c r="E78" s="142">
        <f t="shared" si="40"/>
        <v>173</v>
      </c>
      <c r="F78" s="142" t="str">
        <f t="shared" si="21"/>
        <v>BS173</v>
      </c>
      <c r="G78" s="143" t="str">
        <f t="shared" si="22"/>
        <v>100000BS173</v>
      </c>
      <c r="H78" s="143" t="str">
        <f t="shared" si="23"/>
        <v>100001BS173</v>
      </c>
      <c r="I78" s="143" t="str">
        <f t="shared" si="24"/>
        <v>100002BS173</v>
      </c>
      <c r="J78" s="143" t="str">
        <f t="shared" si="25"/>
        <v>100003BS173</v>
      </c>
      <c r="K78" s="143" t="str">
        <f t="shared" si="26"/>
        <v>100004BS173</v>
      </c>
      <c r="L78" s="143" t="str">
        <f t="shared" si="27"/>
        <v>100005BS173</v>
      </c>
      <c r="M78" s="143" t="str">
        <f t="shared" si="28"/>
        <v>100006BS173</v>
      </c>
      <c r="N78" s="143" t="str">
        <f t="shared" si="29"/>
        <v>100007BS173</v>
      </c>
      <c r="O78" s="143" t="str">
        <f t="shared" si="30"/>
        <v>100008BS173</v>
      </c>
      <c r="P78" s="143" t="str">
        <f t="shared" si="31"/>
        <v>100009BS173</v>
      </c>
      <c r="Q78" s="143" t="str">
        <f t="shared" si="32"/>
        <v>100010BS173</v>
      </c>
      <c r="R78" s="143" t="str">
        <f t="shared" si="33"/>
        <v>100011BS173</v>
      </c>
      <c r="S78" s="143" t="str">
        <f t="shared" si="34"/>
        <v>100012BS173</v>
      </c>
      <c r="T78" s="143" t="str">
        <f t="shared" si="35"/>
        <v>100013BS173</v>
      </c>
      <c r="U78" s="143" t="str">
        <f t="shared" si="36"/>
        <v>100014BS173</v>
      </c>
      <c r="V78" s="143" t="str">
        <f t="shared" si="37"/>
        <v>100015BS173</v>
      </c>
      <c r="W78" s="143" t="str">
        <f t="shared" si="38"/>
        <v>100016BS173</v>
      </c>
      <c r="X78" s="144" t="s">
        <v>822</v>
      </c>
    </row>
    <row r="79" spans="1:24" ht="25.5">
      <c r="A79" s="161">
        <v>14</v>
      </c>
      <c r="B79" s="140">
        <f t="shared" si="39"/>
        <v>75</v>
      </c>
      <c r="C79" s="144" t="s">
        <v>823</v>
      </c>
      <c r="D79" s="141" t="s">
        <v>777</v>
      </c>
      <c r="E79" s="142">
        <f t="shared" si="40"/>
        <v>174</v>
      </c>
      <c r="F79" s="142" t="str">
        <f t="shared" si="21"/>
        <v>BS174</v>
      </c>
      <c r="G79" s="143" t="str">
        <f t="shared" si="22"/>
        <v>100000BS174</v>
      </c>
      <c r="H79" s="143" t="str">
        <f t="shared" si="23"/>
        <v>100001BS174</v>
      </c>
      <c r="I79" s="143" t="str">
        <f t="shared" si="24"/>
        <v>100002BS174</v>
      </c>
      <c r="J79" s="143" t="str">
        <f t="shared" si="25"/>
        <v>100003BS174</v>
      </c>
      <c r="K79" s="143" t="str">
        <f t="shared" si="26"/>
        <v>100004BS174</v>
      </c>
      <c r="L79" s="143" t="str">
        <f t="shared" si="27"/>
        <v>100005BS174</v>
      </c>
      <c r="M79" s="143" t="str">
        <f t="shared" si="28"/>
        <v>100006BS174</v>
      </c>
      <c r="N79" s="143" t="str">
        <f t="shared" si="29"/>
        <v>100007BS174</v>
      </c>
      <c r="O79" s="143" t="str">
        <f t="shared" si="30"/>
        <v>100008BS174</v>
      </c>
      <c r="P79" s="143" t="str">
        <f t="shared" si="31"/>
        <v>100009BS174</v>
      </c>
      <c r="Q79" s="143" t="str">
        <f t="shared" si="32"/>
        <v>100010BS174</v>
      </c>
      <c r="R79" s="143" t="str">
        <f t="shared" si="33"/>
        <v>100011BS174</v>
      </c>
      <c r="S79" s="143" t="str">
        <f t="shared" si="34"/>
        <v>100012BS174</v>
      </c>
      <c r="T79" s="143" t="str">
        <f t="shared" si="35"/>
        <v>100013BS174</v>
      </c>
      <c r="U79" s="143" t="str">
        <f t="shared" si="36"/>
        <v>100014BS174</v>
      </c>
      <c r="V79" s="143" t="str">
        <f t="shared" si="37"/>
        <v>100015BS174</v>
      </c>
      <c r="W79" s="143" t="str">
        <f t="shared" si="38"/>
        <v>100016BS174</v>
      </c>
      <c r="X79" s="144" t="s">
        <v>823</v>
      </c>
    </row>
    <row r="80" spans="1:24">
      <c r="A80" s="161">
        <v>14</v>
      </c>
      <c r="B80" s="140">
        <f t="shared" si="39"/>
        <v>76</v>
      </c>
      <c r="C80" s="144" t="s">
        <v>824</v>
      </c>
      <c r="D80" s="141" t="s">
        <v>777</v>
      </c>
      <c r="E80" s="142">
        <f t="shared" si="40"/>
        <v>175</v>
      </c>
      <c r="F80" s="142" t="str">
        <f t="shared" si="21"/>
        <v>BS175</v>
      </c>
      <c r="G80" s="143" t="str">
        <f t="shared" si="22"/>
        <v>100000BS175</v>
      </c>
      <c r="H80" s="143" t="str">
        <f t="shared" si="23"/>
        <v>100001BS175</v>
      </c>
      <c r="I80" s="143" t="str">
        <f t="shared" si="24"/>
        <v>100002BS175</v>
      </c>
      <c r="J80" s="143" t="str">
        <f t="shared" si="25"/>
        <v>100003BS175</v>
      </c>
      <c r="K80" s="143" t="str">
        <f t="shared" si="26"/>
        <v>100004BS175</v>
      </c>
      <c r="L80" s="143" t="str">
        <f t="shared" si="27"/>
        <v>100005BS175</v>
      </c>
      <c r="M80" s="143" t="str">
        <f t="shared" si="28"/>
        <v>100006BS175</v>
      </c>
      <c r="N80" s="143" t="str">
        <f t="shared" si="29"/>
        <v>100007BS175</v>
      </c>
      <c r="O80" s="143" t="str">
        <f t="shared" si="30"/>
        <v>100008BS175</v>
      </c>
      <c r="P80" s="143" t="str">
        <f t="shared" si="31"/>
        <v>100009BS175</v>
      </c>
      <c r="Q80" s="143" t="str">
        <f t="shared" si="32"/>
        <v>100010BS175</v>
      </c>
      <c r="R80" s="143" t="str">
        <f t="shared" si="33"/>
        <v>100011BS175</v>
      </c>
      <c r="S80" s="143" t="str">
        <f t="shared" si="34"/>
        <v>100012BS175</v>
      </c>
      <c r="T80" s="143" t="str">
        <f t="shared" si="35"/>
        <v>100013BS175</v>
      </c>
      <c r="U80" s="143" t="str">
        <f t="shared" si="36"/>
        <v>100014BS175</v>
      </c>
      <c r="V80" s="143" t="str">
        <f t="shared" si="37"/>
        <v>100015BS175</v>
      </c>
      <c r="W80" s="143" t="str">
        <f t="shared" si="38"/>
        <v>100016BS175</v>
      </c>
      <c r="X80" s="144" t="s">
        <v>824</v>
      </c>
    </row>
    <row r="81" spans="1:24">
      <c r="A81" s="161">
        <v>14</v>
      </c>
      <c r="B81" s="140">
        <f t="shared" si="39"/>
        <v>77</v>
      </c>
      <c r="C81" s="144" t="s">
        <v>825</v>
      </c>
      <c r="D81" s="141" t="s">
        <v>777</v>
      </c>
      <c r="E81" s="142">
        <f t="shared" si="40"/>
        <v>176</v>
      </c>
      <c r="F81" s="142" t="str">
        <f t="shared" si="21"/>
        <v>BS176</v>
      </c>
      <c r="G81" s="143" t="str">
        <f t="shared" si="22"/>
        <v>100000BS176</v>
      </c>
      <c r="H81" s="143" t="str">
        <f t="shared" si="23"/>
        <v>100001BS176</v>
      </c>
      <c r="I81" s="143" t="str">
        <f t="shared" si="24"/>
        <v>100002BS176</v>
      </c>
      <c r="J81" s="143" t="str">
        <f t="shared" si="25"/>
        <v>100003BS176</v>
      </c>
      <c r="K81" s="143" t="str">
        <f t="shared" si="26"/>
        <v>100004BS176</v>
      </c>
      <c r="L81" s="143" t="str">
        <f t="shared" si="27"/>
        <v>100005BS176</v>
      </c>
      <c r="M81" s="143" t="str">
        <f t="shared" si="28"/>
        <v>100006BS176</v>
      </c>
      <c r="N81" s="143" t="str">
        <f t="shared" si="29"/>
        <v>100007BS176</v>
      </c>
      <c r="O81" s="143" t="str">
        <f t="shared" si="30"/>
        <v>100008BS176</v>
      </c>
      <c r="P81" s="143" t="str">
        <f t="shared" si="31"/>
        <v>100009BS176</v>
      </c>
      <c r="Q81" s="143" t="str">
        <f t="shared" si="32"/>
        <v>100010BS176</v>
      </c>
      <c r="R81" s="143" t="str">
        <f t="shared" si="33"/>
        <v>100011BS176</v>
      </c>
      <c r="S81" s="143" t="str">
        <f t="shared" si="34"/>
        <v>100012BS176</v>
      </c>
      <c r="T81" s="143" t="str">
        <f t="shared" si="35"/>
        <v>100013BS176</v>
      </c>
      <c r="U81" s="143" t="str">
        <f t="shared" si="36"/>
        <v>100014BS176</v>
      </c>
      <c r="V81" s="143" t="str">
        <f t="shared" si="37"/>
        <v>100015BS176</v>
      </c>
      <c r="W81" s="143" t="str">
        <f t="shared" si="38"/>
        <v>100016BS176</v>
      </c>
      <c r="X81" s="144" t="s">
        <v>825</v>
      </c>
    </row>
    <row r="82" spans="1:24">
      <c r="A82" s="161">
        <v>14</v>
      </c>
      <c r="B82" s="140">
        <f t="shared" si="39"/>
        <v>78</v>
      </c>
      <c r="C82" s="144" t="s">
        <v>826</v>
      </c>
      <c r="D82" s="141" t="s">
        <v>777</v>
      </c>
      <c r="E82" s="142">
        <f t="shared" si="40"/>
        <v>177</v>
      </c>
      <c r="F82" s="142" t="str">
        <f t="shared" si="21"/>
        <v>BS177</v>
      </c>
      <c r="G82" s="143" t="str">
        <f t="shared" si="22"/>
        <v>100000BS177</v>
      </c>
      <c r="H82" s="143" t="str">
        <f t="shared" si="23"/>
        <v>100001BS177</v>
      </c>
      <c r="I82" s="143" t="str">
        <f t="shared" si="24"/>
        <v>100002BS177</v>
      </c>
      <c r="J82" s="143" t="str">
        <f t="shared" si="25"/>
        <v>100003BS177</v>
      </c>
      <c r="K82" s="143" t="str">
        <f t="shared" si="26"/>
        <v>100004BS177</v>
      </c>
      <c r="L82" s="143" t="str">
        <f t="shared" si="27"/>
        <v>100005BS177</v>
      </c>
      <c r="M82" s="143" t="str">
        <f t="shared" si="28"/>
        <v>100006BS177</v>
      </c>
      <c r="N82" s="143" t="str">
        <f t="shared" si="29"/>
        <v>100007BS177</v>
      </c>
      <c r="O82" s="143" t="str">
        <f t="shared" si="30"/>
        <v>100008BS177</v>
      </c>
      <c r="P82" s="143" t="str">
        <f t="shared" si="31"/>
        <v>100009BS177</v>
      </c>
      <c r="Q82" s="143" t="str">
        <f t="shared" si="32"/>
        <v>100010BS177</v>
      </c>
      <c r="R82" s="143" t="str">
        <f t="shared" si="33"/>
        <v>100011BS177</v>
      </c>
      <c r="S82" s="143" t="str">
        <f t="shared" si="34"/>
        <v>100012BS177</v>
      </c>
      <c r="T82" s="143" t="str">
        <f t="shared" si="35"/>
        <v>100013BS177</v>
      </c>
      <c r="U82" s="143" t="str">
        <f t="shared" si="36"/>
        <v>100014BS177</v>
      </c>
      <c r="V82" s="143" t="str">
        <f t="shared" si="37"/>
        <v>100015BS177</v>
      </c>
      <c r="W82" s="143" t="str">
        <f t="shared" si="38"/>
        <v>100016BS177</v>
      </c>
      <c r="X82" s="144" t="s">
        <v>826</v>
      </c>
    </row>
    <row r="83" spans="1:24">
      <c r="A83" s="161">
        <v>14</v>
      </c>
      <c r="B83" s="140">
        <f t="shared" si="39"/>
        <v>79</v>
      </c>
      <c r="C83" s="144" t="s">
        <v>827</v>
      </c>
      <c r="D83" s="141" t="s">
        <v>777</v>
      </c>
      <c r="E83" s="142">
        <f t="shared" si="40"/>
        <v>178</v>
      </c>
      <c r="F83" s="142" t="str">
        <f t="shared" si="21"/>
        <v>BS178</v>
      </c>
      <c r="G83" s="143" t="str">
        <f t="shared" si="22"/>
        <v>100000BS178</v>
      </c>
      <c r="H83" s="143" t="str">
        <f t="shared" si="23"/>
        <v>100001BS178</v>
      </c>
      <c r="I83" s="143" t="str">
        <f t="shared" si="24"/>
        <v>100002BS178</v>
      </c>
      <c r="J83" s="143" t="str">
        <f t="shared" si="25"/>
        <v>100003BS178</v>
      </c>
      <c r="K83" s="143" t="str">
        <f t="shared" si="26"/>
        <v>100004BS178</v>
      </c>
      <c r="L83" s="143" t="str">
        <f t="shared" si="27"/>
        <v>100005BS178</v>
      </c>
      <c r="M83" s="143" t="str">
        <f t="shared" si="28"/>
        <v>100006BS178</v>
      </c>
      <c r="N83" s="143" t="str">
        <f t="shared" si="29"/>
        <v>100007BS178</v>
      </c>
      <c r="O83" s="143" t="str">
        <f t="shared" si="30"/>
        <v>100008BS178</v>
      </c>
      <c r="P83" s="143" t="str">
        <f t="shared" si="31"/>
        <v>100009BS178</v>
      </c>
      <c r="Q83" s="143" t="str">
        <f t="shared" si="32"/>
        <v>100010BS178</v>
      </c>
      <c r="R83" s="143" t="str">
        <f t="shared" si="33"/>
        <v>100011BS178</v>
      </c>
      <c r="S83" s="143" t="str">
        <f t="shared" si="34"/>
        <v>100012BS178</v>
      </c>
      <c r="T83" s="143" t="str">
        <f t="shared" si="35"/>
        <v>100013BS178</v>
      </c>
      <c r="U83" s="143" t="str">
        <f t="shared" si="36"/>
        <v>100014BS178</v>
      </c>
      <c r="V83" s="143" t="str">
        <f t="shared" si="37"/>
        <v>100015BS178</v>
      </c>
      <c r="W83" s="143" t="str">
        <f t="shared" si="38"/>
        <v>100016BS178</v>
      </c>
      <c r="X83" s="144" t="s">
        <v>827</v>
      </c>
    </row>
    <row r="84" spans="1:24">
      <c r="A84" s="161">
        <v>14</v>
      </c>
      <c r="B84" s="140">
        <f t="shared" si="39"/>
        <v>80</v>
      </c>
      <c r="C84" s="144" t="s">
        <v>828</v>
      </c>
      <c r="D84" s="141" t="s">
        <v>777</v>
      </c>
      <c r="E84" s="142">
        <f t="shared" si="40"/>
        <v>179</v>
      </c>
      <c r="F84" s="142" t="str">
        <f t="shared" si="21"/>
        <v>BS179</v>
      </c>
      <c r="G84" s="143" t="str">
        <f t="shared" si="22"/>
        <v>100000BS179</v>
      </c>
      <c r="H84" s="143" t="str">
        <f t="shared" si="23"/>
        <v>100001BS179</v>
      </c>
      <c r="I84" s="143" t="str">
        <f t="shared" si="24"/>
        <v>100002BS179</v>
      </c>
      <c r="J84" s="143" t="str">
        <f t="shared" si="25"/>
        <v>100003BS179</v>
      </c>
      <c r="K84" s="143" t="str">
        <f t="shared" si="26"/>
        <v>100004BS179</v>
      </c>
      <c r="L84" s="143" t="str">
        <f t="shared" si="27"/>
        <v>100005BS179</v>
      </c>
      <c r="M84" s="143" t="str">
        <f t="shared" si="28"/>
        <v>100006BS179</v>
      </c>
      <c r="N84" s="143" t="str">
        <f t="shared" si="29"/>
        <v>100007BS179</v>
      </c>
      <c r="O84" s="143" t="str">
        <f t="shared" si="30"/>
        <v>100008BS179</v>
      </c>
      <c r="P84" s="143" t="str">
        <f t="shared" si="31"/>
        <v>100009BS179</v>
      </c>
      <c r="Q84" s="143" t="str">
        <f t="shared" si="32"/>
        <v>100010BS179</v>
      </c>
      <c r="R84" s="143" t="str">
        <f t="shared" si="33"/>
        <v>100011BS179</v>
      </c>
      <c r="S84" s="143" t="str">
        <f t="shared" si="34"/>
        <v>100012BS179</v>
      </c>
      <c r="T84" s="143" t="str">
        <f t="shared" si="35"/>
        <v>100013BS179</v>
      </c>
      <c r="U84" s="143" t="str">
        <f t="shared" si="36"/>
        <v>100014BS179</v>
      </c>
      <c r="V84" s="143" t="str">
        <f t="shared" si="37"/>
        <v>100015BS179</v>
      </c>
      <c r="W84" s="143" t="str">
        <f t="shared" si="38"/>
        <v>100016BS179</v>
      </c>
      <c r="X84" s="144" t="s">
        <v>828</v>
      </c>
    </row>
    <row r="85" spans="1:24">
      <c r="A85" s="161">
        <v>14</v>
      </c>
      <c r="B85" s="140">
        <f>B84+1</f>
        <v>81</v>
      </c>
      <c r="C85" s="144" t="s">
        <v>829</v>
      </c>
      <c r="D85" s="141" t="s">
        <v>777</v>
      </c>
      <c r="E85" s="142">
        <f>E84+1</f>
        <v>180</v>
      </c>
      <c r="F85" s="142" t="str">
        <f t="shared" si="21"/>
        <v>BS180</v>
      </c>
      <c r="G85" s="143" t="str">
        <f t="shared" si="22"/>
        <v>100000BS180</v>
      </c>
      <c r="H85" s="143" t="str">
        <f t="shared" si="23"/>
        <v>100001BS180</v>
      </c>
      <c r="I85" s="143" t="str">
        <f t="shared" si="24"/>
        <v>100002BS180</v>
      </c>
      <c r="J85" s="143" t="str">
        <f t="shared" si="25"/>
        <v>100003BS180</v>
      </c>
      <c r="K85" s="143" t="str">
        <f t="shared" si="26"/>
        <v>100004BS180</v>
      </c>
      <c r="L85" s="143" t="str">
        <f t="shared" si="27"/>
        <v>100005BS180</v>
      </c>
      <c r="M85" s="143" t="str">
        <f t="shared" si="28"/>
        <v>100006BS180</v>
      </c>
      <c r="N85" s="143" t="str">
        <f t="shared" si="29"/>
        <v>100007BS180</v>
      </c>
      <c r="O85" s="143" t="str">
        <f t="shared" si="30"/>
        <v>100008BS180</v>
      </c>
      <c r="P85" s="143" t="str">
        <f t="shared" si="31"/>
        <v>100009BS180</v>
      </c>
      <c r="Q85" s="143" t="str">
        <f t="shared" si="32"/>
        <v>100010BS180</v>
      </c>
      <c r="R85" s="143" t="str">
        <f t="shared" si="33"/>
        <v>100011BS180</v>
      </c>
      <c r="S85" s="143" t="str">
        <f t="shared" si="34"/>
        <v>100012BS180</v>
      </c>
      <c r="T85" s="143" t="str">
        <f t="shared" si="35"/>
        <v>100013BS180</v>
      </c>
      <c r="U85" s="143" t="str">
        <f t="shared" si="36"/>
        <v>100014BS180</v>
      </c>
      <c r="V85" s="143" t="str">
        <f t="shared" si="37"/>
        <v>100015BS180</v>
      </c>
      <c r="W85" s="143" t="str">
        <f t="shared" si="38"/>
        <v>100016BS180</v>
      </c>
      <c r="X85" s="144" t="s">
        <v>829</v>
      </c>
    </row>
    <row r="86" spans="1:24">
      <c r="A86" s="161">
        <v>14</v>
      </c>
      <c r="B86" s="140">
        <f t="shared" si="39"/>
        <v>82</v>
      </c>
      <c r="C86" s="144" t="s">
        <v>830</v>
      </c>
      <c r="D86" s="141" t="s">
        <v>777</v>
      </c>
      <c r="E86" s="142">
        <f t="shared" si="40"/>
        <v>181</v>
      </c>
      <c r="F86" s="142" t="str">
        <f t="shared" si="21"/>
        <v>BS181</v>
      </c>
      <c r="G86" s="143" t="str">
        <f t="shared" si="22"/>
        <v>100000BS181</v>
      </c>
      <c r="H86" s="143" t="str">
        <f t="shared" si="23"/>
        <v>100001BS181</v>
      </c>
      <c r="I86" s="143" t="str">
        <f t="shared" si="24"/>
        <v>100002BS181</v>
      </c>
      <c r="J86" s="143" t="str">
        <f t="shared" si="25"/>
        <v>100003BS181</v>
      </c>
      <c r="K86" s="143" t="str">
        <f t="shared" si="26"/>
        <v>100004BS181</v>
      </c>
      <c r="L86" s="143" t="str">
        <f t="shared" si="27"/>
        <v>100005BS181</v>
      </c>
      <c r="M86" s="143" t="str">
        <f t="shared" si="28"/>
        <v>100006BS181</v>
      </c>
      <c r="N86" s="143" t="str">
        <f t="shared" si="29"/>
        <v>100007BS181</v>
      </c>
      <c r="O86" s="143" t="str">
        <f t="shared" si="30"/>
        <v>100008BS181</v>
      </c>
      <c r="P86" s="143" t="str">
        <f t="shared" si="31"/>
        <v>100009BS181</v>
      </c>
      <c r="Q86" s="143" t="str">
        <f t="shared" si="32"/>
        <v>100010BS181</v>
      </c>
      <c r="R86" s="143" t="str">
        <f t="shared" si="33"/>
        <v>100011BS181</v>
      </c>
      <c r="S86" s="143" t="str">
        <f t="shared" si="34"/>
        <v>100012BS181</v>
      </c>
      <c r="T86" s="143" t="str">
        <f t="shared" si="35"/>
        <v>100013BS181</v>
      </c>
      <c r="U86" s="143" t="str">
        <f t="shared" si="36"/>
        <v>100014BS181</v>
      </c>
      <c r="V86" s="143" t="str">
        <f t="shared" si="37"/>
        <v>100015BS181</v>
      </c>
      <c r="W86" s="143" t="str">
        <f t="shared" si="38"/>
        <v>100016BS181</v>
      </c>
      <c r="X86" s="144" t="s">
        <v>830</v>
      </c>
    </row>
    <row r="87" spans="1:24">
      <c r="A87" s="161">
        <v>14</v>
      </c>
      <c r="B87" s="140">
        <f t="shared" si="39"/>
        <v>83</v>
      </c>
      <c r="C87" s="144" t="s">
        <v>831</v>
      </c>
      <c r="D87" s="141" t="s">
        <v>777</v>
      </c>
      <c r="E87" s="142">
        <f t="shared" si="40"/>
        <v>182</v>
      </c>
      <c r="F87" s="142" t="str">
        <f t="shared" si="21"/>
        <v>BS182</v>
      </c>
      <c r="G87" s="143" t="str">
        <f t="shared" si="22"/>
        <v>100000BS182</v>
      </c>
      <c r="H87" s="143" t="str">
        <f t="shared" si="23"/>
        <v>100001BS182</v>
      </c>
      <c r="I87" s="143" t="str">
        <f t="shared" si="24"/>
        <v>100002BS182</v>
      </c>
      <c r="J87" s="143" t="str">
        <f t="shared" si="25"/>
        <v>100003BS182</v>
      </c>
      <c r="K87" s="143" t="str">
        <f t="shared" si="26"/>
        <v>100004BS182</v>
      </c>
      <c r="L87" s="143" t="str">
        <f t="shared" si="27"/>
        <v>100005BS182</v>
      </c>
      <c r="M87" s="143" t="str">
        <f t="shared" si="28"/>
        <v>100006BS182</v>
      </c>
      <c r="N87" s="143" t="str">
        <f t="shared" si="29"/>
        <v>100007BS182</v>
      </c>
      <c r="O87" s="143" t="str">
        <f t="shared" si="30"/>
        <v>100008BS182</v>
      </c>
      <c r="P87" s="143" t="str">
        <f t="shared" si="31"/>
        <v>100009BS182</v>
      </c>
      <c r="Q87" s="143" t="str">
        <f t="shared" si="32"/>
        <v>100010BS182</v>
      </c>
      <c r="R87" s="143" t="str">
        <f t="shared" si="33"/>
        <v>100011BS182</v>
      </c>
      <c r="S87" s="143" t="str">
        <f t="shared" si="34"/>
        <v>100012BS182</v>
      </c>
      <c r="T87" s="143" t="str">
        <f t="shared" si="35"/>
        <v>100013BS182</v>
      </c>
      <c r="U87" s="143" t="str">
        <f t="shared" si="36"/>
        <v>100014BS182</v>
      </c>
      <c r="V87" s="143" t="str">
        <f t="shared" si="37"/>
        <v>100015BS182</v>
      </c>
      <c r="W87" s="143" t="str">
        <f t="shared" si="38"/>
        <v>100016BS182</v>
      </c>
      <c r="X87" s="144" t="s">
        <v>831</v>
      </c>
    </row>
    <row r="88" spans="1:24">
      <c r="A88" s="161">
        <v>14</v>
      </c>
      <c r="B88" s="140">
        <f t="shared" si="39"/>
        <v>84</v>
      </c>
      <c r="C88" s="144" t="s">
        <v>832</v>
      </c>
      <c r="D88" s="141" t="s">
        <v>777</v>
      </c>
      <c r="E88" s="142">
        <f t="shared" si="40"/>
        <v>183</v>
      </c>
      <c r="F88" s="142" t="str">
        <f t="shared" si="21"/>
        <v>BS183</v>
      </c>
      <c r="G88" s="143" t="str">
        <f t="shared" si="22"/>
        <v>100000BS183</v>
      </c>
      <c r="H88" s="143" t="str">
        <f t="shared" si="23"/>
        <v>100001BS183</v>
      </c>
      <c r="I88" s="143" t="str">
        <f t="shared" si="24"/>
        <v>100002BS183</v>
      </c>
      <c r="J88" s="143" t="str">
        <f t="shared" si="25"/>
        <v>100003BS183</v>
      </c>
      <c r="K88" s="143" t="str">
        <f t="shared" si="26"/>
        <v>100004BS183</v>
      </c>
      <c r="L88" s="143" t="str">
        <f t="shared" si="27"/>
        <v>100005BS183</v>
      </c>
      <c r="M88" s="143" t="str">
        <f t="shared" si="28"/>
        <v>100006BS183</v>
      </c>
      <c r="N88" s="143" t="str">
        <f t="shared" si="29"/>
        <v>100007BS183</v>
      </c>
      <c r="O88" s="143" t="str">
        <f t="shared" si="30"/>
        <v>100008BS183</v>
      </c>
      <c r="P88" s="143" t="str">
        <f t="shared" si="31"/>
        <v>100009BS183</v>
      </c>
      <c r="Q88" s="143" t="str">
        <f t="shared" si="32"/>
        <v>100010BS183</v>
      </c>
      <c r="R88" s="143" t="str">
        <f t="shared" si="33"/>
        <v>100011BS183</v>
      </c>
      <c r="S88" s="143" t="str">
        <f t="shared" si="34"/>
        <v>100012BS183</v>
      </c>
      <c r="T88" s="143" t="str">
        <f t="shared" si="35"/>
        <v>100013BS183</v>
      </c>
      <c r="U88" s="143" t="str">
        <f t="shared" si="36"/>
        <v>100014BS183</v>
      </c>
      <c r="V88" s="143" t="str">
        <f t="shared" si="37"/>
        <v>100015BS183</v>
      </c>
      <c r="W88" s="143" t="str">
        <f t="shared" si="38"/>
        <v>100016BS183</v>
      </c>
      <c r="X88" s="144" t="s">
        <v>832</v>
      </c>
    </row>
    <row r="89" spans="1:24">
      <c r="A89" s="161">
        <v>14</v>
      </c>
      <c r="B89" s="140">
        <f t="shared" si="39"/>
        <v>85</v>
      </c>
      <c r="C89" s="144" t="s">
        <v>833</v>
      </c>
      <c r="D89" s="141" t="s">
        <v>777</v>
      </c>
      <c r="E89" s="142">
        <f t="shared" si="40"/>
        <v>184</v>
      </c>
      <c r="F89" s="142" t="str">
        <f t="shared" si="21"/>
        <v>BS184</v>
      </c>
      <c r="G89" s="143" t="str">
        <f t="shared" si="22"/>
        <v>100000BS184</v>
      </c>
      <c r="H89" s="143" t="str">
        <f t="shared" si="23"/>
        <v>100001BS184</v>
      </c>
      <c r="I89" s="143" t="str">
        <f t="shared" si="24"/>
        <v>100002BS184</v>
      </c>
      <c r="J89" s="143" t="str">
        <f t="shared" si="25"/>
        <v>100003BS184</v>
      </c>
      <c r="K89" s="143" t="str">
        <f t="shared" si="26"/>
        <v>100004BS184</v>
      </c>
      <c r="L89" s="143" t="str">
        <f t="shared" si="27"/>
        <v>100005BS184</v>
      </c>
      <c r="M89" s="143" t="str">
        <f t="shared" si="28"/>
        <v>100006BS184</v>
      </c>
      <c r="N89" s="143" t="str">
        <f t="shared" si="29"/>
        <v>100007BS184</v>
      </c>
      <c r="O89" s="143" t="str">
        <f t="shared" si="30"/>
        <v>100008BS184</v>
      </c>
      <c r="P89" s="143" t="str">
        <f t="shared" si="31"/>
        <v>100009BS184</v>
      </c>
      <c r="Q89" s="143" t="str">
        <f t="shared" si="32"/>
        <v>100010BS184</v>
      </c>
      <c r="R89" s="143" t="str">
        <f t="shared" si="33"/>
        <v>100011BS184</v>
      </c>
      <c r="S89" s="143" t="str">
        <f t="shared" si="34"/>
        <v>100012BS184</v>
      </c>
      <c r="T89" s="143" t="str">
        <f t="shared" si="35"/>
        <v>100013BS184</v>
      </c>
      <c r="U89" s="143" t="str">
        <f t="shared" si="36"/>
        <v>100014BS184</v>
      </c>
      <c r="V89" s="143" t="str">
        <f t="shared" si="37"/>
        <v>100015BS184</v>
      </c>
      <c r="W89" s="143" t="str">
        <f t="shared" si="38"/>
        <v>100016BS184</v>
      </c>
      <c r="X89" s="144" t="s">
        <v>833</v>
      </c>
    </row>
    <row r="90" spans="1:24">
      <c r="A90" s="161">
        <v>14</v>
      </c>
      <c r="B90" s="140">
        <f t="shared" si="39"/>
        <v>86</v>
      </c>
      <c r="C90" s="144" t="s">
        <v>834</v>
      </c>
      <c r="D90" s="141" t="s">
        <v>777</v>
      </c>
      <c r="E90" s="142">
        <f t="shared" si="40"/>
        <v>185</v>
      </c>
      <c r="F90" s="142" t="str">
        <f t="shared" si="21"/>
        <v>BS185</v>
      </c>
      <c r="G90" s="143" t="str">
        <f t="shared" si="22"/>
        <v>100000BS185</v>
      </c>
      <c r="H90" s="143" t="str">
        <f t="shared" si="23"/>
        <v>100001BS185</v>
      </c>
      <c r="I90" s="143" t="str">
        <f t="shared" si="24"/>
        <v>100002BS185</v>
      </c>
      <c r="J90" s="143" t="str">
        <f t="shared" si="25"/>
        <v>100003BS185</v>
      </c>
      <c r="K90" s="143" t="str">
        <f t="shared" si="26"/>
        <v>100004BS185</v>
      </c>
      <c r="L90" s="143" t="str">
        <f t="shared" si="27"/>
        <v>100005BS185</v>
      </c>
      <c r="M90" s="143" t="str">
        <f t="shared" si="28"/>
        <v>100006BS185</v>
      </c>
      <c r="N90" s="143" t="str">
        <f t="shared" si="29"/>
        <v>100007BS185</v>
      </c>
      <c r="O90" s="143" t="str">
        <f t="shared" si="30"/>
        <v>100008BS185</v>
      </c>
      <c r="P90" s="143" t="str">
        <f t="shared" si="31"/>
        <v>100009BS185</v>
      </c>
      <c r="Q90" s="143" t="str">
        <f t="shared" si="32"/>
        <v>100010BS185</v>
      </c>
      <c r="R90" s="143" t="str">
        <f t="shared" si="33"/>
        <v>100011BS185</v>
      </c>
      <c r="S90" s="143" t="str">
        <f t="shared" si="34"/>
        <v>100012BS185</v>
      </c>
      <c r="T90" s="143" t="str">
        <f t="shared" si="35"/>
        <v>100013BS185</v>
      </c>
      <c r="U90" s="143" t="str">
        <f t="shared" si="36"/>
        <v>100014BS185</v>
      </c>
      <c r="V90" s="143" t="str">
        <f t="shared" si="37"/>
        <v>100015BS185</v>
      </c>
      <c r="W90" s="143" t="str">
        <f t="shared" si="38"/>
        <v>100016BS185</v>
      </c>
      <c r="X90" s="144" t="s">
        <v>834</v>
      </c>
    </row>
    <row r="91" spans="1:24">
      <c r="A91" s="161">
        <v>14</v>
      </c>
      <c r="B91" s="140">
        <f t="shared" si="39"/>
        <v>87</v>
      </c>
      <c r="C91" s="144" t="s">
        <v>835</v>
      </c>
      <c r="D91" s="141" t="s">
        <v>777</v>
      </c>
      <c r="E91" s="142">
        <f t="shared" si="40"/>
        <v>186</v>
      </c>
      <c r="F91" s="142" t="str">
        <f t="shared" si="21"/>
        <v>BS186</v>
      </c>
      <c r="G91" s="143" t="str">
        <f t="shared" si="22"/>
        <v>100000BS186</v>
      </c>
      <c r="H91" s="143" t="str">
        <f t="shared" si="23"/>
        <v>100001BS186</v>
      </c>
      <c r="I91" s="143" t="str">
        <f t="shared" si="24"/>
        <v>100002BS186</v>
      </c>
      <c r="J91" s="143" t="str">
        <f t="shared" si="25"/>
        <v>100003BS186</v>
      </c>
      <c r="K91" s="143" t="str">
        <f t="shared" si="26"/>
        <v>100004BS186</v>
      </c>
      <c r="L91" s="143" t="str">
        <f t="shared" si="27"/>
        <v>100005BS186</v>
      </c>
      <c r="M91" s="143" t="str">
        <f t="shared" si="28"/>
        <v>100006BS186</v>
      </c>
      <c r="N91" s="143" t="str">
        <f t="shared" si="29"/>
        <v>100007BS186</v>
      </c>
      <c r="O91" s="143" t="str">
        <f t="shared" si="30"/>
        <v>100008BS186</v>
      </c>
      <c r="P91" s="143" t="str">
        <f t="shared" si="31"/>
        <v>100009BS186</v>
      </c>
      <c r="Q91" s="143" t="str">
        <f t="shared" si="32"/>
        <v>100010BS186</v>
      </c>
      <c r="R91" s="143" t="str">
        <f t="shared" si="33"/>
        <v>100011BS186</v>
      </c>
      <c r="S91" s="143" t="str">
        <f t="shared" si="34"/>
        <v>100012BS186</v>
      </c>
      <c r="T91" s="143" t="str">
        <f t="shared" si="35"/>
        <v>100013BS186</v>
      </c>
      <c r="U91" s="143" t="str">
        <f t="shared" si="36"/>
        <v>100014BS186</v>
      </c>
      <c r="V91" s="143" t="str">
        <f t="shared" si="37"/>
        <v>100015BS186</v>
      </c>
      <c r="W91" s="143" t="str">
        <f t="shared" si="38"/>
        <v>100016BS186</v>
      </c>
      <c r="X91" s="144" t="s">
        <v>835</v>
      </c>
    </row>
    <row r="92" spans="1:24">
      <c r="A92" s="161">
        <v>15</v>
      </c>
      <c r="B92" s="140">
        <f t="shared" si="39"/>
        <v>88</v>
      </c>
      <c r="C92" s="144" t="s">
        <v>161</v>
      </c>
      <c r="D92" s="141" t="s">
        <v>777</v>
      </c>
      <c r="E92" s="142">
        <f t="shared" si="40"/>
        <v>187</v>
      </c>
      <c r="F92" s="142" t="str">
        <f t="shared" si="21"/>
        <v>BS187</v>
      </c>
      <c r="G92" s="143" t="str">
        <f t="shared" si="22"/>
        <v>100000BS187</v>
      </c>
      <c r="H92" s="143" t="str">
        <f t="shared" si="23"/>
        <v>100001BS187</v>
      </c>
      <c r="I92" s="143" t="str">
        <f t="shared" si="24"/>
        <v>100002BS187</v>
      </c>
      <c r="J92" s="143" t="str">
        <f t="shared" si="25"/>
        <v>100003BS187</v>
      </c>
      <c r="K92" s="143" t="str">
        <f t="shared" si="26"/>
        <v>100004BS187</v>
      </c>
      <c r="L92" s="143" t="str">
        <f t="shared" si="27"/>
        <v>100005BS187</v>
      </c>
      <c r="M92" s="143" t="str">
        <f t="shared" si="28"/>
        <v>100006BS187</v>
      </c>
      <c r="N92" s="143" t="str">
        <f t="shared" si="29"/>
        <v>100007BS187</v>
      </c>
      <c r="O92" s="143" t="str">
        <f t="shared" si="30"/>
        <v>100008BS187</v>
      </c>
      <c r="P92" s="143" t="str">
        <f t="shared" si="31"/>
        <v>100009BS187</v>
      </c>
      <c r="Q92" s="143" t="str">
        <f t="shared" si="32"/>
        <v>100010BS187</v>
      </c>
      <c r="R92" s="143" t="str">
        <f t="shared" si="33"/>
        <v>100011BS187</v>
      </c>
      <c r="S92" s="143" t="str">
        <f t="shared" si="34"/>
        <v>100012BS187</v>
      </c>
      <c r="T92" s="143" t="str">
        <f t="shared" si="35"/>
        <v>100013BS187</v>
      </c>
      <c r="U92" s="143" t="str">
        <f t="shared" si="36"/>
        <v>100014BS187</v>
      </c>
      <c r="V92" s="143" t="str">
        <f t="shared" si="37"/>
        <v>100015BS187</v>
      </c>
      <c r="W92" s="143" t="str">
        <f t="shared" si="38"/>
        <v>100016BS187</v>
      </c>
      <c r="X92" s="144" t="s">
        <v>161</v>
      </c>
    </row>
    <row r="93" spans="1:24">
      <c r="A93" s="161">
        <v>15</v>
      </c>
      <c r="B93" s="140">
        <f t="shared" si="39"/>
        <v>89</v>
      </c>
      <c r="C93" s="144" t="s">
        <v>162</v>
      </c>
      <c r="D93" s="141" t="s">
        <v>777</v>
      </c>
      <c r="E93" s="142">
        <f t="shared" si="40"/>
        <v>188</v>
      </c>
      <c r="F93" s="142" t="str">
        <f t="shared" si="21"/>
        <v>BS188</v>
      </c>
      <c r="G93" s="143" t="str">
        <f t="shared" si="22"/>
        <v>100000BS188</v>
      </c>
      <c r="H93" s="143" t="str">
        <f t="shared" si="23"/>
        <v>100001BS188</v>
      </c>
      <c r="I93" s="143" t="str">
        <f t="shared" si="24"/>
        <v>100002BS188</v>
      </c>
      <c r="J93" s="143" t="str">
        <f t="shared" si="25"/>
        <v>100003BS188</v>
      </c>
      <c r="K93" s="143" t="str">
        <f t="shared" si="26"/>
        <v>100004BS188</v>
      </c>
      <c r="L93" s="143" t="str">
        <f t="shared" si="27"/>
        <v>100005BS188</v>
      </c>
      <c r="M93" s="143" t="str">
        <f t="shared" si="28"/>
        <v>100006BS188</v>
      </c>
      <c r="N93" s="143" t="str">
        <f t="shared" si="29"/>
        <v>100007BS188</v>
      </c>
      <c r="O93" s="143" t="str">
        <f t="shared" si="30"/>
        <v>100008BS188</v>
      </c>
      <c r="P93" s="143" t="str">
        <f t="shared" si="31"/>
        <v>100009BS188</v>
      </c>
      <c r="Q93" s="143" t="str">
        <f t="shared" si="32"/>
        <v>100010BS188</v>
      </c>
      <c r="R93" s="143" t="str">
        <f t="shared" si="33"/>
        <v>100011BS188</v>
      </c>
      <c r="S93" s="143" t="str">
        <f t="shared" si="34"/>
        <v>100012BS188</v>
      </c>
      <c r="T93" s="143" t="str">
        <f t="shared" si="35"/>
        <v>100013BS188</v>
      </c>
      <c r="U93" s="143" t="str">
        <f t="shared" si="36"/>
        <v>100014BS188</v>
      </c>
      <c r="V93" s="143" t="str">
        <f t="shared" si="37"/>
        <v>100015BS188</v>
      </c>
      <c r="W93" s="143" t="str">
        <f t="shared" si="38"/>
        <v>100016BS188</v>
      </c>
      <c r="X93" s="144" t="s">
        <v>162</v>
      </c>
    </row>
    <row r="94" spans="1:24">
      <c r="A94" s="161">
        <v>16</v>
      </c>
      <c r="B94" s="140">
        <f t="shared" si="39"/>
        <v>90</v>
      </c>
      <c r="C94" s="144" t="s">
        <v>836</v>
      </c>
      <c r="D94" s="141" t="s">
        <v>777</v>
      </c>
      <c r="E94" s="142">
        <f t="shared" si="40"/>
        <v>189</v>
      </c>
      <c r="F94" s="142" t="str">
        <f t="shared" si="21"/>
        <v>BS189</v>
      </c>
      <c r="G94" s="143" t="str">
        <f t="shared" si="22"/>
        <v>100000BS189</v>
      </c>
      <c r="H94" s="143" t="str">
        <f t="shared" si="23"/>
        <v>100001BS189</v>
      </c>
      <c r="I94" s="143" t="str">
        <f t="shared" si="24"/>
        <v>100002BS189</v>
      </c>
      <c r="J94" s="143" t="str">
        <f t="shared" si="25"/>
        <v>100003BS189</v>
      </c>
      <c r="K94" s="143" t="str">
        <f t="shared" si="26"/>
        <v>100004BS189</v>
      </c>
      <c r="L94" s="143" t="str">
        <f t="shared" si="27"/>
        <v>100005BS189</v>
      </c>
      <c r="M94" s="143" t="str">
        <f t="shared" si="28"/>
        <v>100006BS189</v>
      </c>
      <c r="N94" s="143" t="str">
        <f t="shared" si="29"/>
        <v>100007BS189</v>
      </c>
      <c r="O94" s="143" t="str">
        <f t="shared" si="30"/>
        <v>100008BS189</v>
      </c>
      <c r="P94" s="143" t="str">
        <f t="shared" si="31"/>
        <v>100009BS189</v>
      </c>
      <c r="Q94" s="143" t="str">
        <f t="shared" si="32"/>
        <v>100010BS189</v>
      </c>
      <c r="R94" s="143" t="str">
        <f t="shared" si="33"/>
        <v>100011BS189</v>
      </c>
      <c r="S94" s="143" t="str">
        <f t="shared" si="34"/>
        <v>100012BS189</v>
      </c>
      <c r="T94" s="143" t="str">
        <f t="shared" si="35"/>
        <v>100013BS189</v>
      </c>
      <c r="U94" s="143" t="str">
        <f t="shared" si="36"/>
        <v>100014BS189</v>
      </c>
      <c r="V94" s="143" t="str">
        <f t="shared" si="37"/>
        <v>100015BS189</v>
      </c>
      <c r="W94" s="143" t="str">
        <f t="shared" si="38"/>
        <v>100016BS189</v>
      </c>
      <c r="X94" s="144" t="s">
        <v>836</v>
      </c>
    </row>
    <row r="95" spans="1:24">
      <c r="A95" s="161">
        <v>16</v>
      </c>
      <c r="B95" s="140">
        <f t="shared" si="39"/>
        <v>91</v>
      </c>
      <c r="C95" s="144" t="s">
        <v>837</v>
      </c>
      <c r="D95" s="141" t="s">
        <v>777</v>
      </c>
      <c r="E95" s="142">
        <f t="shared" si="40"/>
        <v>190</v>
      </c>
      <c r="F95" s="142" t="str">
        <f t="shared" si="21"/>
        <v>BS190</v>
      </c>
      <c r="G95" s="143" t="str">
        <f t="shared" si="22"/>
        <v>100000BS190</v>
      </c>
      <c r="H95" s="143" t="str">
        <f t="shared" si="23"/>
        <v>100001BS190</v>
      </c>
      <c r="I95" s="143" t="str">
        <f t="shared" si="24"/>
        <v>100002BS190</v>
      </c>
      <c r="J95" s="143" t="str">
        <f t="shared" si="25"/>
        <v>100003BS190</v>
      </c>
      <c r="K95" s="143" t="str">
        <f t="shared" si="26"/>
        <v>100004BS190</v>
      </c>
      <c r="L95" s="143" t="str">
        <f t="shared" si="27"/>
        <v>100005BS190</v>
      </c>
      <c r="M95" s="143" t="str">
        <f t="shared" si="28"/>
        <v>100006BS190</v>
      </c>
      <c r="N95" s="143" t="str">
        <f t="shared" si="29"/>
        <v>100007BS190</v>
      </c>
      <c r="O95" s="143" t="str">
        <f t="shared" si="30"/>
        <v>100008BS190</v>
      </c>
      <c r="P95" s="143" t="str">
        <f t="shared" si="31"/>
        <v>100009BS190</v>
      </c>
      <c r="Q95" s="143" t="str">
        <f t="shared" si="32"/>
        <v>100010BS190</v>
      </c>
      <c r="R95" s="143" t="str">
        <f t="shared" si="33"/>
        <v>100011BS190</v>
      </c>
      <c r="S95" s="143" t="str">
        <f t="shared" si="34"/>
        <v>100012BS190</v>
      </c>
      <c r="T95" s="143" t="str">
        <f t="shared" si="35"/>
        <v>100013BS190</v>
      </c>
      <c r="U95" s="143" t="str">
        <f t="shared" si="36"/>
        <v>100014BS190</v>
      </c>
      <c r="V95" s="143" t="str">
        <f t="shared" si="37"/>
        <v>100015BS190</v>
      </c>
      <c r="W95" s="143" t="str">
        <f t="shared" si="38"/>
        <v>100016BS190</v>
      </c>
      <c r="X95" s="144" t="s">
        <v>837</v>
      </c>
    </row>
    <row r="96" spans="1:24">
      <c r="A96" s="161">
        <v>16</v>
      </c>
      <c r="B96" s="140">
        <f t="shared" si="39"/>
        <v>92</v>
      </c>
      <c r="C96" s="144" t="s">
        <v>838</v>
      </c>
      <c r="D96" s="141" t="s">
        <v>777</v>
      </c>
      <c r="E96" s="142">
        <f t="shared" si="40"/>
        <v>191</v>
      </c>
      <c r="F96" s="142" t="str">
        <f t="shared" si="21"/>
        <v>BS191</v>
      </c>
      <c r="G96" s="143" t="str">
        <f t="shared" si="22"/>
        <v>100000BS191</v>
      </c>
      <c r="H96" s="143" t="str">
        <f t="shared" si="23"/>
        <v>100001BS191</v>
      </c>
      <c r="I96" s="143" t="str">
        <f t="shared" si="24"/>
        <v>100002BS191</v>
      </c>
      <c r="J96" s="143" t="str">
        <f t="shared" si="25"/>
        <v>100003BS191</v>
      </c>
      <c r="K96" s="143" t="str">
        <f t="shared" si="26"/>
        <v>100004BS191</v>
      </c>
      <c r="L96" s="143" t="str">
        <f t="shared" si="27"/>
        <v>100005BS191</v>
      </c>
      <c r="M96" s="143" t="str">
        <f t="shared" si="28"/>
        <v>100006BS191</v>
      </c>
      <c r="N96" s="143" t="str">
        <f t="shared" si="29"/>
        <v>100007BS191</v>
      </c>
      <c r="O96" s="143" t="str">
        <f t="shared" si="30"/>
        <v>100008BS191</v>
      </c>
      <c r="P96" s="143" t="str">
        <f t="shared" si="31"/>
        <v>100009BS191</v>
      </c>
      <c r="Q96" s="143" t="str">
        <f t="shared" si="32"/>
        <v>100010BS191</v>
      </c>
      <c r="R96" s="143" t="str">
        <f t="shared" si="33"/>
        <v>100011BS191</v>
      </c>
      <c r="S96" s="143" t="str">
        <f t="shared" si="34"/>
        <v>100012BS191</v>
      </c>
      <c r="T96" s="143" t="str">
        <f t="shared" si="35"/>
        <v>100013BS191</v>
      </c>
      <c r="U96" s="143" t="str">
        <f t="shared" si="36"/>
        <v>100014BS191</v>
      </c>
      <c r="V96" s="143" t="str">
        <f t="shared" si="37"/>
        <v>100015BS191</v>
      </c>
      <c r="W96" s="143" t="str">
        <f t="shared" si="38"/>
        <v>100016BS191</v>
      </c>
      <c r="X96" s="144" t="s">
        <v>838</v>
      </c>
    </row>
    <row r="97" spans="1:24">
      <c r="A97" s="161">
        <v>16</v>
      </c>
      <c r="B97" s="140">
        <f t="shared" si="39"/>
        <v>93</v>
      </c>
      <c r="C97" s="144" t="s">
        <v>839</v>
      </c>
      <c r="D97" s="141" t="s">
        <v>777</v>
      </c>
      <c r="E97" s="142">
        <f t="shared" si="40"/>
        <v>192</v>
      </c>
      <c r="F97" s="142" t="str">
        <f t="shared" si="21"/>
        <v>BS192</v>
      </c>
      <c r="G97" s="143" t="str">
        <f t="shared" si="22"/>
        <v>100000BS192</v>
      </c>
      <c r="H97" s="143" t="str">
        <f t="shared" si="23"/>
        <v>100001BS192</v>
      </c>
      <c r="I97" s="143" t="str">
        <f t="shared" si="24"/>
        <v>100002BS192</v>
      </c>
      <c r="J97" s="143" t="str">
        <f t="shared" si="25"/>
        <v>100003BS192</v>
      </c>
      <c r="K97" s="143" t="str">
        <f t="shared" si="26"/>
        <v>100004BS192</v>
      </c>
      <c r="L97" s="143" t="str">
        <f t="shared" si="27"/>
        <v>100005BS192</v>
      </c>
      <c r="M97" s="143" t="str">
        <f t="shared" si="28"/>
        <v>100006BS192</v>
      </c>
      <c r="N97" s="143" t="str">
        <f t="shared" si="29"/>
        <v>100007BS192</v>
      </c>
      <c r="O97" s="143" t="str">
        <f t="shared" si="30"/>
        <v>100008BS192</v>
      </c>
      <c r="P97" s="143" t="str">
        <f t="shared" si="31"/>
        <v>100009BS192</v>
      </c>
      <c r="Q97" s="143" t="str">
        <f t="shared" si="32"/>
        <v>100010BS192</v>
      </c>
      <c r="R97" s="143" t="str">
        <f t="shared" si="33"/>
        <v>100011BS192</v>
      </c>
      <c r="S97" s="143" t="str">
        <f t="shared" si="34"/>
        <v>100012BS192</v>
      </c>
      <c r="T97" s="143" t="str">
        <f t="shared" si="35"/>
        <v>100013BS192</v>
      </c>
      <c r="U97" s="143" t="str">
        <f t="shared" si="36"/>
        <v>100014BS192</v>
      </c>
      <c r="V97" s="143" t="str">
        <f t="shared" si="37"/>
        <v>100015BS192</v>
      </c>
      <c r="W97" s="143" t="str">
        <f t="shared" si="38"/>
        <v>100016BS192</v>
      </c>
      <c r="X97" s="144" t="s">
        <v>839</v>
      </c>
    </row>
    <row r="98" spans="1:24">
      <c r="A98" s="161">
        <v>16</v>
      </c>
      <c r="B98" s="140">
        <f t="shared" si="39"/>
        <v>94</v>
      </c>
      <c r="C98" s="144" t="s">
        <v>840</v>
      </c>
      <c r="D98" s="141" t="s">
        <v>777</v>
      </c>
      <c r="E98" s="142">
        <f t="shared" si="40"/>
        <v>193</v>
      </c>
      <c r="F98" s="142" t="str">
        <f t="shared" si="21"/>
        <v>BS193</v>
      </c>
      <c r="G98" s="143" t="str">
        <f t="shared" si="22"/>
        <v>100000BS193</v>
      </c>
      <c r="H98" s="143" t="str">
        <f t="shared" si="23"/>
        <v>100001BS193</v>
      </c>
      <c r="I98" s="143" t="str">
        <f t="shared" si="24"/>
        <v>100002BS193</v>
      </c>
      <c r="J98" s="143" t="str">
        <f t="shared" si="25"/>
        <v>100003BS193</v>
      </c>
      <c r="K98" s="143" t="str">
        <f t="shared" si="26"/>
        <v>100004BS193</v>
      </c>
      <c r="L98" s="143" t="str">
        <f t="shared" si="27"/>
        <v>100005BS193</v>
      </c>
      <c r="M98" s="143" t="str">
        <f t="shared" si="28"/>
        <v>100006BS193</v>
      </c>
      <c r="N98" s="143" t="str">
        <f t="shared" si="29"/>
        <v>100007BS193</v>
      </c>
      <c r="O98" s="143" t="str">
        <f t="shared" si="30"/>
        <v>100008BS193</v>
      </c>
      <c r="P98" s="143" t="str">
        <f t="shared" si="31"/>
        <v>100009BS193</v>
      </c>
      <c r="Q98" s="143" t="str">
        <f t="shared" si="32"/>
        <v>100010BS193</v>
      </c>
      <c r="R98" s="143" t="str">
        <f t="shared" si="33"/>
        <v>100011BS193</v>
      </c>
      <c r="S98" s="143" t="str">
        <f t="shared" si="34"/>
        <v>100012BS193</v>
      </c>
      <c r="T98" s="143" t="str">
        <f t="shared" si="35"/>
        <v>100013BS193</v>
      </c>
      <c r="U98" s="143" t="str">
        <f t="shared" si="36"/>
        <v>100014BS193</v>
      </c>
      <c r="V98" s="143" t="str">
        <f t="shared" si="37"/>
        <v>100015BS193</v>
      </c>
      <c r="W98" s="143" t="str">
        <f t="shared" si="38"/>
        <v>100016BS193</v>
      </c>
      <c r="X98" s="144" t="s">
        <v>840</v>
      </c>
    </row>
    <row r="99" spans="1:24">
      <c r="A99" s="161">
        <v>16</v>
      </c>
      <c r="B99" s="140">
        <f t="shared" si="39"/>
        <v>95</v>
      </c>
      <c r="C99" s="144" t="s">
        <v>841</v>
      </c>
      <c r="D99" s="141" t="s">
        <v>777</v>
      </c>
      <c r="E99" s="142">
        <f t="shared" si="40"/>
        <v>194</v>
      </c>
      <c r="F99" s="142" t="str">
        <f t="shared" si="21"/>
        <v>BS194</v>
      </c>
      <c r="G99" s="143" t="str">
        <f t="shared" si="22"/>
        <v>100000BS194</v>
      </c>
      <c r="H99" s="143" t="str">
        <f t="shared" si="23"/>
        <v>100001BS194</v>
      </c>
      <c r="I99" s="143" t="str">
        <f t="shared" si="24"/>
        <v>100002BS194</v>
      </c>
      <c r="J99" s="143" t="str">
        <f t="shared" si="25"/>
        <v>100003BS194</v>
      </c>
      <c r="K99" s="143" t="str">
        <f t="shared" si="26"/>
        <v>100004BS194</v>
      </c>
      <c r="L99" s="143" t="str">
        <f t="shared" si="27"/>
        <v>100005BS194</v>
      </c>
      <c r="M99" s="143" t="str">
        <f t="shared" si="28"/>
        <v>100006BS194</v>
      </c>
      <c r="N99" s="143" t="str">
        <f t="shared" si="29"/>
        <v>100007BS194</v>
      </c>
      <c r="O99" s="143" t="str">
        <f t="shared" si="30"/>
        <v>100008BS194</v>
      </c>
      <c r="P99" s="143" t="str">
        <f t="shared" si="31"/>
        <v>100009BS194</v>
      </c>
      <c r="Q99" s="143" t="str">
        <f t="shared" si="32"/>
        <v>100010BS194</v>
      </c>
      <c r="R99" s="143" t="str">
        <f t="shared" si="33"/>
        <v>100011BS194</v>
      </c>
      <c r="S99" s="143" t="str">
        <f t="shared" si="34"/>
        <v>100012BS194</v>
      </c>
      <c r="T99" s="143" t="str">
        <f t="shared" si="35"/>
        <v>100013BS194</v>
      </c>
      <c r="U99" s="143" t="str">
        <f t="shared" si="36"/>
        <v>100014BS194</v>
      </c>
      <c r="V99" s="143" t="str">
        <f t="shared" si="37"/>
        <v>100015BS194</v>
      </c>
      <c r="W99" s="143" t="str">
        <f t="shared" si="38"/>
        <v>100016BS194</v>
      </c>
      <c r="X99" s="144" t="s">
        <v>841</v>
      </c>
    </row>
    <row r="100" spans="1:24">
      <c r="A100" s="161">
        <v>16</v>
      </c>
      <c r="B100" s="140">
        <f t="shared" si="39"/>
        <v>96</v>
      </c>
      <c r="C100" s="144" t="s">
        <v>842</v>
      </c>
      <c r="D100" s="141" t="s">
        <v>777</v>
      </c>
      <c r="E100" s="142">
        <f t="shared" si="40"/>
        <v>195</v>
      </c>
      <c r="F100" s="142" t="str">
        <f t="shared" si="21"/>
        <v>BS195</v>
      </c>
      <c r="G100" s="143" t="str">
        <f t="shared" si="22"/>
        <v>100000BS195</v>
      </c>
      <c r="H100" s="143" t="str">
        <f t="shared" si="23"/>
        <v>100001BS195</v>
      </c>
      <c r="I100" s="143" t="str">
        <f t="shared" si="24"/>
        <v>100002BS195</v>
      </c>
      <c r="J100" s="143" t="str">
        <f t="shared" si="25"/>
        <v>100003BS195</v>
      </c>
      <c r="K100" s="143" t="str">
        <f t="shared" si="26"/>
        <v>100004BS195</v>
      </c>
      <c r="L100" s="143" t="str">
        <f t="shared" si="27"/>
        <v>100005BS195</v>
      </c>
      <c r="M100" s="143" t="str">
        <f t="shared" si="28"/>
        <v>100006BS195</v>
      </c>
      <c r="N100" s="143" t="str">
        <f t="shared" si="29"/>
        <v>100007BS195</v>
      </c>
      <c r="O100" s="143" t="str">
        <f t="shared" si="30"/>
        <v>100008BS195</v>
      </c>
      <c r="P100" s="143" t="str">
        <f t="shared" si="31"/>
        <v>100009BS195</v>
      </c>
      <c r="Q100" s="143" t="str">
        <f t="shared" si="32"/>
        <v>100010BS195</v>
      </c>
      <c r="R100" s="143" t="str">
        <f t="shared" si="33"/>
        <v>100011BS195</v>
      </c>
      <c r="S100" s="143" t="str">
        <f t="shared" si="34"/>
        <v>100012BS195</v>
      </c>
      <c r="T100" s="143" t="str">
        <f t="shared" si="35"/>
        <v>100013BS195</v>
      </c>
      <c r="U100" s="143" t="str">
        <f t="shared" si="36"/>
        <v>100014BS195</v>
      </c>
      <c r="V100" s="143" t="str">
        <f t="shared" si="37"/>
        <v>100015BS195</v>
      </c>
      <c r="W100" s="143" t="str">
        <f t="shared" si="38"/>
        <v>100016BS195</v>
      </c>
      <c r="X100" s="144" t="s">
        <v>842</v>
      </c>
    </row>
    <row r="101" spans="1:24">
      <c r="A101" s="161">
        <v>17</v>
      </c>
      <c r="B101" s="140">
        <f t="shared" si="39"/>
        <v>97</v>
      </c>
      <c r="C101" s="144" t="s">
        <v>701</v>
      </c>
      <c r="D101" s="141" t="s">
        <v>777</v>
      </c>
      <c r="E101" s="142">
        <f t="shared" si="40"/>
        <v>196</v>
      </c>
      <c r="F101" s="142" t="str">
        <f t="shared" si="21"/>
        <v>BS196</v>
      </c>
      <c r="G101" s="143" t="str">
        <f t="shared" si="22"/>
        <v>100000BS196</v>
      </c>
      <c r="H101" s="143" t="str">
        <f t="shared" si="23"/>
        <v>100001BS196</v>
      </c>
      <c r="I101" s="143" t="str">
        <f t="shared" si="24"/>
        <v>100002BS196</v>
      </c>
      <c r="J101" s="143" t="str">
        <f t="shared" si="25"/>
        <v>100003BS196</v>
      </c>
      <c r="K101" s="143" t="str">
        <f t="shared" si="26"/>
        <v>100004BS196</v>
      </c>
      <c r="L101" s="143" t="str">
        <f t="shared" si="27"/>
        <v>100005BS196</v>
      </c>
      <c r="M101" s="143" t="str">
        <f t="shared" si="28"/>
        <v>100006BS196</v>
      </c>
      <c r="N101" s="143" t="str">
        <f t="shared" si="29"/>
        <v>100007BS196</v>
      </c>
      <c r="O101" s="143" t="str">
        <f t="shared" si="30"/>
        <v>100008BS196</v>
      </c>
      <c r="P101" s="143" t="str">
        <f t="shared" si="31"/>
        <v>100009BS196</v>
      </c>
      <c r="Q101" s="143" t="str">
        <f t="shared" si="32"/>
        <v>100010BS196</v>
      </c>
      <c r="R101" s="143" t="str">
        <f t="shared" si="33"/>
        <v>100011BS196</v>
      </c>
      <c r="S101" s="143" t="str">
        <f t="shared" si="34"/>
        <v>100012BS196</v>
      </c>
      <c r="T101" s="143" t="str">
        <f t="shared" si="35"/>
        <v>100013BS196</v>
      </c>
      <c r="U101" s="143" t="str">
        <f t="shared" si="36"/>
        <v>100014BS196</v>
      </c>
      <c r="V101" s="143" t="str">
        <f t="shared" si="37"/>
        <v>100015BS196</v>
      </c>
      <c r="W101" s="143" t="str">
        <f t="shared" si="38"/>
        <v>100016BS196</v>
      </c>
      <c r="X101" s="144" t="s">
        <v>701</v>
      </c>
    </row>
    <row r="102" spans="1:24">
      <c r="A102" s="161">
        <v>17</v>
      </c>
      <c r="B102" s="140">
        <f t="shared" si="39"/>
        <v>98</v>
      </c>
      <c r="C102" s="144" t="s">
        <v>722</v>
      </c>
      <c r="D102" s="141" t="s">
        <v>777</v>
      </c>
      <c r="E102" s="142">
        <f t="shared" si="40"/>
        <v>197</v>
      </c>
      <c r="F102" s="142" t="str">
        <f t="shared" si="21"/>
        <v>BS197</v>
      </c>
      <c r="G102" s="143" t="str">
        <f t="shared" si="22"/>
        <v>100000BS197</v>
      </c>
      <c r="H102" s="143" t="str">
        <f t="shared" si="23"/>
        <v>100001BS197</v>
      </c>
      <c r="I102" s="143" t="str">
        <f t="shared" si="24"/>
        <v>100002BS197</v>
      </c>
      <c r="J102" s="143" t="str">
        <f t="shared" si="25"/>
        <v>100003BS197</v>
      </c>
      <c r="K102" s="143" t="str">
        <f t="shared" si="26"/>
        <v>100004BS197</v>
      </c>
      <c r="L102" s="143" t="str">
        <f t="shared" si="27"/>
        <v>100005BS197</v>
      </c>
      <c r="M102" s="143" t="str">
        <f t="shared" si="28"/>
        <v>100006BS197</v>
      </c>
      <c r="N102" s="143" t="str">
        <f t="shared" si="29"/>
        <v>100007BS197</v>
      </c>
      <c r="O102" s="143" t="str">
        <f t="shared" si="30"/>
        <v>100008BS197</v>
      </c>
      <c r="P102" s="143" t="str">
        <f t="shared" si="31"/>
        <v>100009BS197</v>
      </c>
      <c r="Q102" s="143" t="str">
        <f t="shared" si="32"/>
        <v>100010BS197</v>
      </c>
      <c r="R102" s="143" t="str">
        <f t="shared" si="33"/>
        <v>100011BS197</v>
      </c>
      <c r="S102" s="143" t="str">
        <f t="shared" si="34"/>
        <v>100012BS197</v>
      </c>
      <c r="T102" s="143" t="str">
        <f t="shared" si="35"/>
        <v>100013BS197</v>
      </c>
      <c r="U102" s="143" t="str">
        <f t="shared" si="36"/>
        <v>100014BS197</v>
      </c>
      <c r="V102" s="143" t="str">
        <f t="shared" si="37"/>
        <v>100015BS197</v>
      </c>
      <c r="W102" s="143" t="str">
        <f t="shared" si="38"/>
        <v>100016BS197</v>
      </c>
      <c r="X102" s="144" t="s">
        <v>722</v>
      </c>
    </row>
    <row r="103" spans="1:24">
      <c r="A103" s="161">
        <v>17</v>
      </c>
      <c r="B103" s="140">
        <f t="shared" si="39"/>
        <v>99</v>
      </c>
      <c r="C103" s="144" t="s">
        <v>673</v>
      </c>
      <c r="D103" s="141" t="s">
        <v>777</v>
      </c>
      <c r="E103" s="142">
        <f t="shared" si="40"/>
        <v>198</v>
      </c>
      <c r="F103" s="142" t="str">
        <f t="shared" si="21"/>
        <v>BS198</v>
      </c>
      <c r="G103" s="143" t="str">
        <f t="shared" si="22"/>
        <v>100000BS198</v>
      </c>
      <c r="H103" s="143" t="str">
        <f t="shared" si="23"/>
        <v>100001BS198</v>
      </c>
      <c r="I103" s="143" t="str">
        <f t="shared" si="24"/>
        <v>100002BS198</v>
      </c>
      <c r="J103" s="143" t="str">
        <f t="shared" si="25"/>
        <v>100003BS198</v>
      </c>
      <c r="K103" s="143" t="str">
        <f t="shared" si="26"/>
        <v>100004BS198</v>
      </c>
      <c r="L103" s="143" t="str">
        <f t="shared" si="27"/>
        <v>100005BS198</v>
      </c>
      <c r="M103" s="143" t="str">
        <f t="shared" si="28"/>
        <v>100006BS198</v>
      </c>
      <c r="N103" s="143" t="str">
        <f t="shared" si="29"/>
        <v>100007BS198</v>
      </c>
      <c r="O103" s="143" t="str">
        <f t="shared" si="30"/>
        <v>100008BS198</v>
      </c>
      <c r="P103" s="143" t="str">
        <f t="shared" si="31"/>
        <v>100009BS198</v>
      </c>
      <c r="Q103" s="143" t="str">
        <f t="shared" si="32"/>
        <v>100010BS198</v>
      </c>
      <c r="R103" s="143" t="str">
        <f t="shared" si="33"/>
        <v>100011BS198</v>
      </c>
      <c r="S103" s="143" t="str">
        <f t="shared" si="34"/>
        <v>100012BS198</v>
      </c>
      <c r="T103" s="143" t="str">
        <f t="shared" si="35"/>
        <v>100013BS198</v>
      </c>
      <c r="U103" s="143" t="str">
        <f t="shared" si="36"/>
        <v>100014BS198</v>
      </c>
      <c r="V103" s="143" t="str">
        <f t="shared" si="37"/>
        <v>100015BS198</v>
      </c>
      <c r="W103" s="143" t="str">
        <f t="shared" si="38"/>
        <v>100016BS198</v>
      </c>
      <c r="X103" s="144" t="s">
        <v>673</v>
      </c>
    </row>
    <row r="104" spans="1:24">
      <c r="A104" s="161">
        <v>17</v>
      </c>
      <c r="B104" s="140">
        <f t="shared" si="39"/>
        <v>100</v>
      </c>
      <c r="C104" s="144" t="s">
        <v>843</v>
      </c>
      <c r="D104" s="141" t="s">
        <v>777</v>
      </c>
      <c r="E104" s="142">
        <f t="shared" si="40"/>
        <v>199</v>
      </c>
      <c r="F104" s="142" t="str">
        <f t="shared" si="21"/>
        <v>BS199</v>
      </c>
      <c r="G104" s="143" t="str">
        <f t="shared" si="22"/>
        <v>100000BS199</v>
      </c>
      <c r="H104" s="143" t="str">
        <f t="shared" si="23"/>
        <v>100001BS199</v>
      </c>
      <c r="I104" s="143" t="str">
        <f t="shared" si="24"/>
        <v>100002BS199</v>
      </c>
      <c r="J104" s="143" t="str">
        <f t="shared" si="25"/>
        <v>100003BS199</v>
      </c>
      <c r="K104" s="143" t="str">
        <f t="shared" si="26"/>
        <v>100004BS199</v>
      </c>
      <c r="L104" s="143" t="str">
        <f t="shared" si="27"/>
        <v>100005BS199</v>
      </c>
      <c r="M104" s="143" t="str">
        <f t="shared" si="28"/>
        <v>100006BS199</v>
      </c>
      <c r="N104" s="143" t="str">
        <f t="shared" si="29"/>
        <v>100007BS199</v>
      </c>
      <c r="O104" s="143" t="str">
        <f t="shared" si="30"/>
        <v>100008BS199</v>
      </c>
      <c r="P104" s="143" t="str">
        <f t="shared" si="31"/>
        <v>100009BS199</v>
      </c>
      <c r="Q104" s="143" t="str">
        <f t="shared" si="32"/>
        <v>100010BS199</v>
      </c>
      <c r="R104" s="143" t="str">
        <f t="shared" si="33"/>
        <v>100011BS199</v>
      </c>
      <c r="S104" s="143" t="str">
        <f t="shared" si="34"/>
        <v>100012BS199</v>
      </c>
      <c r="T104" s="143" t="str">
        <f t="shared" si="35"/>
        <v>100013BS199</v>
      </c>
      <c r="U104" s="143" t="str">
        <f t="shared" si="36"/>
        <v>100014BS199</v>
      </c>
      <c r="V104" s="143" t="str">
        <f t="shared" si="37"/>
        <v>100015BS199</v>
      </c>
      <c r="W104" s="143" t="str">
        <f t="shared" si="38"/>
        <v>100016BS199</v>
      </c>
      <c r="X104" s="144" t="s">
        <v>843</v>
      </c>
    </row>
    <row r="105" spans="1:24">
      <c r="A105" s="161">
        <v>17</v>
      </c>
      <c r="B105" s="140">
        <f t="shared" si="39"/>
        <v>101</v>
      </c>
      <c r="C105" s="144" t="s">
        <v>709</v>
      </c>
      <c r="D105" s="141" t="s">
        <v>777</v>
      </c>
      <c r="E105" s="142">
        <f t="shared" si="40"/>
        <v>200</v>
      </c>
      <c r="F105" s="142" t="str">
        <f t="shared" si="21"/>
        <v>BS200</v>
      </c>
      <c r="G105" s="143" t="str">
        <f t="shared" si="22"/>
        <v>100000BS200</v>
      </c>
      <c r="H105" s="143" t="str">
        <f t="shared" si="23"/>
        <v>100001BS200</v>
      </c>
      <c r="I105" s="143" t="str">
        <f t="shared" si="24"/>
        <v>100002BS200</v>
      </c>
      <c r="J105" s="143" t="str">
        <f t="shared" si="25"/>
        <v>100003BS200</v>
      </c>
      <c r="K105" s="143" t="str">
        <f t="shared" si="26"/>
        <v>100004BS200</v>
      </c>
      <c r="L105" s="143" t="str">
        <f t="shared" si="27"/>
        <v>100005BS200</v>
      </c>
      <c r="M105" s="143" t="str">
        <f t="shared" si="28"/>
        <v>100006BS200</v>
      </c>
      <c r="N105" s="143" t="str">
        <f t="shared" si="29"/>
        <v>100007BS200</v>
      </c>
      <c r="O105" s="143" t="str">
        <f t="shared" si="30"/>
        <v>100008BS200</v>
      </c>
      <c r="P105" s="143" t="str">
        <f t="shared" si="31"/>
        <v>100009BS200</v>
      </c>
      <c r="Q105" s="143" t="str">
        <f t="shared" si="32"/>
        <v>100010BS200</v>
      </c>
      <c r="R105" s="143" t="str">
        <f t="shared" si="33"/>
        <v>100011BS200</v>
      </c>
      <c r="S105" s="143" t="str">
        <f t="shared" si="34"/>
        <v>100012BS200</v>
      </c>
      <c r="T105" s="143" t="str">
        <f t="shared" si="35"/>
        <v>100013BS200</v>
      </c>
      <c r="U105" s="143" t="str">
        <f t="shared" si="36"/>
        <v>100014BS200</v>
      </c>
      <c r="V105" s="143" t="str">
        <f t="shared" si="37"/>
        <v>100015BS200</v>
      </c>
      <c r="W105" s="143" t="str">
        <f t="shared" si="38"/>
        <v>100016BS200</v>
      </c>
      <c r="X105" s="144" t="s">
        <v>709</v>
      </c>
    </row>
    <row r="106" spans="1:24">
      <c r="A106" s="161">
        <v>17</v>
      </c>
      <c r="B106" s="140">
        <f t="shared" si="39"/>
        <v>102</v>
      </c>
      <c r="C106" s="144" t="s">
        <v>685</v>
      </c>
      <c r="D106" s="141" t="s">
        <v>777</v>
      </c>
      <c r="E106" s="142">
        <f t="shared" si="40"/>
        <v>201</v>
      </c>
      <c r="F106" s="142" t="str">
        <f t="shared" si="21"/>
        <v>BS201</v>
      </c>
      <c r="G106" s="143" t="str">
        <f t="shared" si="22"/>
        <v>100000BS201</v>
      </c>
      <c r="H106" s="143" t="str">
        <f t="shared" si="23"/>
        <v>100001BS201</v>
      </c>
      <c r="I106" s="143" t="str">
        <f t="shared" si="24"/>
        <v>100002BS201</v>
      </c>
      <c r="J106" s="143" t="str">
        <f t="shared" si="25"/>
        <v>100003BS201</v>
      </c>
      <c r="K106" s="143" t="str">
        <f t="shared" si="26"/>
        <v>100004BS201</v>
      </c>
      <c r="L106" s="143" t="str">
        <f t="shared" si="27"/>
        <v>100005BS201</v>
      </c>
      <c r="M106" s="143" t="str">
        <f t="shared" si="28"/>
        <v>100006BS201</v>
      </c>
      <c r="N106" s="143" t="str">
        <f t="shared" si="29"/>
        <v>100007BS201</v>
      </c>
      <c r="O106" s="143" t="str">
        <f t="shared" si="30"/>
        <v>100008BS201</v>
      </c>
      <c r="P106" s="143" t="str">
        <f t="shared" si="31"/>
        <v>100009BS201</v>
      </c>
      <c r="Q106" s="143" t="str">
        <f t="shared" si="32"/>
        <v>100010BS201</v>
      </c>
      <c r="R106" s="143" t="str">
        <f t="shared" si="33"/>
        <v>100011BS201</v>
      </c>
      <c r="S106" s="143" t="str">
        <f t="shared" si="34"/>
        <v>100012BS201</v>
      </c>
      <c r="T106" s="143" t="str">
        <f t="shared" si="35"/>
        <v>100013BS201</v>
      </c>
      <c r="U106" s="143" t="str">
        <f t="shared" si="36"/>
        <v>100014BS201</v>
      </c>
      <c r="V106" s="143" t="str">
        <f t="shared" si="37"/>
        <v>100015BS201</v>
      </c>
      <c r="W106" s="143" t="str">
        <f t="shared" si="38"/>
        <v>100016BS201</v>
      </c>
      <c r="X106" s="144" t="s">
        <v>685</v>
      </c>
    </row>
    <row r="107" spans="1:24">
      <c r="A107" s="161">
        <v>17</v>
      </c>
      <c r="B107" s="140">
        <f t="shared" si="39"/>
        <v>103</v>
      </c>
      <c r="C107" s="144" t="s">
        <v>730</v>
      </c>
      <c r="D107" s="141" t="s">
        <v>777</v>
      </c>
      <c r="E107" s="142">
        <f t="shared" si="40"/>
        <v>202</v>
      </c>
      <c r="F107" s="142" t="str">
        <f t="shared" si="21"/>
        <v>BS202</v>
      </c>
      <c r="G107" s="143" t="str">
        <f t="shared" si="22"/>
        <v>100000BS202</v>
      </c>
      <c r="H107" s="143" t="str">
        <f t="shared" si="23"/>
        <v>100001BS202</v>
      </c>
      <c r="I107" s="143" t="str">
        <f t="shared" si="24"/>
        <v>100002BS202</v>
      </c>
      <c r="J107" s="143" t="str">
        <f t="shared" si="25"/>
        <v>100003BS202</v>
      </c>
      <c r="K107" s="143" t="str">
        <f t="shared" si="26"/>
        <v>100004BS202</v>
      </c>
      <c r="L107" s="143" t="str">
        <f t="shared" si="27"/>
        <v>100005BS202</v>
      </c>
      <c r="M107" s="143" t="str">
        <f t="shared" si="28"/>
        <v>100006BS202</v>
      </c>
      <c r="N107" s="143" t="str">
        <f t="shared" si="29"/>
        <v>100007BS202</v>
      </c>
      <c r="O107" s="143" t="str">
        <f t="shared" si="30"/>
        <v>100008BS202</v>
      </c>
      <c r="P107" s="143" t="str">
        <f t="shared" si="31"/>
        <v>100009BS202</v>
      </c>
      <c r="Q107" s="143" t="str">
        <f t="shared" si="32"/>
        <v>100010BS202</v>
      </c>
      <c r="R107" s="143" t="str">
        <f t="shared" si="33"/>
        <v>100011BS202</v>
      </c>
      <c r="S107" s="143" t="str">
        <f t="shared" si="34"/>
        <v>100012BS202</v>
      </c>
      <c r="T107" s="143" t="str">
        <f t="shared" si="35"/>
        <v>100013BS202</v>
      </c>
      <c r="U107" s="143" t="str">
        <f t="shared" si="36"/>
        <v>100014BS202</v>
      </c>
      <c r="V107" s="143" t="str">
        <f t="shared" si="37"/>
        <v>100015BS202</v>
      </c>
      <c r="W107" s="143" t="str">
        <f t="shared" si="38"/>
        <v>100016BS202</v>
      </c>
      <c r="X107" s="144" t="s">
        <v>730</v>
      </c>
    </row>
    <row r="108" spans="1:24">
      <c r="A108" s="161">
        <v>18</v>
      </c>
      <c r="B108" s="140">
        <f t="shared" si="39"/>
        <v>104</v>
      </c>
      <c r="C108" s="144" t="s">
        <v>844</v>
      </c>
      <c r="D108" s="141" t="s">
        <v>777</v>
      </c>
      <c r="E108" s="142">
        <f t="shared" si="40"/>
        <v>203</v>
      </c>
      <c r="F108" s="142" t="str">
        <f t="shared" si="21"/>
        <v>BS203</v>
      </c>
      <c r="G108" s="143" t="str">
        <f t="shared" si="22"/>
        <v>100000BS203</v>
      </c>
      <c r="H108" s="143" t="str">
        <f t="shared" si="23"/>
        <v>100001BS203</v>
      </c>
      <c r="I108" s="143" t="str">
        <f t="shared" si="24"/>
        <v>100002BS203</v>
      </c>
      <c r="J108" s="143" t="str">
        <f t="shared" si="25"/>
        <v>100003BS203</v>
      </c>
      <c r="K108" s="143" t="str">
        <f t="shared" si="26"/>
        <v>100004BS203</v>
      </c>
      <c r="L108" s="143" t="str">
        <f t="shared" si="27"/>
        <v>100005BS203</v>
      </c>
      <c r="M108" s="143" t="str">
        <f t="shared" si="28"/>
        <v>100006BS203</v>
      </c>
      <c r="N108" s="143" t="str">
        <f t="shared" si="29"/>
        <v>100007BS203</v>
      </c>
      <c r="O108" s="143" t="str">
        <f t="shared" si="30"/>
        <v>100008BS203</v>
      </c>
      <c r="P108" s="143" t="str">
        <f t="shared" si="31"/>
        <v>100009BS203</v>
      </c>
      <c r="Q108" s="143" t="str">
        <f t="shared" si="32"/>
        <v>100010BS203</v>
      </c>
      <c r="R108" s="143" t="str">
        <f t="shared" si="33"/>
        <v>100011BS203</v>
      </c>
      <c r="S108" s="143" t="str">
        <f t="shared" si="34"/>
        <v>100012BS203</v>
      </c>
      <c r="T108" s="143" t="str">
        <f t="shared" si="35"/>
        <v>100013BS203</v>
      </c>
      <c r="U108" s="143" t="str">
        <f t="shared" si="36"/>
        <v>100014BS203</v>
      </c>
      <c r="V108" s="143" t="str">
        <f t="shared" si="37"/>
        <v>100015BS203</v>
      </c>
      <c r="W108" s="143" t="str">
        <f t="shared" si="38"/>
        <v>100016BS203</v>
      </c>
      <c r="X108" s="144" t="s">
        <v>844</v>
      </c>
    </row>
    <row r="109" spans="1:24">
      <c r="A109" s="161">
        <v>18</v>
      </c>
      <c r="B109" s="140">
        <f t="shared" si="39"/>
        <v>105</v>
      </c>
      <c r="C109" s="144" t="s">
        <v>716</v>
      </c>
      <c r="D109" s="141" t="s">
        <v>777</v>
      </c>
      <c r="E109" s="142">
        <f t="shared" si="40"/>
        <v>204</v>
      </c>
      <c r="F109" s="142" t="str">
        <f t="shared" si="21"/>
        <v>BS204</v>
      </c>
      <c r="G109" s="143" t="str">
        <f t="shared" si="22"/>
        <v>100000BS204</v>
      </c>
      <c r="H109" s="143" t="str">
        <f t="shared" si="23"/>
        <v>100001BS204</v>
      </c>
      <c r="I109" s="143" t="str">
        <f t="shared" si="24"/>
        <v>100002BS204</v>
      </c>
      <c r="J109" s="143" t="str">
        <f t="shared" si="25"/>
        <v>100003BS204</v>
      </c>
      <c r="K109" s="143" t="str">
        <f t="shared" si="26"/>
        <v>100004BS204</v>
      </c>
      <c r="L109" s="143" t="str">
        <f t="shared" si="27"/>
        <v>100005BS204</v>
      </c>
      <c r="M109" s="143" t="str">
        <f t="shared" si="28"/>
        <v>100006BS204</v>
      </c>
      <c r="N109" s="143" t="str">
        <f t="shared" si="29"/>
        <v>100007BS204</v>
      </c>
      <c r="O109" s="143" t="str">
        <f t="shared" si="30"/>
        <v>100008BS204</v>
      </c>
      <c r="P109" s="143" t="str">
        <f t="shared" si="31"/>
        <v>100009BS204</v>
      </c>
      <c r="Q109" s="143" t="str">
        <f t="shared" si="32"/>
        <v>100010BS204</v>
      </c>
      <c r="R109" s="143" t="str">
        <f t="shared" si="33"/>
        <v>100011BS204</v>
      </c>
      <c r="S109" s="143" t="str">
        <f t="shared" si="34"/>
        <v>100012BS204</v>
      </c>
      <c r="T109" s="143" t="str">
        <f t="shared" si="35"/>
        <v>100013BS204</v>
      </c>
      <c r="U109" s="143" t="str">
        <f t="shared" si="36"/>
        <v>100014BS204</v>
      </c>
      <c r="V109" s="143" t="str">
        <f t="shared" si="37"/>
        <v>100015BS204</v>
      </c>
      <c r="W109" s="143" t="str">
        <f t="shared" si="38"/>
        <v>100016BS204</v>
      </c>
      <c r="X109" s="144" t="s">
        <v>716</v>
      </c>
    </row>
    <row r="110" spans="1:24">
      <c r="A110" s="161">
        <v>18</v>
      </c>
      <c r="B110" s="140">
        <f t="shared" si="39"/>
        <v>106</v>
      </c>
      <c r="C110" s="144" t="s">
        <v>845</v>
      </c>
      <c r="D110" s="141" t="s">
        <v>777</v>
      </c>
      <c r="E110" s="142">
        <f t="shared" si="40"/>
        <v>205</v>
      </c>
      <c r="F110" s="142" t="str">
        <f t="shared" si="21"/>
        <v>BS205</v>
      </c>
      <c r="G110" s="143" t="str">
        <f t="shared" si="22"/>
        <v>100000BS205</v>
      </c>
      <c r="H110" s="143" t="str">
        <f t="shared" si="23"/>
        <v>100001BS205</v>
      </c>
      <c r="I110" s="143" t="str">
        <f t="shared" si="24"/>
        <v>100002BS205</v>
      </c>
      <c r="J110" s="143" t="str">
        <f t="shared" si="25"/>
        <v>100003BS205</v>
      </c>
      <c r="K110" s="143" t="str">
        <f t="shared" si="26"/>
        <v>100004BS205</v>
      </c>
      <c r="L110" s="143" t="str">
        <f t="shared" si="27"/>
        <v>100005BS205</v>
      </c>
      <c r="M110" s="143" t="str">
        <f t="shared" si="28"/>
        <v>100006BS205</v>
      </c>
      <c r="N110" s="143" t="str">
        <f t="shared" si="29"/>
        <v>100007BS205</v>
      </c>
      <c r="O110" s="143" t="str">
        <f t="shared" si="30"/>
        <v>100008BS205</v>
      </c>
      <c r="P110" s="143" t="str">
        <f t="shared" si="31"/>
        <v>100009BS205</v>
      </c>
      <c r="Q110" s="143" t="str">
        <f t="shared" si="32"/>
        <v>100010BS205</v>
      </c>
      <c r="R110" s="143" t="str">
        <f t="shared" si="33"/>
        <v>100011BS205</v>
      </c>
      <c r="S110" s="143" t="str">
        <f t="shared" si="34"/>
        <v>100012BS205</v>
      </c>
      <c r="T110" s="143" t="str">
        <f t="shared" si="35"/>
        <v>100013BS205</v>
      </c>
      <c r="U110" s="143" t="str">
        <f t="shared" si="36"/>
        <v>100014BS205</v>
      </c>
      <c r="V110" s="143" t="str">
        <f t="shared" si="37"/>
        <v>100015BS205</v>
      </c>
      <c r="W110" s="143" t="str">
        <f t="shared" si="38"/>
        <v>100016BS205</v>
      </c>
      <c r="X110" s="144" t="s">
        <v>845</v>
      </c>
    </row>
    <row r="111" spans="1:24">
      <c r="A111" s="161">
        <v>18</v>
      </c>
      <c r="B111" s="140">
        <f t="shared" si="39"/>
        <v>107</v>
      </c>
      <c r="C111" s="144" t="s">
        <v>846</v>
      </c>
      <c r="D111" s="141" t="s">
        <v>777</v>
      </c>
      <c r="E111" s="142">
        <f t="shared" si="40"/>
        <v>206</v>
      </c>
      <c r="F111" s="142" t="str">
        <f t="shared" si="21"/>
        <v>BS206</v>
      </c>
      <c r="G111" s="143" t="str">
        <f t="shared" si="22"/>
        <v>100000BS206</v>
      </c>
      <c r="H111" s="143" t="str">
        <f t="shared" si="23"/>
        <v>100001BS206</v>
      </c>
      <c r="I111" s="143" t="str">
        <f t="shared" si="24"/>
        <v>100002BS206</v>
      </c>
      <c r="J111" s="143" t="str">
        <f t="shared" si="25"/>
        <v>100003BS206</v>
      </c>
      <c r="K111" s="143" t="str">
        <f t="shared" si="26"/>
        <v>100004BS206</v>
      </c>
      <c r="L111" s="143" t="str">
        <f t="shared" si="27"/>
        <v>100005BS206</v>
      </c>
      <c r="M111" s="143" t="str">
        <f t="shared" si="28"/>
        <v>100006BS206</v>
      </c>
      <c r="N111" s="143" t="str">
        <f t="shared" si="29"/>
        <v>100007BS206</v>
      </c>
      <c r="O111" s="143" t="str">
        <f t="shared" si="30"/>
        <v>100008BS206</v>
      </c>
      <c r="P111" s="143" t="str">
        <f t="shared" si="31"/>
        <v>100009BS206</v>
      </c>
      <c r="Q111" s="143" t="str">
        <f t="shared" si="32"/>
        <v>100010BS206</v>
      </c>
      <c r="R111" s="143" t="str">
        <f t="shared" si="33"/>
        <v>100011BS206</v>
      </c>
      <c r="S111" s="143" t="str">
        <f t="shared" si="34"/>
        <v>100012BS206</v>
      </c>
      <c r="T111" s="143" t="str">
        <f t="shared" si="35"/>
        <v>100013BS206</v>
      </c>
      <c r="U111" s="143" t="str">
        <f t="shared" si="36"/>
        <v>100014BS206</v>
      </c>
      <c r="V111" s="143" t="str">
        <f t="shared" si="37"/>
        <v>100015BS206</v>
      </c>
      <c r="W111" s="143" t="str">
        <f t="shared" si="38"/>
        <v>100016BS206</v>
      </c>
      <c r="X111" s="144" t="s">
        <v>846</v>
      </c>
    </row>
    <row r="112" spans="1:24">
      <c r="A112" s="161">
        <v>18</v>
      </c>
      <c r="B112" s="140">
        <f t="shared" si="39"/>
        <v>108</v>
      </c>
      <c r="C112" s="144" t="s">
        <v>847</v>
      </c>
      <c r="D112" s="141" t="s">
        <v>777</v>
      </c>
      <c r="E112" s="142">
        <f t="shared" si="40"/>
        <v>207</v>
      </c>
      <c r="F112" s="142" t="str">
        <f t="shared" si="21"/>
        <v>BS207</v>
      </c>
      <c r="G112" s="143" t="str">
        <f t="shared" si="22"/>
        <v>100000BS207</v>
      </c>
      <c r="H112" s="143" t="str">
        <f t="shared" si="23"/>
        <v>100001BS207</v>
      </c>
      <c r="I112" s="143" t="str">
        <f t="shared" si="24"/>
        <v>100002BS207</v>
      </c>
      <c r="J112" s="143" t="str">
        <f t="shared" si="25"/>
        <v>100003BS207</v>
      </c>
      <c r="K112" s="143" t="str">
        <f t="shared" si="26"/>
        <v>100004BS207</v>
      </c>
      <c r="L112" s="143" t="str">
        <f t="shared" si="27"/>
        <v>100005BS207</v>
      </c>
      <c r="M112" s="143" t="str">
        <f t="shared" si="28"/>
        <v>100006BS207</v>
      </c>
      <c r="N112" s="143" t="str">
        <f t="shared" si="29"/>
        <v>100007BS207</v>
      </c>
      <c r="O112" s="143" t="str">
        <f t="shared" si="30"/>
        <v>100008BS207</v>
      </c>
      <c r="P112" s="143" t="str">
        <f t="shared" si="31"/>
        <v>100009BS207</v>
      </c>
      <c r="Q112" s="143" t="str">
        <f t="shared" si="32"/>
        <v>100010BS207</v>
      </c>
      <c r="R112" s="143" t="str">
        <f t="shared" si="33"/>
        <v>100011BS207</v>
      </c>
      <c r="S112" s="143" t="str">
        <f t="shared" si="34"/>
        <v>100012BS207</v>
      </c>
      <c r="T112" s="143" t="str">
        <f t="shared" si="35"/>
        <v>100013BS207</v>
      </c>
      <c r="U112" s="143" t="str">
        <f t="shared" si="36"/>
        <v>100014BS207</v>
      </c>
      <c r="V112" s="143" t="str">
        <f t="shared" si="37"/>
        <v>100015BS207</v>
      </c>
      <c r="W112" s="143" t="str">
        <f t="shared" si="38"/>
        <v>100016BS207</v>
      </c>
      <c r="X112" s="144" t="s">
        <v>847</v>
      </c>
    </row>
    <row r="113" spans="1:24">
      <c r="A113" s="161">
        <v>18</v>
      </c>
      <c r="B113" s="140">
        <f t="shared" si="39"/>
        <v>109</v>
      </c>
      <c r="C113" s="144" t="s">
        <v>848</v>
      </c>
      <c r="D113" s="141" t="s">
        <v>777</v>
      </c>
      <c r="E113" s="142">
        <f t="shared" si="40"/>
        <v>208</v>
      </c>
      <c r="F113" s="142" t="str">
        <f t="shared" si="21"/>
        <v>BS208</v>
      </c>
      <c r="G113" s="143" t="str">
        <f t="shared" si="22"/>
        <v>100000BS208</v>
      </c>
      <c r="H113" s="143" t="str">
        <f t="shared" si="23"/>
        <v>100001BS208</v>
      </c>
      <c r="I113" s="143" t="str">
        <f t="shared" si="24"/>
        <v>100002BS208</v>
      </c>
      <c r="J113" s="143" t="str">
        <f t="shared" si="25"/>
        <v>100003BS208</v>
      </c>
      <c r="K113" s="143" t="str">
        <f t="shared" si="26"/>
        <v>100004BS208</v>
      </c>
      <c r="L113" s="143" t="str">
        <f t="shared" si="27"/>
        <v>100005BS208</v>
      </c>
      <c r="M113" s="143" t="str">
        <f t="shared" si="28"/>
        <v>100006BS208</v>
      </c>
      <c r="N113" s="143" t="str">
        <f t="shared" si="29"/>
        <v>100007BS208</v>
      </c>
      <c r="O113" s="143" t="str">
        <f t="shared" si="30"/>
        <v>100008BS208</v>
      </c>
      <c r="P113" s="143" t="str">
        <f t="shared" si="31"/>
        <v>100009BS208</v>
      </c>
      <c r="Q113" s="143" t="str">
        <f t="shared" si="32"/>
        <v>100010BS208</v>
      </c>
      <c r="R113" s="143" t="str">
        <f t="shared" si="33"/>
        <v>100011BS208</v>
      </c>
      <c r="S113" s="143" t="str">
        <f t="shared" si="34"/>
        <v>100012BS208</v>
      </c>
      <c r="T113" s="143" t="str">
        <f t="shared" si="35"/>
        <v>100013BS208</v>
      </c>
      <c r="U113" s="143" t="str">
        <f t="shared" si="36"/>
        <v>100014BS208</v>
      </c>
      <c r="V113" s="143" t="str">
        <f t="shared" si="37"/>
        <v>100015BS208</v>
      </c>
      <c r="W113" s="143" t="str">
        <f t="shared" si="38"/>
        <v>100016BS208</v>
      </c>
      <c r="X113" s="144" t="s">
        <v>848</v>
      </c>
    </row>
    <row r="114" spans="1:24">
      <c r="A114" s="161">
        <v>18</v>
      </c>
      <c r="B114" s="140">
        <f t="shared" si="39"/>
        <v>110</v>
      </c>
      <c r="C114" s="144" t="s">
        <v>849</v>
      </c>
      <c r="D114" s="141" t="s">
        <v>777</v>
      </c>
      <c r="E114" s="142">
        <f t="shared" si="40"/>
        <v>209</v>
      </c>
      <c r="F114" s="142" t="str">
        <f t="shared" si="21"/>
        <v>BS209</v>
      </c>
      <c r="G114" s="143" t="str">
        <f t="shared" si="22"/>
        <v>100000BS209</v>
      </c>
      <c r="H114" s="143" t="str">
        <f t="shared" si="23"/>
        <v>100001BS209</v>
      </c>
      <c r="I114" s="143" t="str">
        <f t="shared" si="24"/>
        <v>100002BS209</v>
      </c>
      <c r="J114" s="143" t="str">
        <f t="shared" si="25"/>
        <v>100003BS209</v>
      </c>
      <c r="K114" s="143" t="str">
        <f t="shared" si="26"/>
        <v>100004BS209</v>
      </c>
      <c r="L114" s="143" t="str">
        <f t="shared" si="27"/>
        <v>100005BS209</v>
      </c>
      <c r="M114" s="143" t="str">
        <f t="shared" si="28"/>
        <v>100006BS209</v>
      </c>
      <c r="N114" s="143" t="str">
        <f t="shared" si="29"/>
        <v>100007BS209</v>
      </c>
      <c r="O114" s="143" t="str">
        <f t="shared" si="30"/>
        <v>100008BS209</v>
      </c>
      <c r="P114" s="143" t="str">
        <f t="shared" si="31"/>
        <v>100009BS209</v>
      </c>
      <c r="Q114" s="143" t="str">
        <f t="shared" si="32"/>
        <v>100010BS209</v>
      </c>
      <c r="R114" s="143" t="str">
        <f t="shared" si="33"/>
        <v>100011BS209</v>
      </c>
      <c r="S114" s="143" t="str">
        <f t="shared" si="34"/>
        <v>100012BS209</v>
      </c>
      <c r="T114" s="143" t="str">
        <f t="shared" si="35"/>
        <v>100013BS209</v>
      </c>
      <c r="U114" s="143" t="str">
        <f t="shared" si="36"/>
        <v>100014BS209</v>
      </c>
      <c r="V114" s="143" t="str">
        <f t="shared" si="37"/>
        <v>100015BS209</v>
      </c>
      <c r="W114" s="143" t="str">
        <f t="shared" si="38"/>
        <v>100016BS209</v>
      </c>
      <c r="X114" s="144" t="s">
        <v>849</v>
      </c>
    </row>
    <row r="115" spans="1:24">
      <c r="A115" s="161">
        <v>18</v>
      </c>
      <c r="B115" s="140">
        <f t="shared" si="39"/>
        <v>111</v>
      </c>
      <c r="C115" s="144" t="s">
        <v>850</v>
      </c>
      <c r="D115" s="141" t="s">
        <v>777</v>
      </c>
      <c r="E115" s="142">
        <f t="shared" si="40"/>
        <v>210</v>
      </c>
      <c r="F115" s="142" t="str">
        <f t="shared" si="21"/>
        <v>BS210</v>
      </c>
      <c r="G115" s="143" t="str">
        <f t="shared" si="22"/>
        <v>100000BS210</v>
      </c>
      <c r="H115" s="143" t="str">
        <f t="shared" si="23"/>
        <v>100001BS210</v>
      </c>
      <c r="I115" s="143" t="str">
        <f t="shared" si="24"/>
        <v>100002BS210</v>
      </c>
      <c r="J115" s="143" t="str">
        <f t="shared" si="25"/>
        <v>100003BS210</v>
      </c>
      <c r="K115" s="143" t="str">
        <f t="shared" si="26"/>
        <v>100004BS210</v>
      </c>
      <c r="L115" s="143" t="str">
        <f t="shared" si="27"/>
        <v>100005BS210</v>
      </c>
      <c r="M115" s="143" t="str">
        <f t="shared" si="28"/>
        <v>100006BS210</v>
      </c>
      <c r="N115" s="143" t="str">
        <f t="shared" si="29"/>
        <v>100007BS210</v>
      </c>
      <c r="O115" s="143" t="str">
        <f t="shared" si="30"/>
        <v>100008BS210</v>
      </c>
      <c r="P115" s="143" t="str">
        <f t="shared" si="31"/>
        <v>100009BS210</v>
      </c>
      <c r="Q115" s="143" t="str">
        <f t="shared" si="32"/>
        <v>100010BS210</v>
      </c>
      <c r="R115" s="143" t="str">
        <f t="shared" si="33"/>
        <v>100011BS210</v>
      </c>
      <c r="S115" s="143" t="str">
        <f t="shared" si="34"/>
        <v>100012BS210</v>
      </c>
      <c r="T115" s="143" t="str">
        <f t="shared" si="35"/>
        <v>100013BS210</v>
      </c>
      <c r="U115" s="143" t="str">
        <f t="shared" si="36"/>
        <v>100014BS210</v>
      </c>
      <c r="V115" s="143" t="str">
        <f t="shared" si="37"/>
        <v>100015BS210</v>
      </c>
      <c r="W115" s="143" t="str">
        <f t="shared" si="38"/>
        <v>100016BS210</v>
      </c>
      <c r="X115" s="144" t="s">
        <v>850</v>
      </c>
    </row>
    <row r="116" spans="1:24">
      <c r="A116" s="161">
        <v>18</v>
      </c>
      <c r="B116" s="140">
        <f t="shared" si="39"/>
        <v>112</v>
      </c>
      <c r="C116" s="144" t="s">
        <v>851</v>
      </c>
      <c r="D116" s="141" t="s">
        <v>777</v>
      </c>
      <c r="E116" s="142">
        <f t="shared" si="40"/>
        <v>211</v>
      </c>
      <c r="F116" s="142" t="str">
        <f t="shared" si="21"/>
        <v>BS211</v>
      </c>
      <c r="G116" s="143" t="str">
        <f t="shared" si="22"/>
        <v>100000BS211</v>
      </c>
      <c r="H116" s="143" t="str">
        <f t="shared" si="23"/>
        <v>100001BS211</v>
      </c>
      <c r="I116" s="143" t="str">
        <f t="shared" si="24"/>
        <v>100002BS211</v>
      </c>
      <c r="J116" s="143" t="str">
        <f t="shared" si="25"/>
        <v>100003BS211</v>
      </c>
      <c r="K116" s="143" t="str">
        <f t="shared" si="26"/>
        <v>100004BS211</v>
      </c>
      <c r="L116" s="143" t="str">
        <f t="shared" si="27"/>
        <v>100005BS211</v>
      </c>
      <c r="M116" s="143" t="str">
        <f t="shared" si="28"/>
        <v>100006BS211</v>
      </c>
      <c r="N116" s="143" t="str">
        <f t="shared" si="29"/>
        <v>100007BS211</v>
      </c>
      <c r="O116" s="143" t="str">
        <f t="shared" si="30"/>
        <v>100008BS211</v>
      </c>
      <c r="P116" s="143" t="str">
        <f t="shared" si="31"/>
        <v>100009BS211</v>
      </c>
      <c r="Q116" s="143" t="str">
        <f t="shared" si="32"/>
        <v>100010BS211</v>
      </c>
      <c r="R116" s="143" t="str">
        <f t="shared" si="33"/>
        <v>100011BS211</v>
      </c>
      <c r="S116" s="143" t="str">
        <f t="shared" si="34"/>
        <v>100012BS211</v>
      </c>
      <c r="T116" s="143" t="str">
        <f t="shared" si="35"/>
        <v>100013BS211</v>
      </c>
      <c r="U116" s="143" t="str">
        <f t="shared" si="36"/>
        <v>100014BS211</v>
      </c>
      <c r="V116" s="143" t="str">
        <f t="shared" si="37"/>
        <v>100015BS211</v>
      </c>
      <c r="W116" s="143" t="str">
        <f t="shared" si="38"/>
        <v>100016BS211</v>
      </c>
      <c r="X116" s="144" t="s">
        <v>851</v>
      </c>
    </row>
    <row r="117" spans="1:24">
      <c r="A117" s="161">
        <v>18</v>
      </c>
      <c r="B117" s="140">
        <f t="shared" si="39"/>
        <v>113</v>
      </c>
      <c r="C117" s="144" t="s">
        <v>852</v>
      </c>
      <c r="D117" s="141" t="s">
        <v>777</v>
      </c>
      <c r="E117" s="142">
        <f t="shared" si="40"/>
        <v>212</v>
      </c>
      <c r="F117" s="142" t="str">
        <f t="shared" si="21"/>
        <v>BS212</v>
      </c>
      <c r="G117" s="143" t="str">
        <f t="shared" si="22"/>
        <v>100000BS212</v>
      </c>
      <c r="H117" s="143" t="str">
        <f t="shared" si="23"/>
        <v>100001BS212</v>
      </c>
      <c r="I117" s="143" t="str">
        <f t="shared" si="24"/>
        <v>100002BS212</v>
      </c>
      <c r="J117" s="143" t="str">
        <f t="shared" si="25"/>
        <v>100003BS212</v>
      </c>
      <c r="K117" s="143" t="str">
        <f t="shared" si="26"/>
        <v>100004BS212</v>
      </c>
      <c r="L117" s="143" t="str">
        <f t="shared" si="27"/>
        <v>100005BS212</v>
      </c>
      <c r="M117" s="143" t="str">
        <f t="shared" si="28"/>
        <v>100006BS212</v>
      </c>
      <c r="N117" s="143" t="str">
        <f t="shared" si="29"/>
        <v>100007BS212</v>
      </c>
      <c r="O117" s="143" t="str">
        <f t="shared" si="30"/>
        <v>100008BS212</v>
      </c>
      <c r="P117" s="143" t="str">
        <f t="shared" si="31"/>
        <v>100009BS212</v>
      </c>
      <c r="Q117" s="143" t="str">
        <f t="shared" si="32"/>
        <v>100010BS212</v>
      </c>
      <c r="R117" s="143" t="str">
        <f t="shared" si="33"/>
        <v>100011BS212</v>
      </c>
      <c r="S117" s="143" t="str">
        <f t="shared" si="34"/>
        <v>100012BS212</v>
      </c>
      <c r="T117" s="143" t="str">
        <f t="shared" si="35"/>
        <v>100013BS212</v>
      </c>
      <c r="U117" s="143" t="str">
        <f t="shared" si="36"/>
        <v>100014BS212</v>
      </c>
      <c r="V117" s="143" t="str">
        <f t="shared" si="37"/>
        <v>100015BS212</v>
      </c>
      <c r="W117" s="143" t="str">
        <f t="shared" si="38"/>
        <v>100016BS212</v>
      </c>
      <c r="X117" s="144" t="s">
        <v>852</v>
      </c>
    </row>
    <row r="118" spans="1:24">
      <c r="A118" s="161">
        <v>18</v>
      </c>
      <c r="B118" s="140">
        <f t="shared" si="39"/>
        <v>114</v>
      </c>
      <c r="C118" s="144" t="s">
        <v>853</v>
      </c>
      <c r="D118" s="141" t="s">
        <v>777</v>
      </c>
      <c r="E118" s="142">
        <f t="shared" si="40"/>
        <v>213</v>
      </c>
      <c r="F118" s="142" t="str">
        <f t="shared" si="21"/>
        <v>BS213</v>
      </c>
      <c r="G118" s="143" t="str">
        <f t="shared" si="22"/>
        <v>100000BS213</v>
      </c>
      <c r="H118" s="143" t="str">
        <f t="shared" si="23"/>
        <v>100001BS213</v>
      </c>
      <c r="I118" s="143" t="str">
        <f t="shared" si="24"/>
        <v>100002BS213</v>
      </c>
      <c r="J118" s="143" t="str">
        <f t="shared" si="25"/>
        <v>100003BS213</v>
      </c>
      <c r="K118" s="143" t="str">
        <f t="shared" si="26"/>
        <v>100004BS213</v>
      </c>
      <c r="L118" s="143" t="str">
        <f t="shared" si="27"/>
        <v>100005BS213</v>
      </c>
      <c r="M118" s="143" t="str">
        <f t="shared" si="28"/>
        <v>100006BS213</v>
      </c>
      <c r="N118" s="143" t="str">
        <f t="shared" si="29"/>
        <v>100007BS213</v>
      </c>
      <c r="O118" s="143" t="str">
        <f t="shared" si="30"/>
        <v>100008BS213</v>
      </c>
      <c r="P118" s="143" t="str">
        <f t="shared" si="31"/>
        <v>100009BS213</v>
      </c>
      <c r="Q118" s="143" t="str">
        <f t="shared" si="32"/>
        <v>100010BS213</v>
      </c>
      <c r="R118" s="143" t="str">
        <f t="shared" si="33"/>
        <v>100011BS213</v>
      </c>
      <c r="S118" s="143" t="str">
        <f t="shared" si="34"/>
        <v>100012BS213</v>
      </c>
      <c r="T118" s="143" t="str">
        <f t="shared" si="35"/>
        <v>100013BS213</v>
      </c>
      <c r="U118" s="143" t="str">
        <f t="shared" si="36"/>
        <v>100014BS213</v>
      </c>
      <c r="V118" s="143" t="str">
        <f t="shared" si="37"/>
        <v>100015BS213</v>
      </c>
      <c r="W118" s="143" t="str">
        <f t="shared" si="38"/>
        <v>100016BS213</v>
      </c>
      <c r="X118" s="144" t="s">
        <v>853</v>
      </c>
    </row>
    <row r="119" spans="1:24">
      <c r="A119" s="161">
        <v>18</v>
      </c>
      <c r="B119" s="140">
        <f t="shared" si="39"/>
        <v>115</v>
      </c>
      <c r="C119" s="144" t="s">
        <v>854</v>
      </c>
      <c r="D119" s="141" t="s">
        <v>777</v>
      </c>
      <c r="E119" s="142">
        <f t="shared" si="40"/>
        <v>214</v>
      </c>
      <c r="F119" s="142" t="str">
        <f t="shared" si="21"/>
        <v>BS214</v>
      </c>
      <c r="G119" s="143" t="str">
        <f t="shared" si="22"/>
        <v>100000BS214</v>
      </c>
      <c r="H119" s="143" t="str">
        <f t="shared" si="23"/>
        <v>100001BS214</v>
      </c>
      <c r="I119" s="143" t="str">
        <f t="shared" si="24"/>
        <v>100002BS214</v>
      </c>
      <c r="J119" s="143" t="str">
        <f t="shared" si="25"/>
        <v>100003BS214</v>
      </c>
      <c r="K119" s="143" t="str">
        <f t="shared" si="26"/>
        <v>100004BS214</v>
      </c>
      <c r="L119" s="143" t="str">
        <f t="shared" si="27"/>
        <v>100005BS214</v>
      </c>
      <c r="M119" s="143" t="str">
        <f t="shared" si="28"/>
        <v>100006BS214</v>
      </c>
      <c r="N119" s="143" t="str">
        <f t="shared" si="29"/>
        <v>100007BS214</v>
      </c>
      <c r="O119" s="143" t="str">
        <f t="shared" si="30"/>
        <v>100008BS214</v>
      </c>
      <c r="P119" s="143" t="str">
        <f t="shared" si="31"/>
        <v>100009BS214</v>
      </c>
      <c r="Q119" s="143" t="str">
        <f t="shared" si="32"/>
        <v>100010BS214</v>
      </c>
      <c r="R119" s="143" t="str">
        <f t="shared" si="33"/>
        <v>100011BS214</v>
      </c>
      <c r="S119" s="143" t="str">
        <f t="shared" si="34"/>
        <v>100012BS214</v>
      </c>
      <c r="T119" s="143" t="str">
        <f t="shared" si="35"/>
        <v>100013BS214</v>
      </c>
      <c r="U119" s="143" t="str">
        <f t="shared" si="36"/>
        <v>100014BS214</v>
      </c>
      <c r="V119" s="143" t="str">
        <f t="shared" si="37"/>
        <v>100015BS214</v>
      </c>
      <c r="W119" s="143" t="str">
        <f t="shared" si="38"/>
        <v>100016BS214</v>
      </c>
      <c r="X119" s="144" t="s">
        <v>854</v>
      </c>
    </row>
    <row r="120" spans="1:24">
      <c r="A120" s="161">
        <v>19</v>
      </c>
      <c r="B120" s="140">
        <f t="shared" si="39"/>
        <v>116</v>
      </c>
      <c r="C120" s="144" t="s">
        <v>658</v>
      </c>
      <c r="D120" s="141" t="s">
        <v>777</v>
      </c>
      <c r="E120" s="142">
        <f t="shared" si="40"/>
        <v>215</v>
      </c>
      <c r="F120" s="142" t="str">
        <f t="shared" si="21"/>
        <v>BS215</v>
      </c>
      <c r="G120" s="143" t="str">
        <f t="shared" si="22"/>
        <v>100000BS215</v>
      </c>
      <c r="H120" s="143" t="str">
        <f t="shared" si="23"/>
        <v>100001BS215</v>
      </c>
      <c r="I120" s="143" t="str">
        <f t="shared" si="24"/>
        <v>100002BS215</v>
      </c>
      <c r="J120" s="143" t="str">
        <f t="shared" si="25"/>
        <v>100003BS215</v>
      </c>
      <c r="K120" s="143" t="str">
        <f t="shared" si="26"/>
        <v>100004BS215</v>
      </c>
      <c r="L120" s="143" t="str">
        <f t="shared" si="27"/>
        <v>100005BS215</v>
      </c>
      <c r="M120" s="143" t="str">
        <f t="shared" si="28"/>
        <v>100006BS215</v>
      </c>
      <c r="N120" s="143" t="str">
        <f t="shared" si="29"/>
        <v>100007BS215</v>
      </c>
      <c r="O120" s="143" t="str">
        <f t="shared" si="30"/>
        <v>100008BS215</v>
      </c>
      <c r="P120" s="143" t="str">
        <f t="shared" si="31"/>
        <v>100009BS215</v>
      </c>
      <c r="Q120" s="143" t="str">
        <f t="shared" si="32"/>
        <v>100010BS215</v>
      </c>
      <c r="R120" s="143" t="str">
        <f t="shared" si="33"/>
        <v>100011BS215</v>
      </c>
      <c r="S120" s="143" t="str">
        <f t="shared" si="34"/>
        <v>100012BS215</v>
      </c>
      <c r="T120" s="143" t="str">
        <f t="shared" si="35"/>
        <v>100013BS215</v>
      </c>
      <c r="U120" s="143" t="str">
        <f t="shared" si="36"/>
        <v>100014BS215</v>
      </c>
      <c r="V120" s="143" t="str">
        <f t="shared" si="37"/>
        <v>100015BS215</v>
      </c>
      <c r="W120" s="143" t="str">
        <f t="shared" si="38"/>
        <v>100016BS215</v>
      </c>
      <c r="X120" s="144" t="s">
        <v>658</v>
      </c>
    </row>
    <row r="121" spans="1:24">
      <c r="A121" s="161">
        <v>19</v>
      </c>
      <c r="B121" s="140">
        <f t="shared" si="39"/>
        <v>117</v>
      </c>
      <c r="C121" s="144" t="s">
        <v>653</v>
      </c>
      <c r="D121" s="141" t="s">
        <v>777</v>
      </c>
      <c r="E121" s="142">
        <f t="shared" si="40"/>
        <v>216</v>
      </c>
      <c r="F121" s="142" t="str">
        <f t="shared" si="21"/>
        <v>BS216</v>
      </c>
      <c r="G121" s="143" t="str">
        <f t="shared" si="22"/>
        <v>100000BS216</v>
      </c>
      <c r="H121" s="143" t="str">
        <f t="shared" si="23"/>
        <v>100001BS216</v>
      </c>
      <c r="I121" s="143" t="str">
        <f t="shared" si="24"/>
        <v>100002BS216</v>
      </c>
      <c r="J121" s="143" t="str">
        <f t="shared" si="25"/>
        <v>100003BS216</v>
      </c>
      <c r="K121" s="143" t="str">
        <f t="shared" si="26"/>
        <v>100004BS216</v>
      </c>
      <c r="L121" s="143" t="str">
        <f t="shared" si="27"/>
        <v>100005BS216</v>
      </c>
      <c r="M121" s="143" t="str">
        <f t="shared" si="28"/>
        <v>100006BS216</v>
      </c>
      <c r="N121" s="143" t="str">
        <f t="shared" si="29"/>
        <v>100007BS216</v>
      </c>
      <c r="O121" s="143" t="str">
        <f t="shared" si="30"/>
        <v>100008BS216</v>
      </c>
      <c r="P121" s="143" t="str">
        <f t="shared" si="31"/>
        <v>100009BS216</v>
      </c>
      <c r="Q121" s="143" t="str">
        <f t="shared" si="32"/>
        <v>100010BS216</v>
      </c>
      <c r="R121" s="143" t="str">
        <f t="shared" si="33"/>
        <v>100011BS216</v>
      </c>
      <c r="S121" s="143" t="str">
        <f t="shared" si="34"/>
        <v>100012BS216</v>
      </c>
      <c r="T121" s="143" t="str">
        <f t="shared" si="35"/>
        <v>100013BS216</v>
      </c>
      <c r="U121" s="143" t="str">
        <f t="shared" si="36"/>
        <v>100014BS216</v>
      </c>
      <c r="V121" s="143" t="str">
        <f t="shared" si="37"/>
        <v>100015BS216</v>
      </c>
      <c r="W121" s="143" t="str">
        <f t="shared" si="38"/>
        <v>100016BS216</v>
      </c>
      <c r="X121" s="144" t="s">
        <v>653</v>
      </c>
    </row>
    <row r="122" spans="1:24">
      <c r="A122" s="161">
        <v>19</v>
      </c>
      <c r="B122" s="140">
        <f t="shared" si="39"/>
        <v>118</v>
      </c>
      <c r="C122" s="144" t="s">
        <v>195</v>
      </c>
      <c r="D122" s="141" t="s">
        <v>777</v>
      </c>
      <c r="E122" s="142">
        <f t="shared" si="40"/>
        <v>217</v>
      </c>
      <c r="F122" s="142" t="str">
        <f t="shared" si="21"/>
        <v>BS217</v>
      </c>
      <c r="G122" s="143" t="str">
        <f t="shared" si="22"/>
        <v>100000BS217</v>
      </c>
      <c r="H122" s="143" t="str">
        <f t="shared" si="23"/>
        <v>100001BS217</v>
      </c>
      <c r="I122" s="143" t="str">
        <f t="shared" si="24"/>
        <v>100002BS217</v>
      </c>
      <c r="J122" s="143" t="str">
        <f t="shared" si="25"/>
        <v>100003BS217</v>
      </c>
      <c r="K122" s="143" t="str">
        <f t="shared" si="26"/>
        <v>100004BS217</v>
      </c>
      <c r="L122" s="143" t="str">
        <f t="shared" si="27"/>
        <v>100005BS217</v>
      </c>
      <c r="M122" s="143" t="str">
        <f t="shared" si="28"/>
        <v>100006BS217</v>
      </c>
      <c r="N122" s="143" t="str">
        <f t="shared" si="29"/>
        <v>100007BS217</v>
      </c>
      <c r="O122" s="143" t="str">
        <f t="shared" si="30"/>
        <v>100008BS217</v>
      </c>
      <c r="P122" s="143" t="str">
        <f t="shared" si="31"/>
        <v>100009BS217</v>
      </c>
      <c r="Q122" s="143" t="str">
        <f t="shared" si="32"/>
        <v>100010BS217</v>
      </c>
      <c r="R122" s="143" t="str">
        <f t="shared" si="33"/>
        <v>100011BS217</v>
      </c>
      <c r="S122" s="143" t="str">
        <f t="shared" si="34"/>
        <v>100012BS217</v>
      </c>
      <c r="T122" s="143" t="str">
        <f t="shared" si="35"/>
        <v>100013BS217</v>
      </c>
      <c r="U122" s="143" t="str">
        <f t="shared" si="36"/>
        <v>100014BS217</v>
      </c>
      <c r="V122" s="143" t="str">
        <f t="shared" si="37"/>
        <v>100015BS217</v>
      </c>
      <c r="W122" s="143" t="str">
        <f t="shared" si="38"/>
        <v>100016BS217</v>
      </c>
      <c r="X122" s="144" t="s">
        <v>195</v>
      </c>
    </row>
    <row r="123" spans="1:24">
      <c r="A123" s="161">
        <v>19</v>
      </c>
      <c r="B123" s="140">
        <f t="shared" si="39"/>
        <v>119</v>
      </c>
      <c r="C123" s="144" t="s">
        <v>196</v>
      </c>
      <c r="D123" s="141" t="s">
        <v>777</v>
      </c>
      <c r="E123" s="142">
        <f t="shared" si="40"/>
        <v>218</v>
      </c>
      <c r="F123" s="142" t="str">
        <f t="shared" si="21"/>
        <v>BS218</v>
      </c>
      <c r="G123" s="143" t="str">
        <f t="shared" si="22"/>
        <v>100000BS218</v>
      </c>
      <c r="H123" s="143" t="str">
        <f t="shared" si="23"/>
        <v>100001BS218</v>
      </c>
      <c r="I123" s="143" t="str">
        <f t="shared" si="24"/>
        <v>100002BS218</v>
      </c>
      <c r="J123" s="143" t="str">
        <f t="shared" si="25"/>
        <v>100003BS218</v>
      </c>
      <c r="K123" s="143" t="str">
        <f t="shared" si="26"/>
        <v>100004BS218</v>
      </c>
      <c r="L123" s="143" t="str">
        <f t="shared" si="27"/>
        <v>100005BS218</v>
      </c>
      <c r="M123" s="143" t="str">
        <f t="shared" si="28"/>
        <v>100006BS218</v>
      </c>
      <c r="N123" s="143" t="str">
        <f t="shared" si="29"/>
        <v>100007BS218</v>
      </c>
      <c r="O123" s="143" t="str">
        <f t="shared" si="30"/>
        <v>100008BS218</v>
      </c>
      <c r="P123" s="143" t="str">
        <f t="shared" si="31"/>
        <v>100009BS218</v>
      </c>
      <c r="Q123" s="143" t="str">
        <f t="shared" si="32"/>
        <v>100010BS218</v>
      </c>
      <c r="R123" s="143" t="str">
        <f t="shared" si="33"/>
        <v>100011BS218</v>
      </c>
      <c r="S123" s="143" t="str">
        <f t="shared" si="34"/>
        <v>100012BS218</v>
      </c>
      <c r="T123" s="143" t="str">
        <f t="shared" si="35"/>
        <v>100013BS218</v>
      </c>
      <c r="U123" s="143" t="str">
        <f t="shared" si="36"/>
        <v>100014BS218</v>
      </c>
      <c r="V123" s="143" t="str">
        <f t="shared" si="37"/>
        <v>100015BS218</v>
      </c>
      <c r="W123" s="143" t="str">
        <f t="shared" si="38"/>
        <v>100016BS218</v>
      </c>
      <c r="X123" s="144" t="s">
        <v>196</v>
      </c>
    </row>
    <row r="124" spans="1:24" ht="25.5">
      <c r="A124" s="161">
        <v>19</v>
      </c>
      <c r="B124" s="140">
        <f t="shared" si="39"/>
        <v>120</v>
      </c>
      <c r="C124" s="144" t="s">
        <v>197</v>
      </c>
      <c r="D124" s="141" t="s">
        <v>777</v>
      </c>
      <c r="E124" s="142">
        <f t="shared" si="40"/>
        <v>219</v>
      </c>
      <c r="F124" s="142" t="str">
        <f t="shared" si="21"/>
        <v>BS219</v>
      </c>
      <c r="G124" s="143" t="str">
        <f t="shared" si="22"/>
        <v>100000BS219</v>
      </c>
      <c r="H124" s="143" t="str">
        <f t="shared" si="23"/>
        <v>100001BS219</v>
      </c>
      <c r="I124" s="143" t="str">
        <f t="shared" si="24"/>
        <v>100002BS219</v>
      </c>
      <c r="J124" s="143" t="str">
        <f t="shared" si="25"/>
        <v>100003BS219</v>
      </c>
      <c r="K124" s="143" t="str">
        <f t="shared" si="26"/>
        <v>100004BS219</v>
      </c>
      <c r="L124" s="143" t="str">
        <f t="shared" si="27"/>
        <v>100005BS219</v>
      </c>
      <c r="M124" s="143" t="str">
        <f t="shared" si="28"/>
        <v>100006BS219</v>
      </c>
      <c r="N124" s="143" t="str">
        <f t="shared" si="29"/>
        <v>100007BS219</v>
      </c>
      <c r="O124" s="143" t="str">
        <f t="shared" si="30"/>
        <v>100008BS219</v>
      </c>
      <c r="P124" s="143" t="str">
        <f t="shared" si="31"/>
        <v>100009BS219</v>
      </c>
      <c r="Q124" s="143" t="str">
        <f t="shared" si="32"/>
        <v>100010BS219</v>
      </c>
      <c r="R124" s="143" t="str">
        <f t="shared" si="33"/>
        <v>100011BS219</v>
      </c>
      <c r="S124" s="143" t="str">
        <f t="shared" si="34"/>
        <v>100012BS219</v>
      </c>
      <c r="T124" s="143" t="str">
        <f t="shared" si="35"/>
        <v>100013BS219</v>
      </c>
      <c r="U124" s="143" t="str">
        <f t="shared" si="36"/>
        <v>100014BS219</v>
      </c>
      <c r="V124" s="143" t="str">
        <f t="shared" si="37"/>
        <v>100015BS219</v>
      </c>
      <c r="W124" s="143" t="str">
        <f t="shared" si="38"/>
        <v>100016BS219</v>
      </c>
      <c r="X124" s="144" t="s">
        <v>197</v>
      </c>
    </row>
    <row r="125" spans="1:24">
      <c r="A125" s="161">
        <v>20</v>
      </c>
      <c r="B125" s="140">
        <f t="shared" si="39"/>
        <v>121</v>
      </c>
      <c r="C125" s="144" t="s">
        <v>855</v>
      </c>
      <c r="D125" s="141" t="s">
        <v>777</v>
      </c>
      <c r="E125" s="142">
        <f t="shared" si="40"/>
        <v>220</v>
      </c>
      <c r="F125" s="142" t="str">
        <f t="shared" si="21"/>
        <v>BS220</v>
      </c>
      <c r="G125" s="143" t="str">
        <f t="shared" si="22"/>
        <v>100000BS220</v>
      </c>
      <c r="H125" s="143" t="str">
        <f t="shared" si="23"/>
        <v>100001BS220</v>
      </c>
      <c r="I125" s="143" t="str">
        <f t="shared" si="24"/>
        <v>100002BS220</v>
      </c>
      <c r="J125" s="143" t="str">
        <f t="shared" si="25"/>
        <v>100003BS220</v>
      </c>
      <c r="K125" s="143" t="str">
        <f t="shared" si="26"/>
        <v>100004BS220</v>
      </c>
      <c r="L125" s="143" t="str">
        <f t="shared" si="27"/>
        <v>100005BS220</v>
      </c>
      <c r="M125" s="143" t="str">
        <f t="shared" si="28"/>
        <v>100006BS220</v>
      </c>
      <c r="N125" s="143" t="str">
        <f t="shared" si="29"/>
        <v>100007BS220</v>
      </c>
      <c r="O125" s="143" t="str">
        <f t="shared" si="30"/>
        <v>100008BS220</v>
      </c>
      <c r="P125" s="143" t="str">
        <f t="shared" si="31"/>
        <v>100009BS220</v>
      </c>
      <c r="Q125" s="143" t="str">
        <f t="shared" si="32"/>
        <v>100010BS220</v>
      </c>
      <c r="R125" s="143" t="str">
        <f t="shared" si="33"/>
        <v>100011BS220</v>
      </c>
      <c r="S125" s="143" t="str">
        <f t="shared" si="34"/>
        <v>100012BS220</v>
      </c>
      <c r="T125" s="143" t="str">
        <f t="shared" si="35"/>
        <v>100013BS220</v>
      </c>
      <c r="U125" s="143" t="str">
        <f t="shared" si="36"/>
        <v>100014BS220</v>
      </c>
      <c r="V125" s="143" t="str">
        <f t="shared" si="37"/>
        <v>100015BS220</v>
      </c>
      <c r="W125" s="143" t="str">
        <f t="shared" si="38"/>
        <v>100016BS220</v>
      </c>
      <c r="X125" s="144" t="s">
        <v>855</v>
      </c>
    </row>
    <row r="126" spans="1:24">
      <c r="A126" s="161">
        <v>20</v>
      </c>
      <c r="B126" s="140">
        <f t="shared" si="39"/>
        <v>122</v>
      </c>
      <c r="C126" s="144" t="s">
        <v>856</v>
      </c>
      <c r="D126" s="141" t="s">
        <v>777</v>
      </c>
      <c r="E126" s="142">
        <f t="shared" si="40"/>
        <v>221</v>
      </c>
      <c r="F126" s="142" t="str">
        <f t="shared" si="21"/>
        <v>BS221</v>
      </c>
      <c r="G126" s="143" t="str">
        <f t="shared" si="22"/>
        <v>100000BS221</v>
      </c>
      <c r="H126" s="143" t="str">
        <f t="shared" si="23"/>
        <v>100001BS221</v>
      </c>
      <c r="I126" s="143" t="str">
        <f t="shared" si="24"/>
        <v>100002BS221</v>
      </c>
      <c r="J126" s="143" t="str">
        <f t="shared" si="25"/>
        <v>100003BS221</v>
      </c>
      <c r="K126" s="143" t="str">
        <f t="shared" si="26"/>
        <v>100004BS221</v>
      </c>
      <c r="L126" s="143" t="str">
        <f t="shared" si="27"/>
        <v>100005BS221</v>
      </c>
      <c r="M126" s="143" t="str">
        <f t="shared" si="28"/>
        <v>100006BS221</v>
      </c>
      <c r="N126" s="143" t="str">
        <f t="shared" si="29"/>
        <v>100007BS221</v>
      </c>
      <c r="O126" s="143" t="str">
        <f t="shared" si="30"/>
        <v>100008BS221</v>
      </c>
      <c r="P126" s="143" t="str">
        <f t="shared" si="31"/>
        <v>100009BS221</v>
      </c>
      <c r="Q126" s="143" t="str">
        <f t="shared" si="32"/>
        <v>100010BS221</v>
      </c>
      <c r="R126" s="143" t="str">
        <f t="shared" si="33"/>
        <v>100011BS221</v>
      </c>
      <c r="S126" s="143" t="str">
        <f t="shared" si="34"/>
        <v>100012BS221</v>
      </c>
      <c r="T126" s="143" t="str">
        <f t="shared" si="35"/>
        <v>100013BS221</v>
      </c>
      <c r="U126" s="143" t="str">
        <f t="shared" si="36"/>
        <v>100014BS221</v>
      </c>
      <c r="V126" s="143" t="str">
        <f t="shared" si="37"/>
        <v>100015BS221</v>
      </c>
      <c r="W126" s="143" t="str">
        <f t="shared" si="38"/>
        <v>100016BS221</v>
      </c>
      <c r="X126" s="144" t="s">
        <v>856</v>
      </c>
    </row>
    <row r="127" spans="1:24">
      <c r="A127" s="161">
        <v>20</v>
      </c>
      <c r="B127" s="140">
        <f t="shared" si="39"/>
        <v>123</v>
      </c>
      <c r="C127" s="144" t="s">
        <v>857</v>
      </c>
      <c r="D127" s="141" t="s">
        <v>777</v>
      </c>
      <c r="E127" s="142">
        <f t="shared" si="40"/>
        <v>222</v>
      </c>
      <c r="F127" s="142" t="str">
        <f t="shared" si="21"/>
        <v>BS222</v>
      </c>
      <c r="G127" s="143" t="str">
        <f t="shared" si="22"/>
        <v>100000BS222</v>
      </c>
      <c r="H127" s="143" t="str">
        <f t="shared" si="23"/>
        <v>100001BS222</v>
      </c>
      <c r="I127" s="143" t="str">
        <f t="shared" si="24"/>
        <v>100002BS222</v>
      </c>
      <c r="J127" s="143" t="str">
        <f t="shared" si="25"/>
        <v>100003BS222</v>
      </c>
      <c r="K127" s="143" t="str">
        <f t="shared" si="26"/>
        <v>100004BS222</v>
      </c>
      <c r="L127" s="143" t="str">
        <f t="shared" si="27"/>
        <v>100005BS222</v>
      </c>
      <c r="M127" s="143" t="str">
        <f t="shared" si="28"/>
        <v>100006BS222</v>
      </c>
      <c r="N127" s="143" t="str">
        <f t="shared" si="29"/>
        <v>100007BS222</v>
      </c>
      <c r="O127" s="143" t="str">
        <f t="shared" si="30"/>
        <v>100008BS222</v>
      </c>
      <c r="P127" s="143" t="str">
        <f t="shared" si="31"/>
        <v>100009BS222</v>
      </c>
      <c r="Q127" s="143" t="str">
        <f t="shared" si="32"/>
        <v>100010BS222</v>
      </c>
      <c r="R127" s="143" t="str">
        <f t="shared" si="33"/>
        <v>100011BS222</v>
      </c>
      <c r="S127" s="143" t="str">
        <f t="shared" si="34"/>
        <v>100012BS222</v>
      </c>
      <c r="T127" s="143" t="str">
        <f t="shared" si="35"/>
        <v>100013BS222</v>
      </c>
      <c r="U127" s="143" t="str">
        <f t="shared" si="36"/>
        <v>100014BS222</v>
      </c>
      <c r="V127" s="143" t="str">
        <f t="shared" si="37"/>
        <v>100015BS222</v>
      </c>
      <c r="W127" s="143" t="str">
        <f t="shared" si="38"/>
        <v>100016BS222</v>
      </c>
      <c r="X127" s="144" t="s">
        <v>857</v>
      </c>
    </row>
    <row r="128" spans="1:24">
      <c r="A128" s="161">
        <v>20</v>
      </c>
      <c r="B128" s="140">
        <f t="shared" si="39"/>
        <v>124</v>
      </c>
      <c r="C128" s="144" t="s">
        <v>858</v>
      </c>
      <c r="D128" s="141" t="s">
        <v>777</v>
      </c>
      <c r="E128" s="142">
        <f t="shared" si="40"/>
        <v>223</v>
      </c>
      <c r="F128" s="142" t="str">
        <f t="shared" si="21"/>
        <v>BS223</v>
      </c>
      <c r="G128" s="143" t="str">
        <f t="shared" si="22"/>
        <v>100000BS223</v>
      </c>
      <c r="H128" s="143" t="str">
        <f t="shared" si="23"/>
        <v>100001BS223</v>
      </c>
      <c r="I128" s="143" t="str">
        <f t="shared" si="24"/>
        <v>100002BS223</v>
      </c>
      <c r="J128" s="143" t="str">
        <f t="shared" si="25"/>
        <v>100003BS223</v>
      </c>
      <c r="K128" s="143" t="str">
        <f t="shared" si="26"/>
        <v>100004BS223</v>
      </c>
      <c r="L128" s="143" t="str">
        <f t="shared" si="27"/>
        <v>100005BS223</v>
      </c>
      <c r="M128" s="143" t="str">
        <f t="shared" si="28"/>
        <v>100006BS223</v>
      </c>
      <c r="N128" s="143" t="str">
        <f t="shared" si="29"/>
        <v>100007BS223</v>
      </c>
      <c r="O128" s="143" t="str">
        <f t="shared" si="30"/>
        <v>100008BS223</v>
      </c>
      <c r="P128" s="143" t="str">
        <f t="shared" si="31"/>
        <v>100009BS223</v>
      </c>
      <c r="Q128" s="143" t="str">
        <f t="shared" si="32"/>
        <v>100010BS223</v>
      </c>
      <c r="R128" s="143" t="str">
        <f t="shared" si="33"/>
        <v>100011BS223</v>
      </c>
      <c r="S128" s="143" t="str">
        <f t="shared" si="34"/>
        <v>100012BS223</v>
      </c>
      <c r="T128" s="143" t="str">
        <f t="shared" si="35"/>
        <v>100013BS223</v>
      </c>
      <c r="U128" s="143" t="str">
        <f t="shared" si="36"/>
        <v>100014BS223</v>
      </c>
      <c r="V128" s="143" t="str">
        <f t="shared" si="37"/>
        <v>100015BS223</v>
      </c>
      <c r="W128" s="143" t="str">
        <f t="shared" si="38"/>
        <v>100016BS223</v>
      </c>
      <c r="X128" s="144" t="s">
        <v>858</v>
      </c>
    </row>
    <row r="129" spans="1:24" ht="25.5">
      <c r="A129" s="161">
        <v>20</v>
      </c>
      <c r="B129" s="140">
        <f t="shared" si="39"/>
        <v>125</v>
      </c>
      <c r="C129" s="144" t="s">
        <v>859</v>
      </c>
      <c r="D129" s="141" t="s">
        <v>777</v>
      </c>
      <c r="E129" s="142">
        <f t="shared" si="40"/>
        <v>224</v>
      </c>
      <c r="F129" s="142" t="str">
        <f t="shared" si="21"/>
        <v>BS224</v>
      </c>
      <c r="G129" s="143" t="str">
        <f t="shared" si="22"/>
        <v>100000BS224</v>
      </c>
      <c r="H129" s="143" t="str">
        <f t="shared" si="23"/>
        <v>100001BS224</v>
      </c>
      <c r="I129" s="143" t="str">
        <f t="shared" si="24"/>
        <v>100002BS224</v>
      </c>
      <c r="J129" s="143" t="str">
        <f t="shared" si="25"/>
        <v>100003BS224</v>
      </c>
      <c r="K129" s="143" t="str">
        <f t="shared" si="26"/>
        <v>100004BS224</v>
      </c>
      <c r="L129" s="143" t="str">
        <f t="shared" si="27"/>
        <v>100005BS224</v>
      </c>
      <c r="M129" s="143" t="str">
        <f t="shared" si="28"/>
        <v>100006BS224</v>
      </c>
      <c r="N129" s="143" t="str">
        <f t="shared" si="29"/>
        <v>100007BS224</v>
      </c>
      <c r="O129" s="143" t="str">
        <f t="shared" si="30"/>
        <v>100008BS224</v>
      </c>
      <c r="P129" s="143" t="str">
        <f t="shared" si="31"/>
        <v>100009BS224</v>
      </c>
      <c r="Q129" s="143" t="str">
        <f t="shared" si="32"/>
        <v>100010BS224</v>
      </c>
      <c r="R129" s="143" t="str">
        <f t="shared" si="33"/>
        <v>100011BS224</v>
      </c>
      <c r="S129" s="143" t="str">
        <f t="shared" si="34"/>
        <v>100012BS224</v>
      </c>
      <c r="T129" s="143" t="str">
        <f t="shared" si="35"/>
        <v>100013BS224</v>
      </c>
      <c r="U129" s="143" t="str">
        <f t="shared" si="36"/>
        <v>100014BS224</v>
      </c>
      <c r="V129" s="143" t="str">
        <f t="shared" si="37"/>
        <v>100015BS224</v>
      </c>
      <c r="W129" s="143" t="str">
        <f t="shared" si="38"/>
        <v>100016BS224</v>
      </c>
      <c r="X129" s="144" t="s">
        <v>859</v>
      </c>
    </row>
    <row r="130" spans="1:24" ht="25.5">
      <c r="A130" s="161">
        <v>20</v>
      </c>
      <c r="B130" s="140">
        <f t="shared" si="39"/>
        <v>126</v>
      </c>
      <c r="C130" s="144" t="s">
        <v>719</v>
      </c>
      <c r="D130" s="141" t="s">
        <v>777</v>
      </c>
      <c r="E130" s="142">
        <f t="shared" si="40"/>
        <v>225</v>
      </c>
      <c r="F130" s="142" t="str">
        <f t="shared" si="21"/>
        <v>BS225</v>
      </c>
      <c r="G130" s="143" t="str">
        <f t="shared" si="22"/>
        <v>100000BS225</v>
      </c>
      <c r="H130" s="143" t="str">
        <f t="shared" si="23"/>
        <v>100001BS225</v>
      </c>
      <c r="I130" s="143" t="str">
        <f t="shared" si="24"/>
        <v>100002BS225</v>
      </c>
      <c r="J130" s="143" t="str">
        <f t="shared" si="25"/>
        <v>100003BS225</v>
      </c>
      <c r="K130" s="143" t="str">
        <f t="shared" si="26"/>
        <v>100004BS225</v>
      </c>
      <c r="L130" s="143" t="str">
        <f t="shared" si="27"/>
        <v>100005BS225</v>
      </c>
      <c r="M130" s="143" t="str">
        <f t="shared" si="28"/>
        <v>100006BS225</v>
      </c>
      <c r="N130" s="143" t="str">
        <f t="shared" si="29"/>
        <v>100007BS225</v>
      </c>
      <c r="O130" s="143" t="str">
        <f t="shared" si="30"/>
        <v>100008BS225</v>
      </c>
      <c r="P130" s="143" t="str">
        <f t="shared" si="31"/>
        <v>100009BS225</v>
      </c>
      <c r="Q130" s="143" t="str">
        <f t="shared" si="32"/>
        <v>100010BS225</v>
      </c>
      <c r="R130" s="143" t="str">
        <f t="shared" si="33"/>
        <v>100011BS225</v>
      </c>
      <c r="S130" s="143" t="str">
        <f t="shared" si="34"/>
        <v>100012BS225</v>
      </c>
      <c r="T130" s="143" t="str">
        <f t="shared" si="35"/>
        <v>100013BS225</v>
      </c>
      <c r="U130" s="143" t="str">
        <f t="shared" si="36"/>
        <v>100014BS225</v>
      </c>
      <c r="V130" s="143" t="str">
        <f t="shared" si="37"/>
        <v>100015BS225</v>
      </c>
      <c r="W130" s="143" t="str">
        <f t="shared" si="38"/>
        <v>100016BS225</v>
      </c>
      <c r="X130" s="144" t="s">
        <v>719</v>
      </c>
    </row>
    <row r="131" spans="1:24">
      <c r="A131" s="161">
        <v>20</v>
      </c>
      <c r="B131" s="140">
        <f t="shared" si="39"/>
        <v>127</v>
      </c>
      <c r="C131" s="144" t="s">
        <v>860</v>
      </c>
      <c r="D131" s="141" t="s">
        <v>777</v>
      </c>
      <c r="E131" s="142">
        <f t="shared" si="40"/>
        <v>226</v>
      </c>
      <c r="F131" s="142" t="str">
        <f t="shared" si="21"/>
        <v>BS226</v>
      </c>
      <c r="G131" s="143" t="str">
        <f t="shared" si="22"/>
        <v>100000BS226</v>
      </c>
      <c r="H131" s="143" t="str">
        <f t="shared" si="23"/>
        <v>100001BS226</v>
      </c>
      <c r="I131" s="143" t="str">
        <f t="shared" si="24"/>
        <v>100002BS226</v>
      </c>
      <c r="J131" s="143" t="str">
        <f t="shared" si="25"/>
        <v>100003BS226</v>
      </c>
      <c r="K131" s="143" t="str">
        <f t="shared" si="26"/>
        <v>100004BS226</v>
      </c>
      <c r="L131" s="143" t="str">
        <f t="shared" si="27"/>
        <v>100005BS226</v>
      </c>
      <c r="M131" s="143" t="str">
        <f t="shared" si="28"/>
        <v>100006BS226</v>
      </c>
      <c r="N131" s="143" t="str">
        <f t="shared" si="29"/>
        <v>100007BS226</v>
      </c>
      <c r="O131" s="143" t="str">
        <f t="shared" si="30"/>
        <v>100008BS226</v>
      </c>
      <c r="P131" s="143" t="str">
        <f t="shared" si="31"/>
        <v>100009BS226</v>
      </c>
      <c r="Q131" s="143" t="str">
        <f t="shared" si="32"/>
        <v>100010BS226</v>
      </c>
      <c r="R131" s="143" t="str">
        <f t="shared" si="33"/>
        <v>100011BS226</v>
      </c>
      <c r="S131" s="143" t="str">
        <f t="shared" si="34"/>
        <v>100012BS226</v>
      </c>
      <c r="T131" s="143" t="str">
        <f t="shared" si="35"/>
        <v>100013BS226</v>
      </c>
      <c r="U131" s="143" t="str">
        <f t="shared" si="36"/>
        <v>100014BS226</v>
      </c>
      <c r="V131" s="143" t="str">
        <f t="shared" si="37"/>
        <v>100015BS226</v>
      </c>
      <c r="W131" s="143" t="str">
        <f t="shared" si="38"/>
        <v>100016BS226</v>
      </c>
      <c r="X131" s="144" t="s">
        <v>860</v>
      </c>
    </row>
    <row r="132" spans="1:24">
      <c r="A132" s="161">
        <v>20</v>
      </c>
      <c r="B132" s="140">
        <f t="shared" si="39"/>
        <v>128</v>
      </c>
      <c r="C132" s="144" t="s">
        <v>861</v>
      </c>
      <c r="D132" s="141" t="s">
        <v>777</v>
      </c>
      <c r="E132" s="142">
        <f t="shared" si="40"/>
        <v>227</v>
      </c>
      <c r="F132" s="142" t="str">
        <f t="shared" si="21"/>
        <v>BS227</v>
      </c>
      <c r="G132" s="143" t="str">
        <f t="shared" si="22"/>
        <v>100000BS227</v>
      </c>
      <c r="H132" s="143" t="str">
        <f t="shared" si="23"/>
        <v>100001BS227</v>
      </c>
      <c r="I132" s="143" t="str">
        <f t="shared" si="24"/>
        <v>100002BS227</v>
      </c>
      <c r="J132" s="143" t="str">
        <f t="shared" si="25"/>
        <v>100003BS227</v>
      </c>
      <c r="K132" s="143" t="str">
        <f t="shared" si="26"/>
        <v>100004BS227</v>
      </c>
      <c r="L132" s="143" t="str">
        <f t="shared" si="27"/>
        <v>100005BS227</v>
      </c>
      <c r="M132" s="143" t="str">
        <f t="shared" si="28"/>
        <v>100006BS227</v>
      </c>
      <c r="N132" s="143" t="str">
        <f t="shared" si="29"/>
        <v>100007BS227</v>
      </c>
      <c r="O132" s="143" t="str">
        <f t="shared" si="30"/>
        <v>100008BS227</v>
      </c>
      <c r="P132" s="143" t="str">
        <f t="shared" si="31"/>
        <v>100009BS227</v>
      </c>
      <c r="Q132" s="143" t="str">
        <f t="shared" si="32"/>
        <v>100010BS227</v>
      </c>
      <c r="R132" s="143" t="str">
        <f t="shared" si="33"/>
        <v>100011BS227</v>
      </c>
      <c r="S132" s="143" t="str">
        <f t="shared" si="34"/>
        <v>100012BS227</v>
      </c>
      <c r="T132" s="143" t="str">
        <f t="shared" si="35"/>
        <v>100013BS227</v>
      </c>
      <c r="U132" s="143" t="str">
        <f t="shared" si="36"/>
        <v>100014BS227</v>
      </c>
      <c r="V132" s="143" t="str">
        <f t="shared" si="37"/>
        <v>100015BS227</v>
      </c>
      <c r="W132" s="143" t="str">
        <f t="shared" si="38"/>
        <v>100016BS227</v>
      </c>
      <c r="X132" s="144" t="s">
        <v>861</v>
      </c>
    </row>
    <row r="133" spans="1:24">
      <c r="A133" s="161">
        <v>20</v>
      </c>
      <c r="B133" s="140">
        <f>B132+1</f>
        <v>129</v>
      </c>
      <c r="C133" s="144" t="s">
        <v>862</v>
      </c>
      <c r="D133" s="141" t="s">
        <v>777</v>
      </c>
      <c r="E133" s="142">
        <f>E132+1</f>
        <v>228</v>
      </c>
      <c r="F133" s="142" t="str">
        <f t="shared" si="21"/>
        <v>BS228</v>
      </c>
      <c r="G133" s="143" t="str">
        <f t="shared" si="22"/>
        <v>100000BS228</v>
      </c>
      <c r="H133" s="143" t="str">
        <f t="shared" si="23"/>
        <v>100001BS228</v>
      </c>
      <c r="I133" s="143" t="str">
        <f t="shared" si="24"/>
        <v>100002BS228</v>
      </c>
      <c r="J133" s="143" t="str">
        <f t="shared" si="25"/>
        <v>100003BS228</v>
      </c>
      <c r="K133" s="143" t="str">
        <f t="shared" si="26"/>
        <v>100004BS228</v>
      </c>
      <c r="L133" s="143" t="str">
        <f t="shared" si="27"/>
        <v>100005BS228</v>
      </c>
      <c r="M133" s="143" t="str">
        <f t="shared" si="28"/>
        <v>100006BS228</v>
      </c>
      <c r="N133" s="143" t="str">
        <f t="shared" si="29"/>
        <v>100007BS228</v>
      </c>
      <c r="O133" s="143" t="str">
        <f t="shared" si="30"/>
        <v>100008BS228</v>
      </c>
      <c r="P133" s="143" t="str">
        <f t="shared" si="31"/>
        <v>100009BS228</v>
      </c>
      <c r="Q133" s="143" t="str">
        <f t="shared" si="32"/>
        <v>100010BS228</v>
      </c>
      <c r="R133" s="143" t="str">
        <f t="shared" si="33"/>
        <v>100011BS228</v>
      </c>
      <c r="S133" s="143" t="str">
        <f t="shared" si="34"/>
        <v>100012BS228</v>
      </c>
      <c r="T133" s="143" t="str">
        <f t="shared" si="35"/>
        <v>100013BS228</v>
      </c>
      <c r="U133" s="143" t="str">
        <f t="shared" si="36"/>
        <v>100014BS228</v>
      </c>
      <c r="V133" s="143" t="str">
        <f t="shared" si="37"/>
        <v>100015BS228</v>
      </c>
      <c r="W133" s="143" t="str">
        <f t="shared" si="38"/>
        <v>100016BS228</v>
      </c>
      <c r="X133" s="144" t="s">
        <v>862</v>
      </c>
    </row>
    <row r="134" spans="1:24">
      <c r="A134" s="161">
        <v>20</v>
      </c>
      <c r="B134" s="140">
        <f t="shared" ref="B134:B197" si="41">B133+1</f>
        <v>130</v>
      </c>
      <c r="C134" s="144" t="s">
        <v>718</v>
      </c>
      <c r="D134" s="141" t="s">
        <v>777</v>
      </c>
      <c r="E134" s="142">
        <f t="shared" si="40"/>
        <v>229</v>
      </c>
      <c r="F134" s="142" t="str">
        <f t="shared" ref="F134:F197" si="42">D134&amp;E134</f>
        <v>BS229</v>
      </c>
      <c r="G134" s="143" t="str">
        <f t="shared" ref="G134:G197" si="43">$G$2&amp;$F134</f>
        <v>100000BS229</v>
      </c>
      <c r="H134" s="143" t="str">
        <f t="shared" ref="H134:H197" si="44">$H$2&amp;$F134</f>
        <v>100001BS229</v>
      </c>
      <c r="I134" s="143" t="str">
        <f t="shared" ref="I134:I197" si="45">$I$2&amp;$F134</f>
        <v>100002BS229</v>
      </c>
      <c r="J134" s="143" t="str">
        <f t="shared" ref="J134:J197" si="46">$J$2&amp;$F134</f>
        <v>100003BS229</v>
      </c>
      <c r="K134" s="143" t="str">
        <f t="shared" ref="K134:K197" si="47">$K$2&amp;$F134</f>
        <v>100004BS229</v>
      </c>
      <c r="L134" s="143" t="str">
        <f t="shared" ref="L134:L197" si="48">$L$2&amp;$F134</f>
        <v>100005BS229</v>
      </c>
      <c r="M134" s="143" t="str">
        <f t="shared" ref="M134:M197" si="49">$M$2&amp;$F134</f>
        <v>100006BS229</v>
      </c>
      <c r="N134" s="143" t="str">
        <f t="shared" ref="N134:N197" si="50">$N$2&amp;$F134</f>
        <v>100007BS229</v>
      </c>
      <c r="O134" s="143" t="str">
        <f t="shared" ref="O134:O197" si="51">$O$2&amp;$F134</f>
        <v>100008BS229</v>
      </c>
      <c r="P134" s="143" t="str">
        <f t="shared" ref="P134:P197" si="52">$P$2&amp;$F134</f>
        <v>100009BS229</v>
      </c>
      <c r="Q134" s="143" t="str">
        <f t="shared" ref="Q134:Q197" si="53">$Q$2&amp;$F134</f>
        <v>100010BS229</v>
      </c>
      <c r="R134" s="143" t="str">
        <f t="shared" ref="R134:R197" si="54">$R$2&amp;$F134</f>
        <v>100011BS229</v>
      </c>
      <c r="S134" s="143" t="str">
        <f t="shared" ref="S134:S197" si="55">$S$2&amp;$F134</f>
        <v>100012BS229</v>
      </c>
      <c r="T134" s="143" t="str">
        <f t="shared" ref="T134:T197" si="56">$T$2&amp;$F134</f>
        <v>100013BS229</v>
      </c>
      <c r="U134" s="143" t="str">
        <f t="shared" ref="U134:U197" si="57">$U$2&amp;$F134</f>
        <v>100014BS229</v>
      </c>
      <c r="V134" s="143" t="str">
        <f t="shared" ref="V134:V197" si="58">$V$2&amp;$F134</f>
        <v>100015BS229</v>
      </c>
      <c r="W134" s="143" t="str">
        <f t="shared" ref="W134:W197" si="59">$W$2&amp;$F134</f>
        <v>100016BS229</v>
      </c>
      <c r="X134" s="144" t="s">
        <v>718</v>
      </c>
    </row>
    <row r="135" spans="1:24">
      <c r="A135" s="161">
        <v>20</v>
      </c>
      <c r="B135" s="140">
        <f t="shared" si="41"/>
        <v>131</v>
      </c>
      <c r="C135" s="145" t="s">
        <v>736</v>
      </c>
      <c r="D135" s="141" t="s">
        <v>777</v>
      </c>
      <c r="E135" s="142">
        <f t="shared" ref="E135:E168" si="60">E134+1</f>
        <v>230</v>
      </c>
      <c r="F135" s="142" t="str">
        <f t="shared" si="42"/>
        <v>BS230</v>
      </c>
      <c r="G135" s="143" t="str">
        <f t="shared" si="43"/>
        <v>100000BS230</v>
      </c>
      <c r="H135" s="143" t="str">
        <f t="shared" si="44"/>
        <v>100001BS230</v>
      </c>
      <c r="I135" s="143" t="str">
        <f t="shared" si="45"/>
        <v>100002BS230</v>
      </c>
      <c r="J135" s="143" t="str">
        <f t="shared" si="46"/>
        <v>100003BS230</v>
      </c>
      <c r="K135" s="143" t="str">
        <f t="shared" si="47"/>
        <v>100004BS230</v>
      </c>
      <c r="L135" s="143" t="str">
        <f t="shared" si="48"/>
        <v>100005BS230</v>
      </c>
      <c r="M135" s="143" t="str">
        <f t="shared" si="49"/>
        <v>100006BS230</v>
      </c>
      <c r="N135" s="143" t="str">
        <f t="shared" si="50"/>
        <v>100007BS230</v>
      </c>
      <c r="O135" s="143" t="str">
        <f t="shared" si="51"/>
        <v>100008BS230</v>
      </c>
      <c r="P135" s="143" t="str">
        <f t="shared" si="52"/>
        <v>100009BS230</v>
      </c>
      <c r="Q135" s="143" t="str">
        <f t="shared" si="53"/>
        <v>100010BS230</v>
      </c>
      <c r="R135" s="143" t="str">
        <f t="shared" si="54"/>
        <v>100011BS230</v>
      </c>
      <c r="S135" s="143" t="str">
        <f t="shared" si="55"/>
        <v>100012BS230</v>
      </c>
      <c r="T135" s="143" t="str">
        <f t="shared" si="56"/>
        <v>100013BS230</v>
      </c>
      <c r="U135" s="143" t="str">
        <f t="shared" si="57"/>
        <v>100014BS230</v>
      </c>
      <c r="V135" s="143" t="str">
        <f t="shared" si="58"/>
        <v>100015BS230</v>
      </c>
      <c r="W135" s="143" t="str">
        <f t="shared" si="59"/>
        <v>100016BS230</v>
      </c>
      <c r="X135" s="145" t="s">
        <v>736</v>
      </c>
    </row>
    <row r="136" spans="1:24">
      <c r="A136" s="161">
        <v>20</v>
      </c>
      <c r="B136" s="140">
        <f t="shared" si="41"/>
        <v>132</v>
      </c>
      <c r="C136" s="145" t="s">
        <v>652</v>
      </c>
      <c r="D136" s="141" t="s">
        <v>777</v>
      </c>
      <c r="E136" s="142">
        <f t="shared" si="60"/>
        <v>231</v>
      </c>
      <c r="F136" s="142" t="str">
        <f t="shared" si="42"/>
        <v>BS231</v>
      </c>
      <c r="G136" s="143" t="str">
        <f t="shared" si="43"/>
        <v>100000BS231</v>
      </c>
      <c r="H136" s="143" t="str">
        <f t="shared" si="44"/>
        <v>100001BS231</v>
      </c>
      <c r="I136" s="143" t="str">
        <f t="shared" si="45"/>
        <v>100002BS231</v>
      </c>
      <c r="J136" s="143" t="str">
        <f t="shared" si="46"/>
        <v>100003BS231</v>
      </c>
      <c r="K136" s="143" t="str">
        <f t="shared" si="47"/>
        <v>100004BS231</v>
      </c>
      <c r="L136" s="143" t="str">
        <f t="shared" si="48"/>
        <v>100005BS231</v>
      </c>
      <c r="M136" s="143" t="str">
        <f t="shared" si="49"/>
        <v>100006BS231</v>
      </c>
      <c r="N136" s="143" t="str">
        <f t="shared" si="50"/>
        <v>100007BS231</v>
      </c>
      <c r="O136" s="143" t="str">
        <f t="shared" si="51"/>
        <v>100008BS231</v>
      </c>
      <c r="P136" s="143" t="str">
        <f t="shared" si="52"/>
        <v>100009BS231</v>
      </c>
      <c r="Q136" s="143" t="str">
        <f t="shared" si="53"/>
        <v>100010BS231</v>
      </c>
      <c r="R136" s="143" t="str">
        <f t="shared" si="54"/>
        <v>100011BS231</v>
      </c>
      <c r="S136" s="143" t="str">
        <f t="shared" si="55"/>
        <v>100012BS231</v>
      </c>
      <c r="T136" s="143" t="str">
        <f t="shared" si="56"/>
        <v>100013BS231</v>
      </c>
      <c r="U136" s="143" t="str">
        <f t="shared" si="57"/>
        <v>100014BS231</v>
      </c>
      <c r="V136" s="143" t="str">
        <f t="shared" si="58"/>
        <v>100015BS231</v>
      </c>
      <c r="W136" s="143" t="str">
        <f t="shared" si="59"/>
        <v>100016BS231</v>
      </c>
      <c r="X136" s="145" t="s">
        <v>652</v>
      </c>
    </row>
    <row r="137" spans="1:24">
      <c r="A137" s="161">
        <v>20</v>
      </c>
      <c r="B137" s="140">
        <f t="shared" si="41"/>
        <v>133</v>
      </c>
      <c r="C137" s="145" t="s">
        <v>863</v>
      </c>
      <c r="D137" s="141" t="s">
        <v>777</v>
      </c>
      <c r="E137" s="142">
        <f t="shared" si="60"/>
        <v>232</v>
      </c>
      <c r="F137" s="142" t="str">
        <f t="shared" si="42"/>
        <v>BS232</v>
      </c>
      <c r="G137" s="143" t="str">
        <f t="shared" si="43"/>
        <v>100000BS232</v>
      </c>
      <c r="H137" s="143" t="str">
        <f t="shared" si="44"/>
        <v>100001BS232</v>
      </c>
      <c r="I137" s="143" t="str">
        <f t="shared" si="45"/>
        <v>100002BS232</v>
      </c>
      <c r="J137" s="143" t="str">
        <f t="shared" si="46"/>
        <v>100003BS232</v>
      </c>
      <c r="K137" s="143" t="str">
        <f t="shared" si="47"/>
        <v>100004BS232</v>
      </c>
      <c r="L137" s="143" t="str">
        <f t="shared" si="48"/>
        <v>100005BS232</v>
      </c>
      <c r="M137" s="143" t="str">
        <f t="shared" si="49"/>
        <v>100006BS232</v>
      </c>
      <c r="N137" s="143" t="str">
        <f t="shared" si="50"/>
        <v>100007BS232</v>
      </c>
      <c r="O137" s="143" t="str">
        <f t="shared" si="51"/>
        <v>100008BS232</v>
      </c>
      <c r="P137" s="143" t="str">
        <f t="shared" si="52"/>
        <v>100009BS232</v>
      </c>
      <c r="Q137" s="143" t="str">
        <f t="shared" si="53"/>
        <v>100010BS232</v>
      </c>
      <c r="R137" s="143" t="str">
        <f t="shared" si="54"/>
        <v>100011BS232</v>
      </c>
      <c r="S137" s="143" t="str">
        <f t="shared" si="55"/>
        <v>100012BS232</v>
      </c>
      <c r="T137" s="143" t="str">
        <f t="shared" si="56"/>
        <v>100013BS232</v>
      </c>
      <c r="U137" s="143" t="str">
        <f t="shared" si="57"/>
        <v>100014BS232</v>
      </c>
      <c r="V137" s="143" t="str">
        <f t="shared" si="58"/>
        <v>100015BS232</v>
      </c>
      <c r="W137" s="143" t="str">
        <f t="shared" si="59"/>
        <v>100016BS232</v>
      </c>
      <c r="X137" s="145" t="s">
        <v>863</v>
      </c>
    </row>
    <row r="138" spans="1:24">
      <c r="A138" s="161">
        <v>20</v>
      </c>
      <c r="B138" s="140">
        <f t="shared" si="41"/>
        <v>134</v>
      </c>
      <c r="C138" s="145" t="s">
        <v>651</v>
      </c>
      <c r="D138" s="141" t="s">
        <v>777</v>
      </c>
      <c r="E138" s="142">
        <f t="shared" si="60"/>
        <v>233</v>
      </c>
      <c r="F138" s="142" t="str">
        <f t="shared" si="42"/>
        <v>BS233</v>
      </c>
      <c r="G138" s="143" t="str">
        <f t="shared" si="43"/>
        <v>100000BS233</v>
      </c>
      <c r="H138" s="143" t="str">
        <f t="shared" si="44"/>
        <v>100001BS233</v>
      </c>
      <c r="I138" s="143" t="str">
        <f t="shared" si="45"/>
        <v>100002BS233</v>
      </c>
      <c r="J138" s="143" t="str">
        <f t="shared" si="46"/>
        <v>100003BS233</v>
      </c>
      <c r="K138" s="143" t="str">
        <f t="shared" si="47"/>
        <v>100004BS233</v>
      </c>
      <c r="L138" s="143" t="str">
        <f t="shared" si="48"/>
        <v>100005BS233</v>
      </c>
      <c r="M138" s="143" t="str">
        <f t="shared" si="49"/>
        <v>100006BS233</v>
      </c>
      <c r="N138" s="143" t="str">
        <f t="shared" si="50"/>
        <v>100007BS233</v>
      </c>
      <c r="O138" s="143" t="str">
        <f t="shared" si="51"/>
        <v>100008BS233</v>
      </c>
      <c r="P138" s="143" t="str">
        <f t="shared" si="52"/>
        <v>100009BS233</v>
      </c>
      <c r="Q138" s="143" t="str">
        <f t="shared" si="53"/>
        <v>100010BS233</v>
      </c>
      <c r="R138" s="143" t="str">
        <f t="shared" si="54"/>
        <v>100011BS233</v>
      </c>
      <c r="S138" s="143" t="str">
        <f t="shared" si="55"/>
        <v>100012BS233</v>
      </c>
      <c r="T138" s="143" t="str">
        <f t="shared" si="56"/>
        <v>100013BS233</v>
      </c>
      <c r="U138" s="143" t="str">
        <f t="shared" si="57"/>
        <v>100014BS233</v>
      </c>
      <c r="V138" s="143" t="str">
        <f t="shared" si="58"/>
        <v>100015BS233</v>
      </c>
      <c r="W138" s="143" t="str">
        <f t="shared" si="59"/>
        <v>100016BS233</v>
      </c>
      <c r="X138" s="145" t="s">
        <v>651</v>
      </c>
    </row>
    <row r="139" spans="1:24">
      <c r="A139" s="161">
        <v>20</v>
      </c>
      <c r="B139" s="140">
        <f t="shared" si="41"/>
        <v>135</v>
      </c>
      <c r="C139" s="145" t="s">
        <v>650</v>
      </c>
      <c r="D139" s="141" t="s">
        <v>777</v>
      </c>
      <c r="E139" s="142">
        <f t="shared" si="60"/>
        <v>234</v>
      </c>
      <c r="F139" s="142" t="str">
        <f t="shared" si="42"/>
        <v>BS234</v>
      </c>
      <c r="G139" s="143" t="str">
        <f t="shared" si="43"/>
        <v>100000BS234</v>
      </c>
      <c r="H139" s="143" t="str">
        <f t="shared" si="44"/>
        <v>100001BS234</v>
      </c>
      <c r="I139" s="143" t="str">
        <f t="shared" si="45"/>
        <v>100002BS234</v>
      </c>
      <c r="J139" s="143" t="str">
        <f t="shared" si="46"/>
        <v>100003BS234</v>
      </c>
      <c r="K139" s="143" t="str">
        <f t="shared" si="47"/>
        <v>100004BS234</v>
      </c>
      <c r="L139" s="143" t="str">
        <f t="shared" si="48"/>
        <v>100005BS234</v>
      </c>
      <c r="M139" s="143" t="str">
        <f t="shared" si="49"/>
        <v>100006BS234</v>
      </c>
      <c r="N139" s="143" t="str">
        <f t="shared" si="50"/>
        <v>100007BS234</v>
      </c>
      <c r="O139" s="143" t="str">
        <f t="shared" si="51"/>
        <v>100008BS234</v>
      </c>
      <c r="P139" s="143" t="str">
        <f t="shared" si="52"/>
        <v>100009BS234</v>
      </c>
      <c r="Q139" s="143" t="str">
        <f t="shared" si="53"/>
        <v>100010BS234</v>
      </c>
      <c r="R139" s="143" t="str">
        <f t="shared" si="54"/>
        <v>100011BS234</v>
      </c>
      <c r="S139" s="143" t="str">
        <f t="shared" si="55"/>
        <v>100012BS234</v>
      </c>
      <c r="T139" s="143" t="str">
        <f t="shared" si="56"/>
        <v>100013BS234</v>
      </c>
      <c r="U139" s="143" t="str">
        <f t="shared" si="57"/>
        <v>100014BS234</v>
      </c>
      <c r="V139" s="143" t="str">
        <f t="shared" si="58"/>
        <v>100015BS234</v>
      </c>
      <c r="W139" s="143" t="str">
        <f t="shared" si="59"/>
        <v>100016BS234</v>
      </c>
      <c r="X139" s="145" t="s">
        <v>650</v>
      </c>
    </row>
    <row r="140" spans="1:24">
      <c r="A140" s="161">
        <v>20</v>
      </c>
      <c r="B140" s="140">
        <f t="shared" si="41"/>
        <v>136</v>
      </c>
      <c r="C140" s="145" t="s">
        <v>864</v>
      </c>
      <c r="D140" s="141" t="s">
        <v>777</v>
      </c>
      <c r="E140" s="142">
        <f t="shared" si="60"/>
        <v>235</v>
      </c>
      <c r="F140" s="142" t="str">
        <f t="shared" si="42"/>
        <v>BS235</v>
      </c>
      <c r="G140" s="143" t="str">
        <f t="shared" si="43"/>
        <v>100000BS235</v>
      </c>
      <c r="H140" s="143" t="str">
        <f t="shared" si="44"/>
        <v>100001BS235</v>
      </c>
      <c r="I140" s="143" t="str">
        <f t="shared" si="45"/>
        <v>100002BS235</v>
      </c>
      <c r="J140" s="143" t="str">
        <f t="shared" si="46"/>
        <v>100003BS235</v>
      </c>
      <c r="K140" s="143" t="str">
        <f t="shared" si="47"/>
        <v>100004BS235</v>
      </c>
      <c r="L140" s="143" t="str">
        <f t="shared" si="48"/>
        <v>100005BS235</v>
      </c>
      <c r="M140" s="143" t="str">
        <f t="shared" si="49"/>
        <v>100006BS235</v>
      </c>
      <c r="N140" s="143" t="str">
        <f t="shared" si="50"/>
        <v>100007BS235</v>
      </c>
      <c r="O140" s="143" t="str">
        <f t="shared" si="51"/>
        <v>100008BS235</v>
      </c>
      <c r="P140" s="143" t="str">
        <f t="shared" si="52"/>
        <v>100009BS235</v>
      </c>
      <c r="Q140" s="143" t="str">
        <f t="shared" si="53"/>
        <v>100010BS235</v>
      </c>
      <c r="R140" s="143" t="str">
        <f t="shared" si="54"/>
        <v>100011BS235</v>
      </c>
      <c r="S140" s="143" t="str">
        <f t="shared" si="55"/>
        <v>100012BS235</v>
      </c>
      <c r="T140" s="143" t="str">
        <f t="shared" si="56"/>
        <v>100013BS235</v>
      </c>
      <c r="U140" s="143" t="str">
        <f t="shared" si="57"/>
        <v>100014BS235</v>
      </c>
      <c r="V140" s="143" t="str">
        <f t="shared" si="58"/>
        <v>100015BS235</v>
      </c>
      <c r="W140" s="143" t="str">
        <f t="shared" si="59"/>
        <v>100016BS235</v>
      </c>
      <c r="X140" s="145" t="s">
        <v>864</v>
      </c>
    </row>
    <row r="141" spans="1:24">
      <c r="A141" s="161">
        <v>20</v>
      </c>
      <c r="B141" s="140">
        <f t="shared" si="41"/>
        <v>137</v>
      </c>
      <c r="C141" s="145" t="s">
        <v>865</v>
      </c>
      <c r="D141" s="141" t="s">
        <v>777</v>
      </c>
      <c r="E141" s="142">
        <f t="shared" si="60"/>
        <v>236</v>
      </c>
      <c r="F141" s="142" t="str">
        <f t="shared" si="42"/>
        <v>BS236</v>
      </c>
      <c r="G141" s="143" t="str">
        <f t="shared" si="43"/>
        <v>100000BS236</v>
      </c>
      <c r="H141" s="143" t="str">
        <f t="shared" si="44"/>
        <v>100001BS236</v>
      </c>
      <c r="I141" s="143" t="str">
        <f t="shared" si="45"/>
        <v>100002BS236</v>
      </c>
      <c r="J141" s="143" t="str">
        <f t="shared" si="46"/>
        <v>100003BS236</v>
      </c>
      <c r="K141" s="143" t="str">
        <f t="shared" si="47"/>
        <v>100004BS236</v>
      </c>
      <c r="L141" s="143" t="str">
        <f t="shared" si="48"/>
        <v>100005BS236</v>
      </c>
      <c r="M141" s="143" t="str">
        <f t="shared" si="49"/>
        <v>100006BS236</v>
      </c>
      <c r="N141" s="143" t="str">
        <f t="shared" si="50"/>
        <v>100007BS236</v>
      </c>
      <c r="O141" s="143" t="str">
        <f t="shared" si="51"/>
        <v>100008BS236</v>
      </c>
      <c r="P141" s="143" t="str">
        <f t="shared" si="52"/>
        <v>100009BS236</v>
      </c>
      <c r="Q141" s="143" t="str">
        <f t="shared" si="53"/>
        <v>100010BS236</v>
      </c>
      <c r="R141" s="143" t="str">
        <f t="shared" si="54"/>
        <v>100011BS236</v>
      </c>
      <c r="S141" s="143" t="str">
        <f t="shared" si="55"/>
        <v>100012BS236</v>
      </c>
      <c r="T141" s="143" t="str">
        <f t="shared" si="56"/>
        <v>100013BS236</v>
      </c>
      <c r="U141" s="143" t="str">
        <f t="shared" si="57"/>
        <v>100014BS236</v>
      </c>
      <c r="V141" s="143" t="str">
        <f t="shared" si="58"/>
        <v>100015BS236</v>
      </c>
      <c r="W141" s="143" t="str">
        <f t="shared" si="59"/>
        <v>100016BS236</v>
      </c>
      <c r="X141" s="145" t="s">
        <v>865</v>
      </c>
    </row>
    <row r="142" spans="1:24">
      <c r="A142" s="161">
        <v>20</v>
      </c>
      <c r="B142" s="140">
        <f t="shared" si="41"/>
        <v>138</v>
      </c>
      <c r="C142" s="145" t="s">
        <v>866</v>
      </c>
      <c r="D142" s="141" t="s">
        <v>777</v>
      </c>
      <c r="E142" s="142">
        <f t="shared" si="60"/>
        <v>237</v>
      </c>
      <c r="F142" s="142" t="str">
        <f t="shared" si="42"/>
        <v>BS237</v>
      </c>
      <c r="G142" s="143" t="str">
        <f t="shared" si="43"/>
        <v>100000BS237</v>
      </c>
      <c r="H142" s="143" t="str">
        <f t="shared" si="44"/>
        <v>100001BS237</v>
      </c>
      <c r="I142" s="143" t="str">
        <f t="shared" si="45"/>
        <v>100002BS237</v>
      </c>
      <c r="J142" s="143" t="str">
        <f t="shared" si="46"/>
        <v>100003BS237</v>
      </c>
      <c r="K142" s="143" t="str">
        <f t="shared" si="47"/>
        <v>100004BS237</v>
      </c>
      <c r="L142" s="143" t="str">
        <f t="shared" si="48"/>
        <v>100005BS237</v>
      </c>
      <c r="M142" s="143" t="str">
        <f t="shared" si="49"/>
        <v>100006BS237</v>
      </c>
      <c r="N142" s="143" t="str">
        <f t="shared" si="50"/>
        <v>100007BS237</v>
      </c>
      <c r="O142" s="143" t="str">
        <f t="shared" si="51"/>
        <v>100008BS237</v>
      </c>
      <c r="P142" s="143" t="str">
        <f t="shared" si="52"/>
        <v>100009BS237</v>
      </c>
      <c r="Q142" s="143" t="str">
        <f t="shared" si="53"/>
        <v>100010BS237</v>
      </c>
      <c r="R142" s="143" t="str">
        <f t="shared" si="54"/>
        <v>100011BS237</v>
      </c>
      <c r="S142" s="143" t="str">
        <f t="shared" si="55"/>
        <v>100012BS237</v>
      </c>
      <c r="T142" s="143" t="str">
        <f t="shared" si="56"/>
        <v>100013BS237</v>
      </c>
      <c r="U142" s="143" t="str">
        <f t="shared" si="57"/>
        <v>100014BS237</v>
      </c>
      <c r="V142" s="143" t="str">
        <f t="shared" si="58"/>
        <v>100015BS237</v>
      </c>
      <c r="W142" s="143" t="str">
        <f t="shared" si="59"/>
        <v>100016BS237</v>
      </c>
      <c r="X142" s="145" t="s">
        <v>866</v>
      </c>
    </row>
    <row r="143" spans="1:24">
      <c r="A143" s="161">
        <v>21</v>
      </c>
      <c r="B143" s="140">
        <f t="shared" si="41"/>
        <v>139</v>
      </c>
      <c r="C143" s="144" t="s">
        <v>867</v>
      </c>
      <c r="D143" s="141" t="s">
        <v>777</v>
      </c>
      <c r="E143" s="142">
        <f t="shared" si="60"/>
        <v>238</v>
      </c>
      <c r="F143" s="142" t="str">
        <f t="shared" si="42"/>
        <v>BS238</v>
      </c>
      <c r="G143" s="143" t="str">
        <f t="shared" si="43"/>
        <v>100000BS238</v>
      </c>
      <c r="H143" s="143" t="str">
        <f t="shared" si="44"/>
        <v>100001BS238</v>
      </c>
      <c r="I143" s="143" t="str">
        <f t="shared" si="45"/>
        <v>100002BS238</v>
      </c>
      <c r="J143" s="143" t="str">
        <f t="shared" si="46"/>
        <v>100003BS238</v>
      </c>
      <c r="K143" s="143" t="str">
        <f t="shared" si="47"/>
        <v>100004BS238</v>
      </c>
      <c r="L143" s="143" t="str">
        <f t="shared" si="48"/>
        <v>100005BS238</v>
      </c>
      <c r="M143" s="143" t="str">
        <f t="shared" si="49"/>
        <v>100006BS238</v>
      </c>
      <c r="N143" s="143" t="str">
        <f t="shared" si="50"/>
        <v>100007BS238</v>
      </c>
      <c r="O143" s="143" t="str">
        <f t="shared" si="51"/>
        <v>100008BS238</v>
      </c>
      <c r="P143" s="143" t="str">
        <f t="shared" si="52"/>
        <v>100009BS238</v>
      </c>
      <c r="Q143" s="143" t="str">
        <f t="shared" si="53"/>
        <v>100010BS238</v>
      </c>
      <c r="R143" s="143" t="str">
        <f t="shared" si="54"/>
        <v>100011BS238</v>
      </c>
      <c r="S143" s="143" t="str">
        <f t="shared" si="55"/>
        <v>100012BS238</v>
      </c>
      <c r="T143" s="143" t="str">
        <f t="shared" si="56"/>
        <v>100013BS238</v>
      </c>
      <c r="U143" s="143" t="str">
        <f t="shared" si="57"/>
        <v>100014BS238</v>
      </c>
      <c r="V143" s="143" t="str">
        <f t="shared" si="58"/>
        <v>100015BS238</v>
      </c>
      <c r="W143" s="143" t="str">
        <f t="shared" si="59"/>
        <v>100016BS238</v>
      </c>
      <c r="X143" s="144" t="s">
        <v>867</v>
      </c>
    </row>
    <row r="144" spans="1:24">
      <c r="A144" s="161">
        <v>21</v>
      </c>
      <c r="B144" s="140">
        <f t="shared" si="41"/>
        <v>140</v>
      </c>
      <c r="C144" s="144" t="s">
        <v>213</v>
      </c>
      <c r="D144" s="141" t="s">
        <v>777</v>
      </c>
      <c r="E144" s="142">
        <f t="shared" si="60"/>
        <v>239</v>
      </c>
      <c r="F144" s="142" t="str">
        <f t="shared" si="42"/>
        <v>BS239</v>
      </c>
      <c r="G144" s="143" t="str">
        <f t="shared" si="43"/>
        <v>100000BS239</v>
      </c>
      <c r="H144" s="143" t="str">
        <f t="shared" si="44"/>
        <v>100001BS239</v>
      </c>
      <c r="I144" s="143" t="str">
        <f t="shared" si="45"/>
        <v>100002BS239</v>
      </c>
      <c r="J144" s="143" t="str">
        <f t="shared" si="46"/>
        <v>100003BS239</v>
      </c>
      <c r="K144" s="143" t="str">
        <f t="shared" si="47"/>
        <v>100004BS239</v>
      </c>
      <c r="L144" s="143" t="str">
        <f t="shared" si="48"/>
        <v>100005BS239</v>
      </c>
      <c r="M144" s="143" t="str">
        <f t="shared" si="49"/>
        <v>100006BS239</v>
      </c>
      <c r="N144" s="143" t="str">
        <f t="shared" si="50"/>
        <v>100007BS239</v>
      </c>
      <c r="O144" s="143" t="str">
        <f t="shared" si="51"/>
        <v>100008BS239</v>
      </c>
      <c r="P144" s="143" t="str">
        <f t="shared" si="52"/>
        <v>100009BS239</v>
      </c>
      <c r="Q144" s="143" t="str">
        <f t="shared" si="53"/>
        <v>100010BS239</v>
      </c>
      <c r="R144" s="143" t="str">
        <f t="shared" si="54"/>
        <v>100011BS239</v>
      </c>
      <c r="S144" s="143" t="str">
        <f t="shared" si="55"/>
        <v>100012BS239</v>
      </c>
      <c r="T144" s="143" t="str">
        <f t="shared" si="56"/>
        <v>100013BS239</v>
      </c>
      <c r="U144" s="143" t="str">
        <f t="shared" si="57"/>
        <v>100014BS239</v>
      </c>
      <c r="V144" s="143" t="str">
        <f t="shared" si="58"/>
        <v>100015BS239</v>
      </c>
      <c r="W144" s="143" t="str">
        <f t="shared" si="59"/>
        <v>100016BS239</v>
      </c>
      <c r="X144" s="144" t="s">
        <v>213</v>
      </c>
    </row>
    <row r="145" spans="1:24">
      <c r="A145" s="162">
        <v>11</v>
      </c>
      <c r="B145" s="140">
        <f t="shared" si="41"/>
        <v>141</v>
      </c>
      <c r="C145" s="146" t="s">
        <v>868</v>
      </c>
      <c r="D145" s="141" t="s">
        <v>777</v>
      </c>
      <c r="E145" s="142">
        <f t="shared" si="60"/>
        <v>240</v>
      </c>
      <c r="F145" s="142" t="str">
        <f t="shared" si="42"/>
        <v>BS240</v>
      </c>
      <c r="G145" s="143" t="str">
        <f t="shared" si="43"/>
        <v>100000BS240</v>
      </c>
      <c r="H145" s="143" t="str">
        <f t="shared" si="44"/>
        <v>100001BS240</v>
      </c>
      <c r="I145" s="143" t="str">
        <f t="shared" si="45"/>
        <v>100002BS240</v>
      </c>
      <c r="J145" s="143" t="str">
        <f t="shared" si="46"/>
        <v>100003BS240</v>
      </c>
      <c r="K145" s="143" t="str">
        <f t="shared" si="47"/>
        <v>100004BS240</v>
      </c>
      <c r="L145" s="143" t="str">
        <f t="shared" si="48"/>
        <v>100005BS240</v>
      </c>
      <c r="M145" s="143" t="str">
        <f t="shared" si="49"/>
        <v>100006BS240</v>
      </c>
      <c r="N145" s="143" t="str">
        <f t="shared" si="50"/>
        <v>100007BS240</v>
      </c>
      <c r="O145" s="143" t="str">
        <f t="shared" si="51"/>
        <v>100008BS240</v>
      </c>
      <c r="P145" s="143" t="str">
        <f t="shared" si="52"/>
        <v>100009BS240</v>
      </c>
      <c r="Q145" s="143" t="str">
        <f t="shared" si="53"/>
        <v>100010BS240</v>
      </c>
      <c r="R145" s="143" t="str">
        <f t="shared" si="54"/>
        <v>100011BS240</v>
      </c>
      <c r="S145" s="143" t="str">
        <f t="shared" si="55"/>
        <v>100012BS240</v>
      </c>
      <c r="T145" s="143" t="str">
        <f t="shared" si="56"/>
        <v>100013BS240</v>
      </c>
      <c r="U145" s="143" t="str">
        <f t="shared" si="57"/>
        <v>100014BS240</v>
      </c>
      <c r="V145" s="143" t="str">
        <f t="shared" si="58"/>
        <v>100015BS240</v>
      </c>
      <c r="W145" s="143" t="str">
        <f t="shared" si="59"/>
        <v>100016BS240</v>
      </c>
      <c r="X145" s="146" t="s">
        <v>868</v>
      </c>
    </row>
    <row r="146" spans="1:24">
      <c r="A146" s="162">
        <v>11</v>
      </c>
      <c r="B146" s="140">
        <f t="shared" si="41"/>
        <v>142</v>
      </c>
      <c r="C146" s="146" t="s">
        <v>869</v>
      </c>
      <c r="D146" s="141" t="s">
        <v>777</v>
      </c>
      <c r="E146" s="142">
        <f t="shared" si="60"/>
        <v>241</v>
      </c>
      <c r="F146" s="142" t="str">
        <f t="shared" si="42"/>
        <v>BS241</v>
      </c>
      <c r="G146" s="143" t="str">
        <f t="shared" si="43"/>
        <v>100000BS241</v>
      </c>
      <c r="H146" s="143" t="str">
        <f t="shared" si="44"/>
        <v>100001BS241</v>
      </c>
      <c r="I146" s="143" t="str">
        <f t="shared" si="45"/>
        <v>100002BS241</v>
      </c>
      <c r="J146" s="143" t="str">
        <f t="shared" si="46"/>
        <v>100003BS241</v>
      </c>
      <c r="K146" s="143" t="str">
        <f t="shared" si="47"/>
        <v>100004BS241</v>
      </c>
      <c r="L146" s="143" t="str">
        <f t="shared" si="48"/>
        <v>100005BS241</v>
      </c>
      <c r="M146" s="143" t="str">
        <f t="shared" si="49"/>
        <v>100006BS241</v>
      </c>
      <c r="N146" s="143" t="str">
        <f t="shared" si="50"/>
        <v>100007BS241</v>
      </c>
      <c r="O146" s="143" t="str">
        <f t="shared" si="51"/>
        <v>100008BS241</v>
      </c>
      <c r="P146" s="143" t="str">
        <f t="shared" si="52"/>
        <v>100009BS241</v>
      </c>
      <c r="Q146" s="143" t="str">
        <f t="shared" si="53"/>
        <v>100010BS241</v>
      </c>
      <c r="R146" s="143" t="str">
        <f t="shared" si="54"/>
        <v>100011BS241</v>
      </c>
      <c r="S146" s="143" t="str">
        <f t="shared" si="55"/>
        <v>100012BS241</v>
      </c>
      <c r="T146" s="143" t="str">
        <f t="shared" si="56"/>
        <v>100013BS241</v>
      </c>
      <c r="U146" s="143" t="str">
        <f t="shared" si="57"/>
        <v>100014BS241</v>
      </c>
      <c r="V146" s="143" t="str">
        <f t="shared" si="58"/>
        <v>100015BS241</v>
      </c>
      <c r="W146" s="143" t="str">
        <f t="shared" si="59"/>
        <v>100016BS241</v>
      </c>
      <c r="X146" s="146" t="s">
        <v>869</v>
      </c>
    </row>
    <row r="147" spans="1:24">
      <c r="A147" s="162">
        <v>11</v>
      </c>
      <c r="B147" s="140">
        <f t="shared" si="41"/>
        <v>143</v>
      </c>
      <c r="C147" s="146" t="s">
        <v>870</v>
      </c>
      <c r="D147" s="141" t="s">
        <v>777</v>
      </c>
      <c r="E147" s="142">
        <f t="shared" si="60"/>
        <v>242</v>
      </c>
      <c r="F147" s="142" t="str">
        <f t="shared" si="42"/>
        <v>BS242</v>
      </c>
      <c r="G147" s="143" t="str">
        <f t="shared" si="43"/>
        <v>100000BS242</v>
      </c>
      <c r="H147" s="143" t="str">
        <f t="shared" si="44"/>
        <v>100001BS242</v>
      </c>
      <c r="I147" s="143" t="str">
        <f t="shared" si="45"/>
        <v>100002BS242</v>
      </c>
      <c r="J147" s="143" t="str">
        <f t="shared" si="46"/>
        <v>100003BS242</v>
      </c>
      <c r="K147" s="143" t="str">
        <f t="shared" si="47"/>
        <v>100004BS242</v>
      </c>
      <c r="L147" s="143" t="str">
        <f t="shared" si="48"/>
        <v>100005BS242</v>
      </c>
      <c r="M147" s="143" t="str">
        <f t="shared" si="49"/>
        <v>100006BS242</v>
      </c>
      <c r="N147" s="143" t="str">
        <f t="shared" si="50"/>
        <v>100007BS242</v>
      </c>
      <c r="O147" s="143" t="str">
        <f t="shared" si="51"/>
        <v>100008BS242</v>
      </c>
      <c r="P147" s="143" t="str">
        <f t="shared" si="52"/>
        <v>100009BS242</v>
      </c>
      <c r="Q147" s="143" t="str">
        <f t="shared" si="53"/>
        <v>100010BS242</v>
      </c>
      <c r="R147" s="143" t="str">
        <f t="shared" si="54"/>
        <v>100011BS242</v>
      </c>
      <c r="S147" s="143" t="str">
        <f t="shared" si="55"/>
        <v>100012BS242</v>
      </c>
      <c r="T147" s="143" t="str">
        <f t="shared" si="56"/>
        <v>100013BS242</v>
      </c>
      <c r="U147" s="143" t="str">
        <f t="shared" si="57"/>
        <v>100014BS242</v>
      </c>
      <c r="V147" s="143" t="str">
        <f t="shared" si="58"/>
        <v>100015BS242</v>
      </c>
      <c r="W147" s="143" t="str">
        <f t="shared" si="59"/>
        <v>100016BS242</v>
      </c>
      <c r="X147" s="146" t="s">
        <v>870</v>
      </c>
    </row>
    <row r="148" spans="1:24">
      <c r="A148" s="162">
        <v>11</v>
      </c>
      <c r="B148" s="140">
        <f t="shared" si="41"/>
        <v>144</v>
      </c>
      <c r="C148" s="146" t="s">
        <v>871</v>
      </c>
      <c r="D148" s="141" t="s">
        <v>777</v>
      </c>
      <c r="E148" s="142">
        <f t="shared" si="60"/>
        <v>243</v>
      </c>
      <c r="F148" s="142" t="str">
        <f t="shared" si="42"/>
        <v>BS243</v>
      </c>
      <c r="G148" s="143" t="str">
        <f t="shared" si="43"/>
        <v>100000BS243</v>
      </c>
      <c r="H148" s="143" t="str">
        <f t="shared" si="44"/>
        <v>100001BS243</v>
      </c>
      <c r="I148" s="143" t="str">
        <f t="shared" si="45"/>
        <v>100002BS243</v>
      </c>
      <c r="J148" s="143" t="str">
        <f t="shared" si="46"/>
        <v>100003BS243</v>
      </c>
      <c r="K148" s="143" t="str">
        <f t="shared" si="47"/>
        <v>100004BS243</v>
      </c>
      <c r="L148" s="143" t="str">
        <f t="shared" si="48"/>
        <v>100005BS243</v>
      </c>
      <c r="M148" s="143" t="str">
        <f t="shared" si="49"/>
        <v>100006BS243</v>
      </c>
      <c r="N148" s="143" t="str">
        <f t="shared" si="50"/>
        <v>100007BS243</v>
      </c>
      <c r="O148" s="143" t="str">
        <f t="shared" si="51"/>
        <v>100008BS243</v>
      </c>
      <c r="P148" s="143" t="str">
        <f t="shared" si="52"/>
        <v>100009BS243</v>
      </c>
      <c r="Q148" s="143" t="str">
        <f t="shared" si="53"/>
        <v>100010BS243</v>
      </c>
      <c r="R148" s="143" t="str">
        <f t="shared" si="54"/>
        <v>100011BS243</v>
      </c>
      <c r="S148" s="143" t="str">
        <f t="shared" si="55"/>
        <v>100012BS243</v>
      </c>
      <c r="T148" s="143" t="str">
        <f t="shared" si="56"/>
        <v>100013BS243</v>
      </c>
      <c r="U148" s="143" t="str">
        <f t="shared" si="57"/>
        <v>100014BS243</v>
      </c>
      <c r="V148" s="143" t="str">
        <f t="shared" si="58"/>
        <v>100015BS243</v>
      </c>
      <c r="W148" s="143" t="str">
        <f t="shared" si="59"/>
        <v>100016BS243</v>
      </c>
      <c r="X148" s="146" t="s">
        <v>871</v>
      </c>
    </row>
    <row r="149" spans="1:24">
      <c r="A149" s="162">
        <v>11</v>
      </c>
      <c r="B149" s="140">
        <f t="shared" si="41"/>
        <v>145</v>
      </c>
      <c r="C149" s="146" t="s">
        <v>872</v>
      </c>
      <c r="D149" s="141" t="s">
        <v>777</v>
      </c>
      <c r="E149" s="142">
        <f t="shared" si="60"/>
        <v>244</v>
      </c>
      <c r="F149" s="142" t="str">
        <f t="shared" si="42"/>
        <v>BS244</v>
      </c>
      <c r="G149" s="143" t="str">
        <f t="shared" si="43"/>
        <v>100000BS244</v>
      </c>
      <c r="H149" s="143" t="str">
        <f t="shared" si="44"/>
        <v>100001BS244</v>
      </c>
      <c r="I149" s="143" t="str">
        <f t="shared" si="45"/>
        <v>100002BS244</v>
      </c>
      <c r="J149" s="143" t="str">
        <f t="shared" si="46"/>
        <v>100003BS244</v>
      </c>
      <c r="K149" s="143" t="str">
        <f t="shared" si="47"/>
        <v>100004BS244</v>
      </c>
      <c r="L149" s="143" t="str">
        <f t="shared" si="48"/>
        <v>100005BS244</v>
      </c>
      <c r="M149" s="143" t="str">
        <f t="shared" si="49"/>
        <v>100006BS244</v>
      </c>
      <c r="N149" s="143" t="str">
        <f t="shared" si="50"/>
        <v>100007BS244</v>
      </c>
      <c r="O149" s="143" t="str">
        <f t="shared" si="51"/>
        <v>100008BS244</v>
      </c>
      <c r="P149" s="143" t="str">
        <f t="shared" si="52"/>
        <v>100009BS244</v>
      </c>
      <c r="Q149" s="143" t="str">
        <f t="shared" si="53"/>
        <v>100010BS244</v>
      </c>
      <c r="R149" s="143" t="str">
        <f t="shared" si="54"/>
        <v>100011BS244</v>
      </c>
      <c r="S149" s="143" t="str">
        <f t="shared" si="55"/>
        <v>100012BS244</v>
      </c>
      <c r="T149" s="143" t="str">
        <f t="shared" si="56"/>
        <v>100013BS244</v>
      </c>
      <c r="U149" s="143" t="str">
        <f t="shared" si="57"/>
        <v>100014BS244</v>
      </c>
      <c r="V149" s="143" t="str">
        <f t="shared" si="58"/>
        <v>100015BS244</v>
      </c>
      <c r="W149" s="143" t="str">
        <f t="shared" si="59"/>
        <v>100016BS244</v>
      </c>
      <c r="X149" s="146" t="s">
        <v>872</v>
      </c>
    </row>
    <row r="150" spans="1:24">
      <c r="A150" s="162">
        <v>11</v>
      </c>
      <c r="B150" s="140">
        <f t="shared" si="41"/>
        <v>146</v>
      </c>
      <c r="C150" s="146" t="s">
        <v>873</v>
      </c>
      <c r="D150" s="141" t="s">
        <v>777</v>
      </c>
      <c r="E150" s="142">
        <f t="shared" si="60"/>
        <v>245</v>
      </c>
      <c r="F150" s="142" t="str">
        <f t="shared" si="42"/>
        <v>BS245</v>
      </c>
      <c r="G150" s="143" t="str">
        <f t="shared" si="43"/>
        <v>100000BS245</v>
      </c>
      <c r="H150" s="143" t="str">
        <f t="shared" si="44"/>
        <v>100001BS245</v>
      </c>
      <c r="I150" s="143" t="str">
        <f t="shared" si="45"/>
        <v>100002BS245</v>
      </c>
      <c r="J150" s="143" t="str">
        <f t="shared" si="46"/>
        <v>100003BS245</v>
      </c>
      <c r="K150" s="143" t="str">
        <f t="shared" si="47"/>
        <v>100004BS245</v>
      </c>
      <c r="L150" s="143" t="str">
        <f t="shared" si="48"/>
        <v>100005BS245</v>
      </c>
      <c r="M150" s="143" t="str">
        <f t="shared" si="49"/>
        <v>100006BS245</v>
      </c>
      <c r="N150" s="143" t="str">
        <f t="shared" si="50"/>
        <v>100007BS245</v>
      </c>
      <c r="O150" s="143" t="str">
        <f t="shared" si="51"/>
        <v>100008BS245</v>
      </c>
      <c r="P150" s="143" t="str">
        <f t="shared" si="52"/>
        <v>100009BS245</v>
      </c>
      <c r="Q150" s="143" t="str">
        <f t="shared" si="53"/>
        <v>100010BS245</v>
      </c>
      <c r="R150" s="143" t="str">
        <f t="shared" si="54"/>
        <v>100011BS245</v>
      </c>
      <c r="S150" s="143" t="str">
        <f t="shared" si="55"/>
        <v>100012BS245</v>
      </c>
      <c r="T150" s="143" t="str">
        <f t="shared" si="56"/>
        <v>100013BS245</v>
      </c>
      <c r="U150" s="143" t="str">
        <f t="shared" si="57"/>
        <v>100014BS245</v>
      </c>
      <c r="V150" s="143" t="str">
        <f t="shared" si="58"/>
        <v>100015BS245</v>
      </c>
      <c r="W150" s="143" t="str">
        <f t="shared" si="59"/>
        <v>100016BS245</v>
      </c>
      <c r="X150" s="146" t="s">
        <v>873</v>
      </c>
    </row>
    <row r="151" spans="1:24">
      <c r="A151" s="162">
        <v>11</v>
      </c>
      <c r="B151" s="140">
        <f t="shared" si="41"/>
        <v>147</v>
      </c>
      <c r="C151" s="146" t="s">
        <v>874</v>
      </c>
      <c r="D151" s="141" t="s">
        <v>777</v>
      </c>
      <c r="E151" s="142">
        <f t="shared" si="60"/>
        <v>246</v>
      </c>
      <c r="F151" s="142" t="str">
        <f t="shared" si="42"/>
        <v>BS246</v>
      </c>
      <c r="G151" s="143" t="str">
        <f t="shared" si="43"/>
        <v>100000BS246</v>
      </c>
      <c r="H151" s="143" t="str">
        <f t="shared" si="44"/>
        <v>100001BS246</v>
      </c>
      <c r="I151" s="143" t="str">
        <f t="shared" si="45"/>
        <v>100002BS246</v>
      </c>
      <c r="J151" s="143" t="str">
        <f t="shared" si="46"/>
        <v>100003BS246</v>
      </c>
      <c r="K151" s="143" t="str">
        <f t="shared" si="47"/>
        <v>100004BS246</v>
      </c>
      <c r="L151" s="143" t="str">
        <f t="shared" si="48"/>
        <v>100005BS246</v>
      </c>
      <c r="M151" s="143" t="str">
        <f t="shared" si="49"/>
        <v>100006BS246</v>
      </c>
      <c r="N151" s="143" t="str">
        <f t="shared" si="50"/>
        <v>100007BS246</v>
      </c>
      <c r="O151" s="143" t="str">
        <f t="shared" si="51"/>
        <v>100008BS246</v>
      </c>
      <c r="P151" s="143" t="str">
        <f t="shared" si="52"/>
        <v>100009BS246</v>
      </c>
      <c r="Q151" s="143" t="str">
        <f t="shared" si="53"/>
        <v>100010BS246</v>
      </c>
      <c r="R151" s="143" t="str">
        <f t="shared" si="54"/>
        <v>100011BS246</v>
      </c>
      <c r="S151" s="143" t="str">
        <f t="shared" si="55"/>
        <v>100012BS246</v>
      </c>
      <c r="T151" s="143" t="str">
        <f t="shared" si="56"/>
        <v>100013BS246</v>
      </c>
      <c r="U151" s="143" t="str">
        <f t="shared" si="57"/>
        <v>100014BS246</v>
      </c>
      <c r="V151" s="143" t="str">
        <f t="shared" si="58"/>
        <v>100015BS246</v>
      </c>
      <c r="W151" s="143" t="str">
        <f t="shared" si="59"/>
        <v>100016BS246</v>
      </c>
      <c r="X151" s="146" t="s">
        <v>874</v>
      </c>
    </row>
    <row r="152" spans="1:24">
      <c r="A152" s="162">
        <v>11</v>
      </c>
      <c r="B152" s="140">
        <f t="shared" si="41"/>
        <v>148</v>
      </c>
      <c r="C152" s="146" t="s">
        <v>875</v>
      </c>
      <c r="D152" s="141" t="s">
        <v>777</v>
      </c>
      <c r="E152" s="142">
        <f t="shared" si="60"/>
        <v>247</v>
      </c>
      <c r="F152" s="142" t="str">
        <f t="shared" si="42"/>
        <v>BS247</v>
      </c>
      <c r="G152" s="143" t="str">
        <f t="shared" si="43"/>
        <v>100000BS247</v>
      </c>
      <c r="H152" s="143" t="str">
        <f t="shared" si="44"/>
        <v>100001BS247</v>
      </c>
      <c r="I152" s="143" t="str">
        <f t="shared" si="45"/>
        <v>100002BS247</v>
      </c>
      <c r="J152" s="143" t="str">
        <f t="shared" si="46"/>
        <v>100003BS247</v>
      </c>
      <c r="K152" s="143" t="str">
        <f t="shared" si="47"/>
        <v>100004BS247</v>
      </c>
      <c r="L152" s="143" t="str">
        <f t="shared" si="48"/>
        <v>100005BS247</v>
      </c>
      <c r="M152" s="143" t="str">
        <f t="shared" si="49"/>
        <v>100006BS247</v>
      </c>
      <c r="N152" s="143" t="str">
        <f t="shared" si="50"/>
        <v>100007BS247</v>
      </c>
      <c r="O152" s="143" t="str">
        <f t="shared" si="51"/>
        <v>100008BS247</v>
      </c>
      <c r="P152" s="143" t="str">
        <f t="shared" si="52"/>
        <v>100009BS247</v>
      </c>
      <c r="Q152" s="143" t="str">
        <f t="shared" si="53"/>
        <v>100010BS247</v>
      </c>
      <c r="R152" s="143" t="str">
        <f t="shared" si="54"/>
        <v>100011BS247</v>
      </c>
      <c r="S152" s="143" t="str">
        <f t="shared" si="55"/>
        <v>100012BS247</v>
      </c>
      <c r="T152" s="143" t="str">
        <f t="shared" si="56"/>
        <v>100013BS247</v>
      </c>
      <c r="U152" s="143" t="str">
        <f t="shared" si="57"/>
        <v>100014BS247</v>
      </c>
      <c r="V152" s="143" t="str">
        <f t="shared" si="58"/>
        <v>100015BS247</v>
      </c>
      <c r="W152" s="143" t="str">
        <f t="shared" si="59"/>
        <v>100016BS247</v>
      </c>
      <c r="X152" s="146" t="s">
        <v>875</v>
      </c>
    </row>
    <row r="153" spans="1:24">
      <c r="A153" s="162">
        <v>11</v>
      </c>
      <c r="B153" s="140">
        <f t="shared" si="41"/>
        <v>149</v>
      </c>
      <c r="C153" s="146" t="s">
        <v>876</v>
      </c>
      <c r="D153" s="141" t="s">
        <v>777</v>
      </c>
      <c r="E153" s="142">
        <f t="shared" si="60"/>
        <v>248</v>
      </c>
      <c r="F153" s="142" t="str">
        <f t="shared" si="42"/>
        <v>BS248</v>
      </c>
      <c r="G153" s="143" t="str">
        <f t="shared" si="43"/>
        <v>100000BS248</v>
      </c>
      <c r="H153" s="143" t="str">
        <f t="shared" si="44"/>
        <v>100001BS248</v>
      </c>
      <c r="I153" s="143" t="str">
        <f t="shared" si="45"/>
        <v>100002BS248</v>
      </c>
      <c r="J153" s="143" t="str">
        <f t="shared" si="46"/>
        <v>100003BS248</v>
      </c>
      <c r="K153" s="143" t="str">
        <f t="shared" si="47"/>
        <v>100004BS248</v>
      </c>
      <c r="L153" s="143" t="str">
        <f t="shared" si="48"/>
        <v>100005BS248</v>
      </c>
      <c r="M153" s="143" t="str">
        <f t="shared" si="49"/>
        <v>100006BS248</v>
      </c>
      <c r="N153" s="143" t="str">
        <f t="shared" si="50"/>
        <v>100007BS248</v>
      </c>
      <c r="O153" s="143" t="str">
        <f t="shared" si="51"/>
        <v>100008BS248</v>
      </c>
      <c r="P153" s="143" t="str">
        <f t="shared" si="52"/>
        <v>100009BS248</v>
      </c>
      <c r="Q153" s="143" t="str">
        <f t="shared" si="53"/>
        <v>100010BS248</v>
      </c>
      <c r="R153" s="143" t="str">
        <f t="shared" si="54"/>
        <v>100011BS248</v>
      </c>
      <c r="S153" s="143" t="str">
        <f t="shared" si="55"/>
        <v>100012BS248</v>
      </c>
      <c r="T153" s="143" t="str">
        <f t="shared" si="56"/>
        <v>100013BS248</v>
      </c>
      <c r="U153" s="143" t="str">
        <f t="shared" si="57"/>
        <v>100014BS248</v>
      </c>
      <c r="V153" s="143" t="str">
        <f t="shared" si="58"/>
        <v>100015BS248</v>
      </c>
      <c r="W153" s="143" t="str">
        <f t="shared" si="59"/>
        <v>100016BS248</v>
      </c>
      <c r="X153" s="146" t="s">
        <v>876</v>
      </c>
    </row>
    <row r="154" spans="1:24">
      <c r="A154" s="162">
        <v>11</v>
      </c>
      <c r="B154" s="140">
        <f t="shared" si="41"/>
        <v>150</v>
      </c>
      <c r="C154" s="146" t="s">
        <v>877</v>
      </c>
      <c r="D154" s="141" t="s">
        <v>777</v>
      </c>
      <c r="E154" s="142">
        <f t="shared" si="60"/>
        <v>249</v>
      </c>
      <c r="F154" s="142" t="str">
        <f t="shared" si="42"/>
        <v>BS249</v>
      </c>
      <c r="G154" s="143" t="str">
        <f t="shared" si="43"/>
        <v>100000BS249</v>
      </c>
      <c r="H154" s="143" t="str">
        <f t="shared" si="44"/>
        <v>100001BS249</v>
      </c>
      <c r="I154" s="143" t="str">
        <f t="shared" si="45"/>
        <v>100002BS249</v>
      </c>
      <c r="J154" s="143" t="str">
        <f t="shared" si="46"/>
        <v>100003BS249</v>
      </c>
      <c r="K154" s="143" t="str">
        <f t="shared" si="47"/>
        <v>100004BS249</v>
      </c>
      <c r="L154" s="143" t="str">
        <f t="shared" si="48"/>
        <v>100005BS249</v>
      </c>
      <c r="M154" s="143" t="str">
        <f t="shared" si="49"/>
        <v>100006BS249</v>
      </c>
      <c r="N154" s="143" t="str">
        <f t="shared" si="50"/>
        <v>100007BS249</v>
      </c>
      <c r="O154" s="143" t="str">
        <f t="shared" si="51"/>
        <v>100008BS249</v>
      </c>
      <c r="P154" s="143" t="str">
        <f t="shared" si="52"/>
        <v>100009BS249</v>
      </c>
      <c r="Q154" s="143" t="str">
        <f t="shared" si="53"/>
        <v>100010BS249</v>
      </c>
      <c r="R154" s="143" t="str">
        <f t="shared" si="54"/>
        <v>100011BS249</v>
      </c>
      <c r="S154" s="143" t="str">
        <f t="shared" si="55"/>
        <v>100012BS249</v>
      </c>
      <c r="T154" s="143" t="str">
        <f t="shared" si="56"/>
        <v>100013BS249</v>
      </c>
      <c r="U154" s="143" t="str">
        <f t="shared" si="57"/>
        <v>100014BS249</v>
      </c>
      <c r="V154" s="143" t="str">
        <f t="shared" si="58"/>
        <v>100015BS249</v>
      </c>
      <c r="W154" s="143" t="str">
        <f t="shared" si="59"/>
        <v>100016BS249</v>
      </c>
      <c r="X154" s="146" t="s">
        <v>877</v>
      </c>
    </row>
    <row r="155" spans="1:24">
      <c r="A155" s="162">
        <v>11</v>
      </c>
      <c r="B155" s="140">
        <f t="shared" si="41"/>
        <v>151</v>
      </c>
      <c r="C155" s="146" t="s">
        <v>878</v>
      </c>
      <c r="D155" s="141" t="s">
        <v>777</v>
      </c>
      <c r="E155" s="142">
        <f t="shared" si="60"/>
        <v>250</v>
      </c>
      <c r="F155" s="142" t="str">
        <f t="shared" si="42"/>
        <v>BS250</v>
      </c>
      <c r="G155" s="143" t="str">
        <f t="shared" si="43"/>
        <v>100000BS250</v>
      </c>
      <c r="H155" s="143" t="str">
        <f t="shared" si="44"/>
        <v>100001BS250</v>
      </c>
      <c r="I155" s="143" t="str">
        <f t="shared" si="45"/>
        <v>100002BS250</v>
      </c>
      <c r="J155" s="143" t="str">
        <f t="shared" si="46"/>
        <v>100003BS250</v>
      </c>
      <c r="K155" s="143" t="str">
        <f t="shared" si="47"/>
        <v>100004BS250</v>
      </c>
      <c r="L155" s="143" t="str">
        <f t="shared" si="48"/>
        <v>100005BS250</v>
      </c>
      <c r="M155" s="143" t="str">
        <f t="shared" si="49"/>
        <v>100006BS250</v>
      </c>
      <c r="N155" s="143" t="str">
        <f t="shared" si="50"/>
        <v>100007BS250</v>
      </c>
      <c r="O155" s="143" t="str">
        <f t="shared" si="51"/>
        <v>100008BS250</v>
      </c>
      <c r="P155" s="143" t="str">
        <f t="shared" si="52"/>
        <v>100009BS250</v>
      </c>
      <c r="Q155" s="143" t="str">
        <f t="shared" si="53"/>
        <v>100010BS250</v>
      </c>
      <c r="R155" s="143" t="str">
        <f t="shared" si="54"/>
        <v>100011BS250</v>
      </c>
      <c r="S155" s="143" t="str">
        <f t="shared" si="55"/>
        <v>100012BS250</v>
      </c>
      <c r="T155" s="143" t="str">
        <f t="shared" si="56"/>
        <v>100013BS250</v>
      </c>
      <c r="U155" s="143" t="str">
        <f t="shared" si="57"/>
        <v>100014BS250</v>
      </c>
      <c r="V155" s="143" t="str">
        <f t="shared" si="58"/>
        <v>100015BS250</v>
      </c>
      <c r="W155" s="143" t="str">
        <f t="shared" si="59"/>
        <v>100016BS250</v>
      </c>
      <c r="X155" s="146" t="s">
        <v>878</v>
      </c>
    </row>
    <row r="156" spans="1:24">
      <c r="A156" s="162">
        <v>11</v>
      </c>
      <c r="B156" s="140">
        <f t="shared" si="41"/>
        <v>152</v>
      </c>
      <c r="C156" s="146" t="s">
        <v>879</v>
      </c>
      <c r="D156" s="141" t="s">
        <v>777</v>
      </c>
      <c r="E156" s="142">
        <f t="shared" si="60"/>
        <v>251</v>
      </c>
      <c r="F156" s="142" t="str">
        <f t="shared" si="42"/>
        <v>BS251</v>
      </c>
      <c r="G156" s="143" t="str">
        <f t="shared" si="43"/>
        <v>100000BS251</v>
      </c>
      <c r="H156" s="143" t="str">
        <f t="shared" si="44"/>
        <v>100001BS251</v>
      </c>
      <c r="I156" s="143" t="str">
        <f t="shared" si="45"/>
        <v>100002BS251</v>
      </c>
      <c r="J156" s="143" t="str">
        <f t="shared" si="46"/>
        <v>100003BS251</v>
      </c>
      <c r="K156" s="143" t="str">
        <f t="shared" si="47"/>
        <v>100004BS251</v>
      </c>
      <c r="L156" s="143" t="str">
        <f t="shared" si="48"/>
        <v>100005BS251</v>
      </c>
      <c r="M156" s="143" t="str">
        <f t="shared" si="49"/>
        <v>100006BS251</v>
      </c>
      <c r="N156" s="143" t="str">
        <f t="shared" si="50"/>
        <v>100007BS251</v>
      </c>
      <c r="O156" s="143" t="str">
        <f t="shared" si="51"/>
        <v>100008BS251</v>
      </c>
      <c r="P156" s="143" t="str">
        <f t="shared" si="52"/>
        <v>100009BS251</v>
      </c>
      <c r="Q156" s="143" t="str">
        <f t="shared" si="53"/>
        <v>100010BS251</v>
      </c>
      <c r="R156" s="143" t="str">
        <f t="shared" si="54"/>
        <v>100011BS251</v>
      </c>
      <c r="S156" s="143" t="str">
        <f t="shared" si="55"/>
        <v>100012BS251</v>
      </c>
      <c r="T156" s="143" t="str">
        <f t="shared" si="56"/>
        <v>100013BS251</v>
      </c>
      <c r="U156" s="143" t="str">
        <f t="shared" si="57"/>
        <v>100014BS251</v>
      </c>
      <c r="V156" s="143" t="str">
        <f t="shared" si="58"/>
        <v>100015BS251</v>
      </c>
      <c r="W156" s="143" t="str">
        <f t="shared" si="59"/>
        <v>100016BS251</v>
      </c>
      <c r="X156" s="146" t="s">
        <v>879</v>
      </c>
    </row>
    <row r="157" spans="1:24">
      <c r="A157" s="162">
        <v>11</v>
      </c>
      <c r="B157" s="140">
        <f t="shared" si="41"/>
        <v>153</v>
      </c>
      <c r="C157" s="146" t="s">
        <v>880</v>
      </c>
      <c r="D157" s="141" t="s">
        <v>777</v>
      </c>
      <c r="E157" s="142">
        <f t="shared" si="60"/>
        <v>252</v>
      </c>
      <c r="F157" s="142" t="str">
        <f t="shared" si="42"/>
        <v>BS252</v>
      </c>
      <c r="G157" s="143" t="str">
        <f t="shared" si="43"/>
        <v>100000BS252</v>
      </c>
      <c r="H157" s="143" t="str">
        <f t="shared" si="44"/>
        <v>100001BS252</v>
      </c>
      <c r="I157" s="143" t="str">
        <f t="shared" si="45"/>
        <v>100002BS252</v>
      </c>
      <c r="J157" s="143" t="str">
        <f t="shared" si="46"/>
        <v>100003BS252</v>
      </c>
      <c r="K157" s="143" t="str">
        <f t="shared" si="47"/>
        <v>100004BS252</v>
      </c>
      <c r="L157" s="143" t="str">
        <f t="shared" si="48"/>
        <v>100005BS252</v>
      </c>
      <c r="M157" s="143" t="str">
        <f t="shared" si="49"/>
        <v>100006BS252</v>
      </c>
      <c r="N157" s="143" t="str">
        <f t="shared" si="50"/>
        <v>100007BS252</v>
      </c>
      <c r="O157" s="143" t="str">
        <f t="shared" si="51"/>
        <v>100008BS252</v>
      </c>
      <c r="P157" s="143" t="str">
        <f t="shared" si="52"/>
        <v>100009BS252</v>
      </c>
      <c r="Q157" s="143" t="str">
        <f t="shared" si="53"/>
        <v>100010BS252</v>
      </c>
      <c r="R157" s="143" t="str">
        <f t="shared" si="54"/>
        <v>100011BS252</v>
      </c>
      <c r="S157" s="143" t="str">
        <f t="shared" si="55"/>
        <v>100012BS252</v>
      </c>
      <c r="T157" s="143" t="str">
        <f t="shared" si="56"/>
        <v>100013BS252</v>
      </c>
      <c r="U157" s="143" t="str">
        <f t="shared" si="57"/>
        <v>100014BS252</v>
      </c>
      <c r="V157" s="143" t="str">
        <f t="shared" si="58"/>
        <v>100015BS252</v>
      </c>
      <c r="W157" s="143" t="str">
        <f t="shared" si="59"/>
        <v>100016BS252</v>
      </c>
      <c r="X157" s="146" t="s">
        <v>880</v>
      </c>
    </row>
    <row r="158" spans="1:24">
      <c r="A158" s="162">
        <v>11</v>
      </c>
      <c r="B158" s="140">
        <f t="shared" si="41"/>
        <v>154</v>
      </c>
      <c r="C158" s="146" t="s">
        <v>881</v>
      </c>
      <c r="D158" s="141" t="s">
        <v>777</v>
      </c>
      <c r="E158" s="142">
        <f t="shared" si="60"/>
        <v>253</v>
      </c>
      <c r="F158" s="142" t="str">
        <f t="shared" si="42"/>
        <v>BS253</v>
      </c>
      <c r="G158" s="143" t="str">
        <f t="shared" si="43"/>
        <v>100000BS253</v>
      </c>
      <c r="H158" s="143" t="str">
        <f t="shared" si="44"/>
        <v>100001BS253</v>
      </c>
      <c r="I158" s="143" t="str">
        <f t="shared" si="45"/>
        <v>100002BS253</v>
      </c>
      <c r="J158" s="143" t="str">
        <f t="shared" si="46"/>
        <v>100003BS253</v>
      </c>
      <c r="K158" s="143" t="str">
        <f t="shared" si="47"/>
        <v>100004BS253</v>
      </c>
      <c r="L158" s="143" t="str">
        <f t="shared" si="48"/>
        <v>100005BS253</v>
      </c>
      <c r="M158" s="143" t="str">
        <f t="shared" si="49"/>
        <v>100006BS253</v>
      </c>
      <c r="N158" s="143" t="str">
        <f t="shared" si="50"/>
        <v>100007BS253</v>
      </c>
      <c r="O158" s="143" t="str">
        <f t="shared" si="51"/>
        <v>100008BS253</v>
      </c>
      <c r="P158" s="143" t="str">
        <f t="shared" si="52"/>
        <v>100009BS253</v>
      </c>
      <c r="Q158" s="143" t="str">
        <f t="shared" si="53"/>
        <v>100010BS253</v>
      </c>
      <c r="R158" s="143" t="str">
        <f t="shared" si="54"/>
        <v>100011BS253</v>
      </c>
      <c r="S158" s="143" t="str">
        <f t="shared" si="55"/>
        <v>100012BS253</v>
      </c>
      <c r="T158" s="143" t="str">
        <f t="shared" si="56"/>
        <v>100013BS253</v>
      </c>
      <c r="U158" s="143" t="str">
        <f t="shared" si="57"/>
        <v>100014BS253</v>
      </c>
      <c r="V158" s="143" t="str">
        <f t="shared" si="58"/>
        <v>100015BS253</v>
      </c>
      <c r="W158" s="143" t="str">
        <f t="shared" si="59"/>
        <v>100016BS253</v>
      </c>
      <c r="X158" s="146" t="s">
        <v>881</v>
      </c>
    </row>
    <row r="159" spans="1:24">
      <c r="A159" s="162">
        <v>11</v>
      </c>
      <c r="B159" s="140">
        <f t="shared" si="41"/>
        <v>155</v>
      </c>
      <c r="C159" s="146" t="s">
        <v>882</v>
      </c>
      <c r="D159" s="141" t="s">
        <v>777</v>
      </c>
      <c r="E159" s="142">
        <f t="shared" si="60"/>
        <v>254</v>
      </c>
      <c r="F159" s="142" t="str">
        <f t="shared" si="42"/>
        <v>BS254</v>
      </c>
      <c r="G159" s="143" t="str">
        <f t="shared" si="43"/>
        <v>100000BS254</v>
      </c>
      <c r="H159" s="143" t="str">
        <f t="shared" si="44"/>
        <v>100001BS254</v>
      </c>
      <c r="I159" s="143" t="str">
        <f t="shared" si="45"/>
        <v>100002BS254</v>
      </c>
      <c r="J159" s="143" t="str">
        <f t="shared" si="46"/>
        <v>100003BS254</v>
      </c>
      <c r="K159" s="143" t="str">
        <f t="shared" si="47"/>
        <v>100004BS254</v>
      </c>
      <c r="L159" s="143" t="str">
        <f t="shared" si="48"/>
        <v>100005BS254</v>
      </c>
      <c r="M159" s="143" t="str">
        <f t="shared" si="49"/>
        <v>100006BS254</v>
      </c>
      <c r="N159" s="143" t="str">
        <f t="shared" si="50"/>
        <v>100007BS254</v>
      </c>
      <c r="O159" s="143" t="str">
        <f t="shared" si="51"/>
        <v>100008BS254</v>
      </c>
      <c r="P159" s="143" t="str">
        <f t="shared" si="52"/>
        <v>100009BS254</v>
      </c>
      <c r="Q159" s="143" t="str">
        <f t="shared" si="53"/>
        <v>100010BS254</v>
      </c>
      <c r="R159" s="143" t="str">
        <f t="shared" si="54"/>
        <v>100011BS254</v>
      </c>
      <c r="S159" s="143" t="str">
        <f t="shared" si="55"/>
        <v>100012BS254</v>
      </c>
      <c r="T159" s="143" t="str">
        <f t="shared" si="56"/>
        <v>100013BS254</v>
      </c>
      <c r="U159" s="143" t="str">
        <f t="shared" si="57"/>
        <v>100014BS254</v>
      </c>
      <c r="V159" s="143" t="str">
        <f t="shared" si="58"/>
        <v>100015BS254</v>
      </c>
      <c r="W159" s="143" t="str">
        <f t="shared" si="59"/>
        <v>100016BS254</v>
      </c>
      <c r="X159" s="146" t="s">
        <v>882</v>
      </c>
    </row>
    <row r="160" spans="1:24">
      <c r="A160" s="162">
        <v>11</v>
      </c>
      <c r="B160" s="140">
        <f t="shared" si="41"/>
        <v>156</v>
      </c>
      <c r="C160" s="146" t="s">
        <v>883</v>
      </c>
      <c r="D160" s="141" t="s">
        <v>777</v>
      </c>
      <c r="E160" s="142">
        <f t="shared" si="60"/>
        <v>255</v>
      </c>
      <c r="F160" s="142" t="str">
        <f t="shared" si="42"/>
        <v>BS255</v>
      </c>
      <c r="G160" s="143" t="str">
        <f t="shared" si="43"/>
        <v>100000BS255</v>
      </c>
      <c r="H160" s="143" t="str">
        <f t="shared" si="44"/>
        <v>100001BS255</v>
      </c>
      <c r="I160" s="143" t="str">
        <f t="shared" si="45"/>
        <v>100002BS255</v>
      </c>
      <c r="J160" s="143" t="str">
        <f t="shared" si="46"/>
        <v>100003BS255</v>
      </c>
      <c r="K160" s="143" t="str">
        <f t="shared" si="47"/>
        <v>100004BS255</v>
      </c>
      <c r="L160" s="143" t="str">
        <f t="shared" si="48"/>
        <v>100005BS255</v>
      </c>
      <c r="M160" s="143" t="str">
        <f t="shared" si="49"/>
        <v>100006BS255</v>
      </c>
      <c r="N160" s="143" t="str">
        <f t="shared" si="50"/>
        <v>100007BS255</v>
      </c>
      <c r="O160" s="143" t="str">
        <f t="shared" si="51"/>
        <v>100008BS255</v>
      </c>
      <c r="P160" s="143" t="str">
        <f t="shared" si="52"/>
        <v>100009BS255</v>
      </c>
      <c r="Q160" s="143" t="str">
        <f t="shared" si="53"/>
        <v>100010BS255</v>
      </c>
      <c r="R160" s="143" t="str">
        <f t="shared" si="54"/>
        <v>100011BS255</v>
      </c>
      <c r="S160" s="143" t="str">
        <f t="shared" si="55"/>
        <v>100012BS255</v>
      </c>
      <c r="T160" s="143" t="str">
        <f t="shared" si="56"/>
        <v>100013BS255</v>
      </c>
      <c r="U160" s="143" t="str">
        <f t="shared" si="57"/>
        <v>100014BS255</v>
      </c>
      <c r="V160" s="143" t="str">
        <f t="shared" si="58"/>
        <v>100015BS255</v>
      </c>
      <c r="W160" s="143" t="str">
        <f t="shared" si="59"/>
        <v>100016BS255</v>
      </c>
      <c r="X160" s="146" t="s">
        <v>883</v>
      </c>
    </row>
    <row r="161" spans="1:24">
      <c r="A161" s="162">
        <v>11</v>
      </c>
      <c r="B161" s="140">
        <f t="shared" si="41"/>
        <v>157</v>
      </c>
      <c r="C161" s="146" t="s">
        <v>884</v>
      </c>
      <c r="D161" s="141" t="s">
        <v>777</v>
      </c>
      <c r="E161" s="142">
        <f t="shared" si="60"/>
        <v>256</v>
      </c>
      <c r="F161" s="142" t="str">
        <f t="shared" si="42"/>
        <v>BS256</v>
      </c>
      <c r="G161" s="143" t="str">
        <f t="shared" si="43"/>
        <v>100000BS256</v>
      </c>
      <c r="H161" s="143" t="str">
        <f t="shared" si="44"/>
        <v>100001BS256</v>
      </c>
      <c r="I161" s="143" t="str">
        <f t="shared" si="45"/>
        <v>100002BS256</v>
      </c>
      <c r="J161" s="143" t="str">
        <f t="shared" si="46"/>
        <v>100003BS256</v>
      </c>
      <c r="K161" s="143" t="str">
        <f t="shared" si="47"/>
        <v>100004BS256</v>
      </c>
      <c r="L161" s="143" t="str">
        <f t="shared" si="48"/>
        <v>100005BS256</v>
      </c>
      <c r="M161" s="143" t="str">
        <f t="shared" si="49"/>
        <v>100006BS256</v>
      </c>
      <c r="N161" s="143" t="str">
        <f t="shared" si="50"/>
        <v>100007BS256</v>
      </c>
      <c r="O161" s="143" t="str">
        <f t="shared" si="51"/>
        <v>100008BS256</v>
      </c>
      <c r="P161" s="143" t="str">
        <f t="shared" si="52"/>
        <v>100009BS256</v>
      </c>
      <c r="Q161" s="143" t="str">
        <f t="shared" si="53"/>
        <v>100010BS256</v>
      </c>
      <c r="R161" s="143" t="str">
        <f t="shared" si="54"/>
        <v>100011BS256</v>
      </c>
      <c r="S161" s="143" t="str">
        <f t="shared" si="55"/>
        <v>100012BS256</v>
      </c>
      <c r="T161" s="143" t="str">
        <f t="shared" si="56"/>
        <v>100013BS256</v>
      </c>
      <c r="U161" s="143" t="str">
        <f t="shared" si="57"/>
        <v>100014BS256</v>
      </c>
      <c r="V161" s="143" t="str">
        <f t="shared" si="58"/>
        <v>100015BS256</v>
      </c>
      <c r="W161" s="143" t="str">
        <f t="shared" si="59"/>
        <v>100016BS256</v>
      </c>
      <c r="X161" s="146" t="s">
        <v>884</v>
      </c>
    </row>
    <row r="162" spans="1:24">
      <c r="A162" s="162">
        <v>11</v>
      </c>
      <c r="B162" s="140">
        <f t="shared" si="41"/>
        <v>158</v>
      </c>
      <c r="C162" s="146" t="s">
        <v>885</v>
      </c>
      <c r="D162" s="141" t="s">
        <v>777</v>
      </c>
      <c r="E162" s="142">
        <f t="shared" si="60"/>
        <v>257</v>
      </c>
      <c r="F162" s="142" t="str">
        <f t="shared" si="42"/>
        <v>BS257</v>
      </c>
      <c r="G162" s="143" t="str">
        <f t="shared" si="43"/>
        <v>100000BS257</v>
      </c>
      <c r="H162" s="143" t="str">
        <f t="shared" si="44"/>
        <v>100001BS257</v>
      </c>
      <c r="I162" s="143" t="str">
        <f t="shared" si="45"/>
        <v>100002BS257</v>
      </c>
      <c r="J162" s="143" t="str">
        <f t="shared" si="46"/>
        <v>100003BS257</v>
      </c>
      <c r="K162" s="143" t="str">
        <f t="shared" si="47"/>
        <v>100004BS257</v>
      </c>
      <c r="L162" s="143" t="str">
        <f t="shared" si="48"/>
        <v>100005BS257</v>
      </c>
      <c r="M162" s="143" t="str">
        <f t="shared" si="49"/>
        <v>100006BS257</v>
      </c>
      <c r="N162" s="143" t="str">
        <f t="shared" si="50"/>
        <v>100007BS257</v>
      </c>
      <c r="O162" s="143" t="str">
        <f t="shared" si="51"/>
        <v>100008BS257</v>
      </c>
      <c r="P162" s="143" t="str">
        <f t="shared" si="52"/>
        <v>100009BS257</v>
      </c>
      <c r="Q162" s="143" t="str">
        <f t="shared" si="53"/>
        <v>100010BS257</v>
      </c>
      <c r="R162" s="143" t="str">
        <f t="shared" si="54"/>
        <v>100011BS257</v>
      </c>
      <c r="S162" s="143" t="str">
        <f t="shared" si="55"/>
        <v>100012BS257</v>
      </c>
      <c r="T162" s="143" t="str">
        <f t="shared" si="56"/>
        <v>100013BS257</v>
      </c>
      <c r="U162" s="143" t="str">
        <f t="shared" si="57"/>
        <v>100014BS257</v>
      </c>
      <c r="V162" s="143" t="str">
        <f t="shared" si="58"/>
        <v>100015BS257</v>
      </c>
      <c r="W162" s="143" t="str">
        <f t="shared" si="59"/>
        <v>100016BS257</v>
      </c>
      <c r="X162" s="146" t="s">
        <v>885</v>
      </c>
    </row>
    <row r="163" spans="1:24">
      <c r="A163" s="162">
        <v>11</v>
      </c>
      <c r="B163" s="140">
        <f t="shared" si="41"/>
        <v>159</v>
      </c>
      <c r="C163" s="146" t="s">
        <v>886</v>
      </c>
      <c r="D163" s="141" t="s">
        <v>777</v>
      </c>
      <c r="E163" s="142">
        <f t="shared" si="60"/>
        <v>258</v>
      </c>
      <c r="F163" s="142" t="str">
        <f t="shared" si="42"/>
        <v>BS258</v>
      </c>
      <c r="G163" s="143" t="str">
        <f t="shared" si="43"/>
        <v>100000BS258</v>
      </c>
      <c r="H163" s="143" t="str">
        <f t="shared" si="44"/>
        <v>100001BS258</v>
      </c>
      <c r="I163" s="143" t="str">
        <f t="shared" si="45"/>
        <v>100002BS258</v>
      </c>
      <c r="J163" s="143" t="str">
        <f t="shared" si="46"/>
        <v>100003BS258</v>
      </c>
      <c r="K163" s="143" t="str">
        <f t="shared" si="47"/>
        <v>100004BS258</v>
      </c>
      <c r="L163" s="143" t="str">
        <f t="shared" si="48"/>
        <v>100005BS258</v>
      </c>
      <c r="M163" s="143" t="str">
        <f t="shared" si="49"/>
        <v>100006BS258</v>
      </c>
      <c r="N163" s="143" t="str">
        <f t="shared" si="50"/>
        <v>100007BS258</v>
      </c>
      <c r="O163" s="143" t="str">
        <f t="shared" si="51"/>
        <v>100008BS258</v>
      </c>
      <c r="P163" s="143" t="str">
        <f t="shared" si="52"/>
        <v>100009BS258</v>
      </c>
      <c r="Q163" s="143" t="str">
        <f t="shared" si="53"/>
        <v>100010BS258</v>
      </c>
      <c r="R163" s="143" t="str">
        <f t="shared" si="54"/>
        <v>100011BS258</v>
      </c>
      <c r="S163" s="143" t="str">
        <f t="shared" si="55"/>
        <v>100012BS258</v>
      </c>
      <c r="T163" s="143" t="str">
        <f t="shared" si="56"/>
        <v>100013BS258</v>
      </c>
      <c r="U163" s="143" t="str">
        <f t="shared" si="57"/>
        <v>100014BS258</v>
      </c>
      <c r="V163" s="143" t="str">
        <f t="shared" si="58"/>
        <v>100015BS258</v>
      </c>
      <c r="W163" s="143" t="str">
        <f t="shared" si="59"/>
        <v>100016BS258</v>
      </c>
      <c r="X163" s="146" t="s">
        <v>886</v>
      </c>
    </row>
    <row r="164" spans="1:24">
      <c r="A164" s="162">
        <v>11</v>
      </c>
      <c r="B164" s="140">
        <f t="shared" si="41"/>
        <v>160</v>
      </c>
      <c r="C164" s="146" t="s">
        <v>887</v>
      </c>
      <c r="D164" s="141" t="s">
        <v>777</v>
      </c>
      <c r="E164" s="142">
        <f t="shared" si="60"/>
        <v>259</v>
      </c>
      <c r="F164" s="142" t="str">
        <f t="shared" si="42"/>
        <v>BS259</v>
      </c>
      <c r="G164" s="143" t="str">
        <f t="shared" si="43"/>
        <v>100000BS259</v>
      </c>
      <c r="H164" s="143" t="str">
        <f t="shared" si="44"/>
        <v>100001BS259</v>
      </c>
      <c r="I164" s="143" t="str">
        <f t="shared" si="45"/>
        <v>100002BS259</v>
      </c>
      <c r="J164" s="143" t="str">
        <f t="shared" si="46"/>
        <v>100003BS259</v>
      </c>
      <c r="K164" s="143" t="str">
        <f t="shared" si="47"/>
        <v>100004BS259</v>
      </c>
      <c r="L164" s="143" t="str">
        <f t="shared" si="48"/>
        <v>100005BS259</v>
      </c>
      <c r="M164" s="143" t="str">
        <f t="shared" si="49"/>
        <v>100006BS259</v>
      </c>
      <c r="N164" s="143" t="str">
        <f t="shared" si="50"/>
        <v>100007BS259</v>
      </c>
      <c r="O164" s="143" t="str">
        <f t="shared" si="51"/>
        <v>100008BS259</v>
      </c>
      <c r="P164" s="143" t="str">
        <f t="shared" si="52"/>
        <v>100009BS259</v>
      </c>
      <c r="Q164" s="143" t="str">
        <f t="shared" si="53"/>
        <v>100010BS259</v>
      </c>
      <c r="R164" s="143" t="str">
        <f t="shared" si="54"/>
        <v>100011BS259</v>
      </c>
      <c r="S164" s="143" t="str">
        <f t="shared" si="55"/>
        <v>100012BS259</v>
      </c>
      <c r="T164" s="143" t="str">
        <f t="shared" si="56"/>
        <v>100013BS259</v>
      </c>
      <c r="U164" s="143" t="str">
        <f t="shared" si="57"/>
        <v>100014BS259</v>
      </c>
      <c r="V164" s="143" t="str">
        <f t="shared" si="58"/>
        <v>100015BS259</v>
      </c>
      <c r="W164" s="143" t="str">
        <f t="shared" si="59"/>
        <v>100016BS259</v>
      </c>
      <c r="X164" s="146" t="s">
        <v>887</v>
      </c>
    </row>
    <row r="165" spans="1:24">
      <c r="A165" s="162">
        <v>11</v>
      </c>
      <c r="B165" s="140">
        <f t="shared" si="41"/>
        <v>161</v>
      </c>
      <c r="C165" s="146" t="s">
        <v>888</v>
      </c>
      <c r="D165" s="141" t="s">
        <v>777</v>
      </c>
      <c r="E165" s="142">
        <f t="shared" si="60"/>
        <v>260</v>
      </c>
      <c r="F165" s="142" t="str">
        <f t="shared" si="42"/>
        <v>BS260</v>
      </c>
      <c r="G165" s="143" t="str">
        <f t="shared" si="43"/>
        <v>100000BS260</v>
      </c>
      <c r="H165" s="143" t="str">
        <f t="shared" si="44"/>
        <v>100001BS260</v>
      </c>
      <c r="I165" s="143" t="str">
        <f t="shared" si="45"/>
        <v>100002BS260</v>
      </c>
      <c r="J165" s="143" t="str">
        <f t="shared" si="46"/>
        <v>100003BS260</v>
      </c>
      <c r="K165" s="143" t="str">
        <f t="shared" si="47"/>
        <v>100004BS260</v>
      </c>
      <c r="L165" s="143" t="str">
        <f t="shared" si="48"/>
        <v>100005BS260</v>
      </c>
      <c r="M165" s="143" t="str">
        <f t="shared" si="49"/>
        <v>100006BS260</v>
      </c>
      <c r="N165" s="143" t="str">
        <f t="shared" si="50"/>
        <v>100007BS260</v>
      </c>
      <c r="O165" s="143" t="str">
        <f t="shared" si="51"/>
        <v>100008BS260</v>
      </c>
      <c r="P165" s="143" t="str">
        <f t="shared" si="52"/>
        <v>100009BS260</v>
      </c>
      <c r="Q165" s="143" t="str">
        <f t="shared" si="53"/>
        <v>100010BS260</v>
      </c>
      <c r="R165" s="143" t="str">
        <f t="shared" si="54"/>
        <v>100011BS260</v>
      </c>
      <c r="S165" s="143" t="str">
        <f t="shared" si="55"/>
        <v>100012BS260</v>
      </c>
      <c r="T165" s="143" t="str">
        <f t="shared" si="56"/>
        <v>100013BS260</v>
      </c>
      <c r="U165" s="143" t="str">
        <f t="shared" si="57"/>
        <v>100014BS260</v>
      </c>
      <c r="V165" s="143" t="str">
        <f t="shared" si="58"/>
        <v>100015BS260</v>
      </c>
      <c r="W165" s="143" t="str">
        <f t="shared" si="59"/>
        <v>100016BS260</v>
      </c>
      <c r="X165" s="146" t="s">
        <v>888</v>
      </c>
    </row>
    <row r="166" spans="1:24">
      <c r="A166" s="162">
        <v>11</v>
      </c>
      <c r="B166" s="140">
        <f t="shared" si="41"/>
        <v>162</v>
      </c>
      <c r="C166" s="144" t="s">
        <v>889</v>
      </c>
      <c r="D166" s="141" t="s">
        <v>777</v>
      </c>
      <c r="E166" s="142">
        <f t="shared" si="60"/>
        <v>261</v>
      </c>
      <c r="F166" s="142" t="str">
        <f t="shared" si="42"/>
        <v>BS261</v>
      </c>
      <c r="G166" s="143" t="str">
        <f t="shared" si="43"/>
        <v>100000BS261</v>
      </c>
      <c r="H166" s="143" t="str">
        <f t="shared" si="44"/>
        <v>100001BS261</v>
      </c>
      <c r="I166" s="143" t="str">
        <f t="shared" si="45"/>
        <v>100002BS261</v>
      </c>
      <c r="J166" s="143" t="str">
        <f t="shared" si="46"/>
        <v>100003BS261</v>
      </c>
      <c r="K166" s="143" t="str">
        <f t="shared" si="47"/>
        <v>100004BS261</v>
      </c>
      <c r="L166" s="143" t="str">
        <f t="shared" si="48"/>
        <v>100005BS261</v>
      </c>
      <c r="M166" s="143" t="str">
        <f t="shared" si="49"/>
        <v>100006BS261</v>
      </c>
      <c r="N166" s="143" t="str">
        <f t="shared" si="50"/>
        <v>100007BS261</v>
      </c>
      <c r="O166" s="143" t="str">
        <f t="shared" si="51"/>
        <v>100008BS261</v>
      </c>
      <c r="P166" s="143" t="str">
        <f t="shared" si="52"/>
        <v>100009BS261</v>
      </c>
      <c r="Q166" s="143" t="str">
        <f t="shared" si="53"/>
        <v>100010BS261</v>
      </c>
      <c r="R166" s="143" t="str">
        <f t="shared" si="54"/>
        <v>100011BS261</v>
      </c>
      <c r="S166" s="143" t="str">
        <f t="shared" si="55"/>
        <v>100012BS261</v>
      </c>
      <c r="T166" s="143" t="str">
        <f t="shared" si="56"/>
        <v>100013BS261</v>
      </c>
      <c r="U166" s="143" t="str">
        <f t="shared" si="57"/>
        <v>100014BS261</v>
      </c>
      <c r="V166" s="143" t="str">
        <f t="shared" si="58"/>
        <v>100015BS261</v>
      </c>
      <c r="W166" s="143" t="str">
        <f t="shared" si="59"/>
        <v>100016BS261</v>
      </c>
      <c r="X166" s="144" t="s">
        <v>889</v>
      </c>
    </row>
    <row r="167" spans="1:24">
      <c r="A167" s="162">
        <v>11</v>
      </c>
      <c r="B167" s="140">
        <f t="shared" si="41"/>
        <v>163</v>
      </c>
      <c r="C167" s="144" t="s">
        <v>890</v>
      </c>
      <c r="D167" s="141" t="s">
        <v>777</v>
      </c>
      <c r="E167" s="142">
        <f t="shared" si="60"/>
        <v>262</v>
      </c>
      <c r="F167" s="142" t="str">
        <f t="shared" si="42"/>
        <v>BS262</v>
      </c>
      <c r="G167" s="143" t="str">
        <f t="shared" si="43"/>
        <v>100000BS262</v>
      </c>
      <c r="H167" s="143" t="str">
        <f t="shared" si="44"/>
        <v>100001BS262</v>
      </c>
      <c r="I167" s="143" t="str">
        <f t="shared" si="45"/>
        <v>100002BS262</v>
      </c>
      <c r="J167" s="143" t="str">
        <f t="shared" si="46"/>
        <v>100003BS262</v>
      </c>
      <c r="K167" s="143" t="str">
        <f t="shared" si="47"/>
        <v>100004BS262</v>
      </c>
      <c r="L167" s="143" t="str">
        <f t="shared" si="48"/>
        <v>100005BS262</v>
      </c>
      <c r="M167" s="143" t="str">
        <f t="shared" si="49"/>
        <v>100006BS262</v>
      </c>
      <c r="N167" s="143" t="str">
        <f t="shared" si="50"/>
        <v>100007BS262</v>
      </c>
      <c r="O167" s="143" t="str">
        <f t="shared" si="51"/>
        <v>100008BS262</v>
      </c>
      <c r="P167" s="143" t="str">
        <f t="shared" si="52"/>
        <v>100009BS262</v>
      </c>
      <c r="Q167" s="143" t="str">
        <f t="shared" si="53"/>
        <v>100010BS262</v>
      </c>
      <c r="R167" s="143" t="str">
        <f t="shared" si="54"/>
        <v>100011BS262</v>
      </c>
      <c r="S167" s="143" t="str">
        <f t="shared" si="55"/>
        <v>100012BS262</v>
      </c>
      <c r="T167" s="143" t="str">
        <f t="shared" si="56"/>
        <v>100013BS262</v>
      </c>
      <c r="U167" s="143" t="str">
        <f t="shared" si="57"/>
        <v>100014BS262</v>
      </c>
      <c r="V167" s="143" t="str">
        <f t="shared" si="58"/>
        <v>100015BS262</v>
      </c>
      <c r="W167" s="143" t="str">
        <f t="shared" si="59"/>
        <v>100016BS262</v>
      </c>
      <c r="X167" s="144" t="s">
        <v>890</v>
      </c>
    </row>
    <row r="168" spans="1:24">
      <c r="A168" s="162">
        <v>11</v>
      </c>
      <c r="B168" s="140">
        <f t="shared" si="41"/>
        <v>164</v>
      </c>
      <c r="C168" s="144" t="s">
        <v>891</v>
      </c>
      <c r="D168" s="141" t="s">
        <v>777</v>
      </c>
      <c r="E168" s="142">
        <f t="shared" si="60"/>
        <v>263</v>
      </c>
      <c r="F168" s="142" t="str">
        <f t="shared" si="42"/>
        <v>BS263</v>
      </c>
      <c r="G168" s="143" t="str">
        <f t="shared" si="43"/>
        <v>100000BS263</v>
      </c>
      <c r="H168" s="143" t="str">
        <f t="shared" si="44"/>
        <v>100001BS263</v>
      </c>
      <c r="I168" s="143" t="str">
        <f t="shared" si="45"/>
        <v>100002BS263</v>
      </c>
      <c r="J168" s="143" t="str">
        <f t="shared" si="46"/>
        <v>100003BS263</v>
      </c>
      <c r="K168" s="143" t="str">
        <f t="shared" si="47"/>
        <v>100004BS263</v>
      </c>
      <c r="L168" s="143" t="str">
        <f t="shared" si="48"/>
        <v>100005BS263</v>
      </c>
      <c r="M168" s="143" t="str">
        <f t="shared" si="49"/>
        <v>100006BS263</v>
      </c>
      <c r="N168" s="143" t="str">
        <f t="shared" si="50"/>
        <v>100007BS263</v>
      </c>
      <c r="O168" s="143" t="str">
        <f t="shared" si="51"/>
        <v>100008BS263</v>
      </c>
      <c r="P168" s="143" t="str">
        <f t="shared" si="52"/>
        <v>100009BS263</v>
      </c>
      <c r="Q168" s="143" t="str">
        <f t="shared" si="53"/>
        <v>100010BS263</v>
      </c>
      <c r="R168" s="143" t="str">
        <f t="shared" si="54"/>
        <v>100011BS263</v>
      </c>
      <c r="S168" s="143" t="str">
        <f t="shared" si="55"/>
        <v>100012BS263</v>
      </c>
      <c r="T168" s="143" t="str">
        <f t="shared" si="56"/>
        <v>100013BS263</v>
      </c>
      <c r="U168" s="143" t="str">
        <f t="shared" si="57"/>
        <v>100014BS263</v>
      </c>
      <c r="V168" s="143" t="str">
        <f t="shared" si="58"/>
        <v>100015BS263</v>
      </c>
      <c r="W168" s="143" t="str">
        <f t="shared" si="59"/>
        <v>100016BS263</v>
      </c>
      <c r="X168" s="144" t="s">
        <v>891</v>
      </c>
    </row>
    <row r="169" spans="1:24">
      <c r="A169" s="161">
        <v>22</v>
      </c>
      <c r="B169" s="140">
        <f t="shared" si="41"/>
        <v>165</v>
      </c>
      <c r="C169" s="144" t="s">
        <v>703</v>
      </c>
      <c r="D169" s="144" t="s">
        <v>892</v>
      </c>
      <c r="E169" s="142">
        <v>100</v>
      </c>
      <c r="F169" s="142" t="str">
        <f t="shared" si="42"/>
        <v>PL100</v>
      </c>
      <c r="G169" s="143" t="str">
        <f t="shared" si="43"/>
        <v>100000PL100</v>
      </c>
      <c r="H169" s="143" t="str">
        <f t="shared" si="44"/>
        <v>100001PL100</v>
      </c>
      <c r="I169" s="143" t="str">
        <f t="shared" si="45"/>
        <v>100002PL100</v>
      </c>
      <c r="J169" s="143" t="str">
        <f t="shared" si="46"/>
        <v>100003PL100</v>
      </c>
      <c r="K169" s="143" t="str">
        <f t="shared" si="47"/>
        <v>100004PL100</v>
      </c>
      <c r="L169" s="143" t="str">
        <f t="shared" si="48"/>
        <v>100005PL100</v>
      </c>
      <c r="M169" s="143" t="str">
        <f t="shared" si="49"/>
        <v>100006PL100</v>
      </c>
      <c r="N169" s="143" t="str">
        <f t="shared" si="50"/>
        <v>100007PL100</v>
      </c>
      <c r="O169" s="143" t="str">
        <f t="shared" si="51"/>
        <v>100008PL100</v>
      </c>
      <c r="P169" s="143" t="str">
        <f t="shared" si="52"/>
        <v>100009PL100</v>
      </c>
      <c r="Q169" s="143" t="str">
        <f t="shared" si="53"/>
        <v>100010PL100</v>
      </c>
      <c r="R169" s="143" t="str">
        <f t="shared" si="54"/>
        <v>100011PL100</v>
      </c>
      <c r="S169" s="143" t="str">
        <f t="shared" si="55"/>
        <v>100012PL100</v>
      </c>
      <c r="T169" s="143" t="str">
        <f t="shared" si="56"/>
        <v>100013PL100</v>
      </c>
      <c r="U169" s="143" t="str">
        <f t="shared" si="57"/>
        <v>100014PL100</v>
      </c>
      <c r="V169" s="143" t="str">
        <f t="shared" si="58"/>
        <v>100015PL100</v>
      </c>
      <c r="W169" s="143" t="str">
        <f t="shared" si="59"/>
        <v>100016PL100</v>
      </c>
      <c r="X169" s="144" t="s">
        <v>703</v>
      </c>
    </row>
    <row r="170" spans="1:24">
      <c r="A170" s="161">
        <v>22</v>
      </c>
      <c r="B170" s="140">
        <f t="shared" si="41"/>
        <v>166</v>
      </c>
      <c r="C170" s="144" t="s">
        <v>250</v>
      </c>
      <c r="D170" s="144" t="s">
        <v>892</v>
      </c>
      <c r="E170" s="142">
        <f>E169+1</f>
        <v>101</v>
      </c>
      <c r="F170" s="142" t="str">
        <f t="shared" si="42"/>
        <v>PL101</v>
      </c>
      <c r="G170" s="143" t="str">
        <f t="shared" si="43"/>
        <v>100000PL101</v>
      </c>
      <c r="H170" s="143" t="str">
        <f t="shared" si="44"/>
        <v>100001PL101</v>
      </c>
      <c r="I170" s="143" t="str">
        <f t="shared" si="45"/>
        <v>100002PL101</v>
      </c>
      <c r="J170" s="143" t="str">
        <f t="shared" si="46"/>
        <v>100003PL101</v>
      </c>
      <c r="K170" s="143" t="str">
        <f t="shared" si="47"/>
        <v>100004PL101</v>
      </c>
      <c r="L170" s="143" t="str">
        <f t="shared" si="48"/>
        <v>100005PL101</v>
      </c>
      <c r="M170" s="143" t="str">
        <f t="shared" si="49"/>
        <v>100006PL101</v>
      </c>
      <c r="N170" s="143" t="str">
        <f t="shared" si="50"/>
        <v>100007PL101</v>
      </c>
      <c r="O170" s="143" t="str">
        <f t="shared" si="51"/>
        <v>100008PL101</v>
      </c>
      <c r="P170" s="143" t="str">
        <f t="shared" si="52"/>
        <v>100009PL101</v>
      </c>
      <c r="Q170" s="143" t="str">
        <f t="shared" si="53"/>
        <v>100010PL101</v>
      </c>
      <c r="R170" s="143" t="str">
        <f t="shared" si="54"/>
        <v>100011PL101</v>
      </c>
      <c r="S170" s="143" t="str">
        <f t="shared" si="55"/>
        <v>100012PL101</v>
      </c>
      <c r="T170" s="143" t="str">
        <f t="shared" si="56"/>
        <v>100013PL101</v>
      </c>
      <c r="U170" s="143" t="str">
        <f t="shared" si="57"/>
        <v>100014PL101</v>
      </c>
      <c r="V170" s="143" t="str">
        <f t="shared" si="58"/>
        <v>100015PL101</v>
      </c>
      <c r="W170" s="143" t="str">
        <f t="shared" si="59"/>
        <v>100016PL101</v>
      </c>
      <c r="X170" s="144" t="s">
        <v>250</v>
      </c>
    </row>
    <row r="171" spans="1:24">
      <c r="A171" s="161">
        <v>22</v>
      </c>
      <c r="B171" s="140">
        <f t="shared" si="41"/>
        <v>167</v>
      </c>
      <c r="C171" s="144" t="s">
        <v>251</v>
      </c>
      <c r="D171" s="144" t="s">
        <v>892</v>
      </c>
      <c r="E171" s="142">
        <f t="shared" ref="E171:E234" si="61">E170+1</f>
        <v>102</v>
      </c>
      <c r="F171" s="142" t="str">
        <f t="shared" si="42"/>
        <v>PL102</v>
      </c>
      <c r="G171" s="143" t="str">
        <f t="shared" si="43"/>
        <v>100000PL102</v>
      </c>
      <c r="H171" s="143" t="str">
        <f t="shared" si="44"/>
        <v>100001PL102</v>
      </c>
      <c r="I171" s="143" t="str">
        <f t="shared" si="45"/>
        <v>100002PL102</v>
      </c>
      <c r="J171" s="143" t="str">
        <f t="shared" si="46"/>
        <v>100003PL102</v>
      </c>
      <c r="K171" s="143" t="str">
        <f t="shared" si="47"/>
        <v>100004PL102</v>
      </c>
      <c r="L171" s="143" t="str">
        <f t="shared" si="48"/>
        <v>100005PL102</v>
      </c>
      <c r="M171" s="143" t="str">
        <f t="shared" si="49"/>
        <v>100006PL102</v>
      </c>
      <c r="N171" s="143" t="str">
        <f t="shared" si="50"/>
        <v>100007PL102</v>
      </c>
      <c r="O171" s="143" t="str">
        <f t="shared" si="51"/>
        <v>100008PL102</v>
      </c>
      <c r="P171" s="143" t="str">
        <f t="shared" si="52"/>
        <v>100009PL102</v>
      </c>
      <c r="Q171" s="143" t="str">
        <f t="shared" si="53"/>
        <v>100010PL102</v>
      </c>
      <c r="R171" s="143" t="str">
        <f t="shared" si="54"/>
        <v>100011PL102</v>
      </c>
      <c r="S171" s="143" t="str">
        <f t="shared" si="55"/>
        <v>100012PL102</v>
      </c>
      <c r="T171" s="143" t="str">
        <f t="shared" si="56"/>
        <v>100013PL102</v>
      </c>
      <c r="U171" s="143" t="str">
        <f t="shared" si="57"/>
        <v>100014PL102</v>
      </c>
      <c r="V171" s="143" t="str">
        <f t="shared" si="58"/>
        <v>100015PL102</v>
      </c>
      <c r="W171" s="143" t="str">
        <f t="shared" si="59"/>
        <v>100016PL102</v>
      </c>
      <c r="X171" s="144" t="s">
        <v>251</v>
      </c>
    </row>
    <row r="172" spans="1:24">
      <c r="A172" s="161" t="s">
        <v>631</v>
      </c>
      <c r="B172" s="140">
        <f t="shared" si="41"/>
        <v>168</v>
      </c>
      <c r="C172" s="144" t="s">
        <v>670</v>
      </c>
      <c r="D172" s="144" t="s">
        <v>892</v>
      </c>
      <c r="E172" s="142">
        <f t="shared" si="61"/>
        <v>103</v>
      </c>
      <c r="F172" s="142" t="str">
        <f t="shared" si="42"/>
        <v>PL103</v>
      </c>
      <c r="G172" s="143" t="str">
        <f t="shared" si="43"/>
        <v>100000PL103</v>
      </c>
      <c r="H172" s="143" t="str">
        <f t="shared" si="44"/>
        <v>100001PL103</v>
      </c>
      <c r="I172" s="143" t="str">
        <f t="shared" si="45"/>
        <v>100002PL103</v>
      </c>
      <c r="J172" s="143" t="str">
        <f t="shared" si="46"/>
        <v>100003PL103</v>
      </c>
      <c r="K172" s="143" t="str">
        <f t="shared" si="47"/>
        <v>100004PL103</v>
      </c>
      <c r="L172" s="143" t="str">
        <f t="shared" si="48"/>
        <v>100005PL103</v>
      </c>
      <c r="M172" s="143" t="str">
        <f t="shared" si="49"/>
        <v>100006PL103</v>
      </c>
      <c r="N172" s="143" t="str">
        <f t="shared" si="50"/>
        <v>100007PL103</v>
      </c>
      <c r="O172" s="143" t="str">
        <f t="shared" si="51"/>
        <v>100008PL103</v>
      </c>
      <c r="P172" s="143" t="str">
        <f t="shared" si="52"/>
        <v>100009PL103</v>
      </c>
      <c r="Q172" s="143" t="str">
        <f t="shared" si="53"/>
        <v>100010PL103</v>
      </c>
      <c r="R172" s="143" t="str">
        <f t="shared" si="54"/>
        <v>100011PL103</v>
      </c>
      <c r="S172" s="143" t="str">
        <f t="shared" si="55"/>
        <v>100012PL103</v>
      </c>
      <c r="T172" s="143" t="str">
        <f t="shared" si="56"/>
        <v>100013PL103</v>
      </c>
      <c r="U172" s="143" t="str">
        <f t="shared" si="57"/>
        <v>100014PL103</v>
      </c>
      <c r="V172" s="143" t="str">
        <f t="shared" si="58"/>
        <v>100015PL103</v>
      </c>
      <c r="W172" s="143" t="str">
        <f t="shared" si="59"/>
        <v>100016PL103</v>
      </c>
      <c r="X172" s="144" t="s">
        <v>670</v>
      </c>
    </row>
    <row r="173" spans="1:24">
      <c r="A173" s="161">
        <v>23</v>
      </c>
      <c r="B173" s="140">
        <f t="shared" si="41"/>
        <v>169</v>
      </c>
      <c r="C173" s="144" t="s">
        <v>253</v>
      </c>
      <c r="D173" s="144" t="s">
        <v>892</v>
      </c>
      <c r="E173" s="142">
        <f t="shared" si="61"/>
        <v>104</v>
      </c>
      <c r="F173" s="142" t="str">
        <f t="shared" si="42"/>
        <v>PL104</v>
      </c>
      <c r="G173" s="143" t="str">
        <f t="shared" si="43"/>
        <v>100000PL104</v>
      </c>
      <c r="H173" s="143" t="str">
        <f t="shared" si="44"/>
        <v>100001PL104</v>
      </c>
      <c r="I173" s="143" t="str">
        <f t="shared" si="45"/>
        <v>100002PL104</v>
      </c>
      <c r="J173" s="143" t="str">
        <f t="shared" si="46"/>
        <v>100003PL104</v>
      </c>
      <c r="K173" s="143" t="str">
        <f t="shared" si="47"/>
        <v>100004PL104</v>
      </c>
      <c r="L173" s="143" t="str">
        <f t="shared" si="48"/>
        <v>100005PL104</v>
      </c>
      <c r="M173" s="143" t="str">
        <f t="shared" si="49"/>
        <v>100006PL104</v>
      </c>
      <c r="N173" s="143" t="str">
        <f t="shared" si="50"/>
        <v>100007PL104</v>
      </c>
      <c r="O173" s="143" t="str">
        <f t="shared" si="51"/>
        <v>100008PL104</v>
      </c>
      <c r="P173" s="143" t="str">
        <f t="shared" si="52"/>
        <v>100009PL104</v>
      </c>
      <c r="Q173" s="143" t="str">
        <f t="shared" si="53"/>
        <v>100010PL104</v>
      </c>
      <c r="R173" s="143" t="str">
        <f t="shared" si="54"/>
        <v>100011PL104</v>
      </c>
      <c r="S173" s="143" t="str">
        <f t="shared" si="55"/>
        <v>100012PL104</v>
      </c>
      <c r="T173" s="143" t="str">
        <f t="shared" si="56"/>
        <v>100013PL104</v>
      </c>
      <c r="U173" s="143" t="str">
        <f t="shared" si="57"/>
        <v>100014PL104</v>
      </c>
      <c r="V173" s="143" t="str">
        <f t="shared" si="58"/>
        <v>100015PL104</v>
      </c>
      <c r="W173" s="143" t="str">
        <f t="shared" si="59"/>
        <v>100016PL104</v>
      </c>
      <c r="X173" s="144" t="s">
        <v>253</v>
      </c>
    </row>
    <row r="174" spans="1:24">
      <c r="A174" s="161">
        <v>23</v>
      </c>
      <c r="B174" s="140">
        <f t="shared" si="41"/>
        <v>170</v>
      </c>
      <c r="C174" s="144" t="s">
        <v>254</v>
      </c>
      <c r="D174" s="144" t="s">
        <v>892</v>
      </c>
      <c r="E174" s="142">
        <f t="shared" si="61"/>
        <v>105</v>
      </c>
      <c r="F174" s="142" t="str">
        <f t="shared" si="42"/>
        <v>PL105</v>
      </c>
      <c r="G174" s="143" t="str">
        <f t="shared" si="43"/>
        <v>100000PL105</v>
      </c>
      <c r="H174" s="143" t="str">
        <f t="shared" si="44"/>
        <v>100001PL105</v>
      </c>
      <c r="I174" s="143" t="str">
        <f t="shared" si="45"/>
        <v>100002PL105</v>
      </c>
      <c r="J174" s="143" t="str">
        <f t="shared" si="46"/>
        <v>100003PL105</v>
      </c>
      <c r="K174" s="143" t="str">
        <f t="shared" si="47"/>
        <v>100004PL105</v>
      </c>
      <c r="L174" s="143" t="str">
        <f t="shared" si="48"/>
        <v>100005PL105</v>
      </c>
      <c r="M174" s="143" t="str">
        <f t="shared" si="49"/>
        <v>100006PL105</v>
      </c>
      <c r="N174" s="143" t="str">
        <f t="shared" si="50"/>
        <v>100007PL105</v>
      </c>
      <c r="O174" s="143" t="str">
        <f t="shared" si="51"/>
        <v>100008PL105</v>
      </c>
      <c r="P174" s="143" t="str">
        <f t="shared" si="52"/>
        <v>100009PL105</v>
      </c>
      <c r="Q174" s="143" t="str">
        <f t="shared" si="53"/>
        <v>100010PL105</v>
      </c>
      <c r="R174" s="143" t="str">
        <f t="shared" si="54"/>
        <v>100011PL105</v>
      </c>
      <c r="S174" s="143" t="str">
        <f t="shared" si="55"/>
        <v>100012PL105</v>
      </c>
      <c r="T174" s="143" t="str">
        <f t="shared" si="56"/>
        <v>100013PL105</v>
      </c>
      <c r="U174" s="143" t="str">
        <f t="shared" si="57"/>
        <v>100014PL105</v>
      </c>
      <c r="V174" s="143" t="str">
        <f t="shared" si="58"/>
        <v>100015PL105</v>
      </c>
      <c r="W174" s="143" t="str">
        <f t="shared" si="59"/>
        <v>100016PL105</v>
      </c>
      <c r="X174" s="144" t="s">
        <v>254</v>
      </c>
    </row>
    <row r="175" spans="1:24">
      <c r="A175" s="161">
        <v>23</v>
      </c>
      <c r="B175" s="140">
        <f t="shared" si="41"/>
        <v>171</v>
      </c>
      <c r="C175" s="144" t="s">
        <v>668</v>
      </c>
      <c r="D175" s="144" t="s">
        <v>892</v>
      </c>
      <c r="E175" s="142">
        <f t="shared" si="61"/>
        <v>106</v>
      </c>
      <c r="F175" s="142" t="str">
        <f t="shared" si="42"/>
        <v>PL106</v>
      </c>
      <c r="G175" s="143" t="str">
        <f t="shared" si="43"/>
        <v>100000PL106</v>
      </c>
      <c r="H175" s="143" t="str">
        <f t="shared" si="44"/>
        <v>100001PL106</v>
      </c>
      <c r="I175" s="143" t="str">
        <f t="shared" si="45"/>
        <v>100002PL106</v>
      </c>
      <c r="J175" s="143" t="str">
        <f t="shared" si="46"/>
        <v>100003PL106</v>
      </c>
      <c r="K175" s="143" t="str">
        <f t="shared" si="47"/>
        <v>100004PL106</v>
      </c>
      <c r="L175" s="143" t="str">
        <f t="shared" si="48"/>
        <v>100005PL106</v>
      </c>
      <c r="M175" s="143" t="str">
        <f t="shared" si="49"/>
        <v>100006PL106</v>
      </c>
      <c r="N175" s="143" t="str">
        <f t="shared" si="50"/>
        <v>100007PL106</v>
      </c>
      <c r="O175" s="143" t="str">
        <f t="shared" si="51"/>
        <v>100008PL106</v>
      </c>
      <c r="P175" s="143" t="str">
        <f t="shared" si="52"/>
        <v>100009PL106</v>
      </c>
      <c r="Q175" s="143" t="str">
        <f t="shared" si="53"/>
        <v>100010PL106</v>
      </c>
      <c r="R175" s="143" t="str">
        <f t="shared" si="54"/>
        <v>100011PL106</v>
      </c>
      <c r="S175" s="143" t="str">
        <f t="shared" si="55"/>
        <v>100012PL106</v>
      </c>
      <c r="T175" s="143" t="str">
        <f t="shared" si="56"/>
        <v>100013PL106</v>
      </c>
      <c r="U175" s="143" t="str">
        <f t="shared" si="57"/>
        <v>100014PL106</v>
      </c>
      <c r="V175" s="143" t="str">
        <f t="shared" si="58"/>
        <v>100015PL106</v>
      </c>
      <c r="W175" s="143" t="str">
        <f t="shared" si="59"/>
        <v>100016PL106</v>
      </c>
      <c r="X175" s="144" t="s">
        <v>668</v>
      </c>
    </row>
    <row r="176" spans="1:24">
      <c r="A176" s="161">
        <v>23</v>
      </c>
      <c r="B176" s="140">
        <f t="shared" si="41"/>
        <v>172</v>
      </c>
      <c r="C176" s="144" t="s">
        <v>257</v>
      </c>
      <c r="D176" s="144" t="s">
        <v>892</v>
      </c>
      <c r="E176" s="142">
        <f t="shared" si="61"/>
        <v>107</v>
      </c>
      <c r="F176" s="142" t="str">
        <f t="shared" si="42"/>
        <v>PL107</v>
      </c>
      <c r="G176" s="143" t="str">
        <f t="shared" si="43"/>
        <v>100000PL107</v>
      </c>
      <c r="H176" s="143" t="str">
        <f t="shared" si="44"/>
        <v>100001PL107</v>
      </c>
      <c r="I176" s="143" t="str">
        <f t="shared" si="45"/>
        <v>100002PL107</v>
      </c>
      <c r="J176" s="143" t="str">
        <f t="shared" si="46"/>
        <v>100003PL107</v>
      </c>
      <c r="K176" s="143" t="str">
        <f t="shared" si="47"/>
        <v>100004PL107</v>
      </c>
      <c r="L176" s="143" t="str">
        <f t="shared" si="48"/>
        <v>100005PL107</v>
      </c>
      <c r="M176" s="143" t="str">
        <f t="shared" si="49"/>
        <v>100006PL107</v>
      </c>
      <c r="N176" s="143" t="str">
        <f t="shared" si="50"/>
        <v>100007PL107</v>
      </c>
      <c r="O176" s="143" t="str">
        <f t="shared" si="51"/>
        <v>100008PL107</v>
      </c>
      <c r="P176" s="143" t="str">
        <f t="shared" si="52"/>
        <v>100009PL107</v>
      </c>
      <c r="Q176" s="143" t="str">
        <f t="shared" si="53"/>
        <v>100010PL107</v>
      </c>
      <c r="R176" s="143" t="str">
        <f t="shared" si="54"/>
        <v>100011PL107</v>
      </c>
      <c r="S176" s="143" t="str">
        <f t="shared" si="55"/>
        <v>100012PL107</v>
      </c>
      <c r="T176" s="143" t="str">
        <f t="shared" si="56"/>
        <v>100013PL107</v>
      </c>
      <c r="U176" s="143" t="str">
        <f t="shared" si="57"/>
        <v>100014PL107</v>
      </c>
      <c r="V176" s="143" t="str">
        <f t="shared" si="58"/>
        <v>100015PL107</v>
      </c>
      <c r="W176" s="143" t="str">
        <f t="shared" si="59"/>
        <v>100016PL107</v>
      </c>
      <c r="X176" s="144" t="s">
        <v>257</v>
      </c>
    </row>
    <row r="177" spans="1:24">
      <c r="A177" s="161">
        <v>23</v>
      </c>
      <c r="B177" s="140">
        <f t="shared" si="41"/>
        <v>173</v>
      </c>
      <c r="C177" s="144" t="s">
        <v>259</v>
      </c>
      <c r="D177" s="144" t="s">
        <v>892</v>
      </c>
      <c r="E177" s="142">
        <f t="shared" si="61"/>
        <v>108</v>
      </c>
      <c r="F177" s="142" t="str">
        <f t="shared" si="42"/>
        <v>PL108</v>
      </c>
      <c r="G177" s="143" t="str">
        <f t="shared" si="43"/>
        <v>100000PL108</v>
      </c>
      <c r="H177" s="143" t="str">
        <f t="shared" si="44"/>
        <v>100001PL108</v>
      </c>
      <c r="I177" s="143" t="str">
        <f t="shared" si="45"/>
        <v>100002PL108</v>
      </c>
      <c r="J177" s="143" t="str">
        <f t="shared" si="46"/>
        <v>100003PL108</v>
      </c>
      <c r="K177" s="143" t="str">
        <f t="shared" si="47"/>
        <v>100004PL108</v>
      </c>
      <c r="L177" s="143" t="str">
        <f t="shared" si="48"/>
        <v>100005PL108</v>
      </c>
      <c r="M177" s="143" t="str">
        <f t="shared" si="49"/>
        <v>100006PL108</v>
      </c>
      <c r="N177" s="143" t="str">
        <f t="shared" si="50"/>
        <v>100007PL108</v>
      </c>
      <c r="O177" s="143" t="str">
        <f t="shared" si="51"/>
        <v>100008PL108</v>
      </c>
      <c r="P177" s="143" t="str">
        <f t="shared" si="52"/>
        <v>100009PL108</v>
      </c>
      <c r="Q177" s="143" t="str">
        <f t="shared" si="53"/>
        <v>100010PL108</v>
      </c>
      <c r="R177" s="143" t="str">
        <f t="shared" si="54"/>
        <v>100011PL108</v>
      </c>
      <c r="S177" s="143" t="str">
        <f t="shared" si="55"/>
        <v>100012PL108</v>
      </c>
      <c r="T177" s="143" t="str">
        <f t="shared" si="56"/>
        <v>100013PL108</v>
      </c>
      <c r="U177" s="143" t="str">
        <f t="shared" si="57"/>
        <v>100014PL108</v>
      </c>
      <c r="V177" s="143" t="str">
        <f t="shared" si="58"/>
        <v>100015PL108</v>
      </c>
      <c r="W177" s="143" t="str">
        <f t="shared" si="59"/>
        <v>100016PL108</v>
      </c>
      <c r="X177" s="144" t="s">
        <v>259</v>
      </c>
    </row>
    <row r="178" spans="1:24">
      <c r="A178" s="161">
        <v>23</v>
      </c>
      <c r="B178" s="140">
        <f t="shared" si="41"/>
        <v>174</v>
      </c>
      <c r="C178" s="144" t="s">
        <v>260</v>
      </c>
      <c r="D178" s="144" t="s">
        <v>892</v>
      </c>
      <c r="E178" s="142">
        <f t="shared" si="61"/>
        <v>109</v>
      </c>
      <c r="F178" s="142" t="str">
        <f t="shared" si="42"/>
        <v>PL109</v>
      </c>
      <c r="G178" s="143" t="str">
        <f t="shared" si="43"/>
        <v>100000PL109</v>
      </c>
      <c r="H178" s="143" t="str">
        <f t="shared" si="44"/>
        <v>100001PL109</v>
      </c>
      <c r="I178" s="143" t="str">
        <f t="shared" si="45"/>
        <v>100002PL109</v>
      </c>
      <c r="J178" s="143" t="str">
        <f t="shared" si="46"/>
        <v>100003PL109</v>
      </c>
      <c r="K178" s="143" t="str">
        <f t="shared" si="47"/>
        <v>100004PL109</v>
      </c>
      <c r="L178" s="143" t="str">
        <f t="shared" si="48"/>
        <v>100005PL109</v>
      </c>
      <c r="M178" s="143" t="str">
        <f t="shared" si="49"/>
        <v>100006PL109</v>
      </c>
      <c r="N178" s="143" t="str">
        <f t="shared" si="50"/>
        <v>100007PL109</v>
      </c>
      <c r="O178" s="143" t="str">
        <f t="shared" si="51"/>
        <v>100008PL109</v>
      </c>
      <c r="P178" s="143" t="str">
        <f t="shared" si="52"/>
        <v>100009PL109</v>
      </c>
      <c r="Q178" s="143" t="str">
        <f t="shared" si="53"/>
        <v>100010PL109</v>
      </c>
      <c r="R178" s="143" t="str">
        <f t="shared" si="54"/>
        <v>100011PL109</v>
      </c>
      <c r="S178" s="143" t="str">
        <f t="shared" si="55"/>
        <v>100012PL109</v>
      </c>
      <c r="T178" s="143" t="str">
        <f t="shared" si="56"/>
        <v>100013PL109</v>
      </c>
      <c r="U178" s="143" t="str">
        <f t="shared" si="57"/>
        <v>100014PL109</v>
      </c>
      <c r="V178" s="143" t="str">
        <f t="shared" si="58"/>
        <v>100015PL109</v>
      </c>
      <c r="W178" s="143" t="str">
        <f t="shared" si="59"/>
        <v>100016PL109</v>
      </c>
      <c r="X178" s="144" t="s">
        <v>260</v>
      </c>
    </row>
    <row r="179" spans="1:24">
      <c r="A179" s="161">
        <v>23</v>
      </c>
      <c r="B179" s="140">
        <f t="shared" si="41"/>
        <v>175</v>
      </c>
      <c r="C179" s="144" t="s">
        <v>261</v>
      </c>
      <c r="D179" s="144" t="s">
        <v>892</v>
      </c>
      <c r="E179" s="142">
        <f t="shared" si="61"/>
        <v>110</v>
      </c>
      <c r="F179" s="142" t="str">
        <f t="shared" si="42"/>
        <v>PL110</v>
      </c>
      <c r="G179" s="143" t="str">
        <f t="shared" si="43"/>
        <v>100000PL110</v>
      </c>
      <c r="H179" s="143" t="str">
        <f t="shared" si="44"/>
        <v>100001PL110</v>
      </c>
      <c r="I179" s="143" t="str">
        <f t="shared" si="45"/>
        <v>100002PL110</v>
      </c>
      <c r="J179" s="143" t="str">
        <f t="shared" si="46"/>
        <v>100003PL110</v>
      </c>
      <c r="K179" s="143" t="str">
        <f t="shared" si="47"/>
        <v>100004PL110</v>
      </c>
      <c r="L179" s="143" t="str">
        <f t="shared" si="48"/>
        <v>100005PL110</v>
      </c>
      <c r="M179" s="143" t="str">
        <f t="shared" si="49"/>
        <v>100006PL110</v>
      </c>
      <c r="N179" s="143" t="str">
        <f t="shared" si="50"/>
        <v>100007PL110</v>
      </c>
      <c r="O179" s="143" t="str">
        <f t="shared" si="51"/>
        <v>100008PL110</v>
      </c>
      <c r="P179" s="143" t="str">
        <f t="shared" si="52"/>
        <v>100009PL110</v>
      </c>
      <c r="Q179" s="143" t="str">
        <f t="shared" si="53"/>
        <v>100010PL110</v>
      </c>
      <c r="R179" s="143" t="str">
        <f t="shared" si="54"/>
        <v>100011PL110</v>
      </c>
      <c r="S179" s="143" t="str">
        <f t="shared" si="55"/>
        <v>100012PL110</v>
      </c>
      <c r="T179" s="143" t="str">
        <f t="shared" si="56"/>
        <v>100013PL110</v>
      </c>
      <c r="U179" s="143" t="str">
        <f t="shared" si="57"/>
        <v>100014PL110</v>
      </c>
      <c r="V179" s="143" t="str">
        <f t="shared" si="58"/>
        <v>100015PL110</v>
      </c>
      <c r="W179" s="143" t="str">
        <f t="shared" si="59"/>
        <v>100016PL110</v>
      </c>
      <c r="X179" s="144" t="s">
        <v>261</v>
      </c>
    </row>
    <row r="180" spans="1:24">
      <c r="A180" s="161">
        <v>23</v>
      </c>
      <c r="B180" s="140">
        <f t="shared" si="41"/>
        <v>176</v>
      </c>
      <c r="C180" s="144" t="s">
        <v>263</v>
      </c>
      <c r="D180" s="144" t="s">
        <v>892</v>
      </c>
      <c r="E180" s="142">
        <f t="shared" si="61"/>
        <v>111</v>
      </c>
      <c r="F180" s="142" t="str">
        <f t="shared" si="42"/>
        <v>PL111</v>
      </c>
      <c r="G180" s="143" t="str">
        <f t="shared" si="43"/>
        <v>100000PL111</v>
      </c>
      <c r="H180" s="143" t="str">
        <f t="shared" si="44"/>
        <v>100001PL111</v>
      </c>
      <c r="I180" s="143" t="str">
        <f t="shared" si="45"/>
        <v>100002PL111</v>
      </c>
      <c r="J180" s="143" t="str">
        <f t="shared" si="46"/>
        <v>100003PL111</v>
      </c>
      <c r="K180" s="143" t="str">
        <f t="shared" si="47"/>
        <v>100004PL111</v>
      </c>
      <c r="L180" s="143" t="str">
        <f t="shared" si="48"/>
        <v>100005PL111</v>
      </c>
      <c r="M180" s="143" t="str">
        <f t="shared" si="49"/>
        <v>100006PL111</v>
      </c>
      <c r="N180" s="143" t="str">
        <f t="shared" si="50"/>
        <v>100007PL111</v>
      </c>
      <c r="O180" s="143" t="str">
        <f t="shared" si="51"/>
        <v>100008PL111</v>
      </c>
      <c r="P180" s="143" t="str">
        <f t="shared" si="52"/>
        <v>100009PL111</v>
      </c>
      <c r="Q180" s="143" t="str">
        <f t="shared" si="53"/>
        <v>100010PL111</v>
      </c>
      <c r="R180" s="143" t="str">
        <f t="shared" si="54"/>
        <v>100011PL111</v>
      </c>
      <c r="S180" s="143" t="str">
        <f t="shared" si="55"/>
        <v>100012PL111</v>
      </c>
      <c r="T180" s="143" t="str">
        <f t="shared" si="56"/>
        <v>100013PL111</v>
      </c>
      <c r="U180" s="143" t="str">
        <f t="shared" si="57"/>
        <v>100014PL111</v>
      </c>
      <c r="V180" s="143" t="str">
        <f t="shared" si="58"/>
        <v>100015PL111</v>
      </c>
      <c r="W180" s="143" t="str">
        <f t="shared" si="59"/>
        <v>100016PL111</v>
      </c>
      <c r="X180" s="144" t="s">
        <v>263</v>
      </c>
    </row>
    <row r="181" spans="1:24">
      <c r="A181" s="161">
        <v>23</v>
      </c>
      <c r="B181" s="140">
        <f t="shared" si="41"/>
        <v>177</v>
      </c>
      <c r="C181" s="144" t="s">
        <v>264</v>
      </c>
      <c r="D181" s="144" t="s">
        <v>892</v>
      </c>
      <c r="E181" s="142">
        <f t="shared" si="61"/>
        <v>112</v>
      </c>
      <c r="F181" s="142" t="str">
        <f t="shared" si="42"/>
        <v>PL112</v>
      </c>
      <c r="G181" s="143" t="str">
        <f t="shared" si="43"/>
        <v>100000PL112</v>
      </c>
      <c r="H181" s="143" t="str">
        <f t="shared" si="44"/>
        <v>100001PL112</v>
      </c>
      <c r="I181" s="143" t="str">
        <f t="shared" si="45"/>
        <v>100002PL112</v>
      </c>
      <c r="J181" s="143" t="str">
        <f t="shared" si="46"/>
        <v>100003PL112</v>
      </c>
      <c r="K181" s="143" t="str">
        <f t="shared" si="47"/>
        <v>100004PL112</v>
      </c>
      <c r="L181" s="143" t="str">
        <f t="shared" si="48"/>
        <v>100005PL112</v>
      </c>
      <c r="M181" s="143" t="str">
        <f t="shared" si="49"/>
        <v>100006PL112</v>
      </c>
      <c r="N181" s="143" t="str">
        <f t="shared" si="50"/>
        <v>100007PL112</v>
      </c>
      <c r="O181" s="143" t="str">
        <f t="shared" si="51"/>
        <v>100008PL112</v>
      </c>
      <c r="P181" s="143" t="str">
        <f t="shared" si="52"/>
        <v>100009PL112</v>
      </c>
      <c r="Q181" s="143" t="str">
        <f t="shared" si="53"/>
        <v>100010PL112</v>
      </c>
      <c r="R181" s="143" t="str">
        <f t="shared" si="54"/>
        <v>100011PL112</v>
      </c>
      <c r="S181" s="143" t="str">
        <f t="shared" si="55"/>
        <v>100012PL112</v>
      </c>
      <c r="T181" s="143" t="str">
        <f t="shared" si="56"/>
        <v>100013PL112</v>
      </c>
      <c r="U181" s="143" t="str">
        <f t="shared" si="57"/>
        <v>100014PL112</v>
      </c>
      <c r="V181" s="143" t="str">
        <f t="shared" si="58"/>
        <v>100015PL112</v>
      </c>
      <c r="W181" s="143" t="str">
        <f t="shared" si="59"/>
        <v>100016PL112</v>
      </c>
      <c r="X181" s="144" t="s">
        <v>264</v>
      </c>
    </row>
    <row r="182" spans="1:24" ht="25.5">
      <c r="A182" s="161">
        <v>23</v>
      </c>
      <c r="B182" s="140">
        <f t="shared" si="41"/>
        <v>178</v>
      </c>
      <c r="C182" s="144" t="s">
        <v>267</v>
      </c>
      <c r="D182" s="144" t="s">
        <v>892</v>
      </c>
      <c r="E182" s="142">
        <f t="shared" si="61"/>
        <v>113</v>
      </c>
      <c r="F182" s="142" t="str">
        <f t="shared" si="42"/>
        <v>PL113</v>
      </c>
      <c r="G182" s="143" t="str">
        <f t="shared" si="43"/>
        <v>100000PL113</v>
      </c>
      <c r="H182" s="143" t="str">
        <f t="shared" si="44"/>
        <v>100001PL113</v>
      </c>
      <c r="I182" s="143" t="str">
        <f t="shared" si="45"/>
        <v>100002PL113</v>
      </c>
      <c r="J182" s="143" t="str">
        <f t="shared" si="46"/>
        <v>100003PL113</v>
      </c>
      <c r="K182" s="143" t="str">
        <f t="shared" si="47"/>
        <v>100004PL113</v>
      </c>
      <c r="L182" s="143" t="str">
        <f t="shared" si="48"/>
        <v>100005PL113</v>
      </c>
      <c r="M182" s="143" t="str">
        <f t="shared" si="49"/>
        <v>100006PL113</v>
      </c>
      <c r="N182" s="143" t="str">
        <f t="shared" si="50"/>
        <v>100007PL113</v>
      </c>
      <c r="O182" s="143" t="str">
        <f t="shared" si="51"/>
        <v>100008PL113</v>
      </c>
      <c r="P182" s="143" t="str">
        <f t="shared" si="52"/>
        <v>100009PL113</v>
      </c>
      <c r="Q182" s="143" t="str">
        <f t="shared" si="53"/>
        <v>100010PL113</v>
      </c>
      <c r="R182" s="143" t="str">
        <f t="shared" si="54"/>
        <v>100011PL113</v>
      </c>
      <c r="S182" s="143" t="str">
        <f t="shared" si="55"/>
        <v>100012PL113</v>
      </c>
      <c r="T182" s="143" t="str">
        <f t="shared" si="56"/>
        <v>100013PL113</v>
      </c>
      <c r="U182" s="143" t="str">
        <f t="shared" si="57"/>
        <v>100014PL113</v>
      </c>
      <c r="V182" s="143" t="str">
        <f t="shared" si="58"/>
        <v>100015PL113</v>
      </c>
      <c r="W182" s="143" t="str">
        <f t="shared" si="59"/>
        <v>100016PL113</v>
      </c>
      <c r="X182" s="144" t="s">
        <v>267</v>
      </c>
    </row>
    <row r="183" spans="1:24">
      <c r="A183" s="161">
        <v>24</v>
      </c>
      <c r="B183" s="140">
        <f t="shared" si="41"/>
        <v>179</v>
      </c>
      <c r="C183" s="144" t="s">
        <v>270</v>
      </c>
      <c r="D183" s="144" t="s">
        <v>892</v>
      </c>
      <c r="E183" s="142">
        <f t="shared" si="61"/>
        <v>114</v>
      </c>
      <c r="F183" s="142" t="str">
        <f t="shared" si="42"/>
        <v>PL114</v>
      </c>
      <c r="G183" s="143" t="str">
        <f t="shared" si="43"/>
        <v>100000PL114</v>
      </c>
      <c r="H183" s="143" t="str">
        <f t="shared" si="44"/>
        <v>100001PL114</v>
      </c>
      <c r="I183" s="143" t="str">
        <f t="shared" si="45"/>
        <v>100002PL114</v>
      </c>
      <c r="J183" s="143" t="str">
        <f t="shared" si="46"/>
        <v>100003PL114</v>
      </c>
      <c r="K183" s="143" t="str">
        <f t="shared" si="47"/>
        <v>100004PL114</v>
      </c>
      <c r="L183" s="143" t="str">
        <f t="shared" si="48"/>
        <v>100005PL114</v>
      </c>
      <c r="M183" s="143" t="str">
        <f t="shared" si="49"/>
        <v>100006PL114</v>
      </c>
      <c r="N183" s="143" t="str">
        <f t="shared" si="50"/>
        <v>100007PL114</v>
      </c>
      <c r="O183" s="143" t="str">
        <f t="shared" si="51"/>
        <v>100008PL114</v>
      </c>
      <c r="P183" s="143" t="str">
        <f t="shared" si="52"/>
        <v>100009PL114</v>
      </c>
      <c r="Q183" s="143" t="str">
        <f t="shared" si="53"/>
        <v>100010PL114</v>
      </c>
      <c r="R183" s="143" t="str">
        <f t="shared" si="54"/>
        <v>100011PL114</v>
      </c>
      <c r="S183" s="143" t="str">
        <f t="shared" si="55"/>
        <v>100012PL114</v>
      </c>
      <c r="T183" s="143" t="str">
        <f t="shared" si="56"/>
        <v>100013PL114</v>
      </c>
      <c r="U183" s="143" t="str">
        <f t="shared" si="57"/>
        <v>100014PL114</v>
      </c>
      <c r="V183" s="143" t="str">
        <f t="shared" si="58"/>
        <v>100015PL114</v>
      </c>
      <c r="W183" s="143" t="str">
        <f t="shared" si="59"/>
        <v>100016PL114</v>
      </c>
      <c r="X183" s="144" t="s">
        <v>270</v>
      </c>
    </row>
    <row r="184" spans="1:24">
      <c r="A184" s="161" t="s">
        <v>740</v>
      </c>
      <c r="B184" s="140">
        <f t="shared" si="41"/>
        <v>180</v>
      </c>
      <c r="C184" s="144" t="s">
        <v>271</v>
      </c>
      <c r="D184" s="144" t="s">
        <v>892</v>
      </c>
      <c r="E184" s="142">
        <f t="shared" si="61"/>
        <v>115</v>
      </c>
      <c r="F184" s="142" t="str">
        <f t="shared" si="42"/>
        <v>PL115</v>
      </c>
      <c r="G184" s="143" t="str">
        <f t="shared" si="43"/>
        <v>100000PL115</v>
      </c>
      <c r="H184" s="143" t="str">
        <f t="shared" si="44"/>
        <v>100001PL115</v>
      </c>
      <c r="I184" s="143" t="str">
        <f t="shared" si="45"/>
        <v>100002PL115</v>
      </c>
      <c r="J184" s="143" t="str">
        <f t="shared" si="46"/>
        <v>100003PL115</v>
      </c>
      <c r="K184" s="143" t="str">
        <f t="shared" si="47"/>
        <v>100004PL115</v>
      </c>
      <c r="L184" s="143" t="str">
        <f t="shared" si="48"/>
        <v>100005PL115</v>
      </c>
      <c r="M184" s="143" t="str">
        <f t="shared" si="49"/>
        <v>100006PL115</v>
      </c>
      <c r="N184" s="143" t="str">
        <f t="shared" si="50"/>
        <v>100007PL115</v>
      </c>
      <c r="O184" s="143" t="str">
        <f t="shared" si="51"/>
        <v>100008PL115</v>
      </c>
      <c r="P184" s="143" t="str">
        <f t="shared" si="52"/>
        <v>100009PL115</v>
      </c>
      <c r="Q184" s="143" t="str">
        <f t="shared" si="53"/>
        <v>100010PL115</v>
      </c>
      <c r="R184" s="143" t="str">
        <f t="shared" si="54"/>
        <v>100011PL115</v>
      </c>
      <c r="S184" s="143" t="str">
        <f t="shared" si="55"/>
        <v>100012PL115</v>
      </c>
      <c r="T184" s="143" t="str">
        <f t="shared" si="56"/>
        <v>100013PL115</v>
      </c>
      <c r="U184" s="143" t="str">
        <f t="shared" si="57"/>
        <v>100014PL115</v>
      </c>
      <c r="V184" s="143" t="str">
        <f t="shared" si="58"/>
        <v>100015PL115</v>
      </c>
      <c r="W184" s="143" t="str">
        <f t="shared" si="59"/>
        <v>100016PL115</v>
      </c>
      <c r="X184" s="144" t="s">
        <v>271</v>
      </c>
    </row>
    <row r="185" spans="1:24">
      <c r="A185" s="161" t="s">
        <v>740</v>
      </c>
      <c r="B185" s="140">
        <f t="shared" si="41"/>
        <v>181</v>
      </c>
      <c r="C185" s="144" t="s">
        <v>272</v>
      </c>
      <c r="D185" s="144" t="s">
        <v>892</v>
      </c>
      <c r="E185" s="142">
        <f t="shared" si="61"/>
        <v>116</v>
      </c>
      <c r="F185" s="142" t="str">
        <f t="shared" si="42"/>
        <v>PL116</v>
      </c>
      <c r="G185" s="143" t="str">
        <f t="shared" si="43"/>
        <v>100000PL116</v>
      </c>
      <c r="H185" s="143" t="str">
        <f t="shared" si="44"/>
        <v>100001PL116</v>
      </c>
      <c r="I185" s="143" t="str">
        <f t="shared" si="45"/>
        <v>100002PL116</v>
      </c>
      <c r="J185" s="143" t="str">
        <f t="shared" si="46"/>
        <v>100003PL116</v>
      </c>
      <c r="K185" s="143" t="str">
        <f t="shared" si="47"/>
        <v>100004PL116</v>
      </c>
      <c r="L185" s="143" t="str">
        <f t="shared" si="48"/>
        <v>100005PL116</v>
      </c>
      <c r="M185" s="143" t="str">
        <f t="shared" si="49"/>
        <v>100006PL116</v>
      </c>
      <c r="N185" s="143" t="str">
        <f t="shared" si="50"/>
        <v>100007PL116</v>
      </c>
      <c r="O185" s="143" t="str">
        <f t="shared" si="51"/>
        <v>100008PL116</v>
      </c>
      <c r="P185" s="143" t="str">
        <f t="shared" si="52"/>
        <v>100009PL116</v>
      </c>
      <c r="Q185" s="143" t="str">
        <f t="shared" si="53"/>
        <v>100010PL116</v>
      </c>
      <c r="R185" s="143" t="str">
        <f t="shared" si="54"/>
        <v>100011PL116</v>
      </c>
      <c r="S185" s="143" t="str">
        <f t="shared" si="55"/>
        <v>100012PL116</v>
      </c>
      <c r="T185" s="143" t="str">
        <f t="shared" si="56"/>
        <v>100013PL116</v>
      </c>
      <c r="U185" s="143" t="str">
        <f t="shared" si="57"/>
        <v>100014PL116</v>
      </c>
      <c r="V185" s="143" t="str">
        <f t="shared" si="58"/>
        <v>100015PL116</v>
      </c>
      <c r="W185" s="143" t="str">
        <f t="shared" si="59"/>
        <v>100016PL116</v>
      </c>
      <c r="X185" s="144" t="s">
        <v>272</v>
      </c>
    </row>
    <row r="186" spans="1:24">
      <c r="A186" s="161">
        <v>25</v>
      </c>
      <c r="B186" s="140">
        <f t="shared" si="41"/>
        <v>182</v>
      </c>
      <c r="C186" s="144" t="s">
        <v>700</v>
      </c>
      <c r="D186" s="144" t="s">
        <v>892</v>
      </c>
      <c r="E186" s="142">
        <f t="shared" si="61"/>
        <v>117</v>
      </c>
      <c r="F186" s="142" t="str">
        <f t="shared" si="42"/>
        <v>PL117</v>
      </c>
      <c r="G186" s="143" t="str">
        <f t="shared" si="43"/>
        <v>100000PL117</v>
      </c>
      <c r="H186" s="143" t="str">
        <f t="shared" si="44"/>
        <v>100001PL117</v>
      </c>
      <c r="I186" s="143" t="str">
        <f t="shared" si="45"/>
        <v>100002PL117</v>
      </c>
      <c r="J186" s="143" t="str">
        <f t="shared" si="46"/>
        <v>100003PL117</v>
      </c>
      <c r="K186" s="143" t="str">
        <f t="shared" si="47"/>
        <v>100004PL117</v>
      </c>
      <c r="L186" s="143" t="str">
        <f t="shared" si="48"/>
        <v>100005PL117</v>
      </c>
      <c r="M186" s="143" t="str">
        <f t="shared" si="49"/>
        <v>100006PL117</v>
      </c>
      <c r="N186" s="143" t="str">
        <f t="shared" si="50"/>
        <v>100007PL117</v>
      </c>
      <c r="O186" s="143" t="str">
        <f t="shared" si="51"/>
        <v>100008PL117</v>
      </c>
      <c r="P186" s="143" t="str">
        <f t="shared" si="52"/>
        <v>100009PL117</v>
      </c>
      <c r="Q186" s="143" t="str">
        <f t="shared" si="53"/>
        <v>100010PL117</v>
      </c>
      <c r="R186" s="143" t="str">
        <f t="shared" si="54"/>
        <v>100011PL117</v>
      </c>
      <c r="S186" s="143" t="str">
        <f t="shared" si="55"/>
        <v>100012PL117</v>
      </c>
      <c r="T186" s="143" t="str">
        <f t="shared" si="56"/>
        <v>100013PL117</v>
      </c>
      <c r="U186" s="143" t="str">
        <f t="shared" si="57"/>
        <v>100014PL117</v>
      </c>
      <c r="V186" s="143" t="str">
        <f t="shared" si="58"/>
        <v>100015PL117</v>
      </c>
      <c r="W186" s="143" t="str">
        <f t="shared" si="59"/>
        <v>100016PL117</v>
      </c>
      <c r="X186" s="144" t="s">
        <v>700</v>
      </c>
    </row>
    <row r="187" spans="1:24">
      <c r="A187" s="161">
        <v>27</v>
      </c>
      <c r="B187" s="140">
        <f t="shared" si="41"/>
        <v>183</v>
      </c>
      <c r="C187" s="144" t="s">
        <v>283</v>
      </c>
      <c r="D187" s="144" t="s">
        <v>892</v>
      </c>
      <c r="E187" s="142">
        <f t="shared" si="61"/>
        <v>118</v>
      </c>
      <c r="F187" s="142" t="str">
        <f t="shared" si="42"/>
        <v>PL118</v>
      </c>
      <c r="G187" s="143" t="str">
        <f t="shared" si="43"/>
        <v>100000PL118</v>
      </c>
      <c r="H187" s="143" t="str">
        <f t="shared" si="44"/>
        <v>100001PL118</v>
      </c>
      <c r="I187" s="143" t="str">
        <f t="shared" si="45"/>
        <v>100002PL118</v>
      </c>
      <c r="J187" s="143" t="str">
        <f t="shared" si="46"/>
        <v>100003PL118</v>
      </c>
      <c r="K187" s="143" t="str">
        <f t="shared" si="47"/>
        <v>100004PL118</v>
      </c>
      <c r="L187" s="143" t="str">
        <f t="shared" si="48"/>
        <v>100005PL118</v>
      </c>
      <c r="M187" s="143" t="str">
        <f t="shared" si="49"/>
        <v>100006PL118</v>
      </c>
      <c r="N187" s="143" t="str">
        <f t="shared" si="50"/>
        <v>100007PL118</v>
      </c>
      <c r="O187" s="143" t="str">
        <f t="shared" si="51"/>
        <v>100008PL118</v>
      </c>
      <c r="P187" s="143" t="str">
        <f t="shared" si="52"/>
        <v>100009PL118</v>
      </c>
      <c r="Q187" s="143" t="str">
        <f t="shared" si="53"/>
        <v>100010PL118</v>
      </c>
      <c r="R187" s="143" t="str">
        <f t="shared" si="54"/>
        <v>100011PL118</v>
      </c>
      <c r="S187" s="143" t="str">
        <f t="shared" si="55"/>
        <v>100012PL118</v>
      </c>
      <c r="T187" s="143" t="str">
        <f t="shared" si="56"/>
        <v>100013PL118</v>
      </c>
      <c r="U187" s="143" t="str">
        <f t="shared" si="57"/>
        <v>100014PL118</v>
      </c>
      <c r="V187" s="143" t="str">
        <f t="shared" si="58"/>
        <v>100015PL118</v>
      </c>
      <c r="W187" s="143" t="str">
        <f t="shared" si="59"/>
        <v>100016PL118</v>
      </c>
      <c r="X187" s="144" t="s">
        <v>283</v>
      </c>
    </row>
    <row r="188" spans="1:24">
      <c r="A188" s="161">
        <v>27</v>
      </c>
      <c r="B188" s="140">
        <f t="shared" si="41"/>
        <v>184</v>
      </c>
      <c r="C188" s="144" t="s">
        <v>284</v>
      </c>
      <c r="D188" s="144" t="s">
        <v>892</v>
      </c>
      <c r="E188" s="142">
        <f t="shared" si="61"/>
        <v>119</v>
      </c>
      <c r="F188" s="142" t="str">
        <f t="shared" si="42"/>
        <v>PL119</v>
      </c>
      <c r="G188" s="143" t="str">
        <f t="shared" si="43"/>
        <v>100000PL119</v>
      </c>
      <c r="H188" s="143" t="str">
        <f t="shared" si="44"/>
        <v>100001PL119</v>
      </c>
      <c r="I188" s="143" t="str">
        <f t="shared" si="45"/>
        <v>100002PL119</v>
      </c>
      <c r="J188" s="143" t="str">
        <f t="shared" si="46"/>
        <v>100003PL119</v>
      </c>
      <c r="K188" s="143" t="str">
        <f t="shared" si="47"/>
        <v>100004PL119</v>
      </c>
      <c r="L188" s="143" t="str">
        <f t="shared" si="48"/>
        <v>100005PL119</v>
      </c>
      <c r="M188" s="143" t="str">
        <f t="shared" si="49"/>
        <v>100006PL119</v>
      </c>
      <c r="N188" s="143" t="str">
        <f t="shared" si="50"/>
        <v>100007PL119</v>
      </c>
      <c r="O188" s="143" t="str">
        <f t="shared" si="51"/>
        <v>100008PL119</v>
      </c>
      <c r="P188" s="143" t="str">
        <f t="shared" si="52"/>
        <v>100009PL119</v>
      </c>
      <c r="Q188" s="143" t="str">
        <f t="shared" si="53"/>
        <v>100010PL119</v>
      </c>
      <c r="R188" s="143" t="str">
        <f t="shared" si="54"/>
        <v>100011PL119</v>
      </c>
      <c r="S188" s="143" t="str">
        <f t="shared" si="55"/>
        <v>100012PL119</v>
      </c>
      <c r="T188" s="143" t="str">
        <f t="shared" si="56"/>
        <v>100013PL119</v>
      </c>
      <c r="U188" s="143" t="str">
        <f t="shared" si="57"/>
        <v>100014PL119</v>
      </c>
      <c r="V188" s="143" t="str">
        <f t="shared" si="58"/>
        <v>100015PL119</v>
      </c>
      <c r="W188" s="143" t="str">
        <f t="shared" si="59"/>
        <v>100016PL119</v>
      </c>
      <c r="X188" s="144" t="s">
        <v>284</v>
      </c>
    </row>
    <row r="189" spans="1:24">
      <c r="A189" s="161">
        <v>27</v>
      </c>
      <c r="B189" s="140">
        <f t="shared" si="41"/>
        <v>185</v>
      </c>
      <c r="C189" s="144" t="s">
        <v>664</v>
      </c>
      <c r="D189" s="144" t="s">
        <v>892</v>
      </c>
      <c r="E189" s="142">
        <f t="shared" si="61"/>
        <v>120</v>
      </c>
      <c r="F189" s="142" t="str">
        <f t="shared" si="42"/>
        <v>PL120</v>
      </c>
      <c r="G189" s="143" t="str">
        <f t="shared" si="43"/>
        <v>100000PL120</v>
      </c>
      <c r="H189" s="143" t="str">
        <f t="shared" si="44"/>
        <v>100001PL120</v>
      </c>
      <c r="I189" s="143" t="str">
        <f t="shared" si="45"/>
        <v>100002PL120</v>
      </c>
      <c r="J189" s="143" t="str">
        <f t="shared" si="46"/>
        <v>100003PL120</v>
      </c>
      <c r="K189" s="143" t="str">
        <f t="shared" si="47"/>
        <v>100004PL120</v>
      </c>
      <c r="L189" s="143" t="str">
        <f t="shared" si="48"/>
        <v>100005PL120</v>
      </c>
      <c r="M189" s="143" t="str">
        <f t="shared" si="49"/>
        <v>100006PL120</v>
      </c>
      <c r="N189" s="143" t="str">
        <f t="shared" si="50"/>
        <v>100007PL120</v>
      </c>
      <c r="O189" s="143" t="str">
        <f t="shared" si="51"/>
        <v>100008PL120</v>
      </c>
      <c r="P189" s="143" t="str">
        <f t="shared" si="52"/>
        <v>100009PL120</v>
      </c>
      <c r="Q189" s="143" t="str">
        <f t="shared" si="53"/>
        <v>100010PL120</v>
      </c>
      <c r="R189" s="143" t="str">
        <f t="shared" si="54"/>
        <v>100011PL120</v>
      </c>
      <c r="S189" s="143" t="str">
        <f t="shared" si="55"/>
        <v>100012PL120</v>
      </c>
      <c r="T189" s="143" t="str">
        <f t="shared" si="56"/>
        <v>100013PL120</v>
      </c>
      <c r="U189" s="143" t="str">
        <f t="shared" si="57"/>
        <v>100014PL120</v>
      </c>
      <c r="V189" s="143" t="str">
        <f t="shared" si="58"/>
        <v>100015PL120</v>
      </c>
      <c r="W189" s="143" t="str">
        <f t="shared" si="59"/>
        <v>100016PL120</v>
      </c>
      <c r="X189" s="144" t="s">
        <v>664</v>
      </c>
    </row>
    <row r="190" spans="1:24">
      <c r="A190" s="161">
        <v>27</v>
      </c>
      <c r="B190" s="140">
        <f t="shared" si="41"/>
        <v>186</v>
      </c>
      <c r="C190" s="144" t="s">
        <v>893</v>
      </c>
      <c r="D190" s="144" t="s">
        <v>892</v>
      </c>
      <c r="E190" s="142">
        <f t="shared" si="61"/>
        <v>121</v>
      </c>
      <c r="F190" s="142" t="str">
        <f t="shared" si="42"/>
        <v>PL121</v>
      </c>
      <c r="G190" s="143" t="str">
        <f t="shared" si="43"/>
        <v>100000PL121</v>
      </c>
      <c r="H190" s="143" t="str">
        <f t="shared" si="44"/>
        <v>100001PL121</v>
      </c>
      <c r="I190" s="143" t="str">
        <f t="shared" si="45"/>
        <v>100002PL121</v>
      </c>
      <c r="J190" s="143" t="str">
        <f t="shared" si="46"/>
        <v>100003PL121</v>
      </c>
      <c r="K190" s="143" t="str">
        <f t="shared" si="47"/>
        <v>100004PL121</v>
      </c>
      <c r="L190" s="143" t="str">
        <f t="shared" si="48"/>
        <v>100005PL121</v>
      </c>
      <c r="M190" s="143" t="str">
        <f t="shared" si="49"/>
        <v>100006PL121</v>
      </c>
      <c r="N190" s="143" t="str">
        <f t="shared" si="50"/>
        <v>100007PL121</v>
      </c>
      <c r="O190" s="143" t="str">
        <f t="shared" si="51"/>
        <v>100008PL121</v>
      </c>
      <c r="P190" s="143" t="str">
        <f t="shared" si="52"/>
        <v>100009PL121</v>
      </c>
      <c r="Q190" s="143" t="str">
        <f t="shared" si="53"/>
        <v>100010PL121</v>
      </c>
      <c r="R190" s="143" t="str">
        <f t="shared" si="54"/>
        <v>100011PL121</v>
      </c>
      <c r="S190" s="143" t="str">
        <f t="shared" si="55"/>
        <v>100012PL121</v>
      </c>
      <c r="T190" s="143" t="str">
        <f t="shared" si="56"/>
        <v>100013PL121</v>
      </c>
      <c r="U190" s="143" t="str">
        <f t="shared" si="57"/>
        <v>100014PL121</v>
      </c>
      <c r="V190" s="143" t="str">
        <f t="shared" si="58"/>
        <v>100015PL121</v>
      </c>
      <c r="W190" s="143" t="str">
        <f t="shared" si="59"/>
        <v>100016PL121</v>
      </c>
      <c r="X190" s="144" t="s">
        <v>893</v>
      </c>
    </row>
    <row r="191" spans="1:24">
      <c r="A191" s="161">
        <v>27</v>
      </c>
      <c r="B191" s="140">
        <f t="shared" si="41"/>
        <v>187</v>
      </c>
      <c r="C191" s="144" t="s">
        <v>894</v>
      </c>
      <c r="D191" s="144" t="s">
        <v>892</v>
      </c>
      <c r="E191" s="142">
        <f t="shared" si="61"/>
        <v>122</v>
      </c>
      <c r="F191" s="142" t="str">
        <f t="shared" si="42"/>
        <v>PL122</v>
      </c>
      <c r="G191" s="143" t="str">
        <f t="shared" si="43"/>
        <v>100000PL122</v>
      </c>
      <c r="H191" s="143" t="str">
        <f t="shared" si="44"/>
        <v>100001PL122</v>
      </c>
      <c r="I191" s="143" t="str">
        <f t="shared" si="45"/>
        <v>100002PL122</v>
      </c>
      <c r="J191" s="143" t="str">
        <f t="shared" si="46"/>
        <v>100003PL122</v>
      </c>
      <c r="K191" s="143" t="str">
        <f t="shared" si="47"/>
        <v>100004PL122</v>
      </c>
      <c r="L191" s="143" t="str">
        <f t="shared" si="48"/>
        <v>100005PL122</v>
      </c>
      <c r="M191" s="143" t="str">
        <f t="shared" si="49"/>
        <v>100006PL122</v>
      </c>
      <c r="N191" s="143" t="str">
        <f t="shared" si="50"/>
        <v>100007PL122</v>
      </c>
      <c r="O191" s="143" t="str">
        <f t="shared" si="51"/>
        <v>100008PL122</v>
      </c>
      <c r="P191" s="143" t="str">
        <f t="shared" si="52"/>
        <v>100009PL122</v>
      </c>
      <c r="Q191" s="143" t="str">
        <f t="shared" si="53"/>
        <v>100010PL122</v>
      </c>
      <c r="R191" s="143" t="str">
        <f t="shared" si="54"/>
        <v>100011PL122</v>
      </c>
      <c r="S191" s="143" t="str">
        <f t="shared" si="55"/>
        <v>100012PL122</v>
      </c>
      <c r="T191" s="143" t="str">
        <f t="shared" si="56"/>
        <v>100013PL122</v>
      </c>
      <c r="U191" s="143" t="str">
        <f t="shared" si="57"/>
        <v>100014PL122</v>
      </c>
      <c r="V191" s="143" t="str">
        <f t="shared" si="58"/>
        <v>100015PL122</v>
      </c>
      <c r="W191" s="143" t="str">
        <f t="shared" si="59"/>
        <v>100016PL122</v>
      </c>
      <c r="X191" s="144" t="s">
        <v>894</v>
      </c>
    </row>
    <row r="192" spans="1:24">
      <c r="A192" s="161">
        <v>27</v>
      </c>
      <c r="B192" s="140">
        <f t="shared" si="41"/>
        <v>188</v>
      </c>
      <c r="C192" s="144" t="s">
        <v>675</v>
      </c>
      <c r="D192" s="144" t="s">
        <v>892</v>
      </c>
      <c r="E192" s="142">
        <f t="shared" si="61"/>
        <v>123</v>
      </c>
      <c r="F192" s="142" t="str">
        <f t="shared" si="42"/>
        <v>PL123</v>
      </c>
      <c r="G192" s="143" t="str">
        <f t="shared" si="43"/>
        <v>100000PL123</v>
      </c>
      <c r="H192" s="143" t="str">
        <f t="shared" si="44"/>
        <v>100001PL123</v>
      </c>
      <c r="I192" s="143" t="str">
        <f t="shared" si="45"/>
        <v>100002PL123</v>
      </c>
      <c r="J192" s="143" t="str">
        <f t="shared" si="46"/>
        <v>100003PL123</v>
      </c>
      <c r="K192" s="143" t="str">
        <f t="shared" si="47"/>
        <v>100004PL123</v>
      </c>
      <c r="L192" s="143" t="str">
        <f t="shared" si="48"/>
        <v>100005PL123</v>
      </c>
      <c r="M192" s="143" t="str">
        <f t="shared" si="49"/>
        <v>100006PL123</v>
      </c>
      <c r="N192" s="143" t="str">
        <f t="shared" si="50"/>
        <v>100007PL123</v>
      </c>
      <c r="O192" s="143" t="str">
        <f t="shared" si="51"/>
        <v>100008PL123</v>
      </c>
      <c r="P192" s="143" t="str">
        <f t="shared" si="52"/>
        <v>100009PL123</v>
      </c>
      <c r="Q192" s="143" t="str">
        <f t="shared" si="53"/>
        <v>100010PL123</v>
      </c>
      <c r="R192" s="143" t="str">
        <f t="shared" si="54"/>
        <v>100011PL123</v>
      </c>
      <c r="S192" s="143" t="str">
        <f t="shared" si="55"/>
        <v>100012PL123</v>
      </c>
      <c r="T192" s="143" t="str">
        <f t="shared" si="56"/>
        <v>100013PL123</v>
      </c>
      <c r="U192" s="143" t="str">
        <f t="shared" si="57"/>
        <v>100014PL123</v>
      </c>
      <c r="V192" s="143" t="str">
        <f t="shared" si="58"/>
        <v>100015PL123</v>
      </c>
      <c r="W192" s="143" t="str">
        <f t="shared" si="59"/>
        <v>100016PL123</v>
      </c>
      <c r="X192" s="144" t="s">
        <v>675</v>
      </c>
    </row>
    <row r="193" spans="1:24" s="151" customFormat="1">
      <c r="A193" s="161">
        <v>27</v>
      </c>
      <c r="B193" s="147">
        <f t="shared" si="41"/>
        <v>189</v>
      </c>
      <c r="C193" s="148" t="s">
        <v>895</v>
      </c>
      <c r="D193" s="148" t="s">
        <v>892</v>
      </c>
      <c r="E193" s="149">
        <f t="shared" si="61"/>
        <v>124</v>
      </c>
      <c r="F193" s="149" t="str">
        <f t="shared" si="42"/>
        <v>PL124</v>
      </c>
      <c r="G193" s="150" t="str">
        <f t="shared" si="43"/>
        <v>100000PL124</v>
      </c>
      <c r="H193" s="150" t="str">
        <f t="shared" si="44"/>
        <v>100001PL124</v>
      </c>
      <c r="I193" s="150" t="str">
        <f t="shared" si="45"/>
        <v>100002PL124</v>
      </c>
      <c r="J193" s="150" t="str">
        <f t="shared" si="46"/>
        <v>100003PL124</v>
      </c>
      <c r="K193" s="150" t="str">
        <f t="shared" si="47"/>
        <v>100004PL124</v>
      </c>
      <c r="L193" s="150" t="str">
        <f t="shared" si="48"/>
        <v>100005PL124</v>
      </c>
      <c r="M193" s="150" t="str">
        <f t="shared" si="49"/>
        <v>100006PL124</v>
      </c>
      <c r="N193" s="150" t="str">
        <f t="shared" si="50"/>
        <v>100007PL124</v>
      </c>
      <c r="O193" s="150" t="str">
        <f t="shared" si="51"/>
        <v>100008PL124</v>
      </c>
      <c r="P193" s="150" t="str">
        <f t="shared" si="52"/>
        <v>100009PL124</v>
      </c>
      <c r="Q193" s="150" t="str">
        <f t="shared" si="53"/>
        <v>100010PL124</v>
      </c>
      <c r="R193" s="150" t="str">
        <f t="shared" si="54"/>
        <v>100011PL124</v>
      </c>
      <c r="S193" s="150" t="str">
        <f t="shared" si="55"/>
        <v>100012PL124</v>
      </c>
      <c r="T193" s="150" t="str">
        <f t="shared" si="56"/>
        <v>100013PL124</v>
      </c>
      <c r="U193" s="150" t="str">
        <f t="shared" si="57"/>
        <v>100014PL124</v>
      </c>
      <c r="V193" s="150" t="str">
        <f t="shared" si="58"/>
        <v>100015PL124</v>
      </c>
      <c r="W193" s="150" t="str">
        <f t="shared" si="59"/>
        <v>100016PL124</v>
      </c>
      <c r="X193" s="148" t="s">
        <v>895</v>
      </c>
    </row>
    <row r="194" spans="1:24" s="151" customFormat="1" ht="25.5">
      <c r="A194" s="161">
        <v>27</v>
      </c>
      <c r="B194" s="147">
        <f t="shared" si="41"/>
        <v>190</v>
      </c>
      <c r="C194" s="148" t="s">
        <v>896</v>
      </c>
      <c r="D194" s="148" t="s">
        <v>892</v>
      </c>
      <c r="E194" s="149">
        <f t="shared" si="61"/>
        <v>125</v>
      </c>
      <c r="F194" s="149" t="str">
        <f t="shared" si="42"/>
        <v>PL125</v>
      </c>
      <c r="G194" s="150" t="str">
        <f t="shared" si="43"/>
        <v>100000PL125</v>
      </c>
      <c r="H194" s="150" t="str">
        <f t="shared" si="44"/>
        <v>100001PL125</v>
      </c>
      <c r="I194" s="150" t="str">
        <f t="shared" si="45"/>
        <v>100002PL125</v>
      </c>
      <c r="J194" s="150" t="str">
        <f t="shared" si="46"/>
        <v>100003PL125</v>
      </c>
      <c r="K194" s="150" t="str">
        <f t="shared" si="47"/>
        <v>100004PL125</v>
      </c>
      <c r="L194" s="150" t="str">
        <f t="shared" si="48"/>
        <v>100005PL125</v>
      </c>
      <c r="M194" s="150" t="str">
        <f t="shared" si="49"/>
        <v>100006PL125</v>
      </c>
      <c r="N194" s="150" t="str">
        <f t="shared" si="50"/>
        <v>100007PL125</v>
      </c>
      <c r="O194" s="150" t="str">
        <f t="shared" si="51"/>
        <v>100008PL125</v>
      </c>
      <c r="P194" s="150" t="str">
        <f t="shared" si="52"/>
        <v>100009PL125</v>
      </c>
      <c r="Q194" s="150" t="str">
        <f t="shared" si="53"/>
        <v>100010PL125</v>
      </c>
      <c r="R194" s="150" t="str">
        <f t="shared" si="54"/>
        <v>100011PL125</v>
      </c>
      <c r="S194" s="150" t="str">
        <f t="shared" si="55"/>
        <v>100012PL125</v>
      </c>
      <c r="T194" s="150" t="str">
        <f t="shared" si="56"/>
        <v>100013PL125</v>
      </c>
      <c r="U194" s="150" t="str">
        <f t="shared" si="57"/>
        <v>100014PL125</v>
      </c>
      <c r="V194" s="150" t="str">
        <f t="shared" si="58"/>
        <v>100015PL125</v>
      </c>
      <c r="W194" s="150" t="str">
        <f t="shared" si="59"/>
        <v>100016PL125</v>
      </c>
      <c r="X194" s="148" t="s">
        <v>896</v>
      </c>
    </row>
    <row r="195" spans="1:24">
      <c r="A195" s="161">
        <v>27</v>
      </c>
      <c r="B195" s="140">
        <f t="shared" si="41"/>
        <v>191</v>
      </c>
      <c r="C195" s="144" t="s">
        <v>706</v>
      </c>
      <c r="D195" s="144" t="s">
        <v>892</v>
      </c>
      <c r="E195" s="142">
        <f t="shared" si="61"/>
        <v>126</v>
      </c>
      <c r="F195" s="142" t="str">
        <f t="shared" si="42"/>
        <v>PL126</v>
      </c>
      <c r="G195" s="143" t="str">
        <f t="shared" si="43"/>
        <v>100000PL126</v>
      </c>
      <c r="H195" s="143" t="str">
        <f t="shared" si="44"/>
        <v>100001PL126</v>
      </c>
      <c r="I195" s="143" t="str">
        <f t="shared" si="45"/>
        <v>100002PL126</v>
      </c>
      <c r="J195" s="143" t="str">
        <f t="shared" si="46"/>
        <v>100003PL126</v>
      </c>
      <c r="K195" s="143" t="str">
        <f t="shared" si="47"/>
        <v>100004PL126</v>
      </c>
      <c r="L195" s="143" t="str">
        <f t="shared" si="48"/>
        <v>100005PL126</v>
      </c>
      <c r="M195" s="143" t="str">
        <f t="shared" si="49"/>
        <v>100006PL126</v>
      </c>
      <c r="N195" s="143" t="str">
        <f t="shared" si="50"/>
        <v>100007PL126</v>
      </c>
      <c r="O195" s="143" t="str">
        <f t="shared" si="51"/>
        <v>100008PL126</v>
      </c>
      <c r="P195" s="143" t="str">
        <f t="shared" si="52"/>
        <v>100009PL126</v>
      </c>
      <c r="Q195" s="143" t="str">
        <f t="shared" si="53"/>
        <v>100010PL126</v>
      </c>
      <c r="R195" s="143" t="str">
        <f t="shared" si="54"/>
        <v>100011PL126</v>
      </c>
      <c r="S195" s="143" t="str">
        <f t="shared" si="55"/>
        <v>100012PL126</v>
      </c>
      <c r="T195" s="143" t="str">
        <f t="shared" si="56"/>
        <v>100013PL126</v>
      </c>
      <c r="U195" s="143" t="str">
        <f t="shared" si="57"/>
        <v>100014PL126</v>
      </c>
      <c r="V195" s="143" t="str">
        <f t="shared" si="58"/>
        <v>100015PL126</v>
      </c>
      <c r="W195" s="143" t="str">
        <f t="shared" si="59"/>
        <v>100016PL126</v>
      </c>
      <c r="X195" s="144" t="s">
        <v>706</v>
      </c>
    </row>
    <row r="196" spans="1:24">
      <c r="A196" s="161">
        <v>28</v>
      </c>
      <c r="B196" s="140">
        <f t="shared" si="41"/>
        <v>192</v>
      </c>
      <c r="C196" s="144" t="s">
        <v>897</v>
      </c>
      <c r="D196" s="144" t="s">
        <v>892</v>
      </c>
      <c r="E196" s="142">
        <f t="shared" si="61"/>
        <v>127</v>
      </c>
      <c r="F196" s="142" t="str">
        <f t="shared" si="42"/>
        <v>PL127</v>
      </c>
      <c r="G196" s="143" t="str">
        <f t="shared" si="43"/>
        <v>100000PL127</v>
      </c>
      <c r="H196" s="143" t="str">
        <f t="shared" si="44"/>
        <v>100001PL127</v>
      </c>
      <c r="I196" s="143" t="str">
        <f t="shared" si="45"/>
        <v>100002PL127</v>
      </c>
      <c r="J196" s="143" t="str">
        <f t="shared" si="46"/>
        <v>100003PL127</v>
      </c>
      <c r="K196" s="143" t="str">
        <f t="shared" si="47"/>
        <v>100004PL127</v>
      </c>
      <c r="L196" s="143" t="str">
        <f t="shared" si="48"/>
        <v>100005PL127</v>
      </c>
      <c r="M196" s="143" t="str">
        <f t="shared" si="49"/>
        <v>100006PL127</v>
      </c>
      <c r="N196" s="143" t="str">
        <f t="shared" si="50"/>
        <v>100007PL127</v>
      </c>
      <c r="O196" s="143" t="str">
        <f t="shared" si="51"/>
        <v>100008PL127</v>
      </c>
      <c r="P196" s="143" t="str">
        <f t="shared" si="52"/>
        <v>100009PL127</v>
      </c>
      <c r="Q196" s="143" t="str">
        <f t="shared" si="53"/>
        <v>100010PL127</v>
      </c>
      <c r="R196" s="143" t="str">
        <f t="shared" si="54"/>
        <v>100011PL127</v>
      </c>
      <c r="S196" s="143" t="str">
        <f t="shared" si="55"/>
        <v>100012PL127</v>
      </c>
      <c r="T196" s="143" t="str">
        <f t="shared" si="56"/>
        <v>100013PL127</v>
      </c>
      <c r="U196" s="143" t="str">
        <f t="shared" si="57"/>
        <v>100014PL127</v>
      </c>
      <c r="V196" s="143" t="str">
        <f t="shared" si="58"/>
        <v>100015PL127</v>
      </c>
      <c r="W196" s="143" t="str">
        <f t="shared" si="59"/>
        <v>100016PL127</v>
      </c>
      <c r="X196" s="144" t="s">
        <v>897</v>
      </c>
    </row>
    <row r="197" spans="1:24">
      <c r="A197" s="161">
        <v>28</v>
      </c>
      <c r="B197" s="140">
        <f t="shared" si="41"/>
        <v>193</v>
      </c>
      <c r="C197" s="144" t="s">
        <v>898</v>
      </c>
      <c r="D197" s="144" t="s">
        <v>892</v>
      </c>
      <c r="E197" s="142">
        <f t="shared" si="61"/>
        <v>128</v>
      </c>
      <c r="F197" s="142" t="str">
        <f t="shared" si="42"/>
        <v>PL128</v>
      </c>
      <c r="G197" s="143" t="str">
        <f t="shared" si="43"/>
        <v>100000PL128</v>
      </c>
      <c r="H197" s="143" t="str">
        <f t="shared" si="44"/>
        <v>100001PL128</v>
      </c>
      <c r="I197" s="143" t="str">
        <f t="shared" si="45"/>
        <v>100002PL128</v>
      </c>
      <c r="J197" s="143" t="str">
        <f t="shared" si="46"/>
        <v>100003PL128</v>
      </c>
      <c r="K197" s="143" t="str">
        <f t="shared" si="47"/>
        <v>100004PL128</v>
      </c>
      <c r="L197" s="143" t="str">
        <f t="shared" si="48"/>
        <v>100005PL128</v>
      </c>
      <c r="M197" s="143" t="str">
        <f t="shared" si="49"/>
        <v>100006PL128</v>
      </c>
      <c r="N197" s="143" t="str">
        <f t="shared" si="50"/>
        <v>100007PL128</v>
      </c>
      <c r="O197" s="143" t="str">
        <f t="shared" si="51"/>
        <v>100008PL128</v>
      </c>
      <c r="P197" s="143" t="str">
        <f t="shared" si="52"/>
        <v>100009PL128</v>
      </c>
      <c r="Q197" s="143" t="str">
        <f t="shared" si="53"/>
        <v>100010PL128</v>
      </c>
      <c r="R197" s="143" t="str">
        <f t="shared" si="54"/>
        <v>100011PL128</v>
      </c>
      <c r="S197" s="143" t="str">
        <f t="shared" si="55"/>
        <v>100012PL128</v>
      </c>
      <c r="T197" s="143" t="str">
        <f t="shared" si="56"/>
        <v>100013PL128</v>
      </c>
      <c r="U197" s="143" t="str">
        <f t="shared" si="57"/>
        <v>100014PL128</v>
      </c>
      <c r="V197" s="143" t="str">
        <f t="shared" si="58"/>
        <v>100015PL128</v>
      </c>
      <c r="W197" s="143" t="str">
        <f t="shared" si="59"/>
        <v>100016PL128</v>
      </c>
      <c r="X197" s="144" t="s">
        <v>898</v>
      </c>
    </row>
    <row r="198" spans="1:24">
      <c r="A198" s="161">
        <v>28</v>
      </c>
      <c r="B198" s="140">
        <f t="shared" ref="B198:B261" si="62">B197+1</f>
        <v>194</v>
      </c>
      <c r="C198" s="144" t="s">
        <v>899</v>
      </c>
      <c r="D198" s="144" t="s">
        <v>892</v>
      </c>
      <c r="E198" s="142">
        <f t="shared" si="61"/>
        <v>129</v>
      </c>
      <c r="F198" s="142" t="str">
        <f t="shared" ref="F198:F254" si="63">D198&amp;E198</f>
        <v>PL129</v>
      </c>
      <c r="G198" s="143" t="str">
        <f t="shared" ref="G198:G261" si="64">$G$2&amp;$F198</f>
        <v>100000PL129</v>
      </c>
      <c r="H198" s="143" t="str">
        <f t="shared" ref="H198:H254" si="65">$H$2&amp;$F198</f>
        <v>100001PL129</v>
      </c>
      <c r="I198" s="143" t="str">
        <f t="shared" ref="I198:I254" si="66">$I$2&amp;$F198</f>
        <v>100002PL129</v>
      </c>
      <c r="J198" s="143" t="str">
        <f t="shared" ref="J198:J254" si="67">$J$2&amp;$F198</f>
        <v>100003PL129</v>
      </c>
      <c r="K198" s="143" t="str">
        <f t="shared" ref="K198:K254" si="68">$K$2&amp;$F198</f>
        <v>100004PL129</v>
      </c>
      <c r="L198" s="143" t="str">
        <f t="shared" ref="L198:L254" si="69">$L$2&amp;$F198</f>
        <v>100005PL129</v>
      </c>
      <c r="M198" s="143" t="str">
        <f t="shared" ref="M198:M254" si="70">$M$2&amp;$F198</f>
        <v>100006PL129</v>
      </c>
      <c r="N198" s="143" t="str">
        <f t="shared" ref="N198:N254" si="71">$N$2&amp;$F198</f>
        <v>100007PL129</v>
      </c>
      <c r="O198" s="143" t="str">
        <f t="shared" ref="O198:O254" si="72">$O$2&amp;$F198</f>
        <v>100008PL129</v>
      </c>
      <c r="P198" s="143" t="str">
        <f t="shared" ref="P198:P254" si="73">$P$2&amp;$F198</f>
        <v>100009PL129</v>
      </c>
      <c r="Q198" s="143" t="str">
        <f t="shared" ref="Q198:Q254" si="74">$Q$2&amp;$F198</f>
        <v>100010PL129</v>
      </c>
      <c r="R198" s="143" t="str">
        <f t="shared" ref="R198:R254" si="75">$R$2&amp;$F198</f>
        <v>100011PL129</v>
      </c>
      <c r="S198" s="143" t="str">
        <f t="shared" ref="S198:S254" si="76">$S$2&amp;$F198</f>
        <v>100012PL129</v>
      </c>
      <c r="T198" s="143" t="str">
        <f t="shared" ref="T198:T254" si="77">$T$2&amp;$F198</f>
        <v>100013PL129</v>
      </c>
      <c r="U198" s="143" t="str">
        <f t="shared" ref="U198:U254" si="78">$U$2&amp;$F198</f>
        <v>100014PL129</v>
      </c>
      <c r="V198" s="143" t="str">
        <f t="shared" ref="V198:V254" si="79">$V$2&amp;$F198</f>
        <v>100015PL129</v>
      </c>
      <c r="W198" s="143" t="str">
        <f t="shared" ref="W198:W254" si="80">$W$2&amp;$F198</f>
        <v>100016PL129</v>
      </c>
      <c r="X198" s="144" t="s">
        <v>899</v>
      </c>
    </row>
    <row r="199" spans="1:24">
      <c r="A199" s="161">
        <v>29</v>
      </c>
      <c r="B199" s="140">
        <f t="shared" si="62"/>
        <v>195</v>
      </c>
      <c r="C199" s="144" t="s">
        <v>677</v>
      </c>
      <c r="D199" s="144" t="s">
        <v>892</v>
      </c>
      <c r="E199" s="142">
        <f t="shared" si="61"/>
        <v>130</v>
      </c>
      <c r="F199" s="142" t="str">
        <f t="shared" si="63"/>
        <v>PL130</v>
      </c>
      <c r="G199" s="143" t="str">
        <f t="shared" si="64"/>
        <v>100000PL130</v>
      </c>
      <c r="H199" s="143" t="str">
        <f t="shared" si="65"/>
        <v>100001PL130</v>
      </c>
      <c r="I199" s="143" t="str">
        <f t="shared" si="66"/>
        <v>100002PL130</v>
      </c>
      <c r="J199" s="143" t="str">
        <f t="shared" si="67"/>
        <v>100003PL130</v>
      </c>
      <c r="K199" s="143" t="str">
        <f t="shared" si="68"/>
        <v>100004PL130</v>
      </c>
      <c r="L199" s="143" t="str">
        <f t="shared" si="69"/>
        <v>100005PL130</v>
      </c>
      <c r="M199" s="143" t="str">
        <f t="shared" si="70"/>
        <v>100006PL130</v>
      </c>
      <c r="N199" s="143" t="str">
        <f t="shared" si="71"/>
        <v>100007PL130</v>
      </c>
      <c r="O199" s="143" t="str">
        <f t="shared" si="72"/>
        <v>100008PL130</v>
      </c>
      <c r="P199" s="143" t="str">
        <f t="shared" si="73"/>
        <v>100009PL130</v>
      </c>
      <c r="Q199" s="143" t="str">
        <f t="shared" si="74"/>
        <v>100010PL130</v>
      </c>
      <c r="R199" s="143" t="str">
        <f t="shared" si="75"/>
        <v>100011PL130</v>
      </c>
      <c r="S199" s="143" t="str">
        <f t="shared" si="76"/>
        <v>100012PL130</v>
      </c>
      <c r="T199" s="143" t="str">
        <f t="shared" si="77"/>
        <v>100013PL130</v>
      </c>
      <c r="U199" s="143" t="str">
        <f t="shared" si="78"/>
        <v>100014PL130</v>
      </c>
      <c r="V199" s="143" t="str">
        <f t="shared" si="79"/>
        <v>100015PL130</v>
      </c>
      <c r="W199" s="143" t="str">
        <f t="shared" si="80"/>
        <v>100016PL130</v>
      </c>
      <c r="X199" s="144" t="s">
        <v>677</v>
      </c>
    </row>
    <row r="200" spans="1:24">
      <c r="A200" s="161">
        <v>29</v>
      </c>
      <c r="B200" s="140">
        <f t="shared" si="62"/>
        <v>196</v>
      </c>
      <c r="C200" s="144" t="s">
        <v>900</v>
      </c>
      <c r="D200" s="144" t="s">
        <v>892</v>
      </c>
      <c r="E200" s="142">
        <f t="shared" si="61"/>
        <v>131</v>
      </c>
      <c r="F200" s="142" t="str">
        <f t="shared" si="63"/>
        <v>PL131</v>
      </c>
      <c r="G200" s="143" t="str">
        <f t="shared" si="64"/>
        <v>100000PL131</v>
      </c>
      <c r="H200" s="143" t="str">
        <f t="shared" si="65"/>
        <v>100001PL131</v>
      </c>
      <c r="I200" s="143" t="str">
        <f t="shared" si="66"/>
        <v>100002PL131</v>
      </c>
      <c r="J200" s="143" t="str">
        <f t="shared" si="67"/>
        <v>100003PL131</v>
      </c>
      <c r="K200" s="143" t="str">
        <f t="shared" si="68"/>
        <v>100004PL131</v>
      </c>
      <c r="L200" s="143" t="str">
        <f t="shared" si="69"/>
        <v>100005PL131</v>
      </c>
      <c r="M200" s="143" t="str">
        <f t="shared" si="70"/>
        <v>100006PL131</v>
      </c>
      <c r="N200" s="143" t="str">
        <f t="shared" si="71"/>
        <v>100007PL131</v>
      </c>
      <c r="O200" s="143" t="str">
        <f t="shared" si="72"/>
        <v>100008PL131</v>
      </c>
      <c r="P200" s="143" t="str">
        <f t="shared" si="73"/>
        <v>100009PL131</v>
      </c>
      <c r="Q200" s="143" t="str">
        <f t="shared" si="74"/>
        <v>100010PL131</v>
      </c>
      <c r="R200" s="143" t="str">
        <f t="shared" si="75"/>
        <v>100011PL131</v>
      </c>
      <c r="S200" s="143" t="str">
        <f t="shared" si="76"/>
        <v>100012PL131</v>
      </c>
      <c r="T200" s="143" t="str">
        <f t="shared" si="77"/>
        <v>100013PL131</v>
      </c>
      <c r="U200" s="143" t="str">
        <f t="shared" si="78"/>
        <v>100014PL131</v>
      </c>
      <c r="V200" s="143" t="str">
        <f t="shared" si="79"/>
        <v>100015PL131</v>
      </c>
      <c r="W200" s="143" t="str">
        <f t="shared" si="80"/>
        <v>100016PL131</v>
      </c>
      <c r="X200" s="144" t="s">
        <v>900</v>
      </c>
    </row>
    <row r="201" spans="1:24">
      <c r="A201" s="161">
        <v>29</v>
      </c>
      <c r="B201" s="140">
        <f t="shared" si="62"/>
        <v>197</v>
      </c>
      <c r="C201" s="144" t="s">
        <v>901</v>
      </c>
      <c r="D201" s="144" t="s">
        <v>892</v>
      </c>
      <c r="E201" s="142">
        <f t="shared" si="61"/>
        <v>132</v>
      </c>
      <c r="F201" s="142" t="str">
        <f t="shared" si="63"/>
        <v>PL132</v>
      </c>
      <c r="G201" s="143" t="str">
        <f t="shared" si="64"/>
        <v>100000PL132</v>
      </c>
      <c r="H201" s="143" t="str">
        <f t="shared" si="65"/>
        <v>100001PL132</v>
      </c>
      <c r="I201" s="143" t="str">
        <f t="shared" si="66"/>
        <v>100002PL132</v>
      </c>
      <c r="J201" s="143" t="str">
        <f t="shared" si="67"/>
        <v>100003PL132</v>
      </c>
      <c r="K201" s="143" t="str">
        <f t="shared" si="68"/>
        <v>100004PL132</v>
      </c>
      <c r="L201" s="143" t="str">
        <f t="shared" si="69"/>
        <v>100005PL132</v>
      </c>
      <c r="M201" s="143" t="str">
        <f t="shared" si="70"/>
        <v>100006PL132</v>
      </c>
      <c r="N201" s="143" t="str">
        <f t="shared" si="71"/>
        <v>100007PL132</v>
      </c>
      <c r="O201" s="143" t="str">
        <f t="shared" si="72"/>
        <v>100008PL132</v>
      </c>
      <c r="P201" s="143" t="str">
        <f t="shared" si="73"/>
        <v>100009PL132</v>
      </c>
      <c r="Q201" s="143" t="str">
        <f t="shared" si="74"/>
        <v>100010PL132</v>
      </c>
      <c r="R201" s="143" t="str">
        <f t="shared" si="75"/>
        <v>100011PL132</v>
      </c>
      <c r="S201" s="143" t="str">
        <f t="shared" si="76"/>
        <v>100012PL132</v>
      </c>
      <c r="T201" s="143" t="str">
        <f t="shared" si="77"/>
        <v>100013PL132</v>
      </c>
      <c r="U201" s="143" t="str">
        <f t="shared" si="78"/>
        <v>100014PL132</v>
      </c>
      <c r="V201" s="143" t="str">
        <f t="shared" si="79"/>
        <v>100015PL132</v>
      </c>
      <c r="W201" s="143" t="str">
        <f t="shared" si="80"/>
        <v>100016PL132</v>
      </c>
      <c r="X201" s="144" t="s">
        <v>901</v>
      </c>
    </row>
    <row r="202" spans="1:24">
      <c r="A202" s="161">
        <v>30</v>
      </c>
      <c r="B202" s="140">
        <f t="shared" si="62"/>
        <v>198</v>
      </c>
      <c r="C202" s="144" t="s">
        <v>694</v>
      </c>
      <c r="D202" s="144" t="s">
        <v>892</v>
      </c>
      <c r="E202" s="142">
        <f t="shared" si="61"/>
        <v>133</v>
      </c>
      <c r="F202" s="142" t="str">
        <f t="shared" si="63"/>
        <v>PL133</v>
      </c>
      <c r="G202" s="143" t="str">
        <f t="shared" si="64"/>
        <v>100000PL133</v>
      </c>
      <c r="H202" s="143" t="str">
        <f t="shared" si="65"/>
        <v>100001PL133</v>
      </c>
      <c r="I202" s="143" t="str">
        <f t="shared" si="66"/>
        <v>100002PL133</v>
      </c>
      <c r="J202" s="143" t="str">
        <f t="shared" si="67"/>
        <v>100003PL133</v>
      </c>
      <c r="K202" s="143" t="str">
        <f t="shared" si="68"/>
        <v>100004PL133</v>
      </c>
      <c r="L202" s="143" t="str">
        <f t="shared" si="69"/>
        <v>100005PL133</v>
      </c>
      <c r="M202" s="143" t="str">
        <f t="shared" si="70"/>
        <v>100006PL133</v>
      </c>
      <c r="N202" s="143" t="str">
        <f t="shared" si="71"/>
        <v>100007PL133</v>
      </c>
      <c r="O202" s="143" t="str">
        <f t="shared" si="72"/>
        <v>100008PL133</v>
      </c>
      <c r="P202" s="143" t="str">
        <f t="shared" si="73"/>
        <v>100009PL133</v>
      </c>
      <c r="Q202" s="143" t="str">
        <f t="shared" si="74"/>
        <v>100010PL133</v>
      </c>
      <c r="R202" s="143" t="str">
        <f t="shared" si="75"/>
        <v>100011PL133</v>
      </c>
      <c r="S202" s="143" t="str">
        <f t="shared" si="76"/>
        <v>100012PL133</v>
      </c>
      <c r="T202" s="143" t="str">
        <f t="shared" si="77"/>
        <v>100013PL133</v>
      </c>
      <c r="U202" s="143" t="str">
        <f t="shared" si="78"/>
        <v>100014PL133</v>
      </c>
      <c r="V202" s="143" t="str">
        <f t="shared" si="79"/>
        <v>100015PL133</v>
      </c>
      <c r="W202" s="143" t="str">
        <f t="shared" si="80"/>
        <v>100016PL133</v>
      </c>
      <c r="X202" s="144" t="s">
        <v>694</v>
      </c>
    </row>
    <row r="203" spans="1:24">
      <c r="A203" s="161">
        <v>30</v>
      </c>
      <c r="B203" s="140">
        <f t="shared" si="62"/>
        <v>199</v>
      </c>
      <c r="C203" s="144" t="s">
        <v>902</v>
      </c>
      <c r="D203" s="144" t="s">
        <v>892</v>
      </c>
      <c r="E203" s="142">
        <f t="shared" si="61"/>
        <v>134</v>
      </c>
      <c r="F203" s="142" t="str">
        <f t="shared" si="63"/>
        <v>PL134</v>
      </c>
      <c r="G203" s="143" t="str">
        <f t="shared" si="64"/>
        <v>100000PL134</v>
      </c>
      <c r="H203" s="143" t="str">
        <f t="shared" si="65"/>
        <v>100001PL134</v>
      </c>
      <c r="I203" s="143" t="str">
        <f t="shared" si="66"/>
        <v>100002PL134</v>
      </c>
      <c r="J203" s="143" t="str">
        <f t="shared" si="67"/>
        <v>100003PL134</v>
      </c>
      <c r="K203" s="143" t="str">
        <f t="shared" si="68"/>
        <v>100004PL134</v>
      </c>
      <c r="L203" s="143" t="str">
        <f t="shared" si="69"/>
        <v>100005PL134</v>
      </c>
      <c r="M203" s="143" t="str">
        <f t="shared" si="70"/>
        <v>100006PL134</v>
      </c>
      <c r="N203" s="143" t="str">
        <f t="shared" si="71"/>
        <v>100007PL134</v>
      </c>
      <c r="O203" s="143" t="str">
        <f t="shared" si="72"/>
        <v>100008PL134</v>
      </c>
      <c r="P203" s="143" t="str">
        <f t="shared" si="73"/>
        <v>100009PL134</v>
      </c>
      <c r="Q203" s="143" t="str">
        <f t="shared" si="74"/>
        <v>100010PL134</v>
      </c>
      <c r="R203" s="143" t="str">
        <f t="shared" si="75"/>
        <v>100011PL134</v>
      </c>
      <c r="S203" s="143" t="str">
        <f t="shared" si="76"/>
        <v>100012PL134</v>
      </c>
      <c r="T203" s="143" t="str">
        <f t="shared" si="77"/>
        <v>100013PL134</v>
      </c>
      <c r="U203" s="143" t="str">
        <f t="shared" si="78"/>
        <v>100014PL134</v>
      </c>
      <c r="V203" s="143" t="str">
        <f t="shared" si="79"/>
        <v>100015PL134</v>
      </c>
      <c r="W203" s="143" t="str">
        <f t="shared" si="80"/>
        <v>100016PL134</v>
      </c>
      <c r="X203" s="144" t="s">
        <v>902</v>
      </c>
    </row>
    <row r="204" spans="1:24">
      <c r="A204" s="161">
        <v>30</v>
      </c>
      <c r="B204" s="140">
        <f t="shared" si="62"/>
        <v>200</v>
      </c>
      <c r="C204" s="144" t="s">
        <v>903</v>
      </c>
      <c r="D204" s="144" t="s">
        <v>892</v>
      </c>
      <c r="E204" s="142">
        <f t="shared" si="61"/>
        <v>135</v>
      </c>
      <c r="F204" s="142" t="str">
        <f t="shared" si="63"/>
        <v>PL135</v>
      </c>
      <c r="G204" s="143" t="str">
        <f t="shared" si="64"/>
        <v>100000PL135</v>
      </c>
      <c r="H204" s="143" t="str">
        <f t="shared" si="65"/>
        <v>100001PL135</v>
      </c>
      <c r="I204" s="143" t="str">
        <f t="shared" si="66"/>
        <v>100002PL135</v>
      </c>
      <c r="J204" s="143" t="str">
        <f t="shared" si="67"/>
        <v>100003PL135</v>
      </c>
      <c r="K204" s="143" t="str">
        <f t="shared" si="68"/>
        <v>100004PL135</v>
      </c>
      <c r="L204" s="143" t="str">
        <f t="shared" si="69"/>
        <v>100005PL135</v>
      </c>
      <c r="M204" s="143" t="str">
        <f t="shared" si="70"/>
        <v>100006PL135</v>
      </c>
      <c r="N204" s="143" t="str">
        <f t="shared" si="71"/>
        <v>100007PL135</v>
      </c>
      <c r="O204" s="143" t="str">
        <f t="shared" si="72"/>
        <v>100008PL135</v>
      </c>
      <c r="P204" s="143" t="str">
        <f t="shared" si="73"/>
        <v>100009PL135</v>
      </c>
      <c r="Q204" s="143" t="str">
        <f t="shared" si="74"/>
        <v>100010PL135</v>
      </c>
      <c r="R204" s="143" t="str">
        <f t="shared" si="75"/>
        <v>100011PL135</v>
      </c>
      <c r="S204" s="143" t="str">
        <f t="shared" si="76"/>
        <v>100012PL135</v>
      </c>
      <c r="T204" s="143" t="str">
        <f t="shared" si="77"/>
        <v>100013PL135</v>
      </c>
      <c r="U204" s="143" t="str">
        <f t="shared" si="78"/>
        <v>100014PL135</v>
      </c>
      <c r="V204" s="143" t="str">
        <f t="shared" si="79"/>
        <v>100015PL135</v>
      </c>
      <c r="W204" s="143" t="str">
        <f t="shared" si="80"/>
        <v>100016PL135</v>
      </c>
      <c r="X204" s="144" t="s">
        <v>903</v>
      </c>
    </row>
    <row r="205" spans="1:24">
      <c r="A205" s="161">
        <v>30</v>
      </c>
      <c r="B205" s="140">
        <f t="shared" si="62"/>
        <v>201</v>
      </c>
      <c r="C205" s="144" t="s">
        <v>904</v>
      </c>
      <c r="D205" s="144" t="s">
        <v>892</v>
      </c>
      <c r="E205" s="142">
        <f t="shared" si="61"/>
        <v>136</v>
      </c>
      <c r="F205" s="142" t="str">
        <f t="shared" si="63"/>
        <v>PL136</v>
      </c>
      <c r="G205" s="143" t="str">
        <f t="shared" si="64"/>
        <v>100000PL136</v>
      </c>
      <c r="H205" s="143" t="str">
        <f t="shared" si="65"/>
        <v>100001PL136</v>
      </c>
      <c r="I205" s="143" t="str">
        <f t="shared" si="66"/>
        <v>100002PL136</v>
      </c>
      <c r="J205" s="143" t="str">
        <f t="shared" si="67"/>
        <v>100003PL136</v>
      </c>
      <c r="K205" s="143" t="str">
        <f t="shared" si="68"/>
        <v>100004PL136</v>
      </c>
      <c r="L205" s="143" t="str">
        <f t="shared" si="69"/>
        <v>100005PL136</v>
      </c>
      <c r="M205" s="143" t="str">
        <f t="shared" si="70"/>
        <v>100006PL136</v>
      </c>
      <c r="N205" s="143" t="str">
        <f t="shared" si="71"/>
        <v>100007PL136</v>
      </c>
      <c r="O205" s="143" t="str">
        <f t="shared" si="72"/>
        <v>100008PL136</v>
      </c>
      <c r="P205" s="143" t="str">
        <f t="shared" si="73"/>
        <v>100009PL136</v>
      </c>
      <c r="Q205" s="143" t="str">
        <f t="shared" si="74"/>
        <v>100010PL136</v>
      </c>
      <c r="R205" s="143" t="str">
        <f t="shared" si="75"/>
        <v>100011PL136</v>
      </c>
      <c r="S205" s="143" t="str">
        <f t="shared" si="76"/>
        <v>100012PL136</v>
      </c>
      <c r="T205" s="143" t="str">
        <f t="shared" si="77"/>
        <v>100013PL136</v>
      </c>
      <c r="U205" s="143" t="str">
        <f t="shared" si="78"/>
        <v>100014PL136</v>
      </c>
      <c r="V205" s="143" t="str">
        <f t="shared" si="79"/>
        <v>100015PL136</v>
      </c>
      <c r="W205" s="143" t="str">
        <f t="shared" si="80"/>
        <v>100016PL136</v>
      </c>
      <c r="X205" s="144" t="s">
        <v>904</v>
      </c>
    </row>
    <row r="206" spans="1:24">
      <c r="A206" s="161">
        <v>30</v>
      </c>
      <c r="B206" s="140">
        <f t="shared" si="62"/>
        <v>202</v>
      </c>
      <c r="C206" s="144" t="s">
        <v>695</v>
      </c>
      <c r="D206" s="144" t="s">
        <v>892</v>
      </c>
      <c r="E206" s="142">
        <f t="shared" si="61"/>
        <v>137</v>
      </c>
      <c r="F206" s="142" t="str">
        <f t="shared" si="63"/>
        <v>PL137</v>
      </c>
      <c r="G206" s="143" t="str">
        <f t="shared" si="64"/>
        <v>100000PL137</v>
      </c>
      <c r="H206" s="143" t="str">
        <f t="shared" si="65"/>
        <v>100001PL137</v>
      </c>
      <c r="I206" s="143" t="str">
        <f t="shared" si="66"/>
        <v>100002PL137</v>
      </c>
      <c r="J206" s="143" t="str">
        <f t="shared" si="67"/>
        <v>100003PL137</v>
      </c>
      <c r="K206" s="143" t="str">
        <f t="shared" si="68"/>
        <v>100004PL137</v>
      </c>
      <c r="L206" s="143" t="str">
        <f t="shared" si="69"/>
        <v>100005PL137</v>
      </c>
      <c r="M206" s="143" t="str">
        <f t="shared" si="70"/>
        <v>100006PL137</v>
      </c>
      <c r="N206" s="143" t="str">
        <f t="shared" si="71"/>
        <v>100007PL137</v>
      </c>
      <c r="O206" s="143" t="str">
        <f t="shared" si="72"/>
        <v>100008PL137</v>
      </c>
      <c r="P206" s="143" t="str">
        <f t="shared" si="73"/>
        <v>100009PL137</v>
      </c>
      <c r="Q206" s="143" t="str">
        <f t="shared" si="74"/>
        <v>100010PL137</v>
      </c>
      <c r="R206" s="143" t="str">
        <f t="shared" si="75"/>
        <v>100011PL137</v>
      </c>
      <c r="S206" s="143" t="str">
        <f t="shared" si="76"/>
        <v>100012PL137</v>
      </c>
      <c r="T206" s="143" t="str">
        <f t="shared" si="77"/>
        <v>100013PL137</v>
      </c>
      <c r="U206" s="143" t="str">
        <f t="shared" si="78"/>
        <v>100014PL137</v>
      </c>
      <c r="V206" s="143" t="str">
        <f t="shared" si="79"/>
        <v>100015PL137</v>
      </c>
      <c r="W206" s="143" t="str">
        <f t="shared" si="80"/>
        <v>100016PL137</v>
      </c>
      <c r="X206" s="144" t="s">
        <v>695</v>
      </c>
    </row>
    <row r="207" spans="1:24">
      <c r="A207" s="161">
        <v>30</v>
      </c>
      <c r="B207" s="140">
        <f t="shared" si="62"/>
        <v>203</v>
      </c>
      <c r="C207" s="144" t="s">
        <v>905</v>
      </c>
      <c r="D207" s="144" t="s">
        <v>892</v>
      </c>
      <c r="E207" s="142">
        <f t="shared" si="61"/>
        <v>138</v>
      </c>
      <c r="F207" s="142" t="str">
        <f t="shared" si="63"/>
        <v>PL138</v>
      </c>
      <c r="G207" s="143" t="str">
        <f t="shared" si="64"/>
        <v>100000PL138</v>
      </c>
      <c r="H207" s="143" t="str">
        <f t="shared" si="65"/>
        <v>100001PL138</v>
      </c>
      <c r="I207" s="143" t="str">
        <f t="shared" si="66"/>
        <v>100002PL138</v>
      </c>
      <c r="J207" s="143" t="str">
        <f t="shared" si="67"/>
        <v>100003PL138</v>
      </c>
      <c r="K207" s="143" t="str">
        <f t="shared" si="68"/>
        <v>100004PL138</v>
      </c>
      <c r="L207" s="143" t="str">
        <f t="shared" si="69"/>
        <v>100005PL138</v>
      </c>
      <c r="M207" s="143" t="str">
        <f t="shared" si="70"/>
        <v>100006PL138</v>
      </c>
      <c r="N207" s="143" t="str">
        <f t="shared" si="71"/>
        <v>100007PL138</v>
      </c>
      <c r="O207" s="143" t="str">
        <f t="shared" si="72"/>
        <v>100008PL138</v>
      </c>
      <c r="P207" s="143" t="str">
        <f t="shared" si="73"/>
        <v>100009PL138</v>
      </c>
      <c r="Q207" s="143" t="str">
        <f t="shared" si="74"/>
        <v>100010PL138</v>
      </c>
      <c r="R207" s="143" t="str">
        <f t="shared" si="75"/>
        <v>100011PL138</v>
      </c>
      <c r="S207" s="143" t="str">
        <f t="shared" si="76"/>
        <v>100012PL138</v>
      </c>
      <c r="T207" s="143" t="str">
        <f t="shared" si="77"/>
        <v>100013PL138</v>
      </c>
      <c r="U207" s="143" t="str">
        <f t="shared" si="78"/>
        <v>100014PL138</v>
      </c>
      <c r="V207" s="143" t="str">
        <f t="shared" si="79"/>
        <v>100015PL138</v>
      </c>
      <c r="W207" s="143" t="str">
        <f t="shared" si="80"/>
        <v>100016PL138</v>
      </c>
      <c r="X207" s="144" t="s">
        <v>905</v>
      </c>
    </row>
    <row r="208" spans="1:24">
      <c r="A208" s="161">
        <v>30</v>
      </c>
      <c r="B208" s="140">
        <f t="shared" si="62"/>
        <v>204</v>
      </c>
      <c r="C208" s="144" t="s">
        <v>309</v>
      </c>
      <c r="D208" s="144" t="s">
        <v>892</v>
      </c>
      <c r="E208" s="142">
        <f t="shared" si="61"/>
        <v>139</v>
      </c>
      <c r="F208" s="142" t="str">
        <f t="shared" si="63"/>
        <v>PL139</v>
      </c>
      <c r="G208" s="143" t="str">
        <f t="shared" si="64"/>
        <v>100000PL139</v>
      </c>
      <c r="H208" s="143" t="str">
        <f t="shared" si="65"/>
        <v>100001PL139</v>
      </c>
      <c r="I208" s="143" t="str">
        <f t="shared" si="66"/>
        <v>100002PL139</v>
      </c>
      <c r="J208" s="143" t="str">
        <f t="shared" si="67"/>
        <v>100003PL139</v>
      </c>
      <c r="K208" s="143" t="str">
        <f t="shared" si="68"/>
        <v>100004PL139</v>
      </c>
      <c r="L208" s="143" t="str">
        <f t="shared" si="69"/>
        <v>100005PL139</v>
      </c>
      <c r="M208" s="143" t="str">
        <f t="shared" si="70"/>
        <v>100006PL139</v>
      </c>
      <c r="N208" s="143" t="str">
        <f t="shared" si="71"/>
        <v>100007PL139</v>
      </c>
      <c r="O208" s="143" t="str">
        <f t="shared" si="72"/>
        <v>100008PL139</v>
      </c>
      <c r="P208" s="143" t="str">
        <f t="shared" si="73"/>
        <v>100009PL139</v>
      </c>
      <c r="Q208" s="143" t="str">
        <f t="shared" si="74"/>
        <v>100010PL139</v>
      </c>
      <c r="R208" s="143" t="str">
        <f t="shared" si="75"/>
        <v>100011PL139</v>
      </c>
      <c r="S208" s="143" t="str">
        <f t="shared" si="76"/>
        <v>100012PL139</v>
      </c>
      <c r="T208" s="143" t="str">
        <f t="shared" si="77"/>
        <v>100013PL139</v>
      </c>
      <c r="U208" s="143" t="str">
        <f t="shared" si="78"/>
        <v>100014PL139</v>
      </c>
      <c r="V208" s="143" t="str">
        <f t="shared" si="79"/>
        <v>100015PL139</v>
      </c>
      <c r="W208" s="143" t="str">
        <f t="shared" si="80"/>
        <v>100016PL139</v>
      </c>
      <c r="X208" s="144" t="s">
        <v>309</v>
      </c>
    </row>
    <row r="209" spans="1:24">
      <c r="A209" s="161">
        <v>30</v>
      </c>
      <c r="B209" s="140">
        <f t="shared" si="62"/>
        <v>205</v>
      </c>
      <c r="C209" s="144" t="s">
        <v>310</v>
      </c>
      <c r="D209" s="144" t="s">
        <v>892</v>
      </c>
      <c r="E209" s="142">
        <f t="shared" si="61"/>
        <v>140</v>
      </c>
      <c r="F209" s="142" t="str">
        <f t="shared" si="63"/>
        <v>PL140</v>
      </c>
      <c r="G209" s="143" t="str">
        <f t="shared" si="64"/>
        <v>100000PL140</v>
      </c>
      <c r="H209" s="143" t="str">
        <f t="shared" si="65"/>
        <v>100001PL140</v>
      </c>
      <c r="I209" s="143" t="str">
        <f t="shared" si="66"/>
        <v>100002PL140</v>
      </c>
      <c r="J209" s="143" t="str">
        <f t="shared" si="67"/>
        <v>100003PL140</v>
      </c>
      <c r="K209" s="143" t="str">
        <f t="shared" si="68"/>
        <v>100004PL140</v>
      </c>
      <c r="L209" s="143" t="str">
        <f t="shared" si="69"/>
        <v>100005PL140</v>
      </c>
      <c r="M209" s="143" t="str">
        <f t="shared" si="70"/>
        <v>100006PL140</v>
      </c>
      <c r="N209" s="143" t="str">
        <f t="shared" si="71"/>
        <v>100007PL140</v>
      </c>
      <c r="O209" s="143" t="str">
        <f t="shared" si="72"/>
        <v>100008PL140</v>
      </c>
      <c r="P209" s="143" t="str">
        <f t="shared" si="73"/>
        <v>100009PL140</v>
      </c>
      <c r="Q209" s="143" t="str">
        <f t="shared" si="74"/>
        <v>100010PL140</v>
      </c>
      <c r="R209" s="143" t="str">
        <f t="shared" si="75"/>
        <v>100011PL140</v>
      </c>
      <c r="S209" s="143" t="str">
        <f t="shared" si="76"/>
        <v>100012PL140</v>
      </c>
      <c r="T209" s="143" t="str">
        <f t="shared" si="77"/>
        <v>100013PL140</v>
      </c>
      <c r="U209" s="143" t="str">
        <f t="shared" si="78"/>
        <v>100014PL140</v>
      </c>
      <c r="V209" s="143" t="str">
        <f t="shared" si="79"/>
        <v>100015PL140</v>
      </c>
      <c r="W209" s="143" t="str">
        <f t="shared" si="80"/>
        <v>100016PL140</v>
      </c>
      <c r="X209" s="144" t="s">
        <v>310</v>
      </c>
    </row>
    <row r="210" spans="1:24">
      <c r="A210" s="161">
        <v>30</v>
      </c>
      <c r="B210" s="140">
        <f t="shared" si="62"/>
        <v>206</v>
      </c>
      <c r="C210" s="144" t="s">
        <v>312</v>
      </c>
      <c r="D210" s="144" t="s">
        <v>892</v>
      </c>
      <c r="E210" s="142">
        <f t="shared" si="61"/>
        <v>141</v>
      </c>
      <c r="F210" s="142" t="str">
        <f t="shared" si="63"/>
        <v>PL141</v>
      </c>
      <c r="G210" s="143" t="str">
        <f t="shared" si="64"/>
        <v>100000PL141</v>
      </c>
      <c r="H210" s="143" t="str">
        <f t="shared" si="65"/>
        <v>100001PL141</v>
      </c>
      <c r="I210" s="143" t="str">
        <f t="shared" si="66"/>
        <v>100002PL141</v>
      </c>
      <c r="J210" s="143" t="str">
        <f t="shared" si="67"/>
        <v>100003PL141</v>
      </c>
      <c r="K210" s="143" t="str">
        <f t="shared" si="68"/>
        <v>100004PL141</v>
      </c>
      <c r="L210" s="143" t="str">
        <f t="shared" si="69"/>
        <v>100005PL141</v>
      </c>
      <c r="M210" s="143" t="str">
        <f t="shared" si="70"/>
        <v>100006PL141</v>
      </c>
      <c r="N210" s="143" t="str">
        <f t="shared" si="71"/>
        <v>100007PL141</v>
      </c>
      <c r="O210" s="143" t="str">
        <f t="shared" si="72"/>
        <v>100008PL141</v>
      </c>
      <c r="P210" s="143" t="str">
        <f t="shared" si="73"/>
        <v>100009PL141</v>
      </c>
      <c r="Q210" s="143" t="str">
        <f t="shared" si="74"/>
        <v>100010PL141</v>
      </c>
      <c r="R210" s="143" t="str">
        <f t="shared" si="75"/>
        <v>100011PL141</v>
      </c>
      <c r="S210" s="143" t="str">
        <f t="shared" si="76"/>
        <v>100012PL141</v>
      </c>
      <c r="T210" s="143" t="str">
        <f t="shared" si="77"/>
        <v>100013PL141</v>
      </c>
      <c r="U210" s="143" t="str">
        <f t="shared" si="78"/>
        <v>100014PL141</v>
      </c>
      <c r="V210" s="143" t="str">
        <f t="shared" si="79"/>
        <v>100015PL141</v>
      </c>
      <c r="W210" s="143" t="str">
        <f t="shared" si="80"/>
        <v>100016PL141</v>
      </c>
      <c r="X210" s="144" t="s">
        <v>312</v>
      </c>
    </row>
    <row r="211" spans="1:24">
      <c r="A211" s="161">
        <v>30</v>
      </c>
      <c r="B211" s="140">
        <f t="shared" si="62"/>
        <v>207</v>
      </c>
      <c r="C211" s="144" t="s">
        <v>671</v>
      </c>
      <c r="D211" s="144" t="s">
        <v>892</v>
      </c>
      <c r="E211" s="142">
        <f t="shared" si="61"/>
        <v>142</v>
      </c>
      <c r="F211" s="142" t="str">
        <f t="shared" si="63"/>
        <v>PL142</v>
      </c>
      <c r="G211" s="143" t="str">
        <f t="shared" si="64"/>
        <v>100000PL142</v>
      </c>
      <c r="H211" s="143" t="str">
        <f t="shared" si="65"/>
        <v>100001PL142</v>
      </c>
      <c r="I211" s="143" t="str">
        <f t="shared" si="66"/>
        <v>100002PL142</v>
      </c>
      <c r="J211" s="143" t="str">
        <f t="shared" si="67"/>
        <v>100003PL142</v>
      </c>
      <c r="K211" s="143" t="str">
        <f t="shared" si="68"/>
        <v>100004PL142</v>
      </c>
      <c r="L211" s="143" t="str">
        <f t="shared" si="69"/>
        <v>100005PL142</v>
      </c>
      <c r="M211" s="143" t="str">
        <f t="shared" si="70"/>
        <v>100006PL142</v>
      </c>
      <c r="N211" s="143" t="str">
        <f t="shared" si="71"/>
        <v>100007PL142</v>
      </c>
      <c r="O211" s="143" t="str">
        <f t="shared" si="72"/>
        <v>100008PL142</v>
      </c>
      <c r="P211" s="143" t="str">
        <f t="shared" si="73"/>
        <v>100009PL142</v>
      </c>
      <c r="Q211" s="143" t="str">
        <f t="shared" si="74"/>
        <v>100010PL142</v>
      </c>
      <c r="R211" s="143" t="str">
        <f t="shared" si="75"/>
        <v>100011PL142</v>
      </c>
      <c r="S211" s="143" t="str">
        <f t="shared" si="76"/>
        <v>100012PL142</v>
      </c>
      <c r="T211" s="143" t="str">
        <f t="shared" si="77"/>
        <v>100013PL142</v>
      </c>
      <c r="U211" s="143" t="str">
        <f t="shared" si="78"/>
        <v>100014PL142</v>
      </c>
      <c r="V211" s="143" t="str">
        <f t="shared" si="79"/>
        <v>100015PL142</v>
      </c>
      <c r="W211" s="143" t="str">
        <f t="shared" si="80"/>
        <v>100016PL142</v>
      </c>
      <c r="X211" s="144" t="s">
        <v>671</v>
      </c>
    </row>
    <row r="212" spans="1:24">
      <c r="A212" s="161">
        <v>30</v>
      </c>
      <c r="B212" s="140">
        <f t="shared" si="62"/>
        <v>208</v>
      </c>
      <c r="C212" s="144" t="s">
        <v>314</v>
      </c>
      <c r="D212" s="144" t="s">
        <v>892</v>
      </c>
      <c r="E212" s="142">
        <f t="shared" si="61"/>
        <v>143</v>
      </c>
      <c r="F212" s="142" t="str">
        <f t="shared" si="63"/>
        <v>PL143</v>
      </c>
      <c r="G212" s="143" t="str">
        <f t="shared" si="64"/>
        <v>100000PL143</v>
      </c>
      <c r="H212" s="143" t="str">
        <f t="shared" si="65"/>
        <v>100001PL143</v>
      </c>
      <c r="I212" s="143" t="str">
        <f t="shared" si="66"/>
        <v>100002PL143</v>
      </c>
      <c r="J212" s="143" t="str">
        <f t="shared" si="67"/>
        <v>100003PL143</v>
      </c>
      <c r="K212" s="143" t="str">
        <f t="shared" si="68"/>
        <v>100004PL143</v>
      </c>
      <c r="L212" s="143" t="str">
        <f t="shared" si="69"/>
        <v>100005PL143</v>
      </c>
      <c r="M212" s="143" t="str">
        <f t="shared" si="70"/>
        <v>100006PL143</v>
      </c>
      <c r="N212" s="143" t="str">
        <f t="shared" si="71"/>
        <v>100007PL143</v>
      </c>
      <c r="O212" s="143" t="str">
        <f t="shared" si="72"/>
        <v>100008PL143</v>
      </c>
      <c r="P212" s="143" t="str">
        <f t="shared" si="73"/>
        <v>100009PL143</v>
      </c>
      <c r="Q212" s="143" t="str">
        <f t="shared" si="74"/>
        <v>100010PL143</v>
      </c>
      <c r="R212" s="143" t="str">
        <f t="shared" si="75"/>
        <v>100011PL143</v>
      </c>
      <c r="S212" s="143" t="str">
        <f t="shared" si="76"/>
        <v>100012PL143</v>
      </c>
      <c r="T212" s="143" t="str">
        <f t="shared" si="77"/>
        <v>100013PL143</v>
      </c>
      <c r="U212" s="143" t="str">
        <f t="shared" si="78"/>
        <v>100014PL143</v>
      </c>
      <c r="V212" s="143" t="str">
        <f t="shared" si="79"/>
        <v>100015PL143</v>
      </c>
      <c r="W212" s="143" t="str">
        <f t="shared" si="80"/>
        <v>100016PL143</v>
      </c>
      <c r="X212" s="144" t="s">
        <v>314</v>
      </c>
    </row>
    <row r="213" spans="1:24">
      <c r="A213" s="161">
        <v>30</v>
      </c>
      <c r="B213" s="140">
        <f t="shared" si="62"/>
        <v>209</v>
      </c>
      <c r="C213" s="144" t="s">
        <v>315</v>
      </c>
      <c r="D213" s="144" t="s">
        <v>892</v>
      </c>
      <c r="E213" s="142">
        <f t="shared" si="61"/>
        <v>144</v>
      </c>
      <c r="F213" s="142" t="str">
        <f t="shared" si="63"/>
        <v>PL144</v>
      </c>
      <c r="G213" s="143" t="str">
        <f t="shared" si="64"/>
        <v>100000PL144</v>
      </c>
      <c r="H213" s="143" t="str">
        <f t="shared" si="65"/>
        <v>100001PL144</v>
      </c>
      <c r="I213" s="143" t="str">
        <f t="shared" si="66"/>
        <v>100002PL144</v>
      </c>
      <c r="J213" s="143" t="str">
        <f t="shared" si="67"/>
        <v>100003PL144</v>
      </c>
      <c r="K213" s="143" t="str">
        <f t="shared" si="68"/>
        <v>100004PL144</v>
      </c>
      <c r="L213" s="143" t="str">
        <f t="shared" si="69"/>
        <v>100005PL144</v>
      </c>
      <c r="M213" s="143" t="str">
        <f t="shared" si="70"/>
        <v>100006PL144</v>
      </c>
      <c r="N213" s="143" t="str">
        <f t="shared" si="71"/>
        <v>100007PL144</v>
      </c>
      <c r="O213" s="143" t="str">
        <f t="shared" si="72"/>
        <v>100008PL144</v>
      </c>
      <c r="P213" s="143" t="str">
        <f t="shared" si="73"/>
        <v>100009PL144</v>
      </c>
      <c r="Q213" s="143" t="str">
        <f t="shared" si="74"/>
        <v>100010PL144</v>
      </c>
      <c r="R213" s="143" t="str">
        <f t="shared" si="75"/>
        <v>100011PL144</v>
      </c>
      <c r="S213" s="143" t="str">
        <f t="shared" si="76"/>
        <v>100012PL144</v>
      </c>
      <c r="T213" s="143" t="str">
        <f t="shared" si="77"/>
        <v>100013PL144</v>
      </c>
      <c r="U213" s="143" t="str">
        <f t="shared" si="78"/>
        <v>100014PL144</v>
      </c>
      <c r="V213" s="143" t="str">
        <f t="shared" si="79"/>
        <v>100015PL144</v>
      </c>
      <c r="W213" s="143" t="str">
        <f t="shared" si="80"/>
        <v>100016PL144</v>
      </c>
      <c r="X213" s="144" t="s">
        <v>315</v>
      </c>
    </row>
    <row r="214" spans="1:24">
      <c r="A214" s="161">
        <v>30</v>
      </c>
      <c r="B214" s="140">
        <f t="shared" si="62"/>
        <v>210</v>
      </c>
      <c r="C214" s="144" t="s">
        <v>316</v>
      </c>
      <c r="D214" s="144" t="s">
        <v>892</v>
      </c>
      <c r="E214" s="142">
        <f t="shared" si="61"/>
        <v>145</v>
      </c>
      <c r="F214" s="142" t="str">
        <f t="shared" si="63"/>
        <v>PL145</v>
      </c>
      <c r="G214" s="143" t="str">
        <f t="shared" si="64"/>
        <v>100000PL145</v>
      </c>
      <c r="H214" s="143" t="str">
        <f t="shared" si="65"/>
        <v>100001PL145</v>
      </c>
      <c r="I214" s="143" t="str">
        <f t="shared" si="66"/>
        <v>100002PL145</v>
      </c>
      <c r="J214" s="143" t="str">
        <f t="shared" si="67"/>
        <v>100003PL145</v>
      </c>
      <c r="K214" s="143" t="str">
        <f t="shared" si="68"/>
        <v>100004PL145</v>
      </c>
      <c r="L214" s="143" t="str">
        <f t="shared" si="69"/>
        <v>100005PL145</v>
      </c>
      <c r="M214" s="143" t="str">
        <f t="shared" si="70"/>
        <v>100006PL145</v>
      </c>
      <c r="N214" s="143" t="str">
        <f t="shared" si="71"/>
        <v>100007PL145</v>
      </c>
      <c r="O214" s="143" t="str">
        <f t="shared" si="72"/>
        <v>100008PL145</v>
      </c>
      <c r="P214" s="143" t="str">
        <f t="shared" si="73"/>
        <v>100009PL145</v>
      </c>
      <c r="Q214" s="143" t="str">
        <f t="shared" si="74"/>
        <v>100010PL145</v>
      </c>
      <c r="R214" s="143" t="str">
        <f t="shared" si="75"/>
        <v>100011PL145</v>
      </c>
      <c r="S214" s="143" t="str">
        <f t="shared" si="76"/>
        <v>100012PL145</v>
      </c>
      <c r="T214" s="143" t="str">
        <f t="shared" si="77"/>
        <v>100013PL145</v>
      </c>
      <c r="U214" s="143" t="str">
        <f t="shared" si="78"/>
        <v>100014PL145</v>
      </c>
      <c r="V214" s="143" t="str">
        <f t="shared" si="79"/>
        <v>100015PL145</v>
      </c>
      <c r="W214" s="143" t="str">
        <f t="shared" si="80"/>
        <v>100016PL145</v>
      </c>
      <c r="X214" s="144" t="s">
        <v>316</v>
      </c>
    </row>
    <row r="215" spans="1:24">
      <c r="A215" s="161">
        <v>30</v>
      </c>
      <c r="B215" s="140">
        <f t="shared" si="62"/>
        <v>211</v>
      </c>
      <c r="C215" s="144" t="s">
        <v>317</v>
      </c>
      <c r="D215" s="144" t="s">
        <v>892</v>
      </c>
      <c r="E215" s="142">
        <f t="shared" si="61"/>
        <v>146</v>
      </c>
      <c r="F215" s="142" t="str">
        <f t="shared" si="63"/>
        <v>PL146</v>
      </c>
      <c r="G215" s="143" t="str">
        <f t="shared" si="64"/>
        <v>100000PL146</v>
      </c>
      <c r="H215" s="143" t="str">
        <f t="shared" si="65"/>
        <v>100001PL146</v>
      </c>
      <c r="I215" s="143" t="str">
        <f t="shared" si="66"/>
        <v>100002PL146</v>
      </c>
      <c r="J215" s="143" t="str">
        <f t="shared" si="67"/>
        <v>100003PL146</v>
      </c>
      <c r="K215" s="143" t="str">
        <f t="shared" si="68"/>
        <v>100004PL146</v>
      </c>
      <c r="L215" s="143" t="str">
        <f t="shared" si="69"/>
        <v>100005PL146</v>
      </c>
      <c r="M215" s="143" t="str">
        <f t="shared" si="70"/>
        <v>100006PL146</v>
      </c>
      <c r="N215" s="143" t="str">
        <f t="shared" si="71"/>
        <v>100007PL146</v>
      </c>
      <c r="O215" s="143" t="str">
        <f t="shared" si="72"/>
        <v>100008PL146</v>
      </c>
      <c r="P215" s="143" t="str">
        <f t="shared" si="73"/>
        <v>100009PL146</v>
      </c>
      <c r="Q215" s="143" t="str">
        <f t="shared" si="74"/>
        <v>100010PL146</v>
      </c>
      <c r="R215" s="143" t="str">
        <f t="shared" si="75"/>
        <v>100011PL146</v>
      </c>
      <c r="S215" s="143" t="str">
        <f t="shared" si="76"/>
        <v>100012PL146</v>
      </c>
      <c r="T215" s="143" t="str">
        <f t="shared" si="77"/>
        <v>100013PL146</v>
      </c>
      <c r="U215" s="143" t="str">
        <f t="shared" si="78"/>
        <v>100014PL146</v>
      </c>
      <c r="V215" s="143" t="str">
        <f t="shared" si="79"/>
        <v>100015PL146</v>
      </c>
      <c r="W215" s="143" t="str">
        <f t="shared" si="80"/>
        <v>100016PL146</v>
      </c>
      <c r="X215" s="144" t="s">
        <v>317</v>
      </c>
    </row>
    <row r="216" spans="1:24">
      <c r="A216" s="161">
        <v>30</v>
      </c>
      <c r="B216" s="140">
        <f t="shared" si="62"/>
        <v>212</v>
      </c>
      <c r="C216" s="144" t="s">
        <v>318</v>
      </c>
      <c r="D216" s="144" t="s">
        <v>892</v>
      </c>
      <c r="E216" s="142">
        <f t="shared" si="61"/>
        <v>147</v>
      </c>
      <c r="F216" s="142" t="str">
        <f t="shared" si="63"/>
        <v>PL147</v>
      </c>
      <c r="G216" s="143" t="str">
        <f t="shared" si="64"/>
        <v>100000PL147</v>
      </c>
      <c r="H216" s="143" t="str">
        <f t="shared" si="65"/>
        <v>100001PL147</v>
      </c>
      <c r="I216" s="143" t="str">
        <f t="shared" si="66"/>
        <v>100002PL147</v>
      </c>
      <c r="J216" s="143" t="str">
        <f t="shared" si="67"/>
        <v>100003PL147</v>
      </c>
      <c r="K216" s="143" t="str">
        <f t="shared" si="68"/>
        <v>100004PL147</v>
      </c>
      <c r="L216" s="143" t="str">
        <f t="shared" si="69"/>
        <v>100005PL147</v>
      </c>
      <c r="M216" s="143" t="str">
        <f t="shared" si="70"/>
        <v>100006PL147</v>
      </c>
      <c r="N216" s="143" t="str">
        <f t="shared" si="71"/>
        <v>100007PL147</v>
      </c>
      <c r="O216" s="143" t="str">
        <f t="shared" si="72"/>
        <v>100008PL147</v>
      </c>
      <c r="P216" s="143" t="str">
        <f t="shared" si="73"/>
        <v>100009PL147</v>
      </c>
      <c r="Q216" s="143" t="str">
        <f t="shared" si="74"/>
        <v>100010PL147</v>
      </c>
      <c r="R216" s="143" t="str">
        <f t="shared" si="75"/>
        <v>100011PL147</v>
      </c>
      <c r="S216" s="143" t="str">
        <f t="shared" si="76"/>
        <v>100012PL147</v>
      </c>
      <c r="T216" s="143" t="str">
        <f t="shared" si="77"/>
        <v>100013PL147</v>
      </c>
      <c r="U216" s="143" t="str">
        <f t="shared" si="78"/>
        <v>100014PL147</v>
      </c>
      <c r="V216" s="143" t="str">
        <f t="shared" si="79"/>
        <v>100015PL147</v>
      </c>
      <c r="W216" s="143" t="str">
        <f t="shared" si="80"/>
        <v>100016PL147</v>
      </c>
      <c r="X216" s="144" t="s">
        <v>318</v>
      </c>
    </row>
    <row r="217" spans="1:24">
      <c r="A217" s="161">
        <v>30</v>
      </c>
      <c r="B217" s="140">
        <f t="shared" si="62"/>
        <v>213</v>
      </c>
      <c r="C217" s="144" t="s">
        <v>319</v>
      </c>
      <c r="D217" s="144" t="s">
        <v>892</v>
      </c>
      <c r="E217" s="142">
        <f t="shared" si="61"/>
        <v>148</v>
      </c>
      <c r="F217" s="142" t="str">
        <f t="shared" si="63"/>
        <v>PL148</v>
      </c>
      <c r="G217" s="143" t="str">
        <f t="shared" si="64"/>
        <v>100000PL148</v>
      </c>
      <c r="H217" s="143" t="str">
        <f t="shared" si="65"/>
        <v>100001PL148</v>
      </c>
      <c r="I217" s="143" t="str">
        <f t="shared" si="66"/>
        <v>100002PL148</v>
      </c>
      <c r="J217" s="143" t="str">
        <f t="shared" si="67"/>
        <v>100003PL148</v>
      </c>
      <c r="K217" s="143" t="str">
        <f t="shared" si="68"/>
        <v>100004PL148</v>
      </c>
      <c r="L217" s="143" t="str">
        <f t="shared" si="69"/>
        <v>100005PL148</v>
      </c>
      <c r="M217" s="143" t="str">
        <f t="shared" si="70"/>
        <v>100006PL148</v>
      </c>
      <c r="N217" s="143" t="str">
        <f t="shared" si="71"/>
        <v>100007PL148</v>
      </c>
      <c r="O217" s="143" t="str">
        <f t="shared" si="72"/>
        <v>100008PL148</v>
      </c>
      <c r="P217" s="143" t="str">
        <f t="shared" si="73"/>
        <v>100009PL148</v>
      </c>
      <c r="Q217" s="143" t="str">
        <f t="shared" si="74"/>
        <v>100010PL148</v>
      </c>
      <c r="R217" s="143" t="str">
        <f t="shared" si="75"/>
        <v>100011PL148</v>
      </c>
      <c r="S217" s="143" t="str">
        <f t="shared" si="76"/>
        <v>100012PL148</v>
      </c>
      <c r="T217" s="143" t="str">
        <f t="shared" si="77"/>
        <v>100013PL148</v>
      </c>
      <c r="U217" s="143" t="str">
        <f t="shared" si="78"/>
        <v>100014PL148</v>
      </c>
      <c r="V217" s="143" t="str">
        <f t="shared" si="79"/>
        <v>100015PL148</v>
      </c>
      <c r="W217" s="143" t="str">
        <f t="shared" si="80"/>
        <v>100016PL148</v>
      </c>
      <c r="X217" s="144" t="s">
        <v>319</v>
      </c>
    </row>
    <row r="218" spans="1:24">
      <c r="A218" s="161">
        <v>30</v>
      </c>
      <c r="B218" s="140">
        <f t="shared" si="62"/>
        <v>214</v>
      </c>
      <c r="C218" s="144" t="s">
        <v>320</v>
      </c>
      <c r="D218" s="144" t="s">
        <v>892</v>
      </c>
      <c r="E218" s="142">
        <f t="shared" si="61"/>
        <v>149</v>
      </c>
      <c r="F218" s="142" t="str">
        <f t="shared" si="63"/>
        <v>PL149</v>
      </c>
      <c r="G218" s="143" t="str">
        <f t="shared" si="64"/>
        <v>100000PL149</v>
      </c>
      <c r="H218" s="143" t="str">
        <f t="shared" si="65"/>
        <v>100001PL149</v>
      </c>
      <c r="I218" s="143" t="str">
        <f t="shared" si="66"/>
        <v>100002PL149</v>
      </c>
      <c r="J218" s="143" t="str">
        <f t="shared" si="67"/>
        <v>100003PL149</v>
      </c>
      <c r="K218" s="143" t="str">
        <f t="shared" si="68"/>
        <v>100004PL149</v>
      </c>
      <c r="L218" s="143" t="str">
        <f t="shared" si="69"/>
        <v>100005PL149</v>
      </c>
      <c r="M218" s="143" t="str">
        <f t="shared" si="70"/>
        <v>100006PL149</v>
      </c>
      <c r="N218" s="143" t="str">
        <f t="shared" si="71"/>
        <v>100007PL149</v>
      </c>
      <c r="O218" s="143" t="str">
        <f t="shared" si="72"/>
        <v>100008PL149</v>
      </c>
      <c r="P218" s="143" t="str">
        <f t="shared" si="73"/>
        <v>100009PL149</v>
      </c>
      <c r="Q218" s="143" t="str">
        <f t="shared" si="74"/>
        <v>100010PL149</v>
      </c>
      <c r="R218" s="143" t="str">
        <f t="shared" si="75"/>
        <v>100011PL149</v>
      </c>
      <c r="S218" s="143" t="str">
        <f t="shared" si="76"/>
        <v>100012PL149</v>
      </c>
      <c r="T218" s="143" t="str">
        <f t="shared" si="77"/>
        <v>100013PL149</v>
      </c>
      <c r="U218" s="143" t="str">
        <f t="shared" si="78"/>
        <v>100014PL149</v>
      </c>
      <c r="V218" s="143" t="str">
        <f t="shared" si="79"/>
        <v>100015PL149</v>
      </c>
      <c r="W218" s="143" t="str">
        <f t="shared" si="80"/>
        <v>100016PL149</v>
      </c>
      <c r="X218" s="144" t="s">
        <v>320</v>
      </c>
    </row>
    <row r="219" spans="1:24">
      <c r="A219" s="161">
        <v>30</v>
      </c>
      <c r="B219" s="140">
        <f t="shared" si="62"/>
        <v>215</v>
      </c>
      <c r="C219" s="144" t="s">
        <v>321</v>
      </c>
      <c r="D219" s="144" t="s">
        <v>892</v>
      </c>
      <c r="E219" s="142">
        <f t="shared" si="61"/>
        <v>150</v>
      </c>
      <c r="F219" s="142" t="str">
        <f t="shared" si="63"/>
        <v>PL150</v>
      </c>
      <c r="G219" s="143" t="str">
        <f t="shared" si="64"/>
        <v>100000PL150</v>
      </c>
      <c r="H219" s="143" t="str">
        <f t="shared" si="65"/>
        <v>100001PL150</v>
      </c>
      <c r="I219" s="143" t="str">
        <f t="shared" si="66"/>
        <v>100002PL150</v>
      </c>
      <c r="J219" s="143" t="str">
        <f t="shared" si="67"/>
        <v>100003PL150</v>
      </c>
      <c r="K219" s="143" t="str">
        <f t="shared" si="68"/>
        <v>100004PL150</v>
      </c>
      <c r="L219" s="143" t="str">
        <f t="shared" si="69"/>
        <v>100005PL150</v>
      </c>
      <c r="M219" s="143" t="str">
        <f t="shared" si="70"/>
        <v>100006PL150</v>
      </c>
      <c r="N219" s="143" t="str">
        <f t="shared" si="71"/>
        <v>100007PL150</v>
      </c>
      <c r="O219" s="143" t="str">
        <f t="shared" si="72"/>
        <v>100008PL150</v>
      </c>
      <c r="P219" s="143" t="str">
        <f t="shared" si="73"/>
        <v>100009PL150</v>
      </c>
      <c r="Q219" s="143" t="str">
        <f t="shared" si="74"/>
        <v>100010PL150</v>
      </c>
      <c r="R219" s="143" t="str">
        <f t="shared" si="75"/>
        <v>100011PL150</v>
      </c>
      <c r="S219" s="143" t="str">
        <f t="shared" si="76"/>
        <v>100012PL150</v>
      </c>
      <c r="T219" s="143" t="str">
        <f t="shared" si="77"/>
        <v>100013PL150</v>
      </c>
      <c r="U219" s="143" t="str">
        <f t="shared" si="78"/>
        <v>100014PL150</v>
      </c>
      <c r="V219" s="143" t="str">
        <f t="shared" si="79"/>
        <v>100015PL150</v>
      </c>
      <c r="W219" s="143" t="str">
        <f t="shared" si="80"/>
        <v>100016PL150</v>
      </c>
      <c r="X219" s="144" t="s">
        <v>321</v>
      </c>
    </row>
    <row r="220" spans="1:24">
      <c r="A220" s="161">
        <v>30</v>
      </c>
      <c r="B220" s="140">
        <f t="shared" si="62"/>
        <v>216</v>
      </c>
      <c r="C220" s="144" t="s">
        <v>322</v>
      </c>
      <c r="D220" s="144" t="s">
        <v>892</v>
      </c>
      <c r="E220" s="142">
        <f t="shared" si="61"/>
        <v>151</v>
      </c>
      <c r="F220" s="142" t="str">
        <f t="shared" si="63"/>
        <v>PL151</v>
      </c>
      <c r="G220" s="143" t="str">
        <f t="shared" si="64"/>
        <v>100000PL151</v>
      </c>
      <c r="H220" s="143" t="str">
        <f t="shared" si="65"/>
        <v>100001PL151</v>
      </c>
      <c r="I220" s="143" t="str">
        <f t="shared" si="66"/>
        <v>100002PL151</v>
      </c>
      <c r="J220" s="143" t="str">
        <f t="shared" si="67"/>
        <v>100003PL151</v>
      </c>
      <c r="K220" s="143" t="str">
        <f t="shared" si="68"/>
        <v>100004PL151</v>
      </c>
      <c r="L220" s="143" t="str">
        <f t="shared" si="69"/>
        <v>100005PL151</v>
      </c>
      <c r="M220" s="143" t="str">
        <f t="shared" si="70"/>
        <v>100006PL151</v>
      </c>
      <c r="N220" s="143" t="str">
        <f t="shared" si="71"/>
        <v>100007PL151</v>
      </c>
      <c r="O220" s="143" t="str">
        <f t="shared" si="72"/>
        <v>100008PL151</v>
      </c>
      <c r="P220" s="143" t="str">
        <f t="shared" si="73"/>
        <v>100009PL151</v>
      </c>
      <c r="Q220" s="143" t="str">
        <f t="shared" si="74"/>
        <v>100010PL151</v>
      </c>
      <c r="R220" s="143" t="str">
        <f t="shared" si="75"/>
        <v>100011PL151</v>
      </c>
      <c r="S220" s="143" t="str">
        <f t="shared" si="76"/>
        <v>100012PL151</v>
      </c>
      <c r="T220" s="143" t="str">
        <f t="shared" si="77"/>
        <v>100013PL151</v>
      </c>
      <c r="U220" s="143" t="str">
        <f t="shared" si="78"/>
        <v>100014PL151</v>
      </c>
      <c r="V220" s="143" t="str">
        <f t="shared" si="79"/>
        <v>100015PL151</v>
      </c>
      <c r="W220" s="143" t="str">
        <f t="shared" si="80"/>
        <v>100016PL151</v>
      </c>
      <c r="X220" s="144" t="s">
        <v>322</v>
      </c>
    </row>
    <row r="221" spans="1:24">
      <c r="A221" s="161">
        <v>30</v>
      </c>
      <c r="B221" s="140">
        <f t="shared" si="62"/>
        <v>217</v>
      </c>
      <c r="C221" s="144" t="s">
        <v>323</v>
      </c>
      <c r="D221" s="144" t="s">
        <v>892</v>
      </c>
      <c r="E221" s="142">
        <f t="shared" si="61"/>
        <v>152</v>
      </c>
      <c r="F221" s="142" t="str">
        <f t="shared" si="63"/>
        <v>PL152</v>
      </c>
      <c r="G221" s="143" t="str">
        <f t="shared" si="64"/>
        <v>100000PL152</v>
      </c>
      <c r="H221" s="143" t="str">
        <f t="shared" si="65"/>
        <v>100001PL152</v>
      </c>
      <c r="I221" s="143" t="str">
        <f t="shared" si="66"/>
        <v>100002PL152</v>
      </c>
      <c r="J221" s="143" t="str">
        <f t="shared" si="67"/>
        <v>100003PL152</v>
      </c>
      <c r="K221" s="143" t="str">
        <f t="shared" si="68"/>
        <v>100004PL152</v>
      </c>
      <c r="L221" s="143" t="str">
        <f t="shared" si="69"/>
        <v>100005PL152</v>
      </c>
      <c r="M221" s="143" t="str">
        <f t="shared" si="70"/>
        <v>100006PL152</v>
      </c>
      <c r="N221" s="143" t="str">
        <f t="shared" si="71"/>
        <v>100007PL152</v>
      </c>
      <c r="O221" s="143" t="str">
        <f t="shared" si="72"/>
        <v>100008PL152</v>
      </c>
      <c r="P221" s="143" t="str">
        <f t="shared" si="73"/>
        <v>100009PL152</v>
      </c>
      <c r="Q221" s="143" t="str">
        <f t="shared" si="74"/>
        <v>100010PL152</v>
      </c>
      <c r="R221" s="143" t="str">
        <f t="shared" si="75"/>
        <v>100011PL152</v>
      </c>
      <c r="S221" s="143" t="str">
        <f t="shared" si="76"/>
        <v>100012PL152</v>
      </c>
      <c r="T221" s="143" t="str">
        <f t="shared" si="77"/>
        <v>100013PL152</v>
      </c>
      <c r="U221" s="143" t="str">
        <f t="shared" si="78"/>
        <v>100014PL152</v>
      </c>
      <c r="V221" s="143" t="str">
        <f t="shared" si="79"/>
        <v>100015PL152</v>
      </c>
      <c r="W221" s="143" t="str">
        <f t="shared" si="80"/>
        <v>100016PL152</v>
      </c>
      <c r="X221" s="144" t="s">
        <v>323</v>
      </c>
    </row>
    <row r="222" spans="1:24">
      <c r="A222" s="161">
        <v>30</v>
      </c>
      <c r="B222" s="140">
        <f t="shared" si="62"/>
        <v>218</v>
      </c>
      <c r="C222" s="144" t="s">
        <v>324</v>
      </c>
      <c r="D222" s="144" t="s">
        <v>892</v>
      </c>
      <c r="E222" s="142">
        <f t="shared" si="61"/>
        <v>153</v>
      </c>
      <c r="F222" s="142" t="str">
        <f t="shared" si="63"/>
        <v>PL153</v>
      </c>
      <c r="G222" s="143" t="str">
        <f t="shared" si="64"/>
        <v>100000PL153</v>
      </c>
      <c r="H222" s="143" t="str">
        <f t="shared" si="65"/>
        <v>100001PL153</v>
      </c>
      <c r="I222" s="143" t="str">
        <f t="shared" si="66"/>
        <v>100002PL153</v>
      </c>
      <c r="J222" s="143" t="str">
        <f t="shared" si="67"/>
        <v>100003PL153</v>
      </c>
      <c r="K222" s="143" t="str">
        <f t="shared" si="68"/>
        <v>100004PL153</v>
      </c>
      <c r="L222" s="143" t="str">
        <f t="shared" si="69"/>
        <v>100005PL153</v>
      </c>
      <c r="M222" s="143" t="str">
        <f t="shared" si="70"/>
        <v>100006PL153</v>
      </c>
      <c r="N222" s="143" t="str">
        <f t="shared" si="71"/>
        <v>100007PL153</v>
      </c>
      <c r="O222" s="143" t="str">
        <f t="shared" si="72"/>
        <v>100008PL153</v>
      </c>
      <c r="P222" s="143" t="str">
        <f t="shared" si="73"/>
        <v>100009PL153</v>
      </c>
      <c r="Q222" s="143" t="str">
        <f t="shared" si="74"/>
        <v>100010PL153</v>
      </c>
      <c r="R222" s="143" t="str">
        <f t="shared" si="75"/>
        <v>100011PL153</v>
      </c>
      <c r="S222" s="143" t="str">
        <f t="shared" si="76"/>
        <v>100012PL153</v>
      </c>
      <c r="T222" s="143" t="str">
        <f t="shared" si="77"/>
        <v>100013PL153</v>
      </c>
      <c r="U222" s="143" t="str">
        <f t="shared" si="78"/>
        <v>100014PL153</v>
      </c>
      <c r="V222" s="143" t="str">
        <f t="shared" si="79"/>
        <v>100015PL153</v>
      </c>
      <c r="W222" s="143" t="str">
        <f t="shared" si="80"/>
        <v>100016PL153</v>
      </c>
      <c r="X222" s="144" t="s">
        <v>324</v>
      </c>
    </row>
    <row r="223" spans="1:24">
      <c r="A223" s="161">
        <v>30</v>
      </c>
      <c r="B223" s="140">
        <f t="shared" si="62"/>
        <v>219</v>
      </c>
      <c r="C223" s="144" t="s">
        <v>325</v>
      </c>
      <c r="D223" s="144" t="s">
        <v>892</v>
      </c>
      <c r="E223" s="142">
        <f t="shared" si="61"/>
        <v>154</v>
      </c>
      <c r="F223" s="142" t="str">
        <f t="shared" si="63"/>
        <v>PL154</v>
      </c>
      <c r="G223" s="143" t="str">
        <f t="shared" si="64"/>
        <v>100000PL154</v>
      </c>
      <c r="H223" s="143" t="str">
        <f t="shared" si="65"/>
        <v>100001PL154</v>
      </c>
      <c r="I223" s="143" t="str">
        <f t="shared" si="66"/>
        <v>100002PL154</v>
      </c>
      <c r="J223" s="143" t="str">
        <f t="shared" si="67"/>
        <v>100003PL154</v>
      </c>
      <c r="K223" s="143" t="str">
        <f t="shared" si="68"/>
        <v>100004PL154</v>
      </c>
      <c r="L223" s="143" t="str">
        <f t="shared" si="69"/>
        <v>100005PL154</v>
      </c>
      <c r="M223" s="143" t="str">
        <f t="shared" si="70"/>
        <v>100006PL154</v>
      </c>
      <c r="N223" s="143" t="str">
        <f t="shared" si="71"/>
        <v>100007PL154</v>
      </c>
      <c r="O223" s="143" t="str">
        <f t="shared" si="72"/>
        <v>100008PL154</v>
      </c>
      <c r="P223" s="143" t="str">
        <f t="shared" si="73"/>
        <v>100009PL154</v>
      </c>
      <c r="Q223" s="143" t="str">
        <f t="shared" si="74"/>
        <v>100010PL154</v>
      </c>
      <c r="R223" s="143" t="str">
        <f t="shared" si="75"/>
        <v>100011PL154</v>
      </c>
      <c r="S223" s="143" t="str">
        <f t="shared" si="76"/>
        <v>100012PL154</v>
      </c>
      <c r="T223" s="143" t="str">
        <f t="shared" si="77"/>
        <v>100013PL154</v>
      </c>
      <c r="U223" s="143" t="str">
        <f t="shared" si="78"/>
        <v>100014PL154</v>
      </c>
      <c r="V223" s="143" t="str">
        <f t="shared" si="79"/>
        <v>100015PL154</v>
      </c>
      <c r="W223" s="143" t="str">
        <f t="shared" si="80"/>
        <v>100016PL154</v>
      </c>
      <c r="X223" s="144" t="s">
        <v>325</v>
      </c>
    </row>
    <row r="224" spans="1:24">
      <c r="A224" s="161">
        <v>30</v>
      </c>
      <c r="B224" s="140">
        <f t="shared" si="62"/>
        <v>220</v>
      </c>
      <c r="C224" s="144" t="s">
        <v>326</v>
      </c>
      <c r="D224" s="144" t="s">
        <v>892</v>
      </c>
      <c r="E224" s="142">
        <f t="shared" si="61"/>
        <v>155</v>
      </c>
      <c r="F224" s="142" t="str">
        <f t="shared" si="63"/>
        <v>PL155</v>
      </c>
      <c r="G224" s="143" t="str">
        <f t="shared" si="64"/>
        <v>100000PL155</v>
      </c>
      <c r="H224" s="143" t="str">
        <f t="shared" si="65"/>
        <v>100001PL155</v>
      </c>
      <c r="I224" s="143" t="str">
        <f t="shared" si="66"/>
        <v>100002PL155</v>
      </c>
      <c r="J224" s="143" t="str">
        <f t="shared" si="67"/>
        <v>100003PL155</v>
      </c>
      <c r="K224" s="143" t="str">
        <f t="shared" si="68"/>
        <v>100004PL155</v>
      </c>
      <c r="L224" s="143" t="str">
        <f t="shared" si="69"/>
        <v>100005PL155</v>
      </c>
      <c r="M224" s="143" t="str">
        <f t="shared" si="70"/>
        <v>100006PL155</v>
      </c>
      <c r="N224" s="143" t="str">
        <f t="shared" si="71"/>
        <v>100007PL155</v>
      </c>
      <c r="O224" s="143" t="str">
        <f t="shared" si="72"/>
        <v>100008PL155</v>
      </c>
      <c r="P224" s="143" t="str">
        <f t="shared" si="73"/>
        <v>100009PL155</v>
      </c>
      <c r="Q224" s="143" t="str">
        <f t="shared" si="74"/>
        <v>100010PL155</v>
      </c>
      <c r="R224" s="143" t="str">
        <f t="shared" si="75"/>
        <v>100011PL155</v>
      </c>
      <c r="S224" s="143" t="str">
        <f t="shared" si="76"/>
        <v>100012PL155</v>
      </c>
      <c r="T224" s="143" t="str">
        <f t="shared" si="77"/>
        <v>100013PL155</v>
      </c>
      <c r="U224" s="143" t="str">
        <f t="shared" si="78"/>
        <v>100014PL155</v>
      </c>
      <c r="V224" s="143" t="str">
        <f t="shared" si="79"/>
        <v>100015PL155</v>
      </c>
      <c r="W224" s="143" t="str">
        <f t="shared" si="80"/>
        <v>100016PL155</v>
      </c>
      <c r="X224" s="144" t="s">
        <v>326</v>
      </c>
    </row>
    <row r="225" spans="1:24">
      <c r="A225" s="161">
        <v>30</v>
      </c>
      <c r="B225" s="140">
        <f t="shared" si="62"/>
        <v>221</v>
      </c>
      <c r="C225" s="144" t="s">
        <v>327</v>
      </c>
      <c r="D225" s="144" t="s">
        <v>892</v>
      </c>
      <c r="E225" s="142">
        <f t="shared" si="61"/>
        <v>156</v>
      </c>
      <c r="F225" s="142" t="str">
        <f t="shared" si="63"/>
        <v>PL156</v>
      </c>
      <c r="G225" s="143" t="str">
        <f t="shared" si="64"/>
        <v>100000PL156</v>
      </c>
      <c r="H225" s="143" t="str">
        <f t="shared" si="65"/>
        <v>100001PL156</v>
      </c>
      <c r="I225" s="143" t="str">
        <f t="shared" si="66"/>
        <v>100002PL156</v>
      </c>
      <c r="J225" s="143" t="str">
        <f t="shared" si="67"/>
        <v>100003PL156</v>
      </c>
      <c r="K225" s="143" t="str">
        <f t="shared" si="68"/>
        <v>100004PL156</v>
      </c>
      <c r="L225" s="143" t="str">
        <f t="shared" si="69"/>
        <v>100005PL156</v>
      </c>
      <c r="M225" s="143" t="str">
        <f t="shared" si="70"/>
        <v>100006PL156</v>
      </c>
      <c r="N225" s="143" t="str">
        <f t="shared" si="71"/>
        <v>100007PL156</v>
      </c>
      <c r="O225" s="143" t="str">
        <f t="shared" si="72"/>
        <v>100008PL156</v>
      </c>
      <c r="P225" s="143" t="str">
        <f t="shared" si="73"/>
        <v>100009PL156</v>
      </c>
      <c r="Q225" s="143" t="str">
        <f t="shared" si="74"/>
        <v>100010PL156</v>
      </c>
      <c r="R225" s="143" t="str">
        <f t="shared" si="75"/>
        <v>100011PL156</v>
      </c>
      <c r="S225" s="143" t="str">
        <f t="shared" si="76"/>
        <v>100012PL156</v>
      </c>
      <c r="T225" s="143" t="str">
        <f t="shared" si="77"/>
        <v>100013PL156</v>
      </c>
      <c r="U225" s="143" t="str">
        <f t="shared" si="78"/>
        <v>100014PL156</v>
      </c>
      <c r="V225" s="143" t="str">
        <f t="shared" si="79"/>
        <v>100015PL156</v>
      </c>
      <c r="W225" s="143" t="str">
        <f t="shared" si="80"/>
        <v>100016PL156</v>
      </c>
      <c r="X225" s="144" t="s">
        <v>327</v>
      </c>
    </row>
    <row r="226" spans="1:24">
      <c r="A226" s="161">
        <v>30</v>
      </c>
      <c r="B226" s="140">
        <f t="shared" si="62"/>
        <v>222</v>
      </c>
      <c r="C226" s="144" t="s">
        <v>328</v>
      </c>
      <c r="D226" s="144" t="s">
        <v>892</v>
      </c>
      <c r="E226" s="142">
        <f t="shared" si="61"/>
        <v>157</v>
      </c>
      <c r="F226" s="142" t="str">
        <f t="shared" si="63"/>
        <v>PL157</v>
      </c>
      <c r="G226" s="143" t="str">
        <f t="shared" si="64"/>
        <v>100000PL157</v>
      </c>
      <c r="H226" s="143" t="str">
        <f t="shared" si="65"/>
        <v>100001PL157</v>
      </c>
      <c r="I226" s="143" t="str">
        <f t="shared" si="66"/>
        <v>100002PL157</v>
      </c>
      <c r="J226" s="143" t="str">
        <f t="shared" si="67"/>
        <v>100003PL157</v>
      </c>
      <c r="K226" s="143" t="str">
        <f t="shared" si="68"/>
        <v>100004PL157</v>
      </c>
      <c r="L226" s="143" t="str">
        <f t="shared" si="69"/>
        <v>100005PL157</v>
      </c>
      <c r="M226" s="143" t="str">
        <f t="shared" si="70"/>
        <v>100006PL157</v>
      </c>
      <c r="N226" s="143" t="str">
        <f t="shared" si="71"/>
        <v>100007PL157</v>
      </c>
      <c r="O226" s="143" t="str">
        <f t="shared" si="72"/>
        <v>100008PL157</v>
      </c>
      <c r="P226" s="143" t="str">
        <f t="shared" si="73"/>
        <v>100009PL157</v>
      </c>
      <c r="Q226" s="143" t="str">
        <f t="shared" si="74"/>
        <v>100010PL157</v>
      </c>
      <c r="R226" s="143" t="str">
        <f t="shared" si="75"/>
        <v>100011PL157</v>
      </c>
      <c r="S226" s="143" t="str">
        <f t="shared" si="76"/>
        <v>100012PL157</v>
      </c>
      <c r="T226" s="143" t="str">
        <f t="shared" si="77"/>
        <v>100013PL157</v>
      </c>
      <c r="U226" s="143" t="str">
        <f t="shared" si="78"/>
        <v>100014PL157</v>
      </c>
      <c r="V226" s="143" t="str">
        <f t="shared" si="79"/>
        <v>100015PL157</v>
      </c>
      <c r="W226" s="143" t="str">
        <f t="shared" si="80"/>
        <v>100016PL157</v>
      </c>
      <c r="X226" s="144" t="s">
        <v>328</v>
      </c>
    </row>
    <row r="227" spans="1:24">
      <c r="A227" s="161">
        <v>30</v>
      </c>
      <c r="B227" s="140">
        <f t="shared" si="62"/>
        <v>223</v>
      </c>
      <c r="C227" s="144" t="s">
        <v>329</v>
      </c>
      <c r="D227" s="144" t="s">
        <v>892</v>
      </c>
      <c r="E227" s="142">
        <f t="shared" si="61"/>
        <v>158</v>
      </c>
      <c r="F227" s="142" t="str">
        <f t="shared" si="63"/>
        <v>PL158</v>
      </c>
      <c r="G227" s="143" t="str">
        <f t="shared" si="64"/>
        <v>100000PL158</v>
      </c>
      <c r="H227" s="143" t="str">
        <f t="shared" si="65"/>
        <v>100001PL158</v>
      </c>
      <c r="I227" s="143" t="str">
        <f t="shared" si="66"/>
        <v>100002PL158</v>
      </c>
      <c r="J227" s="143" t="str">
        <f t="shared" si="67"/>
        <v>100003PL158</v>
      </c>
      <c r="K227" s="143" t="str">
        <f t="shared" si="68"/>
        <v>100004PL158</v>
      </c>
      <c r="L227" s="143" t="str">
        <f t="shared" si="69"/>
        <v>100005PL158</v>
      </c>
      <c r="M227" s="143" t="str">
        <f t="shared" si="70"/>
        <v>100006PL158</v>
      </c>
      <c r="N227" s="143" t="str">
        <f t="shared" si="71"/>
        <v>100007PL158</v>
      </c>
      <c r="O227" s="143" t="str">
        <f t="shared" si="72"/>
        <v>100008PL158</v>
      </c>
      <c r="P227" s="143" t="str">
        <f t="shared" si="73"/>
        <v>100009PL158</v>
      </c>
      <c r="Q227" s="143" t="str">
        <f t="shared" si="74"/>
        <v>100010PL158</v>
      </c>
      <c r="R227" s="143" t="str">
        <f t="shared" si="75"/>
        <v>100011PL158</v>
      </c>
      <c r="S227" s="143" t="str">
        <f t="shared" si="76"/>
        <v>100012PL158</v>
      </c>
      <c r="T227" s="143" t="str">
        <f t="shared" si="77"/>
        <v>100013PL158</v>
      </c>
      <c r="U227" s="143" t="str">
        <f t="shared" si="78"/>
        <v>100014PL158</v>
      </c>
      <c r="V227" s="143" t="str">
        <f t="shared" si="79"/>
        <v>100015PL158</v>
      </c>
      <c r="W227" s="143" t="str">
        <f t="shared" si="80"/>
        <v>100016PL158</v>
      </c>
      <c r="X227" s="144" t="s">
        <v>329</v>
      </c>
    </row>
    <row r="228" spans="1:24">
      <c r="A228" s="161">
        <v>30</v>
      </c>
      <c r="B228" s="140">
        <f t="shared" si="62"/>
        <v>224</v>
      </c>
      <c r="C228" s="144" t="s">
        <v>330</v>
      </c>
      <c r="D228" s="144" t="s">
        <v>892</v>
      </c>
      <c r="E228" s="142">
        <f t="shared" si="61"/>
        <v>159</v>
      </c>
      <c r="F228" s="142" t="str">
        <f t="shared" si="63"/>
        <v>PL159</v>
      </c>
      <c r="G228" s="143" t="str">
        <f t="shared" si="64"/>
        <v>100000PL159</v>
      </c>
      <c r="H228" s="143" t="str">
        <f t="shared" si="65"/>
        <v>100001PL159</v>
      </c>
      <c r="I228" s="143" t="str">
        <f t="shared" si="66"/>
        <v>100002PL159</v>
      </c>
      <c r="J228" s="143" t="str">
        <f t="shared" si="67"/>
        <v>100003PL159</v>
      </c>
      <c r="K228" s="143" t="str">
        <f t="shared" si="68"/>
        <v>100004PL159</v>
      </c>
      <c r="L228" s="143" t="str">
        <f t="shared" si="69"/>
        <v>100005PL159</v>
      </c>
      <c r="M228" s="143" t="str">
        <f t="shared" si="70"/>
        <v>100006PL159</v>
      </c>
      <c r="N228" s="143" t="str">
        <f t="shared" si="71"/>
        <v>100007PL159</v>
      </c>
      <c r="O228" s="143" t="str">
        <f t="shared" si="72"/>
        <v>100008PL159</v>
      </c>
      <c r="P228" s="143" t="str">
        <f t="shared" si="73"/>
        <v>100009PL159</v>
      </c>
      <c r="Q228" s="143" t="str">
        <f t="shared" si="74"/>
        <v>100010PL159</v>
      </c>
      <c r="R228" s="143" t="str">
        <f t="shared" si="75"/>
        <v>100011PL159</v>
      </c>
      <c r="S228" s="143" t="str">
        <f t="shared" si="76"/>
        <v>100012PL159</v>
      </c>
      <c r="T228" s="143" t="str">
        <f t="shared" si="77"/>
        <v>100013PL159</v>
      </c>
      <c r="U228" s="143" t="str">
        <f t="shared" si="78"/>
        <v>100014PL159</v>
      </c>
      <c r="V228" s="143" t="str">
        <f t="shared" si="79"/>
        <v>100015PL159</v>
      </c>
      <c r="W228" s="143" t="str">
        <f t="shared" si="80"/>
        <v>100016PL159</v>
      </c>
      <c r="X228" s="144" t="s">
        <v>330</v>
      </c>
    </row>
    <row r="229" spans="1:24">
      <c r="A229" s="161">
        <v>30</v>
      </c>
      <c r="B229" s="140">
        <f t="shared" si="62"/>
        <v>225</v>
      </c>
      <c r="C229" s="144" t="s">
        <v>331</v>
      </c>
      <c r="D229" s="144" t="s">
        <v>892</v>
      </c>
      <c r="E229" s="142">
        <f t="shared" si="61"/>
        <v>160</v>
      </c>
      <c r="F229" s="142" t="str">
        <f t="shared" si="63"/>
        <v>PL160</v>
      </c>
      <c r="G229" s="143" t="str">
        <f t="shared" si="64"/>
        <v>100000PL160</v>
      </c>
      <c r="H229" s="143" t="str">
        <f t="shared" si="65"/>
        <v>100001PL160</v>
      </c>
      <c r="I229" s="143" t="str">
        <f t="shared" si="66"/>
        <v>100002PL160</v>
      </c>
      <c r="J229" s="143" t="str">
        <f t="shared" si="67"/>
        <v>100003PL160</v>
      </c>
      <c r="K229" s="143" t="str">
        <f t="shared" si="68"/>
        <v>100004PL160</v>
      </c>
      <c r="L229" s="143" t="str">
        <f t="shared" si="69"/>
        <v>100005PL160</v>
      </c>
      <c r="M229" s="143" t="str">
        <f t="shared" si="70"/>
        <v>100006PL160</v>
      </c>
      <c r="N229" s="143" t="str">
        <f t="shared" si="71"/>
        <v>100007PL160</v>
      </c>
      <c r="O229" s="143" t="str">
        <f t="shared" si="72"/>
        <v>100008PL160</v>
      </c>
      <c r="P229" s="143" t="str">
        <f t="shared" si="73"/>
        <v>100009PL160</v>
      </c>
      <c r="Q229" s="143" t="str">
        <f t="shared" si="74"/>
        <v>100010PL160</v>
      </c>
      <c r="R229" s="143" t="str">
        <f t="shared" si="75"/>
        <v>100011PL160</v>
      </c>
      <c r="S229" s="143" t="str">
        <f t="shared" si="76"/>
        <v>100012PL160</v>
      </c>
      <c r="T229" s="143" t="str">
        <f t="shared" si="77"/>
        <v>100013PL160</v>
      </c>
      <c r="U229" s="143" t="str">
        <f t="shared" si="78"/>
        <v>100014PL160</v>
      </c>
      <c r="V229" s="143" t="str">
        <f t="shared" si="79"/>
        <v>100015PL160</v>
      </c>
      <c r="W229" s="143" t="str">
        <f t="shared" si="80"/>
        <v>100016PL160</v>
      </c>
      <c r="X229" s="144" t="s">
        <v>331</v>
      </c>
    </row>
    <row r="230" spans="1:24">
      <c r="A230" s="161">
        <v>30</v>
      </c>
      <c r="B230" s="140">
        <f t="shared" si="62"/>
        <v>226</v>
      </c>
      <c r="C230" s="144" t="s">
        <v>332</v>
      </c>
      <c r="D230" s="144" t="s">
        <v>892</v>
      </c>
      <c r="E230" s="142">
        <f t="shared" si="61"/>
        <v>161</v>
      </c>
      <c r="F230" s="142" t="str">
        <f t="shared" si="63"/>
        <v>PL161</v>
      </c>
      <c r="G230" s="143" t="str">
        <f t="shared" si="64"/>
        <v>100000PL161</v>
      </c>
      <c r="H230" s="143" t="str">
        <f t="shared" si="65"/>
        <v>100001PL161</v>
      </c>
      <c r="I230" s="143" t="str">
        <f t="shared" si="66"/>
        <v>100002PL161</v>
      </c>
      <c r="J230" s="143" t="str">
        <f t="shared" si="67"/>
        <v>100003PL161</v>
      </c>
      <c r="K230" s="143" t="str">
        <f t="shared" si="68"/>
        <v>100004PL161</v>
      </c>
      <c r="L230" s="143" t="str">
        <f t="shared" si="69"/>
        <v>100005PL161</v>
      </c>
      <c r="M230" s="143" t="str">
        <f t="shared" si="70"/>
        <v>100006PL161</v>
      </c>
      <c r="N230" s="143" t="str">
        <f t="shared" si="71"/>
        <v>100007PL161</v>
      </c>
      <c r="O230" s="143" t="str">
        <f t="shared" si="72"/>
        <v>100008PL161</v>
      </c>
      <c r="P230" s="143" t="str">
        <f t="shared" si="73"/>
        <v>100009PL161</v>
      </c>
      <c r="Q230" s="143" t="str">
        <f t="shared" si="74"/>
        <v>100010PL161</v>
      </c>
      <c r="R230" s="143" t="str">
        <f t="shared" si="75"/>
        <v>100011PL161</v>
      </c>
      <c r="S230" s="143" t="str">
        <f t="shared" si="76"/>
        <v>100012PL161</v>
      </c>
      <c r="T230" s="143" t="str">
        <f t="shared" si="77"/>
        <v>100013PL161</v>
      </c>
      <c r="U230" s="143" t="str">
        <f t="shared" si="78"/>
        <v>100014PL161</v>
      </c>
      <c r="V230" s="143" t="str">
        <f t="shared" si="79"/>
        <v>100015PL161</v>
      </c>
      <c r="W230" s="143" t="str">
        <f t="shared" si="80"/>
        <v>100016PL161</v>
      </c>
      <c r="X230" s="144" t="s">
        <v>332</v>
      </c>
    </row>
    <row r="231" spans="1:24">
      <c r="A231" s="161">
        <v>30</v>
      </c>
      <c r="B231" s="140">
        <f t="shared" si="62"/>
        <v>227</v>
      </c>
      <c r="C231" s="144" t="s">
        <v>333</v>
      </c>
      <c r="D231" s="144" t="s">
        <v>892</v>
      </c>
      <c r="E231" s="142">
        <f t="shared" si="61"/>
        <v>162</v>
      </c>
      <c r="F231" s="142" t="str">
        <f t="shared" si="63"/>
        <v>PL162</v>
      </c>
      <c r="G231" s="143" t="str">
        <f t="shared" si="64"/>
        <v>100000PL162</v>
      </c>
      <c r="H231" s="143" t="str">
        <f t="shared" si="65"/>
        <v>100001PL162</v>
      </c>
      <c r="I231" s="143" t="str">
        <f t="shared" si="66"/>
        <v>100002PL162</v>
      </c>
      <c r="J231" s="143" t="str">
        <f t="shared" si="67"/>
        <v>100003PL162</v>
      </c>
      <c r="K231" s="143" t="str">
        <f t="shared" si="68"/>
        <v>100004PL162</v>
      </c>
      <c r="L231" s="143" t="str">
        <f t="shared" si="69"/>
        <v>100005PL162</v>
      </c>
      <c r="M231" s="143" t="str">
        <f t="shared" si="70"/>
        <v>100006PL162</v>
      </c>
      <c r="N231" s="143" t="str">
        <f t="shared" si="71"/>
        <v>100007PL162</v>
      </c>
      <c r="O231" s="143" t="str">
        <f t="shared" si="72"/>
        <v>100008PL162</v>
      </c>
      <c r="P231" s="143" t="str">
        <f t="shared" si="73"/>
        <v>100009PL162</v>
      </c>
      <c r="Q231" s="143" t="str">
        <f t="shared" si="74"/>
        <v>100010PL162</v>
      </c>
      <c r="R231" s="143" t="str">
        <f t="shared" si="75"/>
        <v>100011PL162</v>
      </c>
      <c r="S231" s="143" t="str">
        <f t="shared" si="76"/>
        <v>100012PL162</v>
      </c>
      <c r="T231" s="143" t="str">
        <f t="shared" si="77"/>
        <v>100013PL162</v>
      </c>
      <c r="U231" s="143" t="str">
        <f t="shared" si="78"/>
        <v>100014PL162</v>
      </c>
      <c r="V231" s="143" t="str">
        <f t="shared" si="79"/>
        <v>100015PL162</v>
      </c>
      <c r="W231" s="143" t="str">
        <f t="shared" si="80"/>
        <v>100016PL162</v>
      </c>
      <c r="X231" s="144" t="s">
        <v>333</v>
      </c>
    </row>
    <row r="232" spans="1:24">
      <c r="A232" s="161">
        <v>30</v>
      </c>
      <c r="B232" s="140">
        <f t="shared" si="62"/>
        <v>228</v>
      </c>
      <c r="C232" s="144" t="s">
        <v>334</v>
      </c>
      <c r="D232" s="144" t="s">
        <v>892</v>
      </c>
      <c r="E232" s="142">
        <f t="shared" si="61"/>
        <v>163</v>
      </c>
      <c r="F232" s="142" t="str">
        <f t="shared" si="63"/>
        <v>PL163</v>
      </c>
      <c r="G232" s="143" t="str">
        <f t="shared" si="64"/>
        <v>100000PL163</v>
      </c>
      <c r="H232" s="143" t="str">
        <f t="shared" si="65"/>
        <v>100001PL163</v>
      </c>
      <c r="I232" s="143" t="str">
        <f t="shared" si="66"/>
        <v>100002PL163</v>
      </c>
      <c r="J232" s="143" t="str">
        <f t="shared" si="67"/>
        <v>100003PL163</v>
      </c>
      <c r="K232" s="143" t="str">
        <f t="shared" si="68"/>
        <v>100004PL163</v>
      </c>
      <c r="L232" s="143" t="str">
        <f t="shared" si="69"/>
        <v>100005PL163</v>
      </c>
      <c r="M232" s="143" t="str">
        <f t="shared" si="70"/>
        <v>100006PL163</v>
      </c>
      <c r="N232" s="143" t="str">
        <f t="shared" si="71"/>
        <v>100007PL163</v>
      </c>
      <c r="O232" s="143" t="str">
        <f t="shared" si="72"/>
        <v>100008PL163</v>
      </c>
      <c r="P232" s="143" t="str">
        <f t="shared" si="73"/>
        <v>100009PL163</v>
      </c>
      <c r="Q232" s="143" t="str">
        <f t="shared" si="74"/>
        <v>100010PL163</v>
      </c>
      <c r="R232" s="143" t="str">
        <f t="shared" si="75"/>
        <v>100011PL163</v>
      </c>
      <c r="S232" s="143" t="str">
        <f t="shared" si="76"/>
        <v>100012PL163</v>
      </c>
      <c r="T232" s="143" t="str">
        <f t="shared" si="77"/>
        <v>100013PL163</v>
      </c>
      <c r="U232" s="143" t="str">
        <f t="shared" si="78"/>
        <v>100014PL163</v>
      </c>
      <c r="V232" s="143" t="str">
        <f t="shared" si="79"/>
        <v>100015PL163</v>
      </c>
      <c r="W232" s="143" t="str">
        <f t="shared" si="80"/>
        <v>100016PL163</v>
      </c>
      <c r="X232" s="144" t="s">
        <v>334</v>
      </c>
    </row>
    <row r="233" spans="1:24">
      <c r="A233" s="161">
        <v>30</v>
      </c>
      <c r="B233" s="140">
        <f t="shared" si="62"/>
        <v>229</v>
      </c>
      <c r="C233" s="144" t="s">
        <v>335</v>
      </c>
      <c r="D233" s="144" t="s">
        <v>892</v>
      </c>
      <c r="E233" s="142">
        <f t="shared" si="61"/>
        <v>164</v>
      </c>
      <c r="F233" s="142" t="str">
        <f t="shared" si="63"/>
        <v>PL164</v>
      </c>
      <c r="G233" s="143" t="str">
        <f t="shared" si="64"/>
        <v>100000PL164</v>
      </c>
      <c r="H233" s="143" t="str">
        <f t="shared" si="65"/>
        <v>100001PL164</v>
      </c>
      <c r="I233" s="143" t="str">
        <f t="shared" si="66"/>
        <v>100002PL164</v>
      </c>
      <c r="J233" s="143" t="str">
        <f t="shared" si="67"/>
        <v>100003PL164</v>
      </c>
      <c r="K233" s="143" t="str">
        <f t="shared" si="68"/>
        <v>100004PL164</v>
      </c>
      <c r="L233" s="143" t="str">
        <f t="shared" si="69"/>
        <v>100005PL164</v>
      </c>
      <c r="M233" s="143" t="str">
        <f t="shared" si="70"/>
        <v>100006PL164</v>
      </c>
      <c r="N233" s="143" t="str">
        <f t="shared" si="71"/>
        <v>100007PL164</v>
      </c>
      <c r="O233" s="143" t="str">
        <f t="shared" si="72"/>
        <v>100008PL164</v>
      </c>
      <c r="P233" s="143" t="str">
        <f t="shared" si="73"/>
        <v>100009PL164</v>
      </c>
      <c r="Q233" s="143" t="str">
        <f t="shared" si="74"/>
        <v>100010PL164</v>
      </c>
      <c r="R233" s="143" t="str">
        <f t="shared" si="75"/>
        <v>100011PL164</v>
      </c>
      <c r="S233" s="143" t="str">
        <f t="shared" si="76"/>
        <v>100012PL164</v>
      </c>
      <c r="T233" s="143" t="str">
        <f t="shared" si="77"/>
        <v>100013PL164</v>
      </c>
      <c r="U233" s="143" t="str">
        <f t="shared" si="78"/>
        <v>100014PL164</v>
      </c>
      <c r="V233" s="143" t="str">
        <f t="shared" si="79"/>
        <v>100015PL164</v>
      </c>
      <c r="W233" s="143" t="str">
        <f t="shared" si="80"/>
        <v>100016PL164</v>
      </c>
      <c r="X233" s="144" t="s">
        <v>335</v>
      </c>
    </row>
    <row r="234" spans="1:24">
      <c r="A234" s="161">
        <v>30</v>
      </c>
      <c r="B234" s="140">
        <f t="shared" si="62"/>
        <v>230</v>
      </c>
      <c r="C234" s="144" t="s">
        <v>336</v>
      </c>
      <c r="D234" s="144" t="s">
        <v>892</v>
      </c>
      <c r="E234" s="142">
        <f t="shared" si="61"/>
        <v>165</v>
      </c>
      <c r="F234" s="142" t="str">
        <f t="shared" si="63"/>
        <v>PL165</v>
      </c>
      <c r="G234" s="143" t="str">
        <f t="shared" si="64"/>
        <v>100000PL165</v>
      </c>
      <c r="H234" s="143" t="str">
        <f t="shared" si="65"/>
        <v>100001PL165</v>
      </c>
      <c r="I234" s="143" t="str">
        <f t="shared" si="66"/>
        <v>100002PL165</v>
      </c>
      <c r="J234" s="143" t="str">
        <f t="shared" si="67"/>
        <v>100003PL165</v>
      </c>
      <c r="K234" s="143" t="str">
        <f t="shared" si="68"/>
        <v>100004PL165</v>
      </c>
      <c r="L234" s="143" t="str">
        <f t="shared" si="69"/>
        <v>100005PL165</v>
      </c>
      <c r="M234" s="143" t="str">
        <f t="shared" si="70"/>
        <v>100006PL165</v>
      </c>
      <c r="N234" s="143" t="str">
        <f t="shared" si="71"/>
        <v>100007PL165</v>
      </c>
      <c r="O234" s="143" t="str">
        <f t="shared" si="72"/>
        <v>100008PL165</v>
      </c>
      <c r="P234" s="143" t="str">
        <f t="shared" si="73"/>
        <v>100009PL165</v>
      </c>
      <c r="Q234" s="143" t="str">
        <f t="shared" si="74"/>
        <v>100010PL165</v>
      </c>
      <c r="R234" s="143" t="str">
        <f t="shared" si="75"/>
        <v>100011PL165</v>
      </c>
      <c r="S234" s="143" t="str">
        <f t="shared" si="76"/>
        <v>100012PL165</v>
      </c>
      <c r="T234" s="143" t="str">
        <f t="shared" si="77"/>
        <v>100013PL165</v>
      </c>
      <c r="U234" s="143" t="str">
        <f t="shared" si="78"/>
        <v>100014PL165</v>
      </c>
      <c r="V234" s="143" t="str">
        <f t="shared" si="79"/>
        <v>100015PL165</v>
      </c>
      <c r="W234" s="143" t="str">
        <f t="shared" si="80"/>
        <v>100016PL165</v>
      </c>
      <c r="X234" s="144" t="s">
        <v>336</v>
      </c>
    </row>
    <row r="235" spans="1:24" s="151" customFormat="1">
      <c r="A235" s="161">
        <v>30</v>
      </c>
      <c r="B235" s="147">
        <f t="shared" si="62"/>
        <v>231</v>
      </c>
      <c r="C235" s="148" t="s">
        <v>337</v>
      </c>
      <c r="D235" s="148" t="s">
        <v>892</v>
      </c>
      <c r="E235" s="149">
        <f t="shared" ref="E235:E255" si="81">E234+1</f>
        <v>166</v>
      </c>
      <c r="F235" s="149" t="str">
        <f t="shared" si="63"/>
        <v>PL166</v>
      </c>
      <c r="G235" s="150" t="str">
        <f t="shared" si="64"/>
        <v>100000PL166</v>
      </c>
      <c r="H235" s="150" t="str">
        <f t="shared" si="65"/>
        <v>100001PL166</v>
      </c>
      <c r="I235" s="150" t="str">
        <f t="shared" si="66"/>
        <v>100002PL166</v>
      </c>
      <c r="J235" s="150" t="str">
        <f t="shared" si="67"/>
        <v>100003PL166</v>
      </c>
      <c r="K235" s="150" t="str">
        <f t="shared" si="68"/>
        <v>100004PL166</v>
      </c>
      <c r="L235" s="150" t="str">
        <f t="shared" si="69"/>
        <v>100005PL166</v>
      </c>
      <c r="M235" s="150" t="str">
        <f t="shared" si="70"/>
        <v>100006PL166</v>
      </c>
      <c r="N235" s="150" t="str">
        <f t="shared" si="71"/>
        <v>100007PL166</v>
      </c>
      <c r="O235" s="150" t="str">
        <f t="shared" si="72"/>
        <v>100008PL166</v>
      </c>
      <c r="P235" s="150" t="str">
        <f t="shared" si="73"/>
        <v>100009PL166</v>
      </c>
      <c r="Q235" s="150" t="str">
        <f t="shared" si="74"/>
        <v>100010PL166</v>
      </c>
      <c r="R235" s="150" t="str">
        <f t="shared" si="75"/>
        <v>100011PL166</v>
      </c>
      <c r="S235" s="150" t="str">
        <f t="shared" si="76"/>
        <v>100012PL166</v>
      </c>
      <c r="T235" s="150" t="str">
        <f t="shared" si="77"/>
        <v>100013PL166</v>
      </c>
      <c r="U235" s="150" t="str">
        <f t="shared" si="78"/>
        <v>100014PL166</v>
      </c>
      <c r="V235" s="150" t="str">
        <f t="shared" si="79"/>
        <v>100015PL166</v>
      </c>
      <c r="W235" s="150" t="str">
        <f t="shared" si="80"/>
        <v>100016PL166</v>
      </c>
      <c r="X235" s="148" t="s">
        <v>337</v>
      </c>
    </row>
    <row r="236" spans="1:24">
      <c r="A236" s="161">
        <v>30</v>
      </c>
      <c r="B236" s="140">
        <f t="shared" si="62"/>
        <v>232</v>
      </c>
      <c r="C236" s="144" t="s">
        <v>340</v>
      </c>
      <c r="D236" s="144" t="s">
        <v>892</v>
      </c>
      <c r="E236" s="142">
        <f t="shared" si="81"/>
        <v>167</v>
      </c>
      <c r="F236" s="142" t="str">
        <f t="shared" si="63"/>
        <v>PL167</v>
      </c>
      <c r="G236" s="143" t="str">
        <f t="shared" si="64"/>
        <v>100000PL167</v>
      </c>
      <c r="H236" s="143" t="str">
        <f t="shared" si="65"/>
        <v>100001PL167</v>
      </c>
      <c r="I236" s="143" t="str">
        <f t="shared" si="66"/>
        <v>100002PL167</v>
      </c>
      <c r="J236" s="143" t="str">
        <f t="shared" si="67"/>
        <v>100003PL167</v>
      </c>
      <c r="K236" s="143" t="str">
        <f t="shared" si="68"/>
        <v>100004PL167</v>
      </c>
      <c r="L236" s="143" t="str">
        <f t="shared" si="69"/>
        <v>100005PL167</v>
      </c>
      <c r="M236" s="143" t="str">
        <f t="shared" si="70"/>
        <v>100006PL167</v>
      </c>
      <c r="N236" s="143" t="str">
        <f t="shared" si="71"/>
        <v>100007PL167</v>
      </c>
      <c r="O236" s="143" t="str">
        <f t="shared" si="72"/>
        <v>100008PL167</v>
      </c>
      <c r="P236" s="143" t="str">
        <f t="shared" si="73"/>
        <v>100009PL167</v>
      </c>
      <c r="Q236" s="143" t="str">
        <f t="shared" si="74"/>
        <v>100010PL167</v>
      </c>
      <c r="R236" s="143" t="str">
        <f t="shared" si="75"/>
        <v>100011PL167</v>
      </c>
      <c r="S236" s="143" t="str">
        <f t="shared" si="76"/>
        <v>100012PL167</v>
      </c>
      <c r="T236" s="143" t="str">
        <f t="shared" si="77"/>
        <v>100013PL167</v>
      </c>
      <c r="U236" s="143" t="str">
        <f t="shared" si="78"/>
        <v>100014PL167</v>
      </c>
      <c r="V236" s="143" t="str">
        <f t="shared" si="79"/>
        <v>100015PL167</v>
      </c>
      <c r="W236" s="143" t="str">
        <f t="shared" si="80"/>
        <v>100016PL167</v>
      </c>
      <c r="X236" s="144" t="s">
        <v>340</v>
      </c>
    </row>
    <row r="237" spans="1:24">
      <c r="A237" s="161">
        <v>30</v>
      </c>
      <c r="B237" s="140">
        <f t="shared" si="62"/>
        <v>233</v>
      </c>
      <c r="C237" s="144" t="s">
        <v>341</v>
      </c>
      <c r="D237" s="144" t="s">
        <v>892</v>
      </c>
      <c r="E237" s="142">
        <f t="shared" si="81"/>
        <v>168</v>
      </c>
      <c r="F237" s="142" t="str">
        <f t="shared" si="63"/>
        <v>PL168</v>
      </c>
      <c r="G237" s="143" t="str">
        <f t="shared" si="64"/>
        <v>100000PL168</v>
      </c>
      <c r="H237" s="143" t="str">
        <f t="shared" si="65"/>
        <v>100001PL168</v>
      </c>
      <c r="I237" s="143" t="str">
        <f t="shared" si="66"/>
        <v>100002PL168</v>
      </c>
      <c r="J237" s="143" t="str">
        <f t="shared" si="67"/>
        <v>100003PL168</v>
      </c>
      <c r="K237" s="143" t="str">
        <f t="shared" si="68"/>
        <v>100004PL168</v>
      </c>
      <c r="L237" s="143" t="str">
        <f t="shared" si="69"/>
        <v>100005PL168</v>
      </c>
      <c r="M237" s="143" t="str">
        <f t="shared" si="70"/>
        <v>100006PL168</v>
      </c>
      <c r="N237" s="143" t="str">
        <f t="shared" si="71"/>
        <v>100007PL168</v>
      </c>
      <c r="O237" s="143" t="str">
        <f t="shared" si="72"/>
        <v>100008PL168</v>
      </c>
      <c r="P237" s="143" t="str">
        <f t="shared" si="73"/>
        <v>100009PL168</v>
      </c>
      <c r="Q237" s="143" t="str">
        <f t="shared" si="74"/>
        <v>100010PL168</v>
      </c>
      <c r="R237" s="143" t="str">
        <f t="shared" si="75"/>
        <v>100011PL168</v>
      </c>
      <c r="S237" s="143" t="str">
        <f t="shared" si="76"/>
        <v>100012PL168</v>
      </c>
      <c r="T237" s="143" t="str">
        <f t="shared" si="77"/>
        <v>100013PL168</v>
      </c>
      <c r="U237" s="143" t="str">
        <f t="shared" si="78"/>
        <v>100014PL168</v>
      </c>
      <c r="V237" s="143" t="str">
        <f t="shared" si="79"/>
        <v>100015PL168</v>
      </c>
      <c r="W237" s="143" t="str">
        <f t="shared" si="80"/>
        <v>100016PL168</v>
      </c>
      <c r="X237" s="144" t="s">
        <v>341</v>
      </c>
    </row>
    <row r="238" spans="1:24">
      <c r="A238" s="161">
        <v>30</v>
      </c>
      <c r="B238" s="140">
        <f t="shared" si="62"/>
        <v>234</v>
      </c>
      <c r="C238" s="144" t="s">
        <v>343</v>
      </c>
      <c r="D238" s="144" t="s">
        <v>892</v>
      </c>
      <c r="E238" s="142">
        <f t="shared" si="81"/>
        <v>169</v>
      </c>
      <c r="F238" s="142" t="str">
        <f t="shared" si="63"/>
        <v>PL169</v>
      </c>
      <c r="G238" s="143" t="str">
        <f t="shared" si="64"/>
        <v>100000PL169</v>
      </c>
      <c r="H238" s="143" t="str">
        <f t="shared" si="65"/>
        <v>100001PL169</v>
      </c>
      <c r="I238" s="143" t="str">
        <f t="shared" si="66"/>
        <v>100002PL169</v>
      </c>
      <c r="J238" s="143" t="str">
        <f t="shared" si="67"/>
        <v>100003PL169</v>
      </c>
      <c r="K238" s="143" t="str">
        <f t="shared" si="68"/>
        <v>100004PL169</v>
      </c>
      <c r="L238" s="143" t="str">
        <f t="shared" si="69"/>
        <v>100005PL169</v>
      </c>
      <c r="M238" s="143" t="str">
        <f t="shared" si="70"/>
        <v>100006PL169</v>
      </c>
      <c r="N238" s="143" t="str">
        <f t="shared" si="71"/>
        <v>100007PL169</v>
      </c>
      <c r="O238" s="143" t="str">
        <f t="shared" si="72"/>
        <v>100008PL169</v>
      </c>
      <c r="P238" s="143" t="str">
        <f t="shared" si="73"/>
        <v>100009PL169</v>
      </c>
      <c r="Q238" s="143" t="str">
        <f t="shared" si="74"/>
        <v>100010PL169</v>
      </c>
      <c r="R238" s="143" t="str">
        <f t="shared" si="75"/>
        <v>100011PL169</v>
      </c>
      <c r="S238" s="143" t="str">
        <f t="shared" si="76"/>
        <v>100012PL169</v>
      </c>
      <c r="T238" s="143" t="str">
        <f t="shared" si="77"/>
        <v>100013PL169</v>
      </c>
      <c r="U238" s="143" t="str">
        <f t="shared" si="78"/>
        <v>100014PL169</v>
      </c>
      <c r="V238" s="143" t="str">
        <f t="shared" si="79"/>
        <v>100015PL169</v>
      </c>
      <c r="W238" s="143" t="str">
        <f t="shared" si="80"/>
        <v>100016PL169</v>
      </c>
      <c r="X238" s="144" t="s">
        <v>343</v>
      </c>
    </row>
    <row r="239" spans="1:24">
      <c r="A239" s="161">
        <v>30</v>
      </c>
      <c r="B239" s="140">
        <f t="shared" si="62"/>
        <v>235</v>
      </c>
      <c r="C239" s="144" t="s">
        <v>344</v>
      </c>
      <c r="D239" s="144" t="s">
        <v>892</v>
      </c>
      <c r="E239" s="142">
        <f t="shared" si="81"/>
        <v>170</v>
      </c>
      <c r="F239" s="142" t="str">
        <f t="shared" si="63"/>
        <v>PL170</v>
      </c>
      <c r="G239" s="143" t="str">
        <f t="shared" si="64"/>
        <v>100000PL170</v>
      </c>
      <c r="H239" s="143" t="str">
        <f t="shared" si="65"/>
        <v>100001PL170</v>
      </c>
      <c r="I239" s="143" t="str">
        <f t="shared" si="66"/>
        <v>100002PL170</v>
      </c>
      <c r="J239" s="143" t="str">
        <f t="shared" si="67"/>
        <v>100003PL170</v>
      </c>
      <c r="K239" s="143" t="str">
        <f t="shared" si="68"/>
        <v>100004PL170</v>
      </c>
      <c r="L239" s="143" t="str">
        <f t="shared" si="69"/>
        <v>100005PL170</v>
      </c>
      <c r="M239" s="143" t="str">
        <f t="shared" si="70"/>
        <v>100006PL170</v>
      </c>
      <c r="N239" s="143" t="str">
        <f t="shared" si="71"/>
        <v>100007PL170</v>
      </c>
      <c r="O239" s="143" t="str">
        <f t="shared" si="72"/>
        <v>100008PL170</v>
      </c>
      <c r="P239" s="143" t="str">
        <f t="shared" si="73"/>
        <v>100009PL170</v>
      </c>
      <c r="Q239" s="143" t="str">
        <f t="shared" si="74"/>
        <v>100010PL170</v>
      </c>
      <c r="R239" s="143" t="str">
        <f t="shared" si="75"/>
        <v>100011PL170</v>
      </c>
      <c r="S239" s="143" t="str">
        <f t="shared" si="76"/>
        <v>100012PL170</v>
      </c>
      <c r="T239" s="143" t="str">
        <f t="shared" si="77"/>
        <v>100013PL170</v>
      </c>
      <c r="U239" s="143" t="str">
        <f t="shared" si="78"/>
        <v>100014PL170</v>
      </c>
      <c r="V239" s="143" t="str">
        <f t="shared" si="79"/>
        <v>100015PL170</v>
      </c>
      <c r="W239" s="143" t="str">
        <f t="shared" si="80"/>
        <v>100016PL170</v>
      </c>
      <c r="X239" s="144" t="s">
        <v>344</v>
      </c>
    </row>
    <row r="240" spans="1:24">
      <c r="A240" s="161">
        <v>30</v>
      </c>
      <c r="B240" s="140">
        <f t="shared" si="62"/>
        <v>236</v>
      </c>
      <c r="C240" s="144" t="s">
        <v>345</v>
      </c>
      <c r="D240" s="144" t="s">
        <v>892</v>
      </c>
      <c r="E240" s="142">
        <f t="shared" si="81"/>
        <v>171</v>
      </c>
      <c r="F240" s="142" t="str">
        <f t="shared" si="63"/>
        <v>PL171</v>
      </c>
      <c r="G240" s="143" t="str">
        <f t="shared" si="64"/>
        <v>100000PL171</v>
      </c>
      <c r="H240" s="143" t="str">
        <f t="shared" si="65"/>
        <v>100001PL171</v>
      </c>
      <c r="I240" s="143" t="str">
        <f t="shared" si="66"/>
        <v>100002PL171</v>
      </c>
      <c r="J240" s="143" t="str">
        <f t="shared" si="67"/>
        <v>100003PL171</v>
      </c>
      <c r="K240" s="143" t="str">
        <f t="shared" si="68"/>
        <v>100004PL171</v>
      </c>
      <c r="L240" s="143" t="str">
        <f t="shared" si="69"/>
        <v>100005PL171</v>
      </c>
      <c r="M240" s="143" t="str">
        <f t="shared" si="70"/>
        <v>100006PL171</v>
      </c>
      <c r="N240" s="143" t="str">
        <f t="shared" si="71"/>
        <v>100007PL171</v>
      </c>
      <c r="O240" s="143" t="str">
        <f t="shared" si="72"/>
        <v>100008PL171</v>
      </c>
      <c r="P240" s="143" t="str">
        <f t="shared" si="73"/>
        <v>100009PL171</v>
      </c>
      <c r="Q240" s="143" t="str">
        <f t="shared" si="74"/>
        <v>100010PL171</v>
      </c>
      <c r="R240" s="143" t="str">
        <f t="shared" si="75"/>
        <v>100011PL171</v>
      </c>
      <c r="S240" s="143" t="str">
        <f t="shared" si="76"/>
        <v>100012PL171</v>
      </c>
      <c r="T240" s="143" t="str">
        <f t="shared" si="77"/>
        <v>100013PL171</v>
      </c>
      <c r="U240" s="143" t="str">
        <f t="shared" si="78"/>
        <v>100014PL171</v>
      </c>
      <c r="V240" s="143" t="str">
        <f t="shared" si="79"/>
        <v>100015PL171</v>
      </c>
      <c r="W240" s="143" t="str">
        <f t="shared" si="80"/>
        <v>100016PL171</v>
      </c>
      <c r="X240" s="144" t="s">
        <v>345</v>
      </c>
    </row>
    <row r="241" spans="1:24">
      <c r="A241" s="161">
        <v>30</v>
      </c>
      <c r="B241" s="140">
        <f t="shared" si="62"/>
        <v>237</v>
      </c>
      <c r="C241" s="144" t="s">
        <v>346</v>
      </c>
      <c r="D241" s="144" t="s">
        <v>892</v>
      </c>
      <c r="E241" s="142">
        <f t="shared" si="81"/>
        <v>172</v>
      </c>
      <c r="F241" s="142" t="str">
        <f t="shared" si="63"/>
        <v>PL172</v>
      </c>
      <c r="G241" s="143" t="str">
        <f t="shared" si="64"/>
        <v>100000PL172</v>
      </c>
      <c r="H241" s="143" t="str">
        <f t="shared" si="65"/>
        <v>100001PL172</v>
      </c>
      <c r="I241" s="143" t="str">
        <f t="shared" si="66"/>
        <v>100002PL172</v>
      </c>
      <c r="J241" s="143" t="str">
        <f t="shared" si="67"/>
        <v>100003PL172</v>
      </c>
      <c r="K241" s="143" t="str">
        <f t="shared" si="68"/>
        <v>100004PL172</v>
      </c>
      <c r="L241" s="143" t="str">
        <f t="shared" si="69"/>
        <v>100005PL172</v>
      </c>
      <c r="M241" s="143" t="str">
        <f t="shared" si="70"/>
        <v>100006PL172</v>
      </c>
      <c r="N241" s="143" t="str">
        <f t="shared" si="71"/>
        <v>100007PL172</v>
      </c>
      <c r="O241" s="143" t="str">
        <f t="shared" si="72"/>
        <v>100008PL172</v>
      </c>
      <c r="P241" s="143" t="str">
        <f t="shared" si="73"/>
        <v>100009PL172</v>
      </c>
      <c r="Q241" s="143" t="str">
        <f t="shared" si="74"/>
        <v>100010PL172</v>
      </c>
      <c r="R241" s="143" t="str">
        <f t="shared" si="75"/>
        <v>100011PL172</v>
      </c>
      <c r="S241" s="143" t="str">
        <f t="shared" si="76"/>
        <v>100012PL172</v>
      </c>
      <c r="T241" s="143" t="str">
        <f t="shared" si="77"/>
        <v>100013PL172</v>
      </c>
      <c r="U241" s="143" t="str">
        <f t="shared" si="78"/>
        <v>100014PL172</v>
      </c>
      <c r="V241" s="143" t="str">
        <f t="shared" si="79"/>
        <v>100015PL172</v>
      </c>
      <c r="W241" s="143" t="str">
        <f t="shared" si="80"/>
        <v>100016PL172</v>
      </c>
      <c r="X241" s="144" t="s">
        <v>346</v>
      </c>
    </row>
    <row r="242" spans="1:24">
      <c r="A242" s="161">
        <v>30</v>
      </c>
      <c r="B242" s="140">
        <f t="shared" si="62"/>
        <v>238</v>
      </c>
      <c r="C242" s="144" t="s">
        <v>347</v>
      </c>
      <c r="D242" s="144" t="s">
        <v>892</v>
      </c>
      <c r="E242" s="142">
        <f t="shared" si="81"/>
        <v>173</v>
      </c>
      <c r="F242" s="142" t="str">
        <f t="shared" si="63"/>
        <v>PL173</v>
      </c>
      <c r="G242" s="143" t="str">
        <f t="shared" si="64"/>
        <v>100000PL173</v>
      </c>
      <c r="H242" s="143" t="str">
        <f t="shared" si="65"/>
        <v>100001PL173</v>
      </c>
      <c r="I242" s="143" t="str">
        <f t="shared" si="66"/>
        <v>100002PL173</v>
      </c>
      <c r="J242" s="143" t="str">
        <f t="shared" si="67"/>
        <v>100003PL173</v>
      </c>
      <c r="K242" s="143" t="str">
        <f t="shared" si="68"/>
        <v>100004PL173</v>
      </c>
      <c r="L242" s="143" t="str">
        <f t="shared" si="69"/>
        <v>100005PL173</v>
      </c>
      <c r="M242" s="143" t="str">
        <f t="shared" si="70"/>
        <v>100006PL173</v>
      </c>
      <c r="N242" s="143" t="str">
        <f t="shared" si="71"/>
        <v>100007PL173</v>
      </c>
      <c r="O242" s="143" t="str">
        <f t="shared" si="72"/>
        <v>100008PL173</v>
      </c>
      <c r="P242" s="143" t="str">
        <f t="shared" si="73"/>
        <v>100009PL173</v>
      </c>
      <c r="Q242" s="143" t="str">
        <f t="shared" si="74"/>
        <v>100010PL173</v>
      </c>
      <c r="R242" s="143" t="str">
        <f t="shared" si="75"/>
        <v>100011PL173</v>
      </c>
      <c r="S242" s="143" t="str">
        <f t="shared" si="76"/>
        <v>100012PL173</v>
      </c>
      <c r="T242" s="143" t="str">
        <f t="shared" si="77"/>
        <v>100013PL173</v>
      </c>
      <c r="U242" s="143" t="str">
        <f t="shared" si="78"/>
        <v>100014PL173</v>
      </c>
      <c r="V242" s="143" t="str">
        <f t="shared" si="79"/>
        <v>100015PL173</v>
      </c>
      <c r="W242" s="143" t="str">
        <f t="shared" si="80"/>
        <v>100016PL173</v>
      </c>
      <c r="X242" s="144" t="s">
        <v>347</v>
      </c>
    </row>
    <row r="243" spans="1:24">
      <c r="A243" s="161">
        <v>30</v>
      </c>
      <c r="B243" s="140">
        <f t="shared" si="62"/>
        <v>239</v>
      </c>
      <c r="C243" s="144" t="s">
        <v>349</v>
      </c>
      <c r="D243" s="144" t="s">
        <v>892</v>
      </c>
      <c r="E243" s="142">
        <f t="shared" si="81"/>
        <v>174</v>
      </c>
      <c r="F243" s="142" t="str">
        <f t="shared" si="63"/>
        <v>PL174</v>
      </c>
      <c r="G243" s="143" t="str">
        <f t="shared" si="64"/>
        <v>100000PL174</v>
      </c>
      <c r="H243" s="143" t="str">
        <f t="shared" si="65"/>
        <v>100001PL174</v>
      </c>
      <c r="I243" s="143" t="str">
        <f t="shared" si="66"/>
        <v>100002PL174</v>
      </c>
      <c r="J243" s="143" t="str">
        <f t="shared" si="67"/>
        <v>100003PL174</v>
      </c>
      <c r="K243" s="143" t="str">
        <f t="shared" si="68"/>
        <v>100004PL174</v>
      </c>
      <c r="L243" s="143" t="str">
        <f t="shared" si="69"/>
        <v>100005PL174</v>
      </c>
      <c r="M243" s="143" t="str">
        <f t="shared" si="70"/>
        <v>100006PL174</v>
      </c>
      <c r="N243" s="143" t="str">
        <f t="shared" si="71"/>
        <v>100007PL174</v>
      </c>
      <c r="O243" s="143" t="str">
        <f t="shared" si="72"/>
        <v>100008PL174</v>
      </c>
      <c r="P243" s="143" t="str">
        <f t="shared" si="73"/>
        <v>100009PL174</v>
      </c>
      <c r="Q243" s="143" t="str">
        <f t="shared" si="74"/>
        <v>100010PL174</v>
      </c>
      <c r="R243" s="143" t="str">
        <f t="shared" si="75"/>
        <v>100011PL174</v>
      </c>
      <c r="S243" s="143" t="str">
        <f t="shared" si="76"/>
        <v>100012PL174</v>
      </c>
      <c r="T243" s="143" t="str">
        <f t="shared" si="77"/>
        <v>100013PL174</v>
      </c>
      <c r="U243" s="143" t="str">
        <f t="shared" si="78"/>
        <v>100014PL174</v>
      </c>
      <c r="V243" s="143" t="str">
        <f t="shared" si="79"/>
        <v>100015PL174</v>
      </c>
      <c r="W243" s="143" t="str">
        <f t="shared" si="80"/>
        <v>100016PL174</v>
      </c>
      <c r="X243" s="144" t="s">
        <v>349</v>
      </c>
    </row>
    <row r="244" spans="1:24">
      <c r="A244" s="161">
        <v>30</v>
      </c>
      <c r="B244" s="140">
        <f t="shared" si="62"/>
        <v>240</v>
      </c>
      <c r="C244" s="144" t="s">
        <v>352</v>
      </c>
      <c r="D244" s="144" t="s">
        <v>892</v>
      </c>
      <c r="E244" s="142">
        <f t="shared" si="81"/>
        <v>175</v>
      </c>
      <c r="F244" s="142" t="str">
        <f t="shared" si="63"/>
        <v>PL175</v>
      </c>
      <c r="G244" s="143" t="str">
        <f t="shared" si="64"/>
        <v>100000PL175</v>
      </c>
      <c r="H244" s="143" t="str">
        <f t="shared" si="65"/>
        <v>100001PL175</v>
      </c>
      <c r="I244" s="143" t="str">
        <f t="shared" si="66"/>
        <v>100002PL175</v>
      </c>
      <c r="J244" s="143" t="str">
        <f t="shared" si="67"/>
        <v>100003PL175</v>
      </c>
      <c r="K244" s="143" t="str">
        <f t="shared" si="68"/>
        <v>100004PL175</v>
      </c>
      <c r="L244" s="143" t="str">
        <f t="shared" si="69"/>
        <v>100005PL175</v>
      </c>
      <c r="M244" s="143" t="str">
        <f t="shared" si="70"/>
        <v>100006PL175</v>
      </c>
      <c r="N244" s="143" t="str">
        <f t="shared" si="71"/>
        <v>100007PL175</v>
      </c>
      <c r="O244" s="143" t="str">
        <f t="shared" si="72"/>
        <v>100008PL175</v>
      </c>
      <c r="P244" s="143" t="str">
        <f t="shared" si="73"/>
        <v>100009PL175</v>
      </c>
      <c r="Q244" s="143" t="str">
        <f t="shared" si="74"/>
        <v>100010PL175</v>
      </c>
      <c r="R244" s="143" t="str">
        <f t="shared" si="75"/>
        <v>100011PL175</v>
      </c>
      <c r="S244" s="143" t="str">
        <f t="shared" si="76"/>
        <v>100012PL175</v>
      </c>
      <c r="T244" s="143" t="str">
        <f t="shared" si="77"/>
        <v>100013PL175</v>
      </c>
      <c r="U244" s="143" t="str">
        <f t="shared" si="78"/>
        <v>100014PL175</v>
      </c>
      <c r="V244" s="143" t="str">
        <f t="shared" si="79"/>
        <v>100015PL175</v>
      </c>
      <c r="W244" s="143" t="str">
        <f t="shared" si="80"/>
        <v>100016PL175</v>
      </c>
      <c r="X244" s="144" t="s">
        <v>352</v>
      </c>
    </row>
    <row r="245" spans="1:24" ht="25.5">
      <c r="A245" s="161">
        <v>30</v>
      </c>
      <c r="B245" s="140">
        <f t="shared" si="62"/>
        <v>241</v>
      </c>
      <c r="C245" s="144" t="s">
        <v>353</v>
      </c>
      <c r="D245" s="144" t="s">
        <v>892</v>
      </c>
      <c r="E245" s="142">
        <f t="shared" si="81"/>
        <v>176</v>
      </c>
      <c r="F245" s="142" t="str">
        <f t="shared" si="63"/>
        <v>PL176</v>
      </c>
      <c r="G245" s="143" t="str">
        <f t="shared" si="64"/>
        <v>100000PL176</v>
      </c>
      <c r="H245" s="143" t="str">
        <f t="shared" si="65"/>
        <v>100001PL176</v>
      </c>
      <c r="I245" s="143" t="str">
        <f t="shared" si="66"/>
        <v>100002PL176</v>
      </c>
      <c r="J245" s="143" t="str">
        <f t="shared" si="67"/>
        <v>100003PL176</v>
      </c>
      <c r="K245" s="143" t="str">
        <f t="shared" si="68"/>
        <v>100004PL176</v>
      </c>
      <c r="L245" s="143" t="str">
        <f t="shared" si="69"/>
        <v>100005PL176</v>
      </c>
      <c r="M245" s="143" t="str">
        <f t="shared" si="70"/>
        <v>100006PL176</v>
      </c>
      <c r="N245" s="143" t="str">
        <f t="shared" si="71"/>
        <v>100007PL176</v>
      </c>
      <c r="O245" s="143" t="str">
        <f t="shared" si="72"/>
        <v>100008PL176</v>
      </c>
      <c r="P245" s="143" t="str">
        <f t="shared" si="73"/>
        <v>100009PL176</v>
      </c>
      <c r="Q245" s="143" t="str">
        <f t="shared" si="74"/>
        <v>100010PL176</v>
      </c>
      <c r="R245" s="143" t="str">
        <f t="shared" si="75"/>
        <v>100011PL176</v>
      </c>
      <c r="S245" s="143" t="str">
        <f t="shared" si="76"/>
        <v>100012PL176</v>
      </c>
      <c r="T245" s="143" t="str">
        <f t="shared" si="77"/>
        <v>100013PL176</v>
      </c>
      <c r="U245" s="143" t="str">
        <f t="shared" si="78"/>
        <v>100014PL176</v>
      </c>
      <c r="V245" s="143" t="str">
        <f t="shared" si="79"/>
        <v>100015PL176</v>
      </c>
      <c r="W245" s="143" t="str">
        <f t="shared" si="80"/>
        <v>100016PL176</v>
      </c>
      <c r="X245" s="144" t="s">
        <v>353</v>
      </c>
    </row>
    <row r="246" spans="1:24">
      <c r="A246" s="164" t="s">
        <v>622</v>
      </c>
      <c r="B246" s="140">
        <f t="shared" si="62"/>
        <v>242</v>
      </c>
      <c r="C246" s="144" t="s">
        <v>906</v>
      </c>
      <c r="D246" s="144" t="s">
        <v>892</v>
      </c>
      <c r="E246" s="142">
        <f t="shared" si="81"/>
        <v>177</v>
      </c>
      <c r="F246" s="142" t="str">
        <f t="shared" si="63"/>
        <v>PL177</v>
      </c>
      <c r="G246" s="143" t="str">
        <f t="shared" si="64"/>
        <v>100000PL177</v>
      </c>
      <c r="H246" s="143" t="str">
        <f t="shared" si="65"/>
        <v>100001PL177</v>
      </c>
      <c r="I246" s="143" t="str">
        <f t="shared" si="66"/>
        <v>100002PL177</v>
      </c>
      <c r="J246" s="143" t="str">
        <f t="shared" si="67"/>
        <v>100003PL177</v>
      </c>
      <c r="K246" s="143" t="str">
        <f t="shared" si="68"/>
        <v>100004PL177</v>
      </c>
      <c r="L246" s="143" t="str">
        <f t="shared" si="69"/>
        <v>100005PL177</v>
      </c>
      <c r="M246" s="143" t="str">
        <f t="shared" si="70"/>
        <v>100006PL177</v>
      </c>
      <c r="N246" s="143" t="str">
        <f t="shared" si="71"/>
        <v>100007PL177</v>
      </c>
      <c r="O246" s="143" t="str">
        <f t="shared" si="72"/>
        <v>100008PL177</v>
      </c>
      <c r="P246" s="143" t="str">
        <f t="shared" si="73"/>
        <v>100009PL177</v>
      </c>
      <c r="Q246" s="143" t="str">
        <f t="shared" si="74"/>
        <v>100010PL177</v>
      </c>
      <c r="R246" s="143" t="str">
        <f t="shared" si="75"/>
        <v>100011PL177</v>
      </c>
      <c r="S246" s="143" t="str">
        <f t="shared" si="76"/>
        <v>100012PL177</v>
      </c>
      <c r="T246" s="143" t="str">
        <f t="shared" si="77"/>
        <v>100013PL177</v>
      </c>
      <c r="U246" s="143" t="str">
        <f t="shared" si="78"/>
        <v>100014PL177</v>
      </c>
      <c r="V246" s="143" t="str">
        <f t="shared" si="79"/>
        <v>100015PL177</v>
      </c>
      <c r="W246" s="143" t="str">
        <f t="shared" si="80"/>
        <v>100016PL177</v>
      </c>
      <c r="X246" s="144" t="s">
        <v>906</v>
      </c>
    </row>
    <row r="247" spans="1:24">
      <c r="A247" s="164" t="s">
        <v>622</v>
      </c>
      <c r="B247" s="140">
        <f t="shared" si="62"/>
        <v>243</v>
      </c>
      <c r="C247" s="144" t="s">
        <v>907</v>
      </c>
      <c r="D247" s="144" t="s">
        <v>892</v>
      </c>
      <c r="E247" s="142">
        <f t="shared" si="81"/>
        <v>178</v>
      </c>
      <c r="F247" s="142" t="str">
        <f t="shared" si="63"/>
        <v>PL178</v>
      </c>
      <c r="G247" s="143" t="str">
        <f t="shared" si="64"/>
        <v>100000PL178</v>
      </c>
      <c r="H247" s="143" t="str">
        <f t="shared" si="65"/>
        <v>100001PL178</v>
      </c>
      <c r="I247" s="143" t="str">
        <f t="shared" si="66"/>
        <v>100002PL178</v>
      </c>
      <c r="J247" s="143" t="str">
        <f t="shared" si="67"/>
        <v>100003PL178</v>
      </c>
      <c r="K247" s="143" t="str">
        <f t="shared" si="68"/>
        <v>100004PL178</v>
      </c>
      <c r="L247" s="143" t="str">
        <f t="shared" si="69"/>
        <v>100005PL178</v>
      </c>
      <c r="M247" s="143" t="str">
        <f t="shared" si="70"/>
        <v>100006PL178</v>
      </c>
      <c r="N247" s="143" t="str">
        <f t="shared" si="71"/>
        <v>100007PL178</v>
      </c>
      <c r="O247" s="143" t="str">
        <f t="shared" si="72"/>
        <v>100008PL178</v>
      </c>
      <c r="P247" s="143" t="str">
        <f t="shared" si="73"/>
        <v>100009PL178</v>
      </c>
      <c r="Q247" s="143" t="str">
        <f t="shared" si="74"/>
        <v>100010PL178</v>
      </c>
      <c r="R247" s="143" t="str">
        <f t="shared" si="75"/>
        <v>100011PL178</v>
      </c>
      <c r="S247" s="143" t="str">
        <f t="shared" si="76"/>
        <v>100012PL178</v>
      </c>
      <c r="T247" s="143" t="str">
        <f t="shared" si="77"/>
        <v>100013PL178</v>
      </c>
      <c r="U247" s="143" t="str">
        <f t="shared" si="78"/>
        <v>100014PL178</v>
      </c>
      <c r="V247" s="143" t="str">
        <f t="shared" si="79"/>
        <v>100015PL178</v>
      </c>
      <c r="W247" s="143" t="str">
        <f t="shared" si="80"/>
        <v>100016PL178</v>
      </c>
      <c r="X247" s="144" t="s">
        <v>907</v>
      </c>
    </row>
    <row r="248" spans="1:24">
      <c r="A248" s="164" t="s">
        <v>622</v>
      </c>
      <c r="B248" s="140">
        <f t="shared" si="62"/>
        <v>244</v>
      </c>
      <c r="C248" s="144" t="s">
        <v>908</v>
      </c>
      <c r="D248" s="144" t="s">
        <v>892</v>
      </c>
      <c r="E248" s="142">
        <f t="shared" si="81"/>
        <v>179</v>
      </c>
      <c r="F248" s="142" t="str">
        <f t="shared" si="63"/>
        <v>PL179</v>
      </c>
      <c r="G248" s="143" t="str">
        <f t="shared" si="64"/>
        <v>100000PL179</v>
      </c>
      <c r="H248" s="143" t="str">
        <f t="shared" si="65"/>
        <v>100001PL179</v>
      </c>
      <c r="I248" s="143" t="str">
        <f t="shared" si="66"/>
        <v>100002PL179</v>
      </c>
      <c r="J248" s="143" t="str">
        <f t="shared" si="67"/>
        <v>100003PL179</v>
      </c>
      <c r="K248" s="143" t="str">
        <f t="shared" si="68"/>
        <v>100004PL179</v>
      </c>
      <c r="L248" s="143" t="str">
        <f t="shared" si="69"/>
        <v>100005PL179</v>
      </c>
      <c r="M248" s="143" t="str">
        <f t="shared" si="70"/>
        <v>100006PL179</v>
      </c>
      <c r="N248" s="143" t="str">
        <f t="shared" si="71"/>
        <v>100007PL179</v>
      </c>
      <c r="O248" s="143" t="str">
        <f t="shared" si="72"/>
        <v>100008PL179</v>
      </c>
      <c r="P248" s="143" t="str">
        <f t="shared" si="73"/>
        <v>100009PL179</v>
      </c>
      <c r="Q248" s="143" t="str">
        <f t="shared" si="74"/>
        <v>100010PL179</v>
      </c>
      <c r="R248" s="143" t="str">
        <f t="shared" si="75"/>
        <v>100011PL179</v>
      </c>
      <c r="S248" s="143" t="str">
        <f t="shared" si="76"/>
        <v>100012PL179</v>
      </c>
      <c r="T248" s="143" t="str">
        <f t="shared" si="77"/>
        <v>100013PL179</v>
      </c>
      <c r="U248" s="143" t="str">
        <f t="shared" si="78"/>
        <v>100014PL179</v>
      </c>
      <c r="V248" s="143" t="str">
        <f t="shared" si="79"/>
        <v>100015PL179</v>
      </c>
      <c r="W248" s="143" t="str">
        <f t="shared" si="80"/>
        <v>100016PL179</v>
      </c>
      <c r="X248" s="144" t="s">
        <v>908</v>
      </c>
    </row>
    <row r="249" spans="1:24">
      <c r="A249" s="164" t="s">
        <v>622</v>
      </c>
      <c r="B249" s="140">
        <f t="shared" si="62"/>
        <v>245</v>
      </c>
      <c r="C249" s="144" t="s">
        <v>909</v>
      </c>
      <c r="D249" s="144" t="s">
        <v>892</v>
      </c>
      <c r="E249" s="142">
        <f t="shared" si="81"/>
        <v>180</v>
      </c>
      <c r="F249" s="142" t="str">
        <f t="shared" si="63"/>
        <v>PL180</v>
      </c>
      <c r="G249" s="143" t="str">
        <f t="shared" si="64"/>
        <v>100000PL180</v>
      </c>
      <c r="H249" s="143" t="str">
        <f t="shared" si="65"/>
        <v>100001PL180</v>
      </c>
      <c r="I249" s="143" t="str">
        <f t="shared" si="66"/>
        <v>100002PL180</v>
      </c>
      <c r="J249" s="143" t="str">
        <f t="shared" si="67"/>
        <v>100003PL180</v>
      </c>
      <c r="K249" s="143" t="str">
        <f t="shared" si="68"/>
        <v>100004PL180</v>
      </c>
      <c r="L249" s="143" t="str">
        <f t="shared" si="69"/>
        <v>100005PL180</v>
      </c>
      <c r="M249" s="143" t="str">
        <f t="shared" si="70"/>
        <v>100006PL180</v>
      </c>
      <c r="N249" s="143" t="str">
        <f t="shared" si="71"/>
        <v>100007PL180</v>
      </c>
      <c r="O249" s="143" t="str">
        <f t="shared" si="72"/>
        <v>100008PL180</v>
      </c>
      <c r="P249" s="143" t="str">
        <f t="shared" si="73"/>
        <v>100009PL180</v>
      </c>
      <c r="Q249" s="143" t="str">
        <f t="shared" si="74"/>
        <v>100010PL180</v>
      </c>
      <c r="R249" s="143" t="str">
        <f t="shared" si="75"/>
        <v>100011PL180</v>
      </c>
      <c r="S249" s="143" t="str">
        <f t="shared" si="76"/>
        <v>100012PL180</v>
      </c>
      <c r="T249" s="143" t="str">
        <f t="shared" si="77"/>
        <v>100013PL180</v>
      </c>
      <c r="U249" s="143" t="str">
        <f t="shared" si="78"/>
        <v>100014PL180</v>
      </c>
      <c r="V249" s="143" t="str">
        <f t="shared" si="79"/>
        <v>100015PL180</v>
      </c>
      <c r="W249" s="143" t="str">
        <f t="shared" si="80"/>
        <v>100016PL180</v>
      </c>
      <c r="X249" s="144" t="s">
        <v>909</v>
      </c>
    </row>
    <row r="250" spans="1:24">
      <c r="A250" s="164" t="s">
        <v>622</v>
      </c>
      <c r="B250" s="140">
        <f t="shared" si="62"/>
        <v>246</v>
      </c>
      <c r="C250" s="144" t="s">
        <v>910</v>
      </c>
      <c r="D250" s="144" t="s">
        <v>892</v>
      </c>
      <c r="E250" s="142">
        <f t="shared" si="81"/>
        <v>181</v>
      </c>
      <c r="F250" s="142" t="str">
        <f t="shared" si="63"/>
        <v>PL181</v>
      </c>
      <c r="G250" s="143" t="str">
        <f t="shared" si="64"/>
        <v>100000PL181</v>
      </c>
      <c r="H250" s="143" t="str">
        <f t="shared" si="65"/>
        <v>100001PL181</v>
      </c>
      <c r="I250" s="143" t="str">
        <f t="shared" si="66"/>
        <v>100002PL181</v>
      </c>
      <c r="J250" s="143" t="str">
        <f t="shared" si="67"/>
        <v>100003PL181</v>
      </c>
      <c r="K250" s="143" t="str">
        <f t="shared" si="68"/>
        <v>100004PL181</v>
      </c>
      <c r="L250" s="143" t="str">
        <f t="shared" si="69"/>
        <v>100005PL181</v>
      </c>
      <c r="M250" s="143" t="str">
        <f t="shared" si="70"/>
        <v>100006PL181</v>
      </c>
      <c r="N250" s="143" t="str">
        <f t="shared" si="71"/>
        <v>100007PL181</v>
      </c>
      <c r="O250" s="143" t="str">
        <f t="shared" si="72"/>
        <v>100008PL181</v>
      </c>
      <c r="P250" s="143" t="str">
        <f t="shared" si="73"/>
        <v>100009PL181</v>
      </c>
      <c r="Q250" s="143" t="str">
        <f t="shared" si="74"/>
        <v>100010PL181</v>
      </c>
      <c r="R250" s="143" t="str">
        <f t="shared" si="75"/>
        <v>100011PL181</v>
      </c>
      <c r="S250" s="143" t="str">
        <f t="shared" si="76"/>
        <v>100012PL181</v>
      </c>
      <c r="T250" s="143" t="str">
        <f t="shared" si="77"/>
        <v>100013PL181</v>
      </c>
      <c r="U250" s="143" t="str">
        <f t="shared" si="78"/>
        <v>100014PL181</v>
      </c>
      <c r="V250" s="143" t="str">
        <f t="shared" si="79"/>
        <v>100015PL181</v>
      </c>
      <c r="W250" s="143" t="str">
        <f t="shared" si="80"/>
        <v>100016PL181</v>
      </c>
      <c r="X250" s="144" t="s">
        <v>910</v>
      </c>
    </row>
    <row r="251" spans="1:24">
      <c r="A251" s="164" t="s">
        <v>622</v>
      </c>
      <c r="B251" s="140">
        <f t="shared" si="62"/>
        <v>247</v>
      </c>
      <c r="C251" s="144" t="s">
        <v>911</v>
      </c>
      <c r="D251" s="144" t="s">
        <v>892</v>
      </c>
      <c r="E251" s="142">
        <f t="shared" si="81"/>
        <v>182</v>
      </c>
      <c r="F251" s="142" t="str">
        <f t="shared" si="63"/>
        <v>PL182</v>
      </c>
      <c r="G251" s="143" t="str">
        <f t="shared" si="64"/>
        <v>100000PL182</v>
      </c>
      <c r="H251" s="143" t="str">
        <f t="shared" si="65"/>
        <v>100001PL182</v>
      </c>
      <c r="I251" s="143" t="str">
        <f t="shared" si="66"/>
        <v>100002PL182</v>
      </c>
      <c r="J251" s="143" t="str">
        <f t="shared" si="67"/>
        <v>100003PL182</v>
      </c>
      <c r="K251" s="143" t="str">
        <f t="shared" si="68"/>
        <v>100004PL182</v>
      </c>
      <c r="L251" s="143" t="str">
        <f t="shared" si="69"/>
        <v>100005PL182</v>
      </c>
      <c r="M251" s="143" t="str">
        <f t="shared" si="70"/>
        <v>100006PL182</v>
      </c>
      <c r="N251" s="143" t="str">
        <f t="shared" si="71"/>
        <v>100007PL182</v>
      </c>
      <c r="O251" s="143" t="str">
        <f t="shared" si="72"/>
        <v>100008PL182</v>
      </c>
      <c r="P251" s="143" t="str">
        <f t="shared" si="73"/>
        <v>100009PL182</v>
      </c>
      <c r="Q251" s="143" t="str">
        <f t="shared" si="74"/>
        <v>100010PL182</v>
      </c>
      <c r="R251" s="143" t="str">
        <f t="shared" si="75"/>
        <v>100011PL182</v>
      </c>
      <c r="S251" s="143" t="str">
        <f t="shared" si="76"/>
        <v>100012PL182</v>
      </c>
      <c r="T251" s="143" t="str">
        <f t="shared" si="77"/>
        <v>100013PL182</v>
      </c>
      <c r="U251" s="143" t="str">
        <f t="shared" si="78"/>
        <v>100014PL182</v>
      </c>
      <c r="V251" s="143" t="str">
        <f t="shared" si="79"/>
        <v>100015PL182</v>
      </c>
      <c r="W251" s="143" t="str">
        <f t="shared" si="80"/>
        <v>100016PL182</v>
      </c>
      <c r="X251" s="144" t="s">
        <v>911</v>
      </c>
    </row>
    <row r="252" spans="1:24">
      <c r="A252" s="164" t="s">
        <v>622</v>
      </c>
      <c r="B252" s="140">
        <f t="shared" si="62"/>
        <v>248</v>
      </c>
      <c r="C252" s="144" t="s">
        <v>912</v>
      </c>
      <c r="D252" s="144" t="s">
        <v>892</v>
      </c>
      <c r="E252" s="142">
        <f t="shared" si="81"/>
        <v>183</v>
      </c>
      <c r="F252" s="142" t="str">
        <f t="shared" si="63"/>
        <v>PL183</v>
      </c>
      <c r="G252" s="143" t="str">
        <f t="shared" si="64"/>
        <v>100000PL183</v>
      </c>
      <c r="H252" s="143" t="str">
        <f t="shared" si="65"/>
        <v>100001PL183</v>
      </c>
      <c r="I252" s="143" t="str">
        <f t="shared" si="66"/>
        <v>100002PL183</v>
      </c>
      <c r="J252" s="143" t="str">
        <f t="shared" si="67"/>
        <v>100003PL183</v>
      </c>
      <c r="K252" s="143" t="str">
        <f t="shared" si="68"/>
        <v>100004PL183</v>
      </c>
      <c r="L252" s="143" t="str">
        <f t="shared" si="69"/>
        <v>100005PL183</v>
      </c>
      <c r="M252" s="143" t="str">
        <f t="shared" si="70"/>
        <v>100006PL183</v>
      </c>
      <c r="N252" s="143" t="str">
        <f t="shared" si="71"/>
        <v>100007PL183</v>
      </c>
      <c r="O252" s="143" t="str">
        <f t="shared" si="72"/>
        <v>100008PL183</v>
      </c>
      <c r="P252" s="143" t="str">
        <f t="shared" si="73"/>
        <v>100009PL183</v>
      </c>
      <c r="Q252" s="143" t="str">
        <f t="shared" si="74"/>
        <v>100010PL183</v>
      </c>
      <c r="R252" s="143" t="str">
        <f t="shared" si="75"/>
        <v>100011PL183</v>
      </c>
      <c r="S252" s="143" t="str">
        <f t="shared" si="76"/>
        <v>100012PL183</v>
      </c>
      <c r="T252" s="143" t="str">
        <f t="shared" si="77"/>
        <v>100013PL183</v>
      </c>
      <c r="U252" s="143" t="str">
        <f t="shared" si="78"/>
        <v>100014PL183</v>
      </c>
      <c r="V252" s="143" t="str">
        <f t="shared" si="79"/>
        <v>100015PL183</v>
      </c>
      <c r="W252" s="143" t="str">
        <f t="shared" si="80"/>
        <v>100016PL183</v>
      </c>
      <c r="X252" s="144" t="s">
        <v>912</v>
      </c>
    </row>
    <row r="253" spans="1:24">
      <c r="A253" s="164" t="s">
        <v>622</v>
      </c>
      <c r="B253" s="140">
        <f t="shared" si="62"/>
        <v>249</v>
      </c>
      <c r="C253" s="144" t="s">
        <v>913</v>
      </c>
      <c r="D253" s="144" t="s">
        <v>892</v>
      </c>
      <c r="E253" s="142">
        <f t="shared" si="81"/>
        <v>184</v>
      </c>
      <c r="F253" s="142" t="str">
        <f t="shared" si="63"/>
        <v>PL184</v>
      </c>
      <c r="G253" s="143" t="str">
        <f t="shared" si="64"/>
        <v>100000PL184</v>
      </c>
      <c r="H253" s="143" t="str">
        <f t="shared" si="65"/>
        <v>100001PL184</v>
      </c>
      <c r="I253" s="143" t="str">
        <f t="shared" si="66"/>
        <v>100002PL184</v>
      </c>
      <c r="J253" s="143" t="str">
        <f t="shared" si="67"/>
        <v>100003PL184</v>
      </c>
      <c r="K253" s="143" t="str">
        <f t="shared" si="68"/>
        <v>100004PL184</v>
      </c>
      <c r="L253" s="143" t="str">
        <f t="shared" si="69"/>
        <v>100005PL184</v>
      </c>
      <c r="M253" s="143" t="str">
        <f t="shared" si="70"/>
        <v>100006PL184</v>
      </c>
      <c r="N253" s="143" t="str">
        <f t="shared" si="71"/>
        <v>100007PL184</v>
      </c>
      <c r="O253" s="143" t="str">
        <f t="shared" si="72"/>
        <v>100008PL184</v>
      </c>
      <c r="P253" s="143" t="str">
        <f t="shared" si="73"/>
        <v>100009PL184</v>
      </c>
      <c r="Q253" s="143" t="str">
        <f t="shared" si="74"/>
        <v>100010PL184</v>
      </c>
      <c r="R253" s="143" t="str">
        <f t="shared" si="75"/>
        <v>100011PL184</v>
      </c>
      <c r="S253" s="143" t="str">
        <f t="shared" si="76"/>
        <v>100012PL184</v>
      </c>
      <c r="T253" s="143" t="str">
        <f t="shared" si="77"/>
        <v>100013PL184</v>
      </c>
      <c r="U253" s="143" t="str">
        <f t="shared" si="78"/>
        <v>100014PL184</v>
      </c>
      <c r="V253" s="143" t="str">
        <f t="shared" si="79"/>
        <v>100015PL184</v>
      </c>
      <c r="W253" s="143" t="str">
        <f t="shared" si="80"/>
        <v>100016PL184</v>
      </c>
      <c r="X253" s="144" t="s">
        <v>913</v>
      </c>
    </row>
    <row r="254" spans="1:24">
      <c r="A254" s="161" t="s">
        <v>623</v>
      </c>
      <c r="B254" s="140">
        <f t="shared" si="62"/>
        <v>250</v>
      </c>
      <c r="C254" s="144" t="s">
        <v>725</v>
      </c>
      <c r="D254" s="144" t="s">
        <v>892</v>
      </c>
      <c r="E254" s="142">
        <f t="shared" si="81"/>
        <v>185</v>
      </c>
      <c r="F254" s="142" t="str">
        <f t="shared" si="63"/>
        <v>PL185</v>
      </c>
      <c r="G254" s="143" t="str">
        <f t="shared" si="64"/>
        <v>100000PL185</v>
      </c>
      <c r="H254" s="143" t="str">
        <f t="shared" si="65"/>
        <v>100001PL185</v>
      </c>
      <c r="I254" s="143" t="str">
        <f t="shared" si="66"/>
        <v>100002PL185</v>
      </c>
      <c r="J254" s="143" t="str">
        <f t="shared" si="67"/>
        <v>100003PL185</v>
      </c>
      <c r="K254" s="143" t="str">
        <f t="shared" si="68"/>
        <v>100004PL185</v>
      </c>
      <c r="L254" s="143" t="str">
        <f t="shared" si="69"/>
        <v>100005PL185</v>
      </c>
      <c r="M254" s="143" t="str">
        <f t="shared" si="70"/>
        <v>100006PL185</v>
      </c>
      <c r="N254" s="143" t="str">
        <f t="shared" si="71"/>
        <v>100007PL185</v>
      </c>
      <c r="O254" s="143" t="str">
        <f t="shared" si="72"/>
        <v>100008PL185</v>
      </c>
      <c r="P254" s="143" t="str">
        <f t="shared" si="73"/>
        <v>100009PL185</v>
      </c>
      <c r="Q254" s="143" t="str">
        <f t="shared" si="74"/>
        <v>100010PL185</v>
      </c>
      <c r="R254" s="143" t="str">
        <f t="shared" si="75"/>
        <v>100011PL185</v>
      </c>
      <c r="S254" s="143" t="str">
        <f t="shared" si="76"/>
        <v>100012PL185</v>
      </c>
      <c r="T254" s="143" t="str">
        <f t="shared" si="77"/>
        <v>100013PL185</v>
      </c>
      <c r="U254" s="143" t="str">
        <f t="shared" si="78"/>
        <v>100014PL185</v>
      </c>
      <c r="V254" s="143" t="str">
        <f t="shared" si="79"/>
        <v>100015PL185</v>
      </c>
      <c r="W254" s="143" t="str">
        <f t="shared" si="80"/>
        <v>100016PL185</v>
      </c>
      <c r="X254" s="144" t="s">
        <v>725</v>
      </c>
    </row>
    <row r="255" spans="1:24">
      <c r="A255" s="161" t="s">
        <v>624</v>
      </c>
      <c r="B255" s="140">
        <f t="shared" si="62"/>
        <v>251</v>
      </c>
      <c r="C255" s="144" t="s">
        <v>724</v>
      </c>
      <c r="D255" s="144" t="s">
        <v>892</v>
      </c>
      <c r="E255" s="142">
        <f t="shared" si="81"/>
        <v>186</v>
      </c>
      <c r="F255" s="142" t="str">
        <f>D255&amp;E255</f>
        <v>PL186</v>
      </c>
      <c r="G255" s="143" t="str">
        <f t="shared" si="64"/>
        <v>100000PL186</v>
      </c>
      <c r="H255" s="143" t="str">
        <f>$H$2&amp;$F255</f>
        <v>100001PL186</v>
      </c>
      <c r="I255" s="143" t="str">
        <f>$I$2&amp;$F255</f>
        <v>100002PL186</v>
      </c>
      <c r="J255" s="143" t="str">
        <f>$J$2&amp;$F255</f>
        <v>100003PL186</v>
      </c>
      <c r="K255" s="143" t="str">
        <f>$K$2&amp;$F255</f>
        <v>100004PL186</v>
      </c>
      <c r="L255" s="143" t="str">
        <f>$L$2&amp;$F255</f>
        <v>100005PL186</v>
      </c>
      <c r="M255" s="143" t="str">
        <f>$M$2&amp;$F255</f>
        <v>100006PL186</v>
      </c>
      <c r="N255" s="143" t="str">
        <f>$N$2&amp;$F255</f>
        <v>100007PL186</v>
      </c>
      <c r="O255" s="143" t="str">
        <f>$O$2&amp;$F255</f>
        <v>100008PL186</v>
      </c>
      <c r="P255" s="143" t="str">
        <f>$P$2&amp;$F255</f>
        <v>100009PL186</v>
      </c>
      <c r="Q255" s="143" t="str">
        <f>$Q$2&amp;$F255</f>
        <v>100010PL186</v>
      </c>
      <c r="R255" s="143" t="str">
        <f>$R$2&amp;$F255</f>
        <v>100011PL186</v>
      </c>
      <c r="S255" s="143" t="str">
        <f>$S$2&amp;$F255</f>
        <v>100012PL186</v>
      </c>
      <c r="T255" s="143" t="str">
        <f>$T$2&amp;$F255</f>
        <v>100013PL186</v>
      </c>
      <c r="U255" s="143" t="str">
        <f>$U$2&amp;$F255</f>
        <v>100014PL186</v>
      </c>
      <c r="V255" s="143" t="str">
        <f>$V$2&amp;$F255</f>
        <v>100015PL186</v>
      </c>
      <c r="W255" s="143" t="str">
        <f>$W$2&amp;$F255</f>
        <v>100016PL186</v>
      </c>
      <c r="X255" s="144" t="s">
        <v>724</v>
      </c>
    </row>
    <row r="256" spans="1:24">
      <c r="A256" s="162">
        <v>11</v>
      </c>
      <c r="B256" s="140">
        <f t="shared" si="62"/>
        <v>252</v>
      </c>
      <c r="C256" s="144" t="s">
        <v>914</v>
      </c>
      <c r="D256" s="144" t="s">
        <v>777</v>
      </c>
      <c r="E256" s="142">
        <f>E168+1</f>
        <v>264</v>
      </c>
      <c r="F256" s="152" t="str">
        <f>D256&amp;E256</f>
        <v>BS264</v>
      </c>
      <c r="G256" s="143" t="str">
        <f t="shared" si="64"/>
        <v>100000BS264</v>
      </c>
      <c r="H256" s="143" t="str">
        <f>$H$2&amp;$F256</f>
        <v>100001BS264</v>
      </c>
      <c r="I256" s="143" t="str">
        <f>$I$2&amp;$F256</f>
        <v>100002BS264</v>
      </c>
      <c r="J256" s="143" t="str">
        <f>$J$2&amp;$F256</f>
        <v>100003BS264</v>
      </c>
      <c r="K256" s="143" t="str">
        <f>$K$2&amp;$F256</f>
        <v>100004BS264</v>
      </c>
      <c r="L256" s="143" t="str">
        <f>$L$2&amp;$F256</f>
        <v>100005BS264</v>
      </c>
      <c r="M256" s="143" t="str">
        <f>$M$2&amp;$F256</f>
        <v>100006BS264</v>
      </c>
      <c r="N256" s="143" t="str">
        <f>$N$2&amp;$F256</f>
        <v>100007BS264</v>
      </c>
      <c r="O256" s="143" t="str">
        <f>$O$2&amp;$F256</f>
        <v>100008BS264</v>
      </c>
      <c r="P256" s="143" t="str">
        <f>$P$2&amp;$F256</f>
        <v>100009BS264</v>
      </c>
      <c r="Q256" s="143" t="str">
        <f>$Q$2&amp;$F256</f>
        <v>100010BS264</v>
      </c>
      <c r="R256" s="143" t="str">
        <f>$R$2&amp;$F256</f>
        <v>100011BS264</v>
      </c>
      <c r="S256" s="143" t="str">
        <f>$S$2&amp;$F256</f>
        <v>100012BS264</v>
      </c>
      <c r="T256" s="143" t="str">
        <f>$T$2&amp;$F256</f>
        <v>100013BS264</v>
      </c>
      <c r="U256" s="143" t="str">
        <f>$U$2&amp;$F256</f>
        <v>100014BS264</v>
      </c>
      <c r="V256" s="143" t="str">
        <f>$V$2&amp;$F256</f>
        <v>100015BS264</v>
      </c>
      <c r="W256" s="143" t="str">
        <f>$W$2&amp;$F256</f>
        <v>100016BS264</v>
      </c>
      <c r="X256" s="144" t="s">
        <v>914</v>
      </c>
    </row>
    <row r="257" spans="1:24">
      <c r="A257" s="162">
        <v>11</v>
      </c>
      <c r="B257" s="140">
        <f t="shared" si="62"/>
        <v>253</v>
      </c>
      <c r="C257" s="144" t="s">
        <v>915</v>
      </c>
      <c r="D257" s="144" t="s">
        <v>777</v>
      </c>
      <c r="E257" s="142">
        <f>E256+1</f>
        <v>265</v>
      </c>
      <c r="F257" s="152" t="str">
        <f>D257&amp;E257</f>
        <v>BS265</v>
      </c>
      <c r="G257" s="143" t="str">
        <f t="shared" si="64"/>
        <v>100000BS265</v>
      </c>
      <c r="H257" s="143" t="str">
        <f>$H$2&amp;$F257</f>
        <v>100001BS265</v>
      </c>
      <c r="I257" s="143" t="str">
        <f>$I$2&amp;$F257</f>
        <v>100002BS265</v>
      </c>
      <c r="J257" s="143" t="str">
        <f>$J$2&amp;$F257</f>
        <v>100003BS265</v>
      </c>
      <c r="K257" s="143" t="str">
        <f>$K$2&amp;$F257</f>
        <v>100004BS265</v>
      </c>
      <c r="L257" s="143" t="str">
        <f>$L$2&amp;$F257</f>
        <v>100005BS265</v>
      </c>
      <c r="M257" s="143" t="str">
        <f>$M$2&amp;$F257</f>
        <v>100006BS265</v>
      </c>
      <c r="N257" s="143" t="str">
        <f>$N$2&amp;$F257</f>
        <v>100007BS265</v>
      </c>
      <c r="O257" s="143" t="str">
        <f>$O$2&amp;$F257</f>
        <v>100008BS265</v>
      </c>
      <c r="P257" s="143" t="str">
        <f>$P$2&amp;$F257</f>
        <v>100009BS265</v>
      </c>
      <c r="Q257" s="143" t="str">
        <f>$Q$2&amp;$F257</f>
        <v>100010BS265</v>
      </c>
      <c r="R257" s="143" t="str">
        <f>$R$2&amp;$F257</f>
        <v>100011BS265</v>
      </c>
      <c r="S257" s="143" t="str">
        <f>$S$2&amp;$F257</f>
        <v>100012BS265</v>
      </c>
      <c r="T257" s="143" t="str">
        <f>$T$2&amp;$F257</f>
        <v>100013BS265</v>
      </c>
      <c r="U257" s="143" t="str">
        <f>$U$2&amp;$F257</f>
        <v>100014BS265</v>
      </c>
      <c r="V257" s="143" t="str">
        <f>$V$2&amp;$F257</f>
        <v>100015BS265</v>
      </c>
      <c r="W257" s="143" t="str">
        <f>$W$2&amp;$F257</f>
        <v>100016BS265</v>
      </c>
      <c r="X257" s="144" t="s">
        <v>915</v>
      </c>
    </row>
    <row r="258" spans="1:24">
      <c r="A258" s="162">
        <v>11</v>
      </c>
      <c r="B258" s="140">
        <f t="shared" si="62"/>
        <v>254</v>
      </c>
      <c r="C258" s="146" t="s">
        <v>916</v>
      </c>
      <c r="D258" s="144" t="s">
        <v>777</v>
      </c>
      <c r="E258" s="142">
        <f t="shared" ref="E258:E311" si="82">E257+1</f>
        <v>266</v>
      </c>
      <c r="F258" s="152" t="str">
        <f t="shared" ref="F258:F321" si="83">D258&amp;E258</f>
        <v>BS266</v>
      </c>
      <c r="G258" s="143" t="str">
        <f t="shared" si="64"/>
        <v>100000BS266</v>
      </c>
      <c r="H258" s="143" t="str">
        <f t="shared" ref="H258:H321" si="84">$H$2&amp;$F258</f>
        <v>100001BS266</v>
      </c>
      <c r="I258" s="143" t="str">
        <f t="shared" ref="I258:I321" si="85">$I$2&amp;$F258</f>
        <v>100002BS266</v>
      </c>
      <c r="J258" s="143" t="str">
        <f t="shared" ref="J258:J321" si="86">$J$2&amp;$F258</f>
        <v>100003BS266</v>
      </c>
      <c r="K258" s="143" t="str">
        <f t="shared" ref="K258:K321" si="87">$K$2&amp;$F258</f>
        <v>100004BS266</v>
      </c>
      <c r="L258" s="143" t="str">
        <f t="shared" ref="L258:L321" si="88">$L$2&amp;$F258</f>
        <v>100005BS266</v>
      </c>
      <c r="M258" s="143" t="str">
        <f t="shared" ref="M258:M321" si="89">$M$2&amp;$F258</f>
        <v>100006BS266</v>
      </c>
      <c r="N258" s="143" t="str">
        <f t="shared" ref="N258:N321" si="90">$N$2&amp;$F258</f>
        <v>100007BS266</v>
      </c>
      <c r="O258" s="143" t="str">
        <f t="shared" ref="O258:O321" si="91">$O$2&amp;$F258</f>
        <v>100008BS266</v>
      </c>
      <c r="P258" s="143" t="str">
        <f t="shared" ref="P258:P321" si="92">$P$2&amp;$F258</f>
        <v>100009BS266</v>
      </c>
      <c r="Q258" s="143" t="str">
        <f t="shared" ref="Q258:Q321" si="93">$Q$2&amp;$F258</f>
        <v>100010BS266</v>
      </c>
      <c r="R258" s="143" t="str">
        <f t="shared" ref="R258:R321" si="94">$R$2&amp;$F258</f>
        <v>100011BS266</v>
      </c>
      <c r="S258" s="143" t="str">
        <f t="shared" ref="S258:S321" si="95">$S$2&amp;$F258</f>
        <v>100012BS266</v>
      </c>
      <c r="T258" s="143" t="str">
        <f t="shared" ref="T258:T321" si="96">$T$2&amp;$F258</f>
        <v>100013BS266</v>
      </c>
      <c r="U258" s="143" t="str">
        <f t="shared" ref="U258:U321" si="97">$U$2&amp;$F258</f>
        <v>100014BS266</v>
      </c>
      <c r="V258" s="143" t="str">
        <f t="shared" ref="V258:V321" si="98">$V$2&amp;$F258</f>
        <v>100015BS266</v>
      </c>
      <c r="W258" s="143" t="str">
        <f t="shared" ref="W258:W321" si="99">$W$2&amp;$F258</f>
        <v>100016BS266</v>
      </c>
      <c r="X258" s="146" t="s">
        <v>916</v>
      </c>
    </row>
    <row r="259" spans="1:24">
      <c r="A259" s="162">
        <v>11</v>
      </c>
      <c r="B259" s="140">
        <f t="shared" si="62"/>
        <v>255</v>
      </c>
      <c r="C259" s="146" t="s">
        <v>917</v>
      </c>
      <c r="D259" s="144" t="s">
        <v>777</v>
      </c>
      <c r="E259" s="142">
        <f t="shared" si="82"/>
        <v>267</v>
      </c>
      <c r="F259" s="152" t="str">
        <f t="shared" si="83"/>
        <v>BS267</v>
      </c>
      <c r="G259" s="143" t="str">
        <f t="shared" si="64"/>
        <v>100000BS267</v>
      </c>
      <c r="H259" s="143" t="str">
        <f t="shared" si="84"/>
        <v>100001BS267</v>
      </c>
      <c r="I259" s="143" t="str">
        <f t="shared" si="85"/>
        <v>100002BS267</v>
      </c>
      <c r="J259" s="143" t="str">
        <f t="shared" si="86"/>
        <v>100003BS267</v>
      </c>
      <c r="K259" s="143" t="str">
        <f t="shared" si="87"/>
        <v>100004BS267</v>
      </c>
      <c r="L259" s="143" t="str">
        <f t="shared" si="88"/>
        <v>100005BS267</v>
      </c>
      <c r="M259" s="143" t="str">
        <f t="shared" si="89"/>
        <v>100006BS267</v>
      </c>
      <c r="N259" s="143" t="str">
        <f t="shared" si="90"/>
        <v>100007BS267</v>
      </c>
      <c r="O259" s="143" t="str">
        <f t="shared" si="91"/>
        <v>100008BS267</v>
      </c>
      <c r="P259" s="143" t="str">
        <f t="shared" si="92"/>
        <v>100009BS267</v>
      </c>
      <c r="Q259" s="143" t="str">
        <f t="shared" si="93"/>
        <v>100010BS267</v>
      </c>
      <c r="R259" s="143" t="str">
        <f t="shared" si="94"/>
        <v>100011BS267</v>
      </c>
      <c r="S259" s="143" t="str">
        <f t="shared" si="95"/>
        <v>100012BS267</v>
      </c>
      <c r="T259" s="143" t="str">
        <f t="shared" si="96"/>
        <v>100013BS267</v>
      </c>
      <c r="U259" s="143" t="str">
        <f t="shared" si="97"/>
        <v>100014BS267</v>
      </c>
      <c r="V259" s="143" t="str">
        <f t="shared" si="98"/>
        <v>100015BS267</v>
      </c>
      <c r="W259" s="143" t="str">
        <f t="shared" si="99"/>
        <v>100016BS267</v>
      </c>
      <c r="X259" s="146" t="s">
        <v>917</v>
      </c>
    </row>
    <row r="260" spans="1:24">
      <c r="A260" s="162">
        <v>11</v>
      </c>
      <c r="B260" s="140">
        <f t="shared" si="62"/>
        <v>256</v>
      </c>
      <c r="C260" s="146" t="s">
        <v>918</v>
      </c>
      <c r="D260" s="144" t="s">
        <v>777</v>
      </c>
      <c r="E260" s="142">
        <f t="shared" si="82"/>
        <v>268</v>
      </c>
      <c r="F260" s="152" t="str">
        <f t="shared" si="83"/>
        <v>BS268</v>
      </c>
      <c r="G260" s="143" t="str">
        <f t="shared" si="64"/>
        <v>100000BS268</v>
      </c>
      <c r="H260" s="143" t="str">
        <f t="shared" si="84"/>
        <v>100001BS268</v>
      </c>
      <c r="I260" s="143" t="str">
        <f t="shared" si="85"/>
        <v>100002BS268</v>
      </c>
      <c r="J260" s="143" t="str">
        <f t="shared" si="86"/>
        <v>100003BS268</v>
      </c>
      <c r="K260" s="143" t="str">
        <f t="shared" si="87"/>
        <v>100004BS268</v>
      </c>
      <c r="L260" s="143" t="str">
        <f t="shared" si="88"/>
        <v>100005BS268</v>
      </c>
      <c r="M260" s="143" t="str">
        <f t="shared" si="89"/>
        <v>100006BS268</v>
      </c>
      <c r="N260" s="143" t="str">
        <f t="shared" si="90"/>
        <v>100007BS268</v>
      </c>
      <c r="O260" s="143" t="str">
        <f t="shared" si="91"/>
        <v>100008BS268</v>
      </c>
      <c r="P260" s="143" t="str">
        <f t="shared" si="92"/>
        <v>100009BS268</v>
      </c>
      <c r="Q260" s="143" t="str">
        <f t="shared" si="93"/>
        <v>100010BS268</v>
      </c>
      <c r="R260" s="143" t="str">
        <f t="shared" si="94"/>
        <v>100011BS268</v>
      </c>
      <c r="S260" s="143" t="str">
        <f t="shared" si="95"/>
        <v>100012BS268</v>
      </c>
      <c r="T260" s="143" t="str">
        <f t="shared" si="96"/>
        <v>100013BS268</v>
      </c>
      <c r="U260" s="143" t="str">
        <f t="shared" si="97"/>
        <v>100014BS268</v>
      </c>
      <c r="V260" s="143" t="str">
        <f t="shared" si="98"/>
        <v>100015BS268</v>
      </c>
      <c r="W260" s="143" t="str">
        <f t="shared" si="99"/>
        <v>100016BS268</v>
      </c>
      <c r="X260" s="146" t="s">
        <v>918</v>
      </c>
    </row>
    <row r="261" spans="1:24">
      <c r="A261" s="162">
        <v>11</v>
      </c>
      <c r="B261" s="140">
        <f t="shared" si="62"/>
        <v>257</v>
      </c>
      <c r="C261" s="146" t="s">
        <v>919</v>
      </c>
      <c r="D261" s="144" t="s">
        <v>777</v>
      </c>
      <c r="E261" s="142">
        <f t="shared" si="82"/>
        <v>269</v>
      </c>
      <c r="F261" s="152" t="str">
        <f t="shared" si="83"/>
        <v>BS269</v>
      </c>
      <c r="G261" s="143" t="str">
        <f t="shared" si="64"/>
        <v>100000BS269</v>
      </c>
      <c r="H261" s="143" t="str">
        <f t="shared" si="84"/>
        <v>100001BS269</v>
      </c>
      <c r="I261" s="143" t="str">
        <f t="shared" si="85"/>
        <v>100002BS269</v>
      </c>
      <c r="J261" s="143" t="str">
        <f t="shared" si="86"/>
        <v>100003BS269</v>
      </c>
      <c r="K261" s="143" t="str">
        <f t="shared" si="87"/>
        <v>100004BS269</v>
      </c>
      <c r="L261" s="143" t="str">
        <f t="shared" si="88"/>
        <v>100005BS269</v>
      </c>
      <c r="M261" s="143" t="str">
        <f t="shared" si="89"/>
        <v>100006BS269</v>
      </c>
      <c r="N261" s="143" t="str">
        <f t="shared" si="90"/>
        <v>100007BS269</v>
      </c>
      <c r="O261" s="143" t="str">
        <f t="shared" si="91"/>
        <v>100008BS269</v>
      </c>
      <c r="P261" s="143" t="str">
        <f t="shared" si="92"/>
        <v>100009BS269</v>
      </c>
      <c r="Q261" s="143" t="str">
        <f t="shared" si="93"/>
        <v>100010BS269</v>
      </c>
      <c r="R261" s="143" t="str">
        <f t="shared" si="94"/>
        <v>100011BS269</v>
      </c>
      <c r="S261" s="143" t="str">
        <f t="shared" si="95"/>
        <v>100012BS269</v>
      </c>
      <c r="T261" s="143" t="str">
        <f t="shared" si="96"/>
        <v>100013BS269</v>
      </c>
      <c r="U261" s="143" t="str">
        <f t="shared" si="97"/>
        <v>100014BS269</v>
      </c>
      <c r="V261" s="143" t="str">
        <f t="shared" si="98"/>
        <v>100015BS269</v>
      </c>
      <c r="W261" s="143" t="str">
        <f t="shared" si="99"/>
        <v>100016BS269</v>
      </c>
      <c r="X261" s="146" t="s">
        <v>919</v>
      </c>
    </row>
    <row r="262" spans="1:24">
      <c r="A262" s="162">
        <v>11</v>
      </c>
      <c r="B262" s="140">
        <f t="shared" ref="B262:B325" si="100">B261+1</f>
        <v>258</v>
      </c>
      <c r="C262" s="146" t="s">
        <v>920</v>
      </c>
      <c r="D262" s="144" t="s">
        <v>777</v>
      </c>
      <c r="E262" s="142">
        <f t="shared" si="82"/>
        <v>270</v>
      </c>
      <c r="F262" s="152" t="str">
        <f t="shared" si="83"/>
        <v>BS270</v>
      </c>
      <c r="G262" s="143" t="str">
        <f t="shared" ref="G262:G325" si="101">$G$2&amp;$F262</f>
        <v>100000BS270</v>
      </c>
      <c r="H262" s="143" t="str">
        <f t="shared" si="84"/>
        <v>100001BS270</v>
      </c>
      <c r="I262" s="143" t="str">
        <f t="shared" si="85"/>
        <v>100002BS270</v>
      </c>
      <c r="J262" s="143" t="str">
        <f t="shared" si="86"/>
        <v>100003BS270</v>
      </c>
      <c r="K262" s="143" t="str">
        <f t="shared" si="87"/>
        <v>100004BS270</v>
      </c>
      <c r="L262" s="143" t="str">
        <f t="shared" si="88"/>
        <v>100005BS270</v>
      </c>
      <c r="M262" s="143" t="str">
        <f t="shared" si="89"/>
        <v>100006BS270</v>
      </c>
      <c r="N262" s="143" t="str">
        <f t="shared" si="90"/>
        <v>100007BS270</v>
      </c>
      <c r="O262" s="143" t="str">
        <f t="shared" si="91"/>
        <v>100008BS270</v>
      </c>
      <c r="P262" s="143" t="str">
        <f t="shared" si="92"/>
        <v>100009BS270</v>
      </c>
      <c r="Q262" s="143" t="str">
        <f t="shared" si="93"/>
        <v>100010BS270</v>
      </c>
      <c r="R262" s="143" t="str">
        <f t="shared" si="94"/>
        <v>100011BS270</v>
      </c>
      <c r="S262" s="143" t="str">
        <f t="shared" si="95"/>
        <v>100012BS270</v>
      </c>
      <c r="T262" s="143" t="str">
        <f t="shared" si="96"/>
        <v>100013BS270</v>
      </c>
      <c r="U262" s="143" t="str">
        <f t="shared" si="97"/>
        <v>100014BS270</v>
      </c>
      <c r="V262" s="143" t="str">
        <f t="shared" si="98"/>
        <v>100015BS270</v>
      </c>
      <c r="W262" s="143" t="str">
        <f t="shared" si="99"/>
        <v>100016BS270</v>
      </c>
      <c r="X262" s="146" t="s">
        <v>920</v>
      </c>
    </row>
    <row r="263" spans="1:24">
      <c r="A263" s="162">
        <v>11</v>
      </c>
      <c r="B263" s="140">
        <f t="shared" si="100"/>
        <v>259</v>
      </c>
      <c r="C263" s="146" t="s">
        <v>921</v>
      </c>
      <c r="D263" s="144" t="s">
        <v>777</v>
      </c>
      <c r="E263" s="142">
        <f t="shared" si="82"/>
        <v>271</v>
      </c>
      <c r="F263" s="152" t="str">
        <f t="shared" si="83"/>
        <v>BS271</v>
      </c>
      <c r="G263" s="143" t="str">
        <f t="shared" si="101"/>
        <v>100000BS271</v>
      </c>
      <c r="H263" s="143" t="str">
        <f t="shared" si="84"/>
        <v>100001BS271</v>
      </c>
      <c r="I263" s="143" t="str">
        <f t="shared" si="85"/>
        <v>100002BS271</v>
      </c>
      <c r="J263" s="143" t="str">
        <f t="shared" si="86"/>
        <v>100003BS271</v>
      </c>
      <c r="K263" s="143" t="str">
        <f t="shared" si="87"/>
        <v>100004BS271</v>
      </c>
      <c r="L263" s="143" t="str">
        <f t="shared" si="88"/>
        <v>100005BS271</v>
      </c>
      <c r="M263" s="143" t="str">
        <f t="shared" si="89"/>
        <v>100006BS271</v>
      </c>
      <c r="N263" s="143" t="str">
        <f t="shared" si="90"/>
        <v>100007BS271</v>
      </c>
      <c r="O263" s="143" t="str">
        <f t="shared" si="91"/>
        <v>100008BS271</v>
      </c>
      <c r="P263" s="143" t="str">
        <f t="shared" si="92"/>
        <v>100009BS271</v>
      </c>
      <c r="Q263" s="143" t="str">
        <f t="shared" si="93"/>
        <v>100010BS271</v>
      </c>
      <c r="R263" s="143" t="str">
        <f t="shared" si="94"/>
        <v>100011BS271</v>
      </c>
      <c r="S263" s="143" t="str">
        <f t="shared" si="95"/>
        <v>100012BS271</v>
      </c>
      <c r="T263" s="143" t="str">
        <f t="shared" si="96"/>
        <v>100013BS271</v>
      </c>
      <c r="U263" s="143" t="str">
        <f t="shared" si="97"/>
        <v>100014BS271</v>
      </c>
      <c r="V263" s="143" t="str">
        <f t="shared" si="98"/>
        <v>100015BS271</v>
      </c>
      <c r="W263" s="143" t="str">
        <f t="shared" si="99"/>
        <v>100016BS271</v>
      </c>
      <c r="X263" s="146" t="s">
        <v>921</v>
      </c>
    </row>
    <row r="264" spans="1:24">
      <c r="A264" s="162">
        <v>11</v>
      </c>
      <c r="B264" s="140">
        <f t="shared" si="100"/>
        <v>260</v>
      </c>
      <c r="C264" s="146" t="s">
        <v>922</v>
      </c>
      <c r="D264" s="144" t="s">
        <v>777</v>
      </c>
      <c r="E264" s="142">
        <f t="shared" si="82"/>
        <v>272</v>
      </c>
      <c r="F264" s="152" t="str">
        <f t="shared" si="83"/>
        <v>BS272</v>
      </c>
      <c r="G264" s="143" t="str">
        <f t="shared" si="101"/>
        <v>100000BS272</v>
      </c>
      <c r="H264" s="143" t="str">
        <f t="shared" si="84"/>
        <v>100001BS272</v>
      </c>
      <c r="I264" s="143" t="str">
        <f t="shared" si="85"/>
        <v>100002BS272</v>
      </c>
      <c r="J264" s="143" t="str">
        <f t="shared" si="86"/>
        <v>100003BS272</v>
      </c>
      <c r="K264" s="143" t="str">
        <f t="shared" si="87"/>
        <v>100004BS272</v>
      </c>
      <c r="L264" s="143" t="str">
        <f t="shared" si="88"/>
        <v>100005BS272</v>
      </c>
      <c r="M264" s="143" t="str">
        <f t="shared" si="89"/>
        <v>100006BS272</v>
      </c>
      <c r="N264" s="143" t="str">
        <f t="shared" si="90"/>
        <v>100007BS272</v>
      </c>
      <c r="O264" s="143" t="str">
        <f t="shared" si="91"/>
        <v>100008BS272</v>
      </c>
      <c r="P264" s="143" t="str">
        <f t="shared" si="92"/>
        <v>100009BS272</v>
      </c>
      <c r="Q264" s="143" t="str">
        <f t="shared" si="93"/>
        <v>100010BS272</v>
      </c>
      <c r="R264" s="143" t="str">
        <f t="shared" si="94"/>
        <v>100011BS272</v>
      </c>
      <c r="S264" s="143" t="str">
        <f t="shared" si="95"/>
        <v>100012BS272</v>
      </c>
      <c r="T264" s="143" t="str">
        <f t="shared" si="96"/>
        <v>100013BS272</v>
      </c>
      <c r="U264" s="143" t="str">
        <f t="shared" si="97"/>
        <v>100014BS272</v>
      </c>
      <c r="V264" s="143" t="str">
        <f t="shared" si="98"/>
        <v>100015BS272</v>
      </c>
      <c r="W264" s="143" t="str">
        <f t="shared" si="99"/>
        <v>100016BS272</v>
      </c>
      <c r="X264" s="146" t="s">
        <v>922</v>
      </c>
    </row>
    <row r="265" spans="1:24">
      <c r="A265" s="162">
        <v>11</v>
      </c>
      <c r="B265" s="140">
        <f t="shared" si="100"/>
        <v>261</v>
      </c>
      <c r="C265" s="146" t="s">
        <v>923</v>
      </c>
      <c r="D265" s="144" t="s">
        <v>777</v>
      </c>
      <c r="E265" s="142">
        <f t="shared" si="82"/>
        <v>273</v>
      </c>
      <c r="F265" s="152" t="str">
        <f t="shared" si="83"/>
        <v>BS273</v>
      </c>
      <c r="G265" s="143" t="str">
        <f t="shared" si="101"/>
        <v>100000BS273</v>
      </c>
      <c r="H265" s="143" t="str">
        <f t="shared" si="84"/>
        <v>100001BS273</v>
      </c>
      <c r="I265" s="143" t="str">
        <f t="shared" si="85"/>
        <v>100002BS273</v>
      </c>
      <c r="J265" s="143" t="str">
        <f t="shared" si="86"/>
        <v>100003BS273</v>
      </c>
      <c r="K265" s="143" t="str">
        <f t="shared" si="87"/>
        <v>100004BS273</v>
      </c>
      <c r="L265" s="143" t="str">
        <f t="shared" si="88"/>
        <v>100005BS273</v>
      </c>
      <c r="M265" s="143" t="str">
        <f t="shared" si="89"/>
        <v>100006BS273</v>
      </c>
      <c r="N265" s="143" t="str">
        <f t="shared" si="90"/>
        <v>100007BS273</v>
      </c>
      <c r="O265" s="143" t="str">
        <f t="shared" si="91"/>
        <v>100008BS273</v>
      </c>
      <c r="P265" s="143" t="str">
        <f t="shared" si="92"/>
        <v>100009BS273</v>
      </c>
      <c r="Q265" s="143" t="str">
        <f t="shared" si="93"/>
        <v>100010BS273</v>
      </c>
      <c r="R265" s="143" t="str">
        <f t="shared" si="94"/>
        <v>100011BS273</v>
      </c>
      <c r="S265" s="143" t="str">
        <f t="shared" si="95"/>
        <v>100012BS273</v>
      </c>
      <c r="T265" s="143" t="str">
        <f t="shared" si="96"/>
        <v>100013BS273</v>
      </c>
      <c r="U265" s="143" t="str">
        <f t="shared" si="97"/>
        <v>100014BS273</v>
      </c>
      <c r="V265" s="143" t="str">
        <f t="shared" si="98"/>
        <v>100015BS273</v>
      </c>
      <c r="W265" s="143" t="str">
        <f t="shared" si="99"/>
        <v>100016BS273</v>
      </c>
      <c r="X265" s="146" t="s">
        <v>923</v>
      </c>
    </row>
    <row r="266" spans="1:24" s="158" customFormat="1">
      <c r="A266" s="164" t="s">
        <v>622</v>
      </c>
      <c r="B266" s="153">
        <f t="shared" si="100"/>
        <v>262</v>
      </c>
      <c r="C266" s="154" t="s">
        <v>924</v>
      </c>
      <c r="D266" s="154" t="s">
        <v>892</v>
      </c>
      <c r="E266" s="155">
        <f>E255+1</f>
        <v>187</v>
      </c>
      <c r="F266" s="156" t="str">
        <f t="shared" si="83"/>
        <v>PL187</v>
      </c>
      <c r="G266" s="157" t="str">
        <f t="shared" si="101"/>
        <v>100000PL187</v>
      </c>
      <c r="H266" s="157" t="str">
        <f t="shared" si="84"/>
        <v>100001PL187</v>
      </c>
      <c r="I266" s="157" t="str">
        <f t="shared" si="85"/>
        <v>100002PL187</v>
      </c>
      <c r="J266" s="157" t="str">
        <f t="shared" si="86"/>
        <v>100003PL187</v>
      </c>
      <c r="K266" s="157" t="str">
        <f t="shared" si="87"/>
        <v>100004PL187</v>
      </c>
      <c r="L266" s="157" t="str">
        <f t="shared" si="88"/>
        <v>100005PL187</v>
      </c>
      <c r="M266" s="157" t="str">
        <f t="shared" si="89"/>
        <v>100006PL187</v>
      </c>
      <c r="N266" s="157" t="str">
        <f t="shared" si="90"/>
        <v>100007PL187</v>
      </c>
      <c r="O266" s="157" t="str">
        <f t="shared" si="91"/>
        <v>100008PL187</v>
      </c>
      <c r="P266" s="157" t="str">
        <f t="shared" si="92"/>
        <v>100009PL187</v>
      </c>
      <c r="Q266" s="157" t="str">
        <f t="shared" si="93"/>
        <v>100010PL187</v>
      </c>
      <c r="R266" s="157" t="str">
        <f t="shared" si="94"/>
        <v>100011PL187</v>
      </c>
      <c r="S266" s="157" t="str">
        <f t="shared" si="95"/>
        <v>100012PL187</v>
      </c>
      <c r="T266" s="157" t="str">
        <f t="shared" si="96"/>
        <v>100013PL187</v>
      </c>
      <c r="U266" s="157" t="str">
        <f t="shared" si="97"/>
        <v>100014PL187</v>
      </c>
      <c r="V266" s="157" t="str">
        <f t="shared" si="98"/>
        <v>100015PL187</v>
      </c>
      <c r="W266" s="157" t="str">
        <f t="shared" si="99"/>
        <v>100016PL187</v>
      </c>
      <c r="X266" s="154" t="s">
        <v>924</v>
      </c>
    </row>
    <row r="267" spans="1:24" s="158" customFormat="1">
      <c r="A267" s="164" t="s">
        <v>622</v>
      </c>
      <c r="B267" s="153">
        <f t="shared" si="100"/>
        <v>263</v>
      </c>
      <c r="C267" s="154" t="s">
        <v>925</v>
      </c>
      <c r="D267" s="154" t="s">
        <v>892</v>
      </c>
      <c r="E267" s="155">
        <f t="shared" si="82"/>
        <v>188</v>
      </c>
      <c r="F267" s="156" t="str">
        <f t="shared" si="83"/>
        <v>PL188</v>
      </c>
      <c r="G267" s="157" t="str">
        <f t="shared" si="101"/>
        <v>100000PL188</v>
      </c>
      <c r="H267" s="157" t="str">
        <f t="shared" si="84"/>
        <v>100001PL188</v>
      </c>
      <c r="I267" s="157" t="str">
        <f t="shared" si="85"/>
        <v>100002PL188</v>
      </c>
      <c r="J267" s="157" t="str">
        <f t="shared" si="86"/>
        <v>100003PL188</v>
      </c>
      <c r="K267" s="157" t="str">
        <f t="shared" si="87"/>
        <v>100004PL188</v>
      </c>
      <c r="L267" s="157" t="str">
        <f t="shared" si="88"/>
        <v>100005PL188</v>
      </c>
      <c r="M267" s="157" t="str">
        <f t="shared" si="89"/>
        <v>100006PL188</v>
      </c>
      <c r="N267" s="157" t="str">
        <f t="shared" si="90"/>
        <v>100007PL188</v>
      </c>
      <c r="O267" s="157" t="str">
        <f t="shared" si="91"/>
        <v>100008PL188</v>
      </c>
      <c r="P267" s="157" t="str">
        <f t="shared" si="92"/>
        <v>100009PL188</v>
      </c>
      <c r="Q267" s="157" t="str">
        <f t="shared" si="93"/>
        <v>100010PL188</v>
      </c>
      <c r="R267" s="157" t="str">
        <f t="shared" si="94"/>
        <v>100011PL188</v>
      </c>
      <c r="S267" s="157" t="str">
        <f t="shared" si="95"/>
        <v>100012PL188</v>
      </c>
      <c r="T267" s="157" t="str">
        <f t="shared" si="96"/>
        <v>100013PL188</v>
      </c>
      <c r="U267" s="157" t="str">
        <f t="shared" si="97"/>
        <v>100014PL188</v>
      </c>
      <c r="V267" s="157" t="str">
        <f t="shared" si="98"/>
        <v>100015PL188</v>
      </c>
      <c r="W267" s="157" t="str">
        <f t="shared" si="99"/>
        <v>100016PL188</v>
      </c>
      <c r="X267" s="154" t="s">
        <v>925</v>
      </c>
    </row>
    <row r="268" spans="1:24" s="158" customFormat="1">
      <c r="A268" s="164" t="s">
        <v>622</v>
      </c>
      <c r="B268" s="153">
        <f t="shared" si="100"/>
        <v>264</v>
      </c>
      <c r="C268" s="154" t="s">
        <v>926</v>
      </c>
      <c r="D268" s="154" t="s">
        <v>892</v>
      </c>
      <c r="E268" s="155">
        <f t="shared" si="82"/>
        <v>189</v>
      </c>
      <c r="F268" s="156" t="str">
        <f t="shared" si="83"/>
        <v>PL189</v>
      </c>
      <c r="G268" s="157" t="str">
        <f t="shared" si="101"/>
        <v>100000PL189</v>
      </c>
      <c r="H268" s="157" t="str">
        <f t="shared" si="84"/>
        <v>100001PL189</v>
      </c>
      <c r="I268" s="157" t="str">
        <f t="shared" si="85"/>
        <v>100002PL189</v>
      </c>
      <c r="J268" s="157" t="str">
        <f t="shared" si="86"/>
        <v>100003PL189</v>
      </c>
      <c r="K268" s="157" t="str">
        <f t="shared" si="87"/>
        <v>100004PL189</v>
      </c>
      <c r="L268" s="157" t="str">
        <f t="shared" si="88"/>
        <v>100005PL189</v>
      </c>
      <c r="M268" s="157" t="str">
        <f t="shared" si="89"/>
        <v>100006PL189</v>
      </c>
      <c r="N268" s="157" t="str">
        <f t="shared" si="90"/>
        <v>100007PL189</v>
      </c>
      <c r="O268" s="157" t="str">
        <f t="shared" si="91"/>
        <v>100008PL189</v>
      </c>
      <c r="P268" s="157" t="str">
        <f t="shared" si="92"/>
        <v>100009PL189</v>
      </c>
      <c r="Q268" s="157" t="str">
        <f t="shared" si="93"/>
        <v>100010PL189</v>
      </c>
      <c r="R268" s="157" t="str">
        <f t="shared" si="94"/>
        <v>100011PL189</v>
      </c>
      <c r="S268" s="157" t="str">
        <f t="shared" si="95"/>
        <v>100012PL189</v>
      </c>
      <c r="T268" s="157" t="str">
        <f t="shared" si="96"/>
        <v>100013PL189</v>
      </c>
      <c r="U268" s="157" t="str">
        <f t="shared" si="97"/>
        <v>100014PL189</v>
      </c>
      <c r="V268" s="157" t="str">
        <f t="shared" si="98"/>
        <v>100015PL189</v>
      </c>
      <c r="W268" s="157" t="str">
        <f t="shared" si="99"/>
        <v>100016PL189</v>
      </c>
      <c r="X268" s="154" t="s">
        <v>926</v>
      </c>
    </row>
    <row r="269" spans="1:24" s="158" customFormat="1">
      <c r="A269" s="164" t="s">
        <v>622</v>
      </c>
      <c r="B269" s="153">
        <f t="shared" si="100"/>
        <v>265</v>
      </c>
      <c r="C269" s="154" t="s">
        <v>927</v>
      </c>
      <c r="D269" s="154" t="s">
        <v>892</v>
      </c>
      <c r="E269" s="155">
        <f t="shared" si="82"/>
        <v>190</v>
      </c>
      <c r="F269" s="156" t="str">
        <f t="shared" si="83"/>
        <v>PL190</v>
      </c>
      <c r="G269" s="157" t="str">
        <f t="shared" si="101"/>
        <v>100000PL190</v>
      </c>
      <c r="H269" s="157" t="str">
        <f t="shared" si="84"/>
        <v>100001PL190</v>
      </c>
      <c r="I269" s="157" t="str">
        <f t="shared" si="85"/>
        <v>100002PL190</v>
      </c>
      <c r="J269" s="157" t="str">
        <f t="shared" si="86"/>
        <v>100003PL190</v>
      </c>
      <c r="K269" s="157" t="str">
        <f t="shared" si="87"/>
        <v>100004PL190</v>
      </c>
      <c r="L269" s="157" t="str">
        <f t="shared" si="88"/>
        <v>100005PL190</v>
      </c>
      <c r="M269" s="157" t="str">
        <f t="shared" si="89"/>
        <v>100006PL190</v>
      </c>
      <c r="N269" s="157" t="str">
        <f t="shared" si="90"/>
        <v>100007PL190</v>
      </c>
      <c r="O269" s="157" t="str">
        <f t="shared" si="91"/>
        <v>100008PL190</v>
      </c>
      <c r="P269" s="157" t="str">
        <f t="shared" si="92"/>
        <v>100009PL190</v>
      </c>
      <c r="Q269" s="157" t="str">
        <f t="shared" si="93"/>
        <v>100010PL190</v>
      </c>
      <c r="R269" s="157" t="str">
        <f t="shared" si="94"/>
        <v>100011PL190</v>
      </c>
      <c r="S269" s="157" t="str">
        <f t="shared" si="95"/>
        <v>100012PL190</v>
      </c>
      <c r="T269" s="157" t="str">
        <f t="shared" si="96"/>
        <v>100013PL190</v>
      </c>
      <c r="U269" s="157" t="str">
        <f t="shared" si="97"/>
        <v>100014PL190</v>
      </c>
      <c r="V269" s="157" t="str">
        <f t="shared" si="98"/>
        <v>100015PL190</v>
      </c>
      <c r="W269" s="157" t="str">
        <f t="shared" si="99"/>
        <v>100016PL190</v>
      </c>
      <c r="X269" s="154" t="s">
        <v>927</v>
      </c>
    </row>
    <row r="270" spans="1:24" s="158" customFormat="1">
      <c r="A270" s="164" t="s">
        <v>622</v>
      </c>
      <c r="B270" s="153">
        <f t="shared" si="100"/>
        <v>266</v>
      </c>
      <c r="C270" s="154" t="s">
        <v>928</v>
      </c>
      <c r="D270" s="154" t="s">
        <v>892</v>
      </c>
      <c r="E270" s="155">
        <f t="shared" si="82"/>
        <v>191</v>
      </c>
      <c r="F270" s="156" t="str">
        <f t="shared" si="83"/>
        <v>PL191</v>
      </c>
      <c r="G270" s="157" t="str">
        <f t="shared" si="101"/>
        <v>100000PL191</v>
      </c>
      <c r="H270" s="157" t="str">
        <f t="shared" si="84"/>
        <v>100001PL191</v>
      </c>
      <c r="I270" s="157" t="str">
        <f t="shared" si="85"/>
        <v>100002PL191</v>
      </c>
      <c r="J270" s="157" t="str">
        <f t="shared" si="86"/>
        <v>100003PL191</v>
      </c>
      <c r="K270" s="157" t="str">
        <f t="shared" si="87"/>
        <v>100004PL191</v>
      </c>
      <c r="L270" s="157" t="str">
        <f t="shared" si="88"/>
        <v>100005PL191</v>
      </c>
      <c r="M270" s="157" t="str">
        <f t="shared" si="89"/>
        <v>100006PL191</v>
      </c>
      <c r="N270" s="157" t="str">
        <f t="shared" si="90"/>
        <v>100007PL191</v>
      </c>
      <c r="O270" s="157" t="str">
        <f t="shared" si="91"/>
        <v>100008PL191</v>
      </c>
      <c r="P270" s="157" t="str">
        <f t="shared" si="92"/>
        <v>100009PL191</v>
      </c>
      <c r="Q270" s="157" t="str">
        <f t="shared" si="93"/>
        <v>100010PL191</v>
      </c>
      <c r="R270" s="157" t="str">
        <f t="shared" si="94"/>
        <v>100011PL191</v>
      </c>
      <c r="S270" s="157" t="str">
        <f t="shared" si="95"/>
        <v>100012PL191</v>
      </c>
      <c r="T270" s="157" t="str">
        <f t="shared" si="96"/>
        <v>100013PL191</v>
      </c>
      <c r="U270" s="157" t="str">
        <f t="shared" si="97"/>
        <v>100014PL191</v>
      </c>
      <c r="V270" s="157" t="str">
        <f t="shared" si="98"/>
        <v>100015PL191</v>
      </c>
      <c r="W270" s="157" t="str">
        <f t="shared" si="99"/>
        <v>100016PL191</v>
      </c>
      <c r="X270" s="154" t="s">
        <v>928</v>
      </c>
    </row>
    <row r="271" spans="1:24" s="158" customFormat="1">
      <c r="A271" s="164" t="s">
        <v>622</v>
      </c>
      <c r="B271" s="153">
        <f t="shared" si="100"/>
        <v>267</v>
      </c>
      <c r="C271" s="154" t="s">
        <v>929</v>
      </c>
      <c r="D271" s="154" t="s">
        <v>892</v>
      </c>
      <c r="E271" s="155">
        <f t="shared" si="82"/>
        <v>192</v>
      </c>
      <c r="F271" s="156" t="str">
        <f t="shared" si="83"/>
        <v>PL192</v>
      </c>
      <c r="G271" s="157" t="str">
        <f t="shared" si="101"/>
        <v>100000PL192</v>
      </c>
      <c r="H271" s="157" t="str">
        <f t="shared" si="84"/>
        <v>100001PL192</v>
      </c>
      <c r="I271" s="157" t="str">
        <f t="shared" si="85"/>
        <v>100002PL192</v>
      </c>
      <c r="J271" s="157" t="str">
        <f t="shared" si="86"/>
        <v>100003PL192</v>
      </c>
      <c r="K271" s="157" t="str">
        <f t="shared" si="87"/>
        <v>100004PL192</v>
      </c>
      <c r="L271" s="157" t="str">
        <f t="shared" si="88"/>
        <v>100005PL192</v>
      </c>
      <c r="M271" s="157" t="str">
        <f t="shared" si="89"/>
        <v>100006PL192</v>
      </c>
      <c r="N271" s="157" t="str">
        <f t="shared" si="90"/>
        <v>100007PL192</v>
      </c>
      <c r="O271" s="157" t="str">
        <f t="shared" si="91"/>
        <v>100008PL192</v>
      </c>
      <c r="P271" s="157" t="str">
        <f t="shared" si="92"/>
        <v>100009PL192</v>
      </c>
      <c r="Q271" s="157" t="str">
        <f t="shared" si="93"/>
        <v>100010PL192</v>
      </c>
      <c r="R271" s="157" t="str">
        <f t="shared" si="94"/>
        <v>100011PL192</v>
      </c>
      <c r="S271" s="157" t="str">
        <f t="shared" si="95"/>
        <v>100012PL192</v>
      </c>
      <c r="T271" s="157" t="str">
        <f t="shared" si="96"/>
        <v>100013PL192</v>
      </c>
      <c r="U271" s="157" t="str">
        <f t="shared" si="97"/>
        <v>100014PL192</v>
      </c>
      <c r="V271" s="157" t="str">
        <f t="shared" si="98"/>
        <v>100015PL192</v>
      </c>
      <c r="W271" s="157" t="str">
        <f t="shared" si="99"/>
        <v>100016PL192</v>
      </c>
      <c r="X271" s="154" t="s">
        <v>929</v>
      </c>
    </row>
    <row r="272" spans="1:24" s="158" customFormat="1">
      <c r="A272" s="164" t="s">
        <v>622</v>
      </c>
      <c r="B272" s="153">
        <f t="shared" si="100"/>
        <v>268</v>
      </c>
      <c r="C272" s="154" t="s">
        <v>924</v>
      </c>
      <c r="D272" s="154" t="s">
        <v>892</v>
      </c>
      <c r="E272" s="155">
        <f t="shared" si="82"/>
        <v>193</v>
      </c>
      <c r="F272" s="156" t="str">
        <f t="shared" si="83"/>
        <v>PL193</v>
      </c>
      <c r="G272" s="157" t="str">
        <f t="shared" si="101"/>
        <v>100000PL193</v>
      </c>
      <c r="H272" s="157" t="str">
        <f t="shared" si="84"/>
        <v>100001PL193</v>
      </c>
      <c r="I272" s="157" t="str">
        <f t="shared" si="85"/>
        <v>100002PL193</v>
      </c>
      <c r="J272" s="157" t="str">
        <f t="shared" si="86"/>
        <v>100003PL193</v>
      </c>
      <c r="K272" s="157" t="str">
        <f t="shared" si="87"/>
        <v>100004PL193</v>
      </c>
      <c r="L272" s="157" t="str">
        <f t="shared" si="88"/>
        <v>100005PL193</v>
      </c>
      <c r="M272" s="157" t="str">
        <f t="shared" si="89"/>
        <v>100006PL193</v>
      </c>
      <c r="N272" s="157" t="str">
        <f t="shared" si="90"/>
        <v>100007PL193</v>
      </c>
      <c r="O272" s="157" t="str">
        <f t="shared" si="91"/>
        <v>100008PL193</v>
      </c>
      <c r="P272" s="157" t="str">
        <f t="shared" si="92"/>
        <v>100009PL193</v>
      </c>
      <c r="Q272" s="157" t="str">
        <f t="shared" si="93"/>
        <v>100010PL193</v>
      </c>
      <c r="R272" s="157" t="str">
        <f t="shared" si="94"/>
        <v>100011PL193</v>
      </c>
      <c r="S272" s="157" t="str">
        <f t="shared" si="95"/>
        <v>100012PL193</v>
      </c>
      <c r="T272" s="157" t="str">
        <f t="shared" si="96"/>
        <v>100013PL193</v>
      </c>
      <c r="U272" s="157" t="str">
        <f t="shared" si="97"/>
        <v>100014PL193</v>
      </c>
      <c r="V272" s="157" t="str">
        <f t="shared" si="98"/>
        <v>100015PL193</v>
      </c>
      <c r="W272" s="157" t="str">
        <f t="shared" si="99"/>
        <v>100016PL193</v>
      </c>
      <c r="X272" s="154" t="s">
        <v>924</v>
      </c>
    </row>
    <row r="273" spans="1:24" s="158" customFormat="1">
      <c r="A273" s="164" t="s">
        <v>622</v>
      </c>
      <c r="B273" s="153">
        <f t="shared" si="100"/>
        <v>269</v>
      </c>
      <c r="C273" s="154" t="s">
        <v>930</v>
      </c>
      <c r="D273" s="154" t="s">
        <v>892</v>
      </c>
      <c r="E273" s="155">
        <f t="shared" si="82"/>
        <v>194</v>
      </c>
      <c r="F273" s="156" t="str">
        <f t="shared" si="83"/>
        <v>PL194</v>
      </c>
      <c r="G273" s="157" t="str">
        <f t="shared" si="101"/>
        <v>100000PL194</v>
      </c>
      <c r="H273" s="157" t="str">
        <f t="shared" si="84"/>
        <v>100001PL194</v>
      </c>
      <c r="I273" s="157" t="str">
        <f t="shared" si="85"/>
        <v>100002PL194</v>
      </c>
      <c r="J273" s="157" t="str">
        <f t="shared" si="86"/>
        <v>100003PL194</v>
      </c>
      <c r="K273" s="157" t="str">
        <f t="shared" si="87"/>
        <v>100004PL194</v>
      </c>
      <c r="L273" s="157" t="str">
        <f t="shared" si="88"/>
        <v>100005PL194</v>
      </c>
      <c r="M273" s="157" t="str">
        <f t="shared" si="89"/>
        <v>100006PL194</v>
      </c>
      <c r="N273" s="157" t="str">
        <f t="shared" si="90"/>
        <v>100007PL194</v>
      </c>
      <c r="O273" s="157" t="str">
        <f t="shared" si="91"/>
        <v>100008PL194</v>
      </c>
      <c r="P273" s="157" t="str">
        <f t="shared" si="92"/>
        <v>100009PL194</v>
      </c>
      <c r="Q273" s="157" t="str">
        <f t="shared" si="93"/>
        <v>100010PL194</v>
      </c>
      <c r="R273" s="157" t="str">
        <f t="shared" si="94"/>
        <v>100011PL194</v>
      </c>
      <c r="S273" s="157" t="str">
        <f t="shared" si="95"/>
        <v>100012PL194</v>
      </c>
      <c r="T273" s="157" t="str">
        <f t="shared" si="96"/>
        <v>100013PL194</v>
      </c>
      <c r="U273" s="157" t="str">
        <f t="shared" si="97"/>
        <v>100014PL194</v>
      </c>
      <c r="V273" s="157" t="str">
        <f t="shared" si="98"/>
        <v>100015PL194</v>
      </c>
      <c r="W273" s="157" t="str">
        <f t="shared" si="99"/>
        <v>100016PL194</v>
      </c>
      <c r="X273" s="154" t="s">
        <v>930</v>
      </c>
    </row>
    <row r="274" spans="1:24" s="158" customFormat="1">
      <c r="A274" s="164" t="s">
        <v>622</v>
      </c>
      <c r="B274" s="153">
        <f t="shared" si="100"/>
        <v>270</v>
      </c>
      <c r="C274" s="154" t="s">
        <v>931</v>
      </c>
      <c r="D274" s="154" t="s">
        <v>892</v>
      </c>
      <c r="E274" s="155">
        <f t="shared" si="82"/>
        <v>195</v>
      </c>
      <c r="F274" s="156" t="str">
        <f t="shared" si="83"/>
        <v>PL195</v>
      </c>
      <c r="G274" s="157" t="str">
        <f t="shared" si="101"/>
        <v>100000PL195</v>
      </c>
      <c r="H274" s="157" t="str">
        <f t="shared" si="84"/>
        <v>100001PL195</v>
      </c>
      <c r="I274" s="157" t="str">
        <f t="shared" si="85"/>
        <v>100002PL195</v>
      </c>
      <c r="J274" s="157" t="str">
        <f t="shared" si="86"/>
        <v>100003PL195</v>
      </c>
      <c r="K274" s="157" t="str">
        <f t="shared" si="87"/>
        <v>100004PL195</v>
      </c>
      <c r="L274" s="157" t="str">
        <f t="shared" si="88"/>
        <v>100005PL195</v>
      </c>
      <c r="M274" s="157" t="str">
        <f t="shared" si="89"/>
        <v>100006PL195</v>
      </c>
      <c r="N274" s="157" t="str">
        <f t="shared" si="90"/>
        <v>100007PL195</v>
      </c>
      <c r="O274" s="157" t="str">
        <f t="shared" si="91"/>
        <v>100008PL195</v>
      </c>
      <c r="P274" s="157" t="str">
        <f t="shared" si="92"/>
        <v>100009PL195</v>
      </c>
      <c r="Q274" s="157" t="str">
        <f t="shared" si="93"/>
        <v>100010PL195</v>
      </c>
      <c r="R274" s="157" t="str">
        <f t="shared" si="94"/>
        <v>100011PL195</v>
      </c>
      <c r="S274" s="157" t="str">
        <f t="shared" si="95"/>
        <v>100012PL195</v>
      </c>
      <c r="T274" s="157" t="str">
        <f t="shared" si="96"/>
        <v>100013PL195</v>
      </c>
      <c r="U274" s="157" t="str">
        <f t="shared" si="97"/>
        <v>100014PL195</v>
      </c>
      <c r="V274" s="157" t="str">
        <f t="shared" si="98"/>
        <v>100015PL195</v>
      </c>
      <c r="W274" s="157" t="str">
        <f t="shared" si="99"/>
        <v>100016PL195</v>
      </c>
      <c r="X274" s="154" t="s">
        <v>931</v>
      </c>
    </row>
    <row r="275" spans="1:24" s="158" customFormat="1">
      <c r="A275" s="164" t="s">
        <v>622</v>
      </c>
      <c r="B275" s="153">
        <f t="shared" si="100"/>
        <v>271</v>
      </c>
      <c r="C275" s="154" t="s">
        <v>932</v>
      </c>
      <c r="D275" s="154" t="s">
        <v>892</v>
      </c>
      <c r="E275" s="155">
        <f t="shared" si="82"/>
        <v>196</v>
      </c>
      <c r="F275" s="156" t="str">
        <f t="shared" si="83"/>
        <v>PL196</v>
      </c>
      <c r="G275" s="157" t="str">
        <f t="shared" si="101"/>
        <v>100000PL196</v>
      </c>
      <c r="H275" s="157" t="str">
        <f t="shared" si="84"/>
        <v>100001PL196</v>
      </c>
      <c r="I275" s="157" t="str">
        <f t="shared" si="85"/>
        <v>100002PL196</v>
      </c>
      <c r="J275" s="157" t="str">
        <f t="shared" si="86"/>
        <v>100003PL196</v>
      </c>
      <c r="K275" s="157" t="str">
        <f t="shared" si="87"/>
        <v>100004PL196</v>
      </c>
      <c r="L275" s="157" t="str">
        <f t="shared" si="88"/>
        <v>100005PL196</v>
      </c>
      <c r="M275" s="157" t="str">
        <f t="shared" si="89"/>
        <v>100006PL196</v>
      </c>
      <c r="N275" s="157" t="str">
        <f t="shared" si="90"/>
        <v>100007PL196</v>
      </c>
      <c r="O275" s="157" t="str">
        <f t="shared" si="91"/>
        <v>100008PL196</v>
      </c>
      <c r="P275" s="157" t="str">
        <f t="shared" si="92"/>
        <v>100009PL196</v>
      </c>
      <c r="Q275" s="157" t="str">
        <f t="shared" si="93"/>
        <v>100010PL196</v>
      </c>
      <c r="R275" s="157" t="str">
        <f t="shared" si="94"/>
        <v>100011PL196</v>
      </c>
      <c r="S275" s="157" t="str">
        <f t="shared" si="95"/>
        <v>100012PL196</v>
      </c>
      <c r="T275" s="157" t="str">
        <f t="shared" si="96"/>
        <v>100013PL196</v>
      </c>
      <c r="U275" s="157" t="str">
        <f t="shared" si="97"/>
        <v>100014PL196</v>
      </c>
      <c r="V275" s="157" t="str">
        <f t="shared" si="98"/>
        <v>100015PL196</v>
      </c>
      <c r="W275" s="157" t="str">
        <f t="shared" si="99"/>
        <v>100016PL196</v>
      </c>
      <c r="X275" s="154" t="s">
        <v>932</v>
      </c>
    </row>
    <row r="276" spans="1:24" s="158" customFormat="1">
      <c r="A276" s="164" t="s">
        <v>622</v>
      </c>
      <c r="B276" s="153">
        <f t="shared" si="100"/>
        <v>272</v>
      </c>
      <c r="C276" s="154" t="s">
        <v>933</v>
      </c>
      <c r="D276" s="154" t="s">
        <v>892</v>
      </c>
      <c r="E276" s="155">
        <f t="shared" si="82"/>
        <v>197</v>
      </c>
      <c r="F276" s="156" t="str">
        <f t="shared" si="83"/>
        <v>PL197</v>
      </c>
      <c r="G276" s="157" t="str">
        <f t="shared" si="101"/>
        <v>100000PL197</v>
      </c>
      <c r="H276" s="157" t="str">
        <f t="shared" si="84"/>
        <v>100001PL197</v>
      </c>
      <c r="I276" s="157" t="str">
        <f t="shared" si="85"/>
        <v>100002PL197</v>
      </c>
      <c r="J276" s="157" t="str">
        <f t="shared" si="86"/>
        <v>100003PL197</v>
      </c>
      <c r="K276" s="157" t="str">
        <f t="shared" si="87"/>
        <v>100004PL197</v>
      </c>
      <c r="L276" s="157" t="str">
        <f t="shared" si="88"/>
        <v>100005PL197</v>
      </c>
      <c r="M276" s="157" t="str">
        <f t="shared" si="89"/>
        <v>100006PL197</v>
      </c>
      <c r="N276" s="157" t="str">
        <f t="shared" si="90"/>
        <v>100007PL197</v>
      </c>
      <c r="O276" s="157" t="str">
        <f t="shared" si="91"/>
        <v>100008PL197</v>
      </c>
      <c r="P276" s="157" t="str">
        <f t="shared" si="92"/>
        <v>100009PL197</v>
      </c>
      <c r="Q276" s="157" t="str">
        <f t="shared" si="93"/>
        <v>100010PL197</v>
      </c>
      <c r="R276" s="157" t="str">
        <f t="shared" si="94"/>
        <v>100011PL197</v>
      </c>
      <c r="S276" s="157" t="str">
        <f t="shared" si="95"/>
        <v>100012PL197</v>
      </c>
      <c r="T276" s="157" t="str">
        <f t="shared" si="96"/>
        <v>100013PL197</v>
      </c>
      <c r="U276" s="157" t="str">
        <f t="shared" si="97"/>
        <v>100014PL197</v>
      </c>
      <c r="V276" s="157" t="str">
        <f t="shared" si="98"/>
        <v>100015PL197</v>
      </c>
      <c r="W276" s="157" t="str">
        <f t="shared" si="99"/>
        <v>100016PL197</v>
      </c>
      <c r="X276" s="154" t="s">
        <v>933</v>
      </c>
    </row>
    <row r="277" spans="1:24" s="158" customFormat="1">
      <c r="A277" s="164" t="s">
        <v>622</v>
      </c>
      <c r="B277" s="153">
        <f t="shared" si="100"/>
        <v>273</v>
      </c>
      <c r="C277" s="154" t="s">
        <v>934</v>
      </c>
      <c r="D277" s="154" t="s">
        <v>892</v>
      </c>
      <c r="E277" s="155">
        <f t="shared" si="82"/>
        <v>198</v>
      </c>
      <c r="F277" s="156" t="str">
        <f t="shared" si="83"/>
        <v>PL198</v>
      </c>
      <c r="G277" s="157" t="str">
        <f t="shared" si="101"/>
        <v>100000PL198</v>
      </c>
      <c r="H277" s="157" t="str">
        <f t="shared" si="84"/>
        <v>100001PL198</v>
      </c>
      <c r="I277" s="157" t="str">
        <f t="shared" si="85"/>
        <v>100002PL198</v>
      </c>
      <c r="J277" s="157" t="str">
        <f t="shared" si="86"/>
        <v>100003PL198</v>
      </c>
      <c r="K277" s="157" t="str">
        <f t="shared" si="87"/>
        <v>100004PL198</v>
      </c>
      <c r="L277" s="157" t="str">
        <f t="shared" si="88"/>
        <v>100005PL198</v>
      </c>
      <c r="M277" s="157" t="str">
        <f t="shared" si="89"/>
        <v>100006PL198</v>
      </c>
      <c r="N277" s="157" t="str">
        <f t="shared" si="90"/>
        <v>100007PL198</v>
      </c>
      <c r="O277" s="157" t="str">
        <f t="shared" si="91"/>
        <v>100008PL198</v>
      </c>
      <c r="P277" s="157" t="str">
        <f t="shared" si="92"/>
        <v>100009PL198</v>
      </c>
      <c r="Q277" s="157" t="str">
        <f t="shared" si="93"/>
        <v>100010PL198</v>
      </c>
      <c r="R277" s="157" t="str">
        <f t="shared" si="94"/>
        <v>100011PL198</v>
      </c>
      <c r="S277" s="157" t="str">
        <f t="shared" si="95"/>
        <v>100012PL198</v>
      </c>
      <c r="T277" s="157" t="str">
        <f t="shared" si="96"/>
        <v>100013PL198</v>
      </c>
      <c r="U277" s="157" t="str">
        <f t="shared" si="97"/>
        <v>100014PL198</v>
      </c>
      <c r="V277" s="157" t="str">
        <f t="shared" si="98"/>
        <v>100015PL198</v>
      </c>
      <c r="W277" s="157" t="str">
        <f t="shared" si="99"/>
        <v>100016PL198</v>
      </c>
      <c r="X277" s="154" t="s">
        <v>934</v>
      </c>
    </row>
    <row r="278" spans="1:24" s="158" customFormat="1">
      <c r="A278" s="164" t="s">
        <v>622</v>
      </c>
      <c r="B278" s="153">
        <f t="shared" si="100"/>
        <v>274</v>
      </c>
      <c r="C278" s="154" t="s">
        <v>935</v>
      </c>
      <c r="D278" s="154" t="s">
        <v>892</v>
      </c>
      <c r="E278" s="155">
        <f t="shared" si="82"/>
        <v>199</v>
      </c>
      <c r="F278" s="156" t="str">
        <f t="shared" si="83"/>
        <v>PL199</v>
      </c>
      <c r="G278" s="157" t="str">
        <f t="shared" si="101"/>
        <v>100000PL199</v>
      </c>
      <c r="H278" s="157" t="str">
        <f t="shared" si="84"/>
        <v>100001PL199</v>
      </c>
      <c r="I278" s="157" t="str">
        <f t="shared" si="85"/>
        <v>100002PL199</v>
      </c>
      <c r="J278" s="157" t="str">
        <f t="shared" si="86"/>
        <v>100003PL199</v>
      </c>
      <c r="K278" s="157" t="str">
        <f t="shared" si="87"/>
        <v>100004PL199</v>
      </c>
      <c r="L278" s="157" t="str">
        <f t="shared" si="88"/>
        <v>100005PL199</v>
      </c>
      <c r="M278" s="157" t="str">
        <f t="shared" si="89"/>
        <v>100006PL199</v>
      </c>
      <c r="N278" s="157" t="str">
        <f t="shared" si="90"/>
        <v>100007PL199</v>
      </c>
      <c r="O278" s="157" t="str">
        <f t="shared" si="91"/>
        <v>100008PL199</v>
      </c>
      <c r="P278" s="157" t="str">
        <f t="shared" si="92"/>
        <v>100009PL199</v>
      </c>
      <c r="Q278" s="157" t="str">
        <f t="shared" si="93"/>
        <v>100010PL199</v>
      </c>
      <c r="R278" s="157" t="str">
        <f t="shared" si="94"/>
        <v>100011PL199</v>
      </c>
      <c r="S278" s="157" t="str">
        <f t="shared" si="95"/>
        <v>100012PL199</v>
      </c>
      <c r="T278" s="157" t="str">
        <f t="shared" si="96"/>
        <v>100013PL199</v>
      </c>
      <c r="U278" s="157" t="str">
        <f t="shared" si="97"/>
        <v>100014PL199</v>
      </c>
      <c r="V278" s="157" t="str">
        <f t="shared" si="98"/>
        <v>100015PL199</v>
      </c>
      <c r="W278" s="157" t="str">
        <f t="shared" si="99"/>
        <v>100016PL199</v>
      </c>
      <c r="X278" s="154" t="s">
        <v>935</v>
      </c>
    </row>
    <row r="279" spans="1:24" s="158" customFormat="1">
      <c r="A279" s="164" t="s">
        <v>622</v>
      </c>
      <c r="B279" s="153">
        <f t="shared" si="100"/>
        <v>275</v>
      </c>
      <c r="C279" s="154" t="s">
        <v>936</v>
      </c>
      <c r="D279" s="154" t="s">
        <v>892</v>
      </c>
      <c r="E279" s="155">
        <f t="shared" si="82"/>
        <v>200</v>
      </c>
      <c r="F279" s="156" t="str">
        <f t="shared" si="83"/>
        <v>PL200</v>
      </c>
      <c r="G279" s="157" t="str">
        <f t="shared" si="101"/>
        <v>100000PL200</v>
      </c>
      <c r="H279" s="157" t="str">
        <f t="shared" si="84"/>
        <v>100001PL200</v>
      </c>
      <c r="I279" s="157" t="str">
        <f t="shared" si="85"/>
        <v>100002PL200</v>
      </c>
      <c r="J279" s="157" t="str">
        <f t="shared" si="86"/>
        <v>100003PL200</v>
      </c>
      <c r="K279" s="157" t="str">
        <f t="shared" si="87"/>
        <v>100004PL200</v>
      </c>
      <c r="L279" s="157" t="str">
        <f t="shared" si="88"/>
        <v>100005PL200</v>
      </c>
      <c r="M279" s="157" t="str">
        <f t="shared" si="89"/>
        <v>100006PL200</v>
      </c>
      <c r="N279" s="157" t="str">
        <f t="shared" si="90"/>
        <v>100007PL200</v>
      </c>
      <c r="O279" s="157" t="str">
        <f t="shared" si="91"/>
        <v>100008PL200</v>
      </c>
      <c r="P279" s="157" t="str">
        <f t="shared" si="92"/>
        <v>100009PL200</v>
      </c>
      <c r="Q279" s="157" t="str">
        <f t="shared" si="93"/>
        <v>100010PL200</v>
      </c>
      <c r="R279" s="157" t="str">
        <f t="shared" si="94"/>
        <v>100011PL200</v>
      </c>
      <c r="S279" s="157" t="str">
        <f t="shared" si="95"/>
        <v>100012PL200</v>
      </c>
      <c r="T279" s="157" t="str">
        <f t="shared" si="96"/>
        <v>100013PL200</v>
      </c>
      <c r="U279" s="157" t="str">
        <f t="shared" si="97"/>
        <v>100014PL200</v>
      </c>
      <c r="V279" s="157" t="str">
        <f t="shared" si="98"/>
        <v>100015PL200</v>
      </c>
      <c r="W279" s="157" t="str">
        <f t="shared" si="99"/>
        <v>100016PL200</v>
      </c>
      <c r="X279" s="154" t="s">
        <v>936</v>
      </c>
    </row>
    <row r="280" spans="1:24" s="158" customFormat="1">
      <c r="A280" s="164" t="s">
        <v>622</v>
      </c>
      <c r="B280" s="153">
        <f t="shared" si="100"/>
        <v>276</v>
      </c>
      <c r="C280" s="154" t="s">
        <v>937</v>
      </c>
      <c r="D280" s="154" t="s">
        <v>892</v>
      </c>
      <c r="E280" s="155">
        <f t="shared" si="82"/>
        <v>201</v>
      </c>
      <c r="F280" s="156" t="str">
        <f t="shared" si="83"/>
        <v>PL201</v>
      </c>
      <c r="G280" s="157" t="str">
        <f t="shared" si="101"/>
        <v>100000PL201</v>
      </c>
      <c r="H280" s="157" t="str">
        <f t="shared" si="84"/>
        <v>100001PL201</v>
      </c>
      <c r="I280" s="157" t="str">
        <f t="shared" si="85"/>
        <v>100002PL201</v>
      </c>
      <c r="J280" s="157" t="str">
        <f t="shared" si="86"/>
        <v>100003PL201</v>
      </c>
      <c r="K280" s="157" t="str">
        <f t="shared" si="87"/>
        <v>100004PL201</v>
      </c>
      <c r="L280" s="157" t="str">
        <f t="shared" si="88"/>
        <v>100005PL201</v>
      </c>
      <c r="M280" s="157" t="str">
        <f t="shared" si="89"/>
        <v>100006PL201</v>
      </c>
      <c r="N280" s="157" t="str">
        <f t="shared" si="90"/>
        <v>100007PL201</v>
      </c>
      <c r="O280" s="157" t="str">
        <f t="shared" si="91"/>
        <v>100008PL201</v>
      </c>
      <c r="P280" s="157" t="str">
        <f t="shared" si="92"/>
        <v>100009PL201</v>
      </c>
      <c r="Q280" s="157" t="str">
        <f t="shared" si="93"/>
        <v>100010PL201</v>
      </c>
      <c r="R280" s="157" t="str">
        <f t="shared" si="94"/>
        <v>100011PL201</v>
      </c>
      <c r="S280" s="157" t="str">
        <f t="shared" si="95"/>
        <v>100012PL201</v>
      </c>
      <c r="T280" s="157" t="str">
        <f t="shared" si="96"/>
        <v>100013PL201</v>
      </c>
      <c r="U280" s="157" t="str">
        <f t="shared" si="97"/>
        <v>100014PL201</v>
      </c>
      <c r="V280" s="157" t="str">
        <f t="shared" si="98"/>
        <v>100015PL201</v>
      </c>
      <c r="W280" s="157" t="str">
        <f t="shared" si="99"/>
        <v>100016PL201</v>
      </c>
      <c r="X280" s="154" t="s">
        <v>937</v>
      </c>
    </row>
    <row r="281" spans="1:24" s="158" customFormat="1">
      <c r="A281" s="164" t="s">
        <v>622</v>
      </c>
      <c r="B281" s="153">
        <f t="shared" si="100"/>
        <v>277</v>
      </c>
      <c r="C281" s="154" t="s">
        <v>932</v>
      </c>
      <c r="D281" s="154" t="s">
        <v>892</v>
      </c>
      <c r="E281" s="155">
        <f t="shared" si="82"/>
        <v>202</v>
      </c>
      <c r="F281" s="156" t="str">
        <f t="shared" si="83"/>
        <v>PL202</v>
      </c>
      <c r="G281" s="157" t="str">
        <f t="shared" si="101"/>
        <v>100000PL202</v>
      </c>
      <c r="H281" s="157" t="str">
        <f t="shared" si="84"/>
        <v>100001PL202</v>
      </c>
      <c r="I281" s="157" t="str">
        <f t="shared" si="85"/>
        <v>100002PL202</v>
      </c>
      <c r="J281" s="157" t="str">
        <f t="shared" si="86"/>
        <v>100003PL202</v>
      </c>
      <c r="K281" s="157" t="str">
        <f t="shared" si="87"/>
        <v>100004PL202</v>
      </c>
      <c r="L281" s="157" t="str">
        <f t="shared" si="88"/>
        <v>100005PL202</v>
      </c>
      <c r="M281" s="157" t="str">
        <f t="shared" si="89"/>
        <v>100006PL202</v>
      </c>
      <c r="N281" s="157" t="str">
        <f t="shared" si="90"/>
        <v>100007PL202</v>
      </c>
      <c r="O281" s="157" t="str">
        <f t="shared" si="91"/>
        <v>100008PL202</v>
      </c>
      <c r="P281" s="157" t="str">
        <f t="shared" si="92"/>
        <v>100009PL202</v>
      </c>
      <c r="Q281" s="157" t="str">
        <f t="shared" si="93"/>
        <v>100010PL202</v>
      </c>
      <c r="R281" s="157" t="str">
        <f t="shared" si="94"/>
        <v>100011PL202</v>
      </c>
      <c r="S281" s="157" t="str">
        <f t="shared" si="95"/>
        <v>100012PL202</v>
      </c>
      <c r="T281" s="157" t="str">
        <f t="shared" si="96"/>
        <v>100013PL202</v>
      </c>
      <c r="U281" s="157" t="str">
        <f t="shared" si="97"/>
        <v>100014PL202</v>
      </c>
      <c r="V281" s="157" t="str">
        <f t="shared" si="98"/>
        <v>100015PL202</v>
      </c>
      <c r="W281" s="157" t="str">
        <f t="shared" si="99"/>
        <v>100016PL202</v>
      </c>
      <c r="X281" s="154" t="s">
        <v>932</v>
      </c>
    </row>
    <row r="282" spans="1:24" s="158" customFormat="1">
      <c r="A282" s="164" t="s">
        <v>622</v>
      </c>
      <c r="B282" s="153">
        <f t="shared" si="100"/>
        <v>278</v>
      </c>
      <c r="C282" s="154" t="s">
        <v>938</v>
      </c>
      <c r="D282" s="154" t="s">
        <v>892</v>
      </c>
      <c r="E282" s="155">
        <f t="shared" si="82"/>
        <v>203</v>
      </c>
      <c r="F282" s="156" t="str">
        <f t="shared" si="83"/>
        <v>PL203</v>
      </c>
      <c r="G282" s="157" t="str">
        <f t="shared" si="101"/>
        <v>100000PL203</v>
      </c>
      <c r="H282" s="157" t="str">
        <f t="shared" si="84"/>
        <v>100001PL203</v>
      </c>
      <c r="I282" s="157" t="str">
        <f t="shared" si="85"/>
        <v>100002PL203</v>
      </c>
      <c r="J282" s="157" t="str">
        <f t="shared" si="86"/>
        <v>100003PL203</v>
      </c>
      <c r="K282" s="157" t="str">
        <f t="shared" si="87"/>
        <v>100004PL203</v>
      </c>
      <c r="L282" s="157" t="str">
        <f t="shared" si="88"/>
        <v>100005PL203</v>
      </c>
      <c r="M282" s="157" t="str">
        <f t="shared" si="89"/>
        <v>100006PL203</v>
      </c>
      <c r="N282" s="157" t="str">
        <f t="shared" si="90"/>
        <v>100007PL203</v>
      </c>
      <c r="O282" s="157" t="str">
        <f t="shared" si="91"/>
        <v>100008PL203</v>
      </c>
      <c r="P282" s="157" t="str">
        <f t="shared" si="92"/>
        <v>100009PL203</v>
      </c>
      <c r="Q282" s="157" t="str">
        <f t="shared" si="93"/>
        <v>100010PL203</v>
      </c>
      <c r="R282" s="157" t="str">
        <f t="shared" si="94"/>
        <v>100011PL203</v>
      </c>
      <c r="S282" s="157" t="str">
        <f t="shared" si="95"/>
        <v>100012PL203</v>
      </c>
      <c r="T282" s="157" t="str">
        <f t="shared" si="96"/>
        <v>100013PL203</v>
      </c>
      <c r="U282" s="157" t="str">
        <f t="shared" si="97"/>
        <v>100014PL203</v>
      </c>
      <c r="V282" s="157" t="str">
        <f t="shared" si="98"/>
        <v>100015PL203</v>
      </c>
      <c r="W282" s="157" t="str">
        <f t="shared" si="99"/>
        <v>100016PL203</v>
      </c>
      <c r="X282" s="154" t="s">
        <v>938</v>
      </c>
    </row>
    <row r="283" spans="1:24" s="158" customFormat="1">
      <c r="A283" s="164" t="s">
        <v>622</v>
      </c>
      <c r="B283" s="153">
        <f t="shared" si="100"/>
        <v>279</v>
      </c>
      <c r="C283" s="154" t="s">
        <v>939</v>
      </c>
      <c r="D283" s="154" t="s">
        <v>892</v>
      </c>
      <c r="E283" s="155">
        <f t="shared" si="82"/>
        <v>204</v>
      </c>
      <c r="F283" s="156" t="str">
        <f t="shared" si="83"/>
        <v>PL204</v>
      </c>
      <c r="G283" s="157" t="str">
        <f t="shared" si="101"/>
        <v>100000PL204</v>
      </c>
      <c r="H283" s="157" t="str">
        <f t="shared" si="84"/>
        <v>100001PL204</v>
      </c>
      <c r="I283" s="157" t="str">
        <f t="shared" si="85"/>
        <v>100002PL204</v>
      </c>
      <c r="J283" s="157" t="str">
        <f t="shared" si="86"/>
        <v>100003PL204</v>
      </c>
      <c r="K283" s="157" t="str">
        <f t="shared" si="87"/>
        <v>100004PL204</v>
      </c>
      <c r="L283" s="157" t="str">
        <f t="shared" si="88"/>
        <v>100005PL204</v>
      </c>
      <c r="M283" s="157" t="str">
        <f t="shared" si="89"/>
        <v>100006PL204</v>
      </c>
      <c r="N283" s="157" t="str">
        <f t="shared" si="90"/>
        <v>100007PL204</v>
      </c>
      <c r="O283" s="157" t="str">
        <f t="shared" si="91"/>
        <v>100008PL204</v>
      </c>
      <c r="P283" s="157" t="str">
        <f t="shared" si="92"/>
        <v>100009PL204</v>
      </c>
      <c r="Q283" s="157" t="str">
        <f t="shared" si="93"/>
        <v>100010PL204</v>
      </c>
      <c r="R283" s="157" t="str">
        <f t="shared" si="94"/>
        <v>100011PL204</v>
      </c>
      <c r="S283" s="157" t="str">
        <f t="shared" si="95"/>
        <v>100012PL204</v>
      </c>
      <c r="T283" s="157" t="str">
        <f t="shared" si="96"/>
        <v>100013PL204</v>
      </c>
      <c r="U283" s="157" t="str">
        <f t="shared" si="97"/>
        <v>100014PL204</v>
      </c>
      <c r="V283" s="157" t="str">
        <f t="shared" si="98"/>
        <v>100015PL204</v>
      </c>
      <c r="W283" s="157" t="str">
        <f t="shared" si="99"/>
        <v>100016PL204</v>
      </c>
      <c r="X283" s="154" t="s">
        <v>939</v>
      </c>
    </row>
    <row r="284" spans="1:24">
      <c r="A284" s="162">
        <v>11</v>
      </c>
      <c r="B284" s="140">
        <f t="shared" si="100"/>
        <v>280</v>
      </c>
      <c r="C284" s="144" t="s">
        <v>940</v>
      </c>
      <c r="D284" s="144" t="s">
        <v>777</v>
      </c>
      <c r="E284" s="142">
        <f>E265+1</f>
        <v>274</v>
      </c>
      <c r="F284" s="152" t="str">
        <f t="shared" si="83"/>
        <v>BS274</v>
      </c>
      <c r="G284" s="143" t="str">
        <f t="shared" si="101"/>
        <v>100000BS274</v>
      </c>
      <c r="H284" s="143" t="str">
        <f t="shared" si="84"/>
        <v>100001BS274</v>
      </c>
      <c r="I284" s="143" t="str">
        <f t="shared" si="85"/>
        <v>100002BS274</v>
      </c>
      <c r="J284" s="143" t="str">
        <f t="shared" si="86"/>
        <v>100003BS274</v>
      </c>
      <c r="K284" s="143" t="str">
        <f t="shared" si="87"/>
        <v>100004BS274</v>
      </c>
      <c r="L284" s="143" t="str">
        <f t="shared" si="88"/>
        <v>100005BS274</v>
      </c>
      <c r="M284" s="143" t="str">
        <f t="shared" si="89"/>
        <v>100006BS274</v>
      </c>
      <c r="N284" s="143" t="str">
        <f t="shared" si="90"/>
        <v>100007BS274</v>
      </c>
      <c r="O284" s="143" t="str">
        <f t="shared" si="91"/>
        <v>100008BS274</v>
      </c>
      <c r="P284" s="143" t="str">
        <f t="shared" si="92"/>
        <v>100009BS274</v>
      </c>
      <c r="Q284" s="143" t="str">
        <f t="shared" si="93"/>
        <v>100010BS274</v>
      </c>
      <c r="R284" s="143" t="str">
        <f t="shared" si="94"/>
        <v>100011BS274</v>
      </c>
      <c r="S284" s="143" t="str">
        <f t="shared" si="95"/>
        <v>100012BS274</v>
      </c>
      <c r="T284" s="143" t="str">
        <f t="shared" si="96"/>
        <v>100013BS274</v>
      </c>
      <c r="U284" s="143" t="str">
        <f t="shared" si="97"/>
        <v>100014BS274</v>
      </c>
      <c r="V284" s="143" t="str">
        <f t="shared" si="98"/>
        <v>100015BS274</v>
      </c>
      <c r="W284" s="143" t="str">
        <f t="shared" si="99"/>
        <v>100016BS274</v>
      </c>
      <c r="X284" s="144" t="s">
        <v>940</v>
      </c>
    </row>
    <row r="285" spans="1:24">
      <c r="A285" s="162">
        <v>11</v>
      </c>
      <c r="B285" s="140">
        <f t="shared" si="100"/>
        <v>281</v>
      </c>
      <c r="C285" s="144" t="s">
        <v>941</v>
      </c>
      <c r="D285" s="144" t="s">
        <v>777</v>
      </c>
      <c r="E285" s="142">
        <f t="shared" si="82"/>
        <v>275</v>
      </c>
      <c r="F285" s="152" t="str">
        <f t="shared" si="83"/>
        <v>BS275</v>
      </c>
      <c r="G285" s="143" t="str">
        <f t="shared" si="101"/>
        <v>100000BS275</v>
      </c>
      <c r="H285" s="143" t="str">
        <f t="shared" si="84"/>
        <v>100001BS275</v>
      </c>
      <c r="I285" s="143" t="str">
        <f t="shared" si="85"/>
        <v>100002BS275</v>
      </c>
      <c r="J285" s="143" t="str">
        <f t="shared" si="86"/>
        <v>100003BS275</v>
      </c>
      <c r="K285" s="143" t="str">
        <f t="shared" si="87"/>
        <v>100004BS275</v>
      </c>
      <c r="L285" s="143" t="str">
        <f t="shared" si="88"/>
        <v>100005BS275</v>
      </c>
      <c r="M285" s="143" t="str">
        <f t="shared" si="89"/>
        <v>100006BS275</v>
      </c>
      <c r="N285" s="143" t="str">
        <f t="shared" si="90"/>
        <v>100007BS275</v>
      </c>
      <c r="O285" s="143" t="str">
        <f t="shared" si="91"/>
        <v>100008BS275</v>
      </c>
      <c r="P285" s="143" t="str">
        <f t="shared" si="92"/>
        <v>100009BS275</v>
      </c>
      <c r="Q285" s="143" t="str">
        <f t="shared" si="93"/>
        <v>100010BS275</v>
      </c>
      <c r="R285" s="143" t="str">
        <f t="shared" si="94"/>
        <v>100011BS275</v>
      </c>
      <c r="S285" s="143" t="str">
        <f t="shared" si="95"/>
        <v>100012BS275</v>
      </c>
      <c r="T285" s="143" t="str">
        <f t="shared" si="96"/>
        <v>100013BS275</v>
      </c>
      <c r="U285" s="143" t="str">
        <f t="shared" si="97"/>
        <v>100014BS275</v>
      </c>
      <c r="V285" s="143" t="str">
        <f t="shared" si="98"/>
        <v>100015BS275</v>
      </c>
      <c r="W285" s="143" t="str">
        <f t="shared" si="99"/>
        <v>100016BS275</v>
      </c>
      <c r="X285" s="144" t="s">
        <v>941</v>
      </c>
    </row>
    <row r="286" spans="1:24">
      <c r="A286" s="162">
        <v>11</v>
      </c>
      <c r="B286" s="140">
        <f t="shared" si="100"/>
        <v>282</v>
      </c>
      <c r="C286" s="144" t="s">
        <v>942</v>
      </c>
      <c r="D286" s="144" t="s">
        <v>777</v>
      </c>
      <c r="E286" s="142">
        <f t="shared" si="82"/>
        <v>276</v>
      </c>
      <c r="F286" s="152" t="str">
        <f t="shared" si="83"/>
        <v>BS276</v>
      </c>
      <c r="G286" s="143" t="str">
        <f t="shared" si="101"/>
        <v>100000BS276</v>
      </c>
      <c r="H286" s="143" t="str">
        <f t="shared" si="84"/>
        <v>100001BS276</v>
      </c>
      <c r="I286" s="143" t="str">
        <f t="shared" si="85"/>
        <v>100002BS276</v>
      </c>
      <c r="J286" s="143" t="str">
        <f t="shared" si="86"/>
        <v>100003BS276</v>
      </c>
      <c r="K286" s="143" t="str">
        <f t="shared" si="87"/>
        <v>100004BS276</v>
      </c>
      <c r="L286" s="143" t="str">
        <f t="shared" si="88"/>
        <v>100005BS276</v>
      </c>
      <c r="M286" s="143" t="str">
        <f t="shared" si="89"/>
        <v>100006BS276</v>
      </c>
      <c r="N286" s="143" t="str">
        <f t="shared" si="90"/>
        <v>100007BS276</v>
      </c>
      <c r="O286" s="143" t="str">
        <f t="shared" si="91"/>
        <v>100008BS276</v>
      </c>
      <c r="P286" s="143" t="str">
        <f t="shared" si="92"/>
        <v>100009BS276</v>
      </c>
      <c r="Q286" s="143" t="str">
        <f t="shared" si="93"/>
        <v>100010BS276</v>
      </c>
      <c r="R286" s="143" t="str">
        <f t="shared" si="94"/>
        <v>100011BS276</v>
      </c>
      <c r="S286" s="143" t="str">
        <f t="shared" si="95"/>
        <v>100012BS276</v>
      </c>
      <c r="T286" s="143" t="str">
        <f t="shared" si="96"/>
        <v>100013BS276</v>
      </c>
      <c r="U286" s="143" t="str">
        <f t="shared" si="97"/>
        <v>100014BS276</v>
      </c>
      <c r="V286" s="143" t="str">
        <f t="shared" si="98"/>
        <v>100015BS276</v>
      </c>
      <c r="W286" s="143" t="str">
        <f t="shared" si="99"/>
        <v>100016BS276</v>
      </c>
      <c r="X286" s="144" t="s">
        <v>942</v>
      </c>
    </row>
    <row r="287" spans="1:24">
      <c r="A287" s="162">
        <v>11</v>
      </c>
      <c r="B287" s="140">
        <f t="shared" si="100"/>
        <v>283</v>
      </c>
      <c r="C287" s="144" t="s">
        <v>943</v>
      </c>
      <c r="D287" s="144" t="s">
        <v>777</v>
      </c>
      <c r="E287" s="142">
        <f t="shared" si="82"/>
        <v>277</v>
      </c>
      <c r="F287" s="152" t="str">
        <f t="shared" si="83"/>
        <v>BS277</v>
      </c>
      <c r="G287" s="143" t="str">
        <f t="shared" si="101"/>
        <v>100000BS277</v>
      </c>
      <c r="H287" s="143" t="str">
        <f t="shared" si="84"/>
        <v>100001BS277</v>
      </c>
      <c r="I287" s="143" t="str">
        <f t="shared" si="85"/>
        <v>100002BS277</v>
      </c>
      <c r="J287" s="143" t="str">
        <f t="shared" si="86"/>
        <v>100003BS277</v>
      </c>
      <c r="K287" s="143" t="str">
        <f t="shared" si="87"/>
        <v>100004BS277</v>
      </c>
      <c r="L287" s="143" t="str">
        <f t="shared" si="88"/>
        <v>100005BS277</v>
      </c>
      <c r="M287" s="143" t="str">
        <f t="shared" si="89"/>
        <v>100006BS277</v>
      </c>
      <c r="N287" s="143" t="str">
        <f t="shared" si="90"/>
        <v>100007BS277</v>
      </c>
      <c r="O287" s="143" t="str">
        <f t="shared" si="91"/>
        <v>100008BS277</v>
      </c>
      <c r="P287" s="143" t="str">
        <f t="shared" si="92"/>
        <v>100009BS277</v>
      </c>
      <c r="Q287" s="143" t="str">
        <f t="shared" si="93"/>
        <v>100010BS277</v>
      </c>
      <c r="R287" s="143" t="str">
        <f t="shared" si="94"/>
        <v>100011BS277</v>
      </c>
      <c r="S287" s="143" t="str">
        <f t="shared" si="95"/>
        <v>100012BS277</v>
      </c>
      <c r="T287" s="143" t="str">
        <f t="shared" si="96"/>
        <v>100013BS277</v>
      </c>
      <c r="U287" s="143" t="str">
        <f t="shared" si="97"/>
        <v>100014BS277</v>
      </c>
      <c r="V287" s="143" t="str">
        <f t="shared" si="98"/>
        <v>100015BS277</v>
      </c>
      <c r="W287" s="143" t="str">
        <f t="shared" si="99"/>
        <v>100016BS277</v>
      </c>
      <c r="X287" s="144" t="s">
        <v>943</v>
      </c>
    </row>
    <row r="288" spans="1:24">
      <c r="A288" s="162">
        <v>11</v>
      </c>
      <c r="B288" s="140">
        <f t="shared" si="100"/>
        <v>284</v>
      </c>
      <c r="C288" s="144" t="s">
        <v>944</v>
      </c>
      <c r="D288" s="144" t="s">
        <v>777</v>
      </c>
      <c r="E288" s="142">
        <f t="shared" si="82"/>
        <v>278</v>
      </c>
      <c r="F288" s="152" t="str">
        <f t="shared" si="83"/>
        <v>BS278</v>
      </c>
      <c r="G288" s="143" t="str">
        <f t="shared" si="101"/>
        <v>100000BS278</v>
      </c>
      <c r="H288" s="143" t="str">
        <f t="shared" si="84"/>
        <v>100001BS278</v>
      </c>
      <c r="I288" s="143" t="str">
        <f t="shared" si="85"/>
        <v>100002BS278</v>
      </c>
      <c r="J288" s="143" t="str">
        <f t="shared" si="86"/>
        <v>100003BS278</v>
      </c>
      <c r="K288" s="143" t="str">
        <f t="shared" si="87"/>
        <v>100004BS278</v>
      </c>
      <c r="L288" s="143" t="str">
        <f t="shared" si="88"/>
        <v>100005BS278</v>
      </c>
      <c r="M288" s="143" t="str">
        <f t="shared" si="89"/>
        <v>100006BS278</v>
      </c>
      <c r="N288" s="143" t="str">
        <f t="shared" si="90"/>
        <v>100007BS278</v>
      </c>
      <c r="O288" s="143" t="str">
        <f t="shared" si="91"/>
        <v>100008BS278</v>
      </c>
      <c r="P288" s="143" t="str">
        <f t="shared" si="92"/>
        <v>100009BS278</v>
      </c>
      <c r="Q288" s="143" t="str">
        <f t="shared" si="93"/>
        <v>100010BS278</v>
      </c>
      <c r="R288" s="143" t="str">
        <f t="shared" si="94"/>
        <v>100011BS278</v>
      </c>
      <c r="S288" s="143" t="str">
        <f t="shared" si="95"/>
        <v>100012BS278</v>
      </c>
      <c r="T288" s="143" t="str">
        <f t="shared" si="96"/>
        <v>100013BS278</v>
      </c>
      <c r="U288" s="143" t="str">
        <f t="shared" si="97"/>
        <v>100014BS278</v>
      </c>
      <c r="V288" s="143" t="str">
        <f t="shared" si="98"/>
        <v>100015BS278</v>
      </c>
      <c r="W288" s="143" t="str">
        <f t="shared" si="99"/>
        <v>100016BS278</v>
      </c>
      <c r="X288" s="144" t="s">
        <v>944</v>
      </c>
    </row>
    <row r="289" spans="1:24">
      <c r="A289" s="162">
        <v>11</v>
      </c>
      <c r="B289" s="140">
        <f t="shared" si="100"/>
        <v>285</v>
      </c>
      <c r="C289" s="144" t="s">
        <v>945</v>
      </c>
      <c r="D289" s="144" t="s">
        <v>777</v>
      </c>
      <c r="E289" s="142">
        <f t="shared" si="82"/>
        <v>279</v>
      </c>
      <c r="F289" s="152" t="str">
        <f t="shared" si="83"/>
        <v>BS279</v>
      </c>
      <c r="G289" s="143" t="str">
        <f t="shared" si="101"/>
        <v>100000BS279</v>
      </c>
      <c r="H289" s="143" t="str">
        <f t="shared" si="84"/>
        <v>100001BS279</v>
      </c>
      <c r="I289" s="143" t="str">
        <f t="shared" si="85"/>
        <v>100002BS279</v>
      </c>
      <c r="J289" s="143" t="str">
        <f t="shared" si="86"/>
        <v>100003BS279</v>
      </c>
      <c r="K289" s="143" t="str">
        <f t="shared" si="87"/>
        <v>100004BS279</v>
      </c>
      <c r="L289" s="143" t="str">
        <f t="shared" si="88"/>
        <v>100005BS279</v>
      </c>
      <c r="M289" s="143" t="str">
        <f t="shared" si="89"/>
        <v>100006BS279</v>
      </c>
      <c r="N289" s="143" t="str">
        <f t="shared" si="90"/>
        <v>100007BS279</v>
      </c>
      <c r="O289" s="143" t="str">
        <f t="shared" si="91"/>
        <v>100008BS279</v>
      </c>
      <c r="P289" s="143" t="str">
        <f t="shared" si="92"/>
        <v>100009BS279</v>
      </c>
      <c r="Q289" s="143" t="str">
        <f t="shared" si="93"/>
        <v>100010BS279</v>
      </c>
      <c r="R289" s="143" t="str">
        <f t="shared" si="94"/>
        <v>100011BS279</v>
      </c>
      <c r="S289" s="143" t="str">
        <f t="shared" si="95"/>
        <v>100012BS279</v>
      </c>
      <c r="T289" s="143" t="str">
        <f t="shared" si="96"/>
        <v>100013BS279</v>
      </c>
      <c r="U289" s="143" t="str">
        <f t="shared" si="97"/>
        <v>100014BS279</v>
      </c>
      <c r="V289" s="143" t="str">
        <f t="shared" si="98"/>
        <v>100015BS279</v>
      </c>
      <c r="W289" s="143" t="str">
        <f t="shared" si="99"/>
        <v>100016BS279</v>
      </c>
      <c r="X289" s="144" t="s">
        <v>945</v>
      </c>
    </row>
    <row r="290" spans="1:24">
      <c r="A290" s="162">
        <v>11</v>
      </c>
      <c r="B290" s="140">
        <f t="shared" si="100"/>
        <v>286</v>
      </c>
      <c r="C290" s="144" t="s">
        <v>946</v>
      </c>
      <c r="D290" s="144" t="s">
        <v>777</v>
      </c>
      <c r="E290" s="142">
        <f t="shared" si="82"/>
        <v>280</v>
      </c>
      <c r="F290" s="152" t="str">
        <f t="shared" si="83"/>
        <v>BS280</v>
      </c>
      <c r="G290" s="143" t="str">
        <f t="shared" si="101"/>
        <v>100000BS280</v>
      </c>
      <c r="H290" s="143" t="str">
        <f t="shared" si="84"/>
        <v>100001BS280</v>
      </c>
      <c r="I290" s="143" t="str">
        <f t="shared" si="85"/>
        <v>100002BS280</v>
      </c>
      <c r="J290" s="143" t="str">
        <f t="shared" si="86"/>
        <v>100003BS280</v>
      </c>
      <c r="K290" s="143" t="str">
        <f t="shared" si="87"/>
        <v>100004BS280</v>
      </c>
      <c r="L290" s="143" t="str">
        <f t="shared" si="88"/>
        <v>100005BS280</v>
      </c>
      <c r="M290" s="143" t="str">
        <f t="shared" si="89"/>
        <v>100006BS280</v>
      </c>
      <c r="N290" s="143" t="str">
        <f t="shared" si="90"/>
        <v>100007BS280</v>
      </c>
      <c r="O290" s="143" t="str">
        <f t="shared" si="91"/>
        <v>100008BS280</v>
      </c>
      <c r="P290" s="143" t="str">
        <f t="shared" si="92"/>
        <v>100009BS280</v>
      </c>
      <c r="Q290" s="143" t="str">
        <f t="shared" si="93"/>
        <v>100010BS280</v>
      </c>
      <c r="R290" s="143" t="str">
        <f t="shared" si="94"/>
        <v>100011BS280</v>
      </c>
      <c r="S290" s="143" t="str">
        <f t="shared" si="95"/>
        <v>100012BS280</v>
      </c>
      <c r="T290" s="143" t="str">
        <f t="shared" si="96"/>
        <v>100013BS280</v>
      </c>
      <c r="U290" s="143" t="str">
        <f t="shared" si="97"/>
        <v>100014BS280</v>
      </c>
      <c r="V290" s="143" t="str">
        <f t="shared" si="98"/>
        <v>100015BS280</v>
      </c>
      <c r="W290" s="143" t="str">
        <f t="shared" si="99"/>
        <v>100016BS280</v>
      </c>
      <c r="X290" s="144" t="s">
        <v>946</v>
      </c>
    </row>
    <row r="291" spans="1:24">
      <c r="A291" s="162">
        <v>11</v>
      </c>
      <c r="B291" s="140">
        <f t="shared" si="100"/>
        <v>287</v>
      </c>
      <c r="C291" s="144" t="s">
        <v>941</v>
      </c>
      <c r="D291" s="144" t="s">
        <v>777</v>
      </c>
      <c r="E291" s="142">
        <f t="shared" si="82"/>
        <v>281</v>
      </c>
      <c r="F291" s="152" t="str">
        <f t="shared" si="83"/>
        <v>BS281</v>
      </c>
      <c r="G291" s="143" t="str">
        <f t="shared" si="101"/>
        <v>100000BS281</v>
      </c>
      <c r="H291" s="143" t="str">
        <f t="shared" si="84"/>
        <v>100001BS281</v>
      </c>
      <c r="I291" s="143" t="str">
        <f t="shared" si="85"/>
        <v>100002BS281</v>
      </c>
      <c r="J291" s="143" t="str">
        <f t="shared" si="86"/>
        <v>100003BS281</v>
      </c>
      <c r="K291" s="143" t="str">
        <f t="shared" si="87"/>
        <v>100004BS281</v>
      </c>
      <c r="L291" s="143" t="str">
        <f t="shared" si="88"/>
        <v>100005BS281</v>
      </c>
      <c r="M291" s="143" t="str">
        <f t="shared" si="89"/>
        <v>100006BS281</v>
      </c>
      <c r="N291" s="143" t="str">
        <f t="shared" si="90"/>
        <v>100007BS281</v>
      </c>
      <c r="O291" s="143" t="str">
        <f t="shared" si="91"/>
        <v>100008BS281</v>
      </c>
      <c r="P291" s="143" t="str">
        <f t="shared" si="92"/>
        <v>100009BS281</v>
      </c>
      <c r="Q291" s="143" t="str">
        <f t="shared" si="93"/>
        <v>100010BS281</v>
      </c>
      <c r="R291" s="143" t="str">
        <f t="shared" si="94"/>
        <v>100011BS281</v>
      </c>
      <c r="S291" s="143" t="str">
        <f t="shared" si="95"/>
        <v>100012BS281</v>
      </c>
      <c r="T291" s="143" t="str">
        <f t="shared" si="96"/>
        <v>100013BS281</v>
      </c>
      <c r="U291" s="143" t="str">
        <f t="shared" si="97"/>
        <v>100014BS281</v>
      </c>
      <c r="V291" s="143" t="str">
        <f t="shared" si="98"/>
        <v>100015BS281</v>
      </c>
      <c r="W291" s="143" t="str">
        <f t="shared" si="99"/>
        <v>100016BS281</v>
      </c>
      <c r="X291" s="144" t="s">
        <v>941</v>
      </c>
    </row>
    <row r="292" spans="1:24">
      <c r="A292" s="162">
        <v>11</v>
      </c>
      <c r="B292" s="140">
        <f t="shared" si="100"/>
        <v>288</v>
      </c>
      <c r="C292" s="144" t="s">
        <v>947</v>
      </c>
      <c r="D292" s="144" t="s">
        <v>777</v>
      </c>
      <c r="E292" s="142">
        <f t="shared" si="82"/>
        <v>282</v>
      </c>
      <c r="F292" s="152" t="str">
        <f t="shared" si="83"/>
        <v>BS282</v>
      </c>
      <c r="G292" s="143" t="str">
        <f t="shared" si="101"/>
        <v>100000BS282</v>
      </c>
      <c r="H292" s="143" t="str">
        <f t="shared" si="84"/>
        <v>100001BS282</v>
      </c>
      <c r="I292" s="143" t="str">
        <f t="shared" si="85"/>
        <v>100002BS282</v>
      </c>
      <c r="J292" s="143" t="str">
        <f t="shared" si="86"/>
        <v>100003BS282</v>
      </c>
      <c r="K292" s="143" t="str">
        <f t="shared" si="87"/>
        <v>100004BS282</v>
      </c>
      <c r="L292" s="143" t="str">
        <f t="shared" si="88"/>
        <v>100005BS282</v>
      </c>
      <c r="M292" s="143" t="str">
        <f t="shared" si="89"/>
        <v>100006BS282</v>
      </c>
      <c r="N292" s="143" t="str">
        <f t="shared" si="90"/>
        <v>100007BS282</v>
      </c>
      <c r="O292" s="143" t="str">
        <f t="shared" si="91"/>
        <v>100008BS282</v>
      </c>
      <c r="P292" s="143" t="str">
        <f t="shared" si="92"/>
        <v>100009BS282</v>
      </c>
      <c r="Q292" s="143" t="str">
        <f t="shared" si="93"/>
        <v>100010BS282</v>
      </c>
      <c r="R292" s="143" t="str">
        <f t="shared" si="94"/>
        <v>100011BS282</v>
      </c>
      <c r="S292" s="143" t="str">
        <f t="shared" si="95"/>
        <v>100012BS282</v>
      </c>
      <c r="T292" s="143" t="str">
        <f t="shared" si="96"/>
        <v>100013BS282</v>
      </c>
      <c r="U292" s="143" t="str">
        <f t="shared" si="97"/>
        <v>100014BS282</v>
      </c>
      <c r="V292" s="143" t="str">
        <f t="shared" si="98"/>
        <v>100015BS282</v>
      </c>
      <c r="W292" s="143" t="str">
        <f t="shared" si="99"/>
        <v>100016BS282</v>
      </c>
      <c r="X292" s="144" t="s">
        <v>947</v>
      </c>
    </row>
    <row r="293" spans="1:24">
      <c r="A293" s="162" t="s">
        <v>627</v>
      </c>
      <c r="B293" s="140">
        <f t="shared" si="100"/>
        <v>289</v>
      </c>
      <c r="C293" s="144" t="s">
        <v>948</v>
      </c>
      <c r="D293" s="144" t="s">
        <v>777</v>
      </c>
      <c r="E293" s="142">
        <f t="shared" si="82"/>
        <v>283</v>
      </c>
      <c r="F293" s="152" t="str">
        <f t="shared" si="83"/>
        <v>BS283</v>
      </c>
      <c r="G293" s="143" t="str">
        <f t="shared" si="101"/>
        <v>100000BS283</v>
      </c>
      <c r="H293" s="143" t="str">
        <f t="shared" si="84"/>
        <v>100001BS283</v>
      </c>
      <c r="I293" s="143" t="str">
        <f t="shared" si="85"/>
        <v>100002BS283</v>
      </c>
      <c r="J293" s="143" t="str">
        <f t="shared" si="86"/>
        <v>100003BS283</v>
      </c>
      <c r="K293" s="143" t="str">
        <f t="shared" si="87"/>
        <v>100004BS283</v>
      </c>
      <c r="L293" s="143" t="str">
        <f t="shared" si="88"/>
        <v>100005BS283</v>
      </c>
      <c r="M293" s="143" t="str">
        <f t="shared" si="89"/>
        <v>100006BS283</v>
      </c>
      <c r="N293" s="143" t="str">
        <f t="shared" si="90"/>
        <v>100007BS283</v>
      </c>
      <c r="O293" s="143" t="str">
        <f t="shared" si="91"/>
        <v>100008BS283</v>
      </c>
      <c r="P293" s="143" t="str">
        <f t="shared" si="92"/>
        <v>100009BS283</v>
      </c>
      <c r="Q293" s="143" t="str">
        <f t="shared" si="93"/>
        <v>100010BS283</v>
      </c>
      <c r="R293" s="143" t="str">
        <f t="shared" si="94"/>
        <v>100011BS283</v>
      </c>
      <c r="S293" s="143" t="str">
        <f t="shared" si="95"/>
        <v>100012BS283</v>
      </c>
      <c r="T293" s="143" t="str">
        <f t="shared" si="96"/>
        <v>100013BS283</v>
      </c>
      <c r="U293" s="143" t="str">
        <f t="shared" si="97"/>
        <v>100014BS283</v>
      </c>
      <c r="V293" s="143" t="str">
        <f t="shared" si="98"/>
        <v>100015BS283</v>
      </c>
      <c r="W293" s="143" t="str">
        <f t="shared" si="99"/>
        <v>100016BS283</v>
      </c>
      <c r="X293" s="144" t="s">
        <v>948</v>
      </c>
    </row>
    <row r="294" spans="1:24">
      <c r="A294" s="161" t="s">
        <v>628</v>
      </c>
      <c r="B294" s="140">
        <f t="shared" si="100"/>
        <v>290</v>
      </c>
      <c r="C294" s="144" t="s">
        <v>657</v>
      </c>
      <c r="D294" s="144" t="s">
        <v>777</v>
      </c>
      <c r="E294" s="142">
        <f t="shared" si="82"/>
        <v>284</v>
      </c>
      <c r="F294" s="152" t="str">
        <f t="shared" si="83"/>
        <v>BS284</v>
      </c>
      <c r="G294" s="143" t="str">
        <f t="shared" si="101"/>
        <v>100000BS284</v>
      </c>
      <c r="H294" s="143" t="str">
        <f t="shared" si="84"/>
        <v>100001BS284</v>
      </c>
      <c r="I294" s="143" t="str">
        <f t="shared" si="85"/>
        <v>100002BS284</v>
      </c>
      <c r="J294" s="143" t="str">
        <f t="shared" si="86"/>
        <v>100003BS284</v>
      </c>
      <c r="K294" s="143" t="str">
        <f t="shared" si="87"/>
        <v>100004BS284</v>
      </c>
      <c r="L294" s="143" t="str">
        <f t="shared" si="88"/>
        <v>100005BS284</v>
      </c>
      <c r="M294" s="143" t="str">
        <f t="shared" si="89"/>
        <v>100006BS284</v>
      </c>
      <c r="N294" s="143" t="str">
        <f t="shared" si="90"/>
        <v>100007BS284</v>
      </c>
      <c r="O294" s="143" t="str">
        <f t="shared" si="91"/>
        <v>100008BS284</v>
      </c>
      <c r="P294" s="143" t="str">
        <f t="shared" si="92"/>
        <v>100009BS284</v>
      </c>
      <c r="Q294" s="143" t="str">
        <f t="shared" si="93"/>
        <v>100010BS284</v>
      </c>
      <c r="R294" s="143" t="str">
        <f t="shared" si="94"/>
        <v>100011BS284</v>
      </c>
      <c r="S294" s="143" t="str">
        <f t="shared" si="95"/>
        <v>100012BS284</v>
      </c>
      <c r="T294" s="143" t="str">
        <f t="shared" si="96"/>
        <v>100013BS284</v>
      </c>
      <c r="U294" s="143" t="str">
        <f t="shared" si="97"/>
        <v>100014BS284</v>
      </c>
      <c r="V294" s="143" t="str">
        <f t="shared" si="98"/>
        <v>100015BS284</v>
      </c>
      <c r="W294" s="143" t="str">
        <f t="shared" si="99"/>
        <v>100016BS284</v>
      </c>
      <c r="X294" s="144" t="s">
        <v>657</v>
      </c>
    </row>
    <row r="295" spans="1:24">
      <c r="A295" s="161" t="s">
        <v>629</v>
      </c>
      <c r="B295" s="140">
        <f t="shared" si="100"/>
        <v>291</v>
      </c>
      <c r="C295" s="144" t="s">
        <v>949</v>
      </c>
      <c r="D295" s="144" t="s">
        <v>777</v>
      </c>
      <c r="E295" s="142">
        <f t="shared" si="82"/>
        <v>285</v>
      </c>
      <c r="F295" s="152" t="str">
        <f t="shared" si="83"/>
        <v>BS285</v>
      </c>
      <c r="G295" s="143" t="str">
        <f t="shared" si="101"/>
        <v>100000BS285</v>
      </c>
      <c r="H295" s="143" t="str">
        <f t="shared" si="84"/>
        <v>100001BS285</v>
      </c>
      <c r="I295" s="143" t="str">
        <f t="shared" si="85"/>
        <v>100002BS285</v>
      </c>
      <c r="J295" s="143" t="str">
        <f t="shared" si="86"/>
        <v>100003BS285</v>
      </c>
      <c r="K295" s="143" t="str">
        <f t="shared" si="87"/>
        <v>100004BS285</v>
      </c>
      <c r="L295" s="143" t="str">
        <f t="shared" si="88"/>
        <v>100005BS285</v>
      </c>
      <c r="M295" s="143" t="str">
        <f t="shared" si="89"/>
        <v>100006BS285</v>
      </c>
      <c r="N295" s="143" t="str">
        <f t="shared" si="90"/>
        <v>100007BS285</v>
      </c>
      <c r="O295" s="143" t="str">
        <f t="shared" si="91"/>
        <v>100008BS285</v>
      </c>
      <c r="P295" s="143" t="str">
        <f t="shared" si="92"/>
        <v>100009BS285</v>
      </c>
      <c r="Q295" s="143" t="str">
        <f t="shared" si="93"/>
        <v>100010BS285</v>
      </c>
      <c r="R295" s="143" t="str">
        <f t="shared" si="94"/>
        <v>100011BS285</v>
      </c>
      <c r="S295" s="143" t="str">
        <f t="shared" si="95"/>
        <v>100012BS285</v>
      </c>
      <c r="T295" s="143" t="str">
        <f t="shared" si="96"/>
        <v>100013BS285</v>
      </c>
      <c r="U295" s="143" t="str">
        <f t="shared" si="97"/>
        <v>100014BS285</v>
      </c>
      <c r="V295" s="143" t="str">
        <f t="shared" si="98"/>
        <v>100015BS285</v>
      </c>
      <c r="W295" s="143" t="str">
        <f t="shared" si="99"/>
        <v>100016BS285</v>
      </c>
      <c r="X295" s="144" t="s">
        <v>949</v>
      </c>
    </row>
    <row r="296" spans="1:24">
      <c r="A296" s="161" t="s">
        <v>625</v>
      </c>
      <c r="B296" s="140">
        <f t="shared" si="100"/>
        <v>292</v>
      </c>
      <c r="C296" s="144" t="s">
        <v>950</v>
      </c>
      <c r="D296" s="144" t="s">
        <v>777</v>
      </c>
      <c r="E296" s="142">
        <f t="shared" si="82"/>
        <v>286</v>
      </c>
      <c r="F296" s="152" t="str">
        <f t="shared" si="83"/>
        <v>BS286</v>
      </c>
      <c r="G296" s="143" t="str">
        <f t="shared" si="101"/>
        <v>100000BS286</v>
      </c>
      <c r="H296" s="143" t="str">
        <f t="shared" si="84"/>
        <v>100001BS286</v>
      </c>
      <c r="I296" s="143" t="str">
        <f t="shared" si="85"/>
        <v>100002BS286</v>
      </c>
      <c r="J296" s="143" t="str">
        <f t="shared" si="86"/>
        <v>100003BS286</v>
      </c>
      <c r="K296" s="143" t="str">
        <f t="shared" si="87"/>
        <v>100004BS286</v>
      </c>
      <c r="L296" s="143" t="str">
        <f t="shared" si="88"/>
        <v>100005BS286</v>
      </c>
      <c r="M296" s="143" t="str">
        <f t="shared" si="89"/>
        <v>100006BS286</v>
      </c>
      <c r="N296" s="143" t="str">
        <f t="shared" si="90"/>
        <v>100007BS286</v>
      </c>
      <c r="O296" s="143" t="str">
        <f t="shared" si="91"/>
        <v>100008BS286</v>
      </c>
      <c r="P296" s="143" t="str">
        <f t="shared" si="92"/>
        <v>100009BS286</v>
      </c>
      <c r="Q296" s="143" t="str">
        <f t="shared" si="93"/>
        <v>100010BS286</v>
      </c>
      <c r="R296" s="143" t="str">
        <f t="shared" si="94"/>
        <v>100011BS286</v>
      </c>
      <c r="S296" s="143" t="str">
        <f t="shared" si="95"/>
        <v>100012BS286</v>
      </c>
      <c r="T296" s="143" t="str">
        <f t="shared" si="96"/>
        <v>100013BS286</v>
      </c>
      <c r="U296" s="143" t="str">
        <f t="shared" si="97"/>
        <v>100014BS286</v>
      </c>
      <c r="V296" s="143" t="str">
        <f t="shared" si="98"/>
        <v>100015BS286</v>
      </c>
      <c r="W296" s="143" t="str">
        <f t="shared" si="99"/>
        <v>100016BS286</v>
      </c>
      <c r="X296" s="144" t="s">
        <v>950</v>
      </c>
    </row>
    <row r="297" spans="1:24">
      <c r="A297" s="161" t="s">
        <v>626</v>
      </c>
      <c r="B297" s="140">
        <f t="shared" si="100"/>
        <v>293</v>
      </c>
      <c r="C297" s="144" t="s">
        <v>951</v>
      </c>
      <c r="D297" s="144" t="s">
        <v>777</v>
      </c>
      <c r="E297" s="142">
        <f t="shared" si="82"/>
        <v>287</v>
      </c>
      <c r="F297" s="152" t="str">
        <f t="shared" si="83"/>
        <v>BS287</v>
      </c>
      <c r="G297" s="143" t="str">
        <f t="shared" si="101"/>
        <v>100000BS287</v>
      </c>
      <c r="H297" s="143" t="str">
        <f t="shared" si="84"/>
        <v>100001BS287</v>
      </c>
      <c r="I297" s="143" t="str">
        <f t="shared" si="85"/>
        <v>100002BS287</v>
      </c>
      <c r="J297" s="143" t="str">
        <f t="shared" si="86"/>
        <v>100003BS287</v>
      </c>
      <c r="K297" s="143" t="str">
        <f t="shared" si="87"/>
        <v>100004BS287</v>
      </c>
      <c r="L297" s="143" t="str">
        <f t="shared" si="88"/>
        <v>100005BS287</v>
      </c>
      <c r="M297" s="143" t="str">
        <f t="shared" si="89"/>
        <v>100006BS287</v>
      </c>
      <c r="N297" s="143" t="str">
        <f t="shared" si="90"/>
        <v>100007BS287</v>
      </c>
      <c r="O297" s="143" t="str">
        <f t="shared" si="91"/>
        <v>100008BS287</v>
      </c>
      <c r="P297" s="143" t="str">
        <f t="shared" si="92"/>
        <v>100009BS287</v>
      </c>
      <c r="Q297" s="143" t="str">
        <f t="shared" si="93"/>
        <v>100010BS287</v>
      </c>
      <c r="R297" s="143" t="str">
        <f t="shared" si="94"/>
        <v>100011BS287</v>
      </c>
      <c r="S297" s="143" t="str">
        <f t="shared" si="95"/>
        <v>100012BS287</v>
      </c>
      <c r="T297" s="143" t="str">
        <f t="shared" si="96"/>
        <v>100013BS287</v>
      </c>
      <c r="U297" s="143" t="str">
        <f t="shared" si="97"/>
        <v>100014BS287</v>
      </c>
      <c r="V297" s="143" t="str">
        <f t="shared" si="98"/>
        <v>100015BS287</v>
      </c>
      <c r="W297" s="143" t="str">
        <f t="shared" si="99"/>
        <v>100016BS287</v>
      </c>
      <c r="X297" s="144" t="s">
        <v>951</v>
      </c>
    </row>
    <row r="298" spans="1:24">
      <c r="A298" s="161" t="s">
        <v>627</v>
      </c>
      <c r="B298" s="140">
        <f t="shared" si="100"/>
        <v>294</v>
      </c>
      <c r="C298" s="144" t="s">
        <v>952</v>
      </c>
      <c r="D298" s="144" t="s">
        <v>777</v>
      </c>
      <c r="E298" s="142">
        <f t="shared" si="82"/>
        <v>288</v>
      </c>
      <c r="F298" s="152" t="str">
        <f t="shared" si="83"/>
        <v>BS288</v>
      </c>
      <c r="G298" s="143" t="str">
        <f t="shared" si="101"/>
        <v>100000BS288</v>
      </c>
      <c r="H298" s="143" t="str">
        <f t="shared" si="84"/>
        <v>100001BS288</v>
      </c>
      <c r="I298" s="143" t="str">
        <f t="shared" si="85"/>
        <v>100002BS288</v>
      </c>
      <c r="J298" s="143" t="str">
        <f t="shared" si="86"/>
        <v>100003BS288</v>
      </c>
      <c r="K298" s="143" t="str">
        <f t="shared" si="87"/>
        <v>100004BS288</v>
      </c>
      <c r="L298" s="143" t="str">
        <f t="shared" si="88"/>
        <v>100005BS288</v>
      </c>
      <c r="M298" s="143" t="str">
        <f t="shared" si="89"/>
        <v>100006BS288</v>
      </c>
      <c r="N298" s="143" t="str">
        <f t="shared" si="90"/>
        <v>100007BS288</v>
      </c>
      <c r="O298" s="143" t="str">
        <f t="shared" si="91"/>
        <v>100008BS288</v>
      </c>
      <c r="P298" s="143" t="str">
        <f t="shared" si="92"/>
        <v>100009BS288</v>
      </c>
      <c r="Q298" s="143" t="str">
        <f t="shared" si="93"/>
        <v>100010BS288</v>
      </c>
      <c r="R298" s="143" t="str">
        <f t="shared" si="94"/>
        <v>100011BS288</v>
      </c>
      <c r="S298" s="143" t="str">
        <f t="shared" si="95"/>
        <v>100012BS288</v>
      </c>
      <c r="T298" s="143" t="str">
        <f t="shared" si="96"/>
        <v>100013BS288</v>
      </c>
      <c r="U298" s="143" t="str">
        <f t="shared" si="97"/>
        <v>100014BS288</v>
      </c>
      <c r="V298" s="143" t="str">
        <f t="shared" si="98"/>
        <v>100015BS288</v>
      </c>
      <c r="W298" s="143" t="str">
        <f t="shared" si="99"/>
        <v>100016BS288</v>
      </c>
      <c r="X298" s="144" t="s">
        <v>952</v>
      </c>
    </row>
    <row r="299" spans="1:24">
      <c r="A299" s="161" t="s">
        <v>743</v>
      </c>
      <c r="B299" s="140">
        <f t="shared" si="100"/>
        <v>295</v>
      </c>
      <c r="C299" s="144" t="s">
        <v>656</v>
      </c>
      <c r="D299" s="144" t="s">
        <v>777</v>
      </c>
      <c r="E299" s="142">
        <f t="shared" si="82"/>
        <v>289</v>
      </c>
      <c r="F299" s="152" t="str">
        <f t="shared" si="83"/>
        <v>BS289</v>
      </c>
      <c r="G299" s="143" t="str">
        <f t="shared" si="101"/>
        <v>100000BS289</v>
      </c>
      <c r="H299" s="143" t="str">
        <f t="shared" si="84"/>
        <v>100001BS289</v>
      </c>
      <c r="I299" s="143" t="str">
        <f t="shared" si="85"/>
        <v>100002BS289</v>
      </c>
      <c r="J299" s="143" t="str">
        <f t="shared" si="86"/>
        <v>100003BS289</v>
      </c>
      <c r="K299" s="143" t="str">
        <f t="shared" si="87"/>
        <v>100004BS289</v>
      </c>
      <c r="L299" s="143" t="str">
        <f t="shared" si="88"/>
        <v>100005BS289</v>
      </c>
      <c r="M299" s="143" t="str">
        <f t="shared" si="89"/>
        <v>100006BS289</v>
      </c>
      <c r="N299" s="143" t="str">
        <f t="shared" si="90"/>
        <v>100007BS289</v>
      </c>
      <c r="O299" s="143" t="str">
        <f t="shared" si="91"/>
        <v>100008BS289</v>
      </c>
      <c r="P299" s="143" t="str">
        <f t="shared" si="92"/>
        <v>100009BS289</v>
      </c>
      <c r="Q299" s="143" t="str">
        <f t="shared" si="93"/>
        <v>100010BS289</v>
      </c>
      <c r="R299" s="143" t="str">
        <f t="shared" si="94"/>
        <v>100011BS289</v>
      </c>
      <c r="S299" s="143" t="str">
        <f t="shared" si="95"/>
        <v>100012BS289</v>
      </c>
      <c r="T299" s="143" t="str">
        <f t="shared" si="96"/>
        <v>100013BS289</v>
      </c>
      <c r="U299" s="143" t="str">
        <f t="shared" si="97"/>
        <v>100014BS289</v>
      </c>
      <c r="V299" s="143" t="str">
        <f t="shared" si="98"/>
        <v>100015BS289</v>
      </c>
      <c r="W299" s="143" t="str">
        <f t="shared" si="99"/>
        <v>100016BS289</v>
      </c>
      <c r="X299" s="144" t="s">
        <v>656</v>
      </c>
    </row>
    <row r="300" spans="1:24">
      <c r="A300" s="161" t="s">
        <v>743</v>
      </c>
      <c r="B300" s="140">
        <f t="shared" si="100"/>
        <v>296</v>
      </c>
      <c r="C300" s="144" t="s">
        <v>953</v>
      </c>
      <c r="D300" s="144" t="s">
        <v>777</v>
      </c>
      <c r="E300" s="142">
        <f t="shared" si="82"/>
        <v>290</v>
      </c>
      <c r="F300" s="152" t="str">
        <f t="shared" si="83"/>
        <v>BS290</v>
      </c>
      <c r="G300" s="143" t="str">
        <f t="shared" si="101"/>
        <v>100000BS290</v>
      </c>
      <c r="H300" s="143" t="str">
        <f t="shared" si="84"/>
        <v>100001BS290</v>
      </c>
      <c r="I300" s="143" t="str">
        <f t="shared" si="85"/>
        <v>100002BS290</v>
      </c>
      <c r="J300" s="143" t="str">
        <f t="shared" si="86"/>
        <v>100003BS290</v>
      </c>
      <c r="K300" s="143" t="str">
        <f t="shared" si="87"/>
        <v>100004BS290</v>
      </c>
      <c r="L300" s="143" t="str">
        <f t="shared" si="88"/>
        <v>100005BS290</v>
      </c>
      <c r="M300" s="143" t="str">
        <f t="shared" si="89"/>
        <v>100006BS290</v>
      </c>
      <c r="N300" s="143" t="str">
        <f t="shared" si="90"/>
        <v>100007BS290</v>
      </c>
      <c r="O300" s="143" t="str">
        <f t="shared" si="91"/>
        <v>100008BS290</v>
      </c>
      <c r="P300" s="143" t="str">
        <f t="shared" si="92"/>
        <v>100009BS290</v>
      </c>
      <c r="Q300" s="143" t="str">
        <f t="shared" si="93"/>
        <v>100010BS290</v>
      </c>
      <c r="R300" s="143" t="str">
        <f t="shared" si="94"/>
        <v>100011BS290</v>
      </c>
      <c r="S300" s="143" t="str">
        <f t="shared" si="95"/>
        <v>100012BS290</v>
      </c>
      <c r="T300" s="143" t="str">
        <f t="shared" si="96"/>
        <v>100013BS290</v>
      </c>
      <c r="U300" s="143" t="str">
        <f t="shared" si="97"/>
        <v>100014BS290</v>
      </c>
      <c r="V300" s="143" t="str">
        <f t="shared" si="98"/>
        <v>100015BS290</v>
      </c>
      <c r="W300" s="143" t="str">
        <f t="shared" si="99"/>
        <v>100016BS290</v>
      </c>
      <c r="X300" s="144" t="s">
        <v>953</v>
      </c>
    </row>
    <row r="301" spans="1:24">
      <c r="A301" s="161" t="s">
        <v>744</v>
      </c>
      <c r="B301" s="140">
        <f t="shared" si="100"/>
        <v>297</v>
      </c>
      <c r="C301" s="144" t="s">
        <v>655</v>
      </c>
      <c r="D301" s="144" t="s">
        <v>777</v>
      </c>
      <c r="E301" s="142">
        <f t="shared" si="82"/>
        <v>291</v>
      </c>
      <c r="F301" s="152" t="str">
        <f t="shared" si="83"/>
        <v>BS291</v>
      </c>
      <c r="G301" s="143" t="str">
        <f t="shared" si="101"/>
        <v>100000BS291</v>
      </c>
      <c r="H301" s="143" t="str">
        <f t="shared" si="84"/>
        <v>100001BS291</v>
      </c>
      <c r="I301" s="143" t="str">
        <f t="shared" si="85"/>
        <v>100002BS291</v>
      </c>
      <c r="J301" s="143" t="str">
        <f t="shared" si="86"/>
        <v>100003BS291</v>
      </c>
      <c r="K301" s="143" t="str">
        <f t="shared" si="87"/>
        <v>100004BS291</v>
      </c>
      <c r="L301" s="143" t="str">
        <f t="shared" si="88"/>
        <v>100005BS291</v>
      </c>
      <c r="M301" s="143" t="str">
        <f t="shared" si="89"/>
        <v>100006BS291</v>
      </c>
      <c r="N301" s="143" t="str">
        <f t="shared" si="90"/>
        <v>100007BS291</v>
      </c>
      <c r="O301" s="143" t="str">
        <f t="shared" si="91"/>
        <v>100008BS291</v>
      </c>
      <c r="P301" s="143" t="str">
        <f t="shared" si="92"/>
        <v>100009BS291</v>
      </c>
      <c r="Q301" s="143" t="str">
        <f t="shared" si="93"/>
        <v>100010BS291</v>
      </c>
      <c r="R301" s="143" t="str">
        <f t="shared" si="94"/>
        <v>100011BS291</v>
      </c>
      <c r="S301" s="143" t="str">
        <f t="shared" si="95"/>
        <v>100012BS291</v>
      </c>
      <c r="T301" s="143" t="str">
        <f t="shared" si="96"/>
        <v>100013BS291</v>
      </c>
      <c r="U301" s="143" t="str">
        <f t="shared" si="97"/>
        <v>100014BS291</v>
      </c>
      <c r="V301" s="143" t="str">
        <f t="shared" si="98"/>
        <v>100015BS291</v>
      </c>
      <c r="W301" s="143" t="str">
        <f t="shared" si="99"/>
        <v>100016BS291</v>
      </c>
      <c r="X301" s="144" t="s">
        <v>655</v>
      </c>
    </row>
    <row r="302" spans="1:24">
      <c r="A302" s="161" t="s">
        <v>744</v>
      </c>
      <c r="B302" s="140">
        <f t="shared" si="100"/>
        <v>298</v>
      </c>
      <c r="C302" s="144" t="s">
        <v>954</v>
      </c>
      <c r="D302" s="144" t="s">
        <v>777</v>
      </c>
      <c r="E302" s="142">
        <f t="shared" si="82"/>
        <v>292</v>
      </c>
      <c r="F302" s="152" t="str">
        <f t="shared" si="83"/>
        <v>BS292</v>
      </c>
      <c r="G302" s="143" t="str">
        <f t="shared" si="101"/>
        <v>100000BS292</v>
      </c>
      <c r="H302" s="143" t="str">
        <f t="shared" si="84"/>
        <v>100001BS292</v>
      </c>
      <c r="I302" s="143" t="str">
        <f t="shared" si="85"/>
        <v>100002BS292</v>
      </c>
      <c r="J302" s="143" t="str">
        <f t="shared" si="86"/>
        <v>100003BS292</v>
      </c>
      <c r="K302" s="143" t="str">
        <f t="shared" si="87"/>
        <v>100004BS292</v>
      </c>
      <c r="L302" s="143" t="str">
        <f t="shared" si="88"/>
        <v>100005BS292</v>
      </c>
      <c r="M302" s="143" t="str">
        <f t="shared" si="89"/>
        <v>100006BS292</v>
      </c>
      <c r="N302" s="143" t="str">
        <f t="shared" si="90"/>
        <v>100007BS292</v>
      </c>
      <c r="O302" s="143" t="str">
        <f t="shared" si="91"/>
        <v>100008BS292</v>
      </c>
      <c r="P302" s="143" t="str">
        <f t="shared" si="92"/>
        <v>100009BS292</v>
      </c>
      <c r="Q302" s="143" t="str">
        <f t="shared" si="93"/>
        <v>100010BS292</v>
      </c>
      <c r="R302" s="143" t="str">
        <f t="shared" si="94"/>
        <v>100011BS292</v>
      </c>
      <c r="S302" s="143" t="str">
        <f t="shared" si="95"/>
        <v>100012BS292</v>
      </c>
      <c r="T302" s="143" t="str">
        <f t="shared" si="96"/>
        <v>100013BS292</v>
      </c>
      <c r="U302" s="143" t="str">
        <f t="shared" si="97"/>
        <v>100014BS292</v>
      </c>
      <c r="V302" s="143" t="str">
        <f t="shared" si="98"/>
        <v>100015BS292</v>
      </c>
      <c r="W302" s="143" t="str">
        <f t="shared" si="99"/>
        <v>100016BS292</v>
      </c>
      <c r="X302" s="144" t="s">
        <v>954</v>
      </c>
    </row>
    <row r="303" spans="1:24">
      <c r="A303" s="161" t="s">
        <v>745</v>
      </c>
      <c r="B303" s="140">
        <f t="shared" si="100"/>
        <v>299</v>
      </c>
      <c r="C303" s="144" t="s">
        <v>955</v>
      </c>
      <c r="D303" s="144" t="s">
        <v>777</v>
      </c>
      <c r="E303" s="142">
        <f t="shared" si="82"/>
        <v>293</v>
      </c>
      <c r="F303" s="152" t="str">
        <f t="shared" si="83"/>
        <v>BS293</v>
      </c>
      <c r="G303" s="143" t="str">
        <f t="shared" si="101"/>
        <v>100000BS293</v>
      </c>
      <c r="H303" s="143" t="str">
        <f t="shared" si="84"/>
        <v>100001BS293</v>
      </c>
      <c r="I303" s="143" t="str">
        <f t="shared" si="85"/>
        <v>100002BS293</v>
      </c>
      <c r="J303" s="143" t="str">
        <f t="shared" si="86"/>
        <v>100003BS293</v>
      </c>
      <c r="K303" s="143" t="str">
        <f t="shared" si="87"/>
        <v>100004BS293</v>
      </c>
      <c r="L303" s="143" t="str">
        <f t="shared" si="88"/>
        <v>100005BS293</v>
      </c>
      <c r="M303" s="143" t="str">
        <f t="shared" si="89"/>
        <v>100006BS293</v>
      </c>
      <c r="N303" s="143" t="str">
        <f t="shared" si="90"/>
        <v>100007BS293</v>
      </c>
      <c r="O303" s="143" t="str">
        <f t="shared" si="91"/>
        <v>100008BS293</v>
      </c>
      <c r="P303" s="143" t="str">
        <f t="shared" si="92"/>
        <v>100009BS293</v>
      </c>
      <c r="Q303" s="143" t="str">
        <f t="shared" si="93"/>
        <v>100010BS293</v>
      </c>
      <c r="R303" s="143" t="str">
        <f t="shared" si="94"/>
        <v>100011BS293</v>
      </c>
      <c r="S303" s="143" t="str">
        <f t="shared" si="95"/>
        <v>100012BS293</v>
      </c>
      <c r="T303" s="143" t="str">
        <f t="shared" si="96"/>
        <v>100013BS293</v>
      </c>
      <c r="U303" s="143" t="str">
        <f t="shared" si="97"/>
        <v>100014BS293</v>
      </c>
      <c r="V303" s="143" t="str">
        <f t="shared" si="98"/>
        <v>100015BS293</v>
      </c>
      <c r="W303" s="143" t="str">
        <f t="shared" si="99"/>
        <v>100016BS293</v>
      </c>
      <c r="X303" s="144" t="s">
        <v>955</v>
      </c>
    </row>
    <row r="304" spans="1:24">
      <c r="A304" s="161" t="s">
        <v>745</v>
      </c>
      <c r="B304" s="140">
        <f t="shared" si="100"/>
        <v>300</v>
      </c>
      <c r="C304" s="144" t="s">
        <v>956</v>
      </c>
      <c r="D304" s="144" t="s">
        <v>777</v>
      </c>
      <c r="E304" s="142">
        <f t="shared" si="82"/>
        <v>294</v>
      </c>
      <c r="F304" s="152" t="str">
        <f t="shared" si="83"/>
        <v>BS294</v>
      </c>
      <c r="G304" s="143" t="str">
        <f t="shared" si="101"/>
        <v>100000BS294</v>
      </c>
      <c r="H304" s="143" t="str">
        <f t="shared" si="84"/>
        <v>100001BS294</v>
      </c>
      <c r="I304" s="143" t="str">
        <f t="shared" si="85"/>
        <v>100002BS294</v>
      </c>
      <c r="J304" s="143" t="str">
        <f t="shared" si="86"/>
        <v>100003BS294</v>
      </c>
      <c r="K304" s="143" t="str">
        <f t="shared" si="87"/>
        <v>100004BS294</v>
      </c>
      <c r="L304" s="143" t="str">
        <f t="shared" si="88"/>
        <v>100005BS294</v>
      </c>
      <c r="M304" s="143" t="str">
        <f t="shared" si="89"/>
        <v>100006BS294</v>
      </c>
      <c r="N304" s="143" t="str">
        <f t="shared" si="90"/>
        <v>100007BS294</v>
      </c>
      <c r="O304" s="143" t="str">
        <f t="shared" si="91"/>
        <v>100008BS294</v>
      </c>
      <c r="P304" s="143" t="str">
        <f t="shared" si="92"/>
        <v>100009BS294</v>
      </c>
      <c r="Q304" s="143" t="str">
        <f t="shared" si="93"/>
        <v>100010BS294</v>
      </c>
      <c r="R304" s="143" t="str">
        <f t="shared" si="94"/>
        <v>100011BS294</v>
      </c>
      <c r="S304" s="143" t="str">
        <f t="shared" si="95"/>
        <v>100012BS294</v>
      </c>
      <c r="T304" s="143" t="str">
        <f t="shared" si="96"/>
        <v>100013BS294</v>
      </c>
      <c r="U304" s="143" t="str">
        <f t="shared" si="97"/>
        <v>100014BS294</v>
      </c>
      <c r="V304" s="143" t="str">
        <f t="shared" si="98"/>
        <v>100015BS294</v>
      </c>
      <c r="W304" s="143" t="str">
        <f t="shared" si="99"/>
        <v>100016BS294</v>
      </c>
      <c r="X304" s="144" t="s">
        <v>956</v>
      </c>
    </row>
    <row r="305" spans="1:24">
      <c r="A305" s="161" t="s">
        <v>746</v>
      </c>
      <c r="B305" s="140">
        <f t="shared" si="100"/>
        <v>301</v>
      </c>
      <c r="C305" s="144" t="s">
        <v>708</v>
      </c>
      <c r="D305" s="144" t="s">
        <v>777</v>
      </c>
      <c r="E305" s="142">
        <f t="shared" si="82"/>
        <v>295</v>
      </c>
      <c r="F305" s="152" t="str">
        <f t="shared" si="83"/>
        <v>BS295</v>
      </c>
      <c r="G305" s="143" t="str">
        <f t="shared" si="101"/>
        <v>100000BS295</v>
      </c>
      <c r="H305" s="143" t="str">
        <f t="shared" si="84"/>
        <v>100001BS295</v>
      </c>
      <c r="I305" s="143" t="str">
        <f t="shared" si="85"/>
        <v>100002BS295</v>
      </c>
      <c r="J305" s="143" t="str">
        <f t="shared" si="86"/>
        <v>100003BS295</v>
      </c>
      <c r="K305" s="143" t="str">
        <f t="shared" si="87"/>
        <v>100004BS295</v>
      </c>
      <c r="L305" s="143" t="str">
        <f t="shared" si="88"/>
        <v>100005BS295</v>
      </c>
      <c r="M305" s="143" t="str">
        <f t="shared" si="89"/>
        <v>100006BS295</v>
      </c>
      <c r="N305" s="143" t="str">
        <f t="shared" si="90"/>
        <v>100007BS295</v>
      </c>
      <c r="O305" s="143" t="str">
        <f t="shared" si="91"/>
        <v>100008BS295</v>
      </c>
      <c r="P305" s="143" t="str">
        <f t="shared" si="92"/>
        <v>100009BS295</v>
      </c>
      <c r="Q305" s="143" t="str">
        <f t="shared" si="93"/>
        <v>100010BS295</v>
      </c>
      <c r="R305" s="143" t="str">
        <f t="shared" si="94"/>
        <v>100011BS295</v>
      </c>
      <c r="S305" s="143" t="str">
        <f t="shared" si="95"/>
        <v>100012BS295</v>
      </c>
      <c r="T305" s="143" t="str">
        <f t="shared" si="96"/>
        <v>100013BS295</v>
      </c>
      <c r="U305" s="143" t="str">
        <f t="shared" si="97"/>
        <v>100014BS295</v>
      </c>
      <c r="V305" s="143" t="str">
        <f t="shared" si="98"/>
        <v>100015BS295</v>
      </c>
      <c r="W305" s="143" t="str">
        <f t="shared" si="99"/>
        <v>100016BS295</v>
      </c>
      <c r="X305" s="144" t="s">
        <v>708</v>
      </c>
    </row>
    <row r="306" spans="1:24">
      <c r="A306" s="161" t="s">
        <v>746</v>
      </c>
      <c r="B306" s="140">
        <f t="shared" si="100"/>
        <v>302</v>
      </c>
      <c r="C306" s="144" t="s">
        <v>957</v>
      </c>
      <c r="D306" s="144" t="s">
        <v>777</v>
      </c>
      <c r="E306" s="142">
        <f t="shared" si="82"/>
        <v>296</v>
      </c>
      <c r="F306" s="152" t="str">
        <f t="shared" si="83"/>
        <v>BS296</v>
      </c>
      <c r="G306" s="143" t="str">
        <f t="shared" si="101"/>
        <v>100000BS296</v>
      </c>
      <c r="H306" s="143" t="str">
        <f t="shared" si="84"/>
        <v>100001BS296</v>
      </c>
      <c r="I306" s="143" t="str">
        <f t="shared" si="85"/>
        <v>100002BS296</v>
      </c>
      <c r="J306" s="143" t="str">
        <f t="shared" si="86"/>
        <v>100003BS296</v>
      </c>
      <c r="K306" s="143" t="str">
        <f t="shared" si="87"/>
        <v>100004BS296</v>
      </c>
      <c r="L306" s="143" t="str">
        <f t="shared" si="88"/>
        <v>100005BS296</v>
      </c>
      <c r="M306" s="143" t="str">
        <f t="shared" si="89"/>
        <v>100006BS296</v>
      </c>
      <c r="N306" s="143" t="str">
        <f t="shared" si="90"/>
        <v>100007BS296</v>
      </c>
      <c r="O306" s="143" t="str">
        <f t="shared" si="91"/>
        <v>100008BS296</v>
      </c>
      <c r="P306" s="143" t="str">
        <f t="shared" si="92"/>
        <v>100009BS296</v>
      </c>
      <c r="Q306" s="143" t="str">
        <f t="shared" si="93"/>
        <v>100010BS296</v>
      </c>
      <c r="R306" s="143" t="str">
        <f t="shared" si="94"/>
        <v>100011BS296</v>
      </c>
      <c r="S306" s="143" t="str">
        <f t="shared" si="95"/>
        <v>100012BS296</v>
      </c>
      <c r="T306" s="143" t="str">
        <f t="shared" si="96"/>
        <v>100013BS296</v>
      </c>
      <c r="U306" s="143" t="str">
        <f t="shared" si="97"/>
        <v>100014BS296</v>
      </c>
      <c r="V306" s="143" t="str">
        <f t="shared" si="98"/>
        <v>100015BS296</v>
      </c>
      <c r="W306" s="143" t="str">
        <f t="shared" si="99"/>
        <v>100016BS296</v>
      </c>
      <c r="X306" s="144" t="s">
        <v>957</v>
      </c>
    </row>
    <row r="307" spans="1:24">
      <c r="A307" s="161">
        <v>10</v>
      </c>
      <c r="B307" s="140">
        <f t="shared" si="100"/>
        <v>303</v>
      </c>
      <c r="C307" s="144" t="s">
        <v>958</v>
      </c>
      <c r="D307" s="144" t="s">
        <v>777</v>
      </c>
      <c r="E307" s="142">
        <f t="shared" si="82"/>
        <v>297</v>
      </c>
      <c r="F307" s="152" t="str">
        <f t="shared" si="83"/>
        <v>BS297</v>
      </c>
      <c r="G307" s="143" t="str">
        <f t="shared" si="101"/>
        <v>100000BS297</v>
      </c>
      <c r="H307" s="143" t="str">
        <f t="shared" si="84"/>
        <v>100001BS297</v>
      </c>
      <c r="I307" s="143" t="str">
        <f t="shared" si="85"/>
        <v>100002BS297</v>
      </c>
      <c r="J307" s="143" t="str">
        <f t="shared" si="86"/>
        <v>100003BS297</v>
      </c>
      <c r="K307" s="143" t="str">
        <f t="shared" si="87"/>
        <v>100004BS297</v>
      </c>
      <c r="L307" s="143" t="str">
        <f t="shared" si="88"/>
        <v>100005BS297</v>
      </c>
      <c r="M307" s="143" t="str">
        <f t="shared" si="89"/>
        <v>100006BS297</v>
      </c>
      <c r="N307" s="143" t="str">
        <f t="shared" si="90"/>
        <v>100007BS297</v>
      </c>
      <c r="O307" s="143" t="str">
        <f t="shared" si="91"/>
        <v>100008BS297</v>
      </c>
      <c r="P307" s="143" t="str">
        <f t="shared" si="92"/>
        <v>100009BS297</v>
      </c>
      <c r="Q307" s="143" t="str">
        <f t="shared" si="93"/>
        <v>100010BS297</v>
      </c>
      <c r="R307" s="143" t="str">
        <f t="shared" si="94"/>
        <v>100011BS297</v>
      </c>
      <c r="S307" s="143" t="str">
        <f t="shared" si="95"/>
        <v>100012BS297</v>
      </c>
      <c r="T307" s="143" t="str">
        <f t="shared" si="96"/>
        <v>100013BS297</v>
      </c>
      <c r="U307" s="143" t="str">
        <f t="shared" si="97"/>
        <v>100014BS297</v>
      </c>
      <c r="V307" s="143" t="str">
        <f t="shared" si="98"/>
        <v>100015BS297</v>
      </c>
      <c r="W307" s="143" t="str">
        <f t="shared" si="99"/>
        <v>100016BS297</v>
      </c>
      <c r="X307" s="144" t="s">
        <v>958</v>
      </c>
    </row>
    <row r="308" spans="1:24">
      <c r="A308" s="161">
        <v>20</v>
      </c>
      <c r="B308" s="140">
        <f t="shared" si="100"/>
        <v>304</v>
      </c>
      <c r="C308" s="144" t="s">
        <v>649</v>
      </c>
      <c r="D308" s="144" t="s">
        <v>777</v>
      </c>
      <c r="E308" s="142">
        <f t="shared" si="82"/>
        <v>298</v>
      </c>
      <c r="F308" s="152" t="str">
        <f t="shared" si="83"/>
        <v>BS298</v>
      </c>
      <c r="G308" s="143" t="str">
        <f t="shared" si="101"/>
        <v>100000BS298</v>
      </c>
      <c r="H308" s="143" t="str">
        <f t="shared" si="84"/>
        <v>100001BS298</v>
      </c>
      <c r="I308" s="143" t="str">
        <f t="shared" si="85"/>
        <v>100002BS298</v>
      </c>
      <c r="J308" s="143" t="str">
        <f t="shared" si="86"/>
        <v>100003BS298</v>
      </c>
      <c r="K308" s="143" t="str">
        <f t="shared" si="87"/>
        <v>100004BS298</v>
      </c>
      <c r="L308" s="143" t="str">
        <f t="shared" si="88"/>
        <v>100005BS298</v>
      </c>
      <c r="M308" s="143" t="str">
        <f t="shared" si="89"/>
        <v>100006BS298</v>
      </c>
      <c r="N308" s="143" t="str">
        <f t="shared" si="90"/>
        <v>100007BS298</v>
      </c>
      <c r="O308" s="143" t="str">
        <f t="shared" si="91"/>
        <v>100008BS298</v>
      </c>
      <c r="P308" s="143" t="str">
        <f t="shared" si="92"/>
        <v>100009BS298</v>
      </c>
      <c r="Q308" s="143" t="str">
        <f t="shared" si="93"/>
        <v>100010BS298</v>
      </c>
      <c r="R308" s="143" t="str">
        <f t="shared" si="94"/>
        <v>100011BS298</v>
      </c>
      <c r="S308" s="143" t="str">
        <f t="shared" si="95"/>
        <v>100012BS298</v>
      </c>
      <c r="T308" s="143" t="str">
        <f t="shared" si="96"/>
        <v>100013BS298</v>
      </c>
      <c r="U308" s="143" t="str">
        <f t="shared" si="97"/>
        <v>100014BS298</v>
      </c>
      <c r="V308" s="143" t="str">
        <f t="shared" si="98"/>
        <v>100015BS298</v>
      </c>
      <c r="W308" s="143" t="str">
        <f t="shared" si="99"/>
        <v>100016BS298</v>
      </c>
      <c r="X308" s="144" t="s">
        <v>649</v>
      </c>
    </row>
    <row r="309" spans="1:24">
      <c r="A309" s="161">
        <v>30</v>
      </c>
      <c r="B309" s="140">
        <f t="shared" si="100"/>
        <v>305</v>
      </c>
      <c r="C309" s="144" t="s">
        <v>672</v>
      </c>
      <c r="D309" s="144" t="s">
        <v>892</v>
      </c>
      <c r="E309" s="142">
        <f>E283+1</f>
        <v>205</v>
      </c>
      <c r="F309" s="152" t="str">
        <f t="shared" si="83"/>
        <v>PL205</v>
      </c>
      <c r="G309" s="143" t="str">
        <f t="shared" si="101"/>
        <v>100000PL205</v>
      </c>
      <c r="H309" s="143" t="str">
        <f t="shared" si="84"/>
        <v>100001PL205</v>
      </c>
      <c r="I309" s="143" t="str">
        <f t="shared" si="85"/>
        <v>100002PL205</v>
      </c>
      <c r="J309" s="143" t="str">
        <f t="shared" si="86"/>
        <v>100003PL205</v>
      </c>
      <c r="K309" s="143" t="str">
        <f t="shared" si="87"/>
        <v>100004PL205</v>
      </c>
      <c r="L309" s="143" t="str">
        <f t="shared" si="88"/>
        <v>100005PL205</v>
      </c>
      <c r="M309" s="143" t="str">
        <f t="shared" si="89"/>
        <v>100006PL205</v>
      </c>
      <c r="N309" s="143" t="str">
        <f t="shared" si="90"/>
        <v>100007PL205</v>
      </c>
      <c r="O309" s="143" t="str">
        <f t="shared" si="91"/>
        <v>100008PL205</v>
      </c>
      <c r="P309" s="143" t="str">
        <f t="shared" si="92"/>
        <v>100009PL205</v>
      </c>
      <c r="Q309" s="143" t="str">
        <f t="shared" si="93"/>
        <v>100010PL205</v>
      </c>
      <c r="R309" s="143" t="str">
        <f t="shared" si="94"/>
        <v>100011PL205</v>
      </c>
      <c r="S309" s="143" t="str">
        <f t="shared" si="95"/>
        <v>100012PL205</v>
      </c>
      <c r="T309" s="143" t="str">
        <f t="shared" si="96"/>
        <v>100013PL205</v>
      </c>
      <c r="U309" s="143" t="str">
        <f t="shared" si="97"/>
        <v>100014PL205</v>
      </c>
      <c r="V309" s="143" t="str">
        <f t="shared" si="98"/>
        <v>100015PL205</v>
      </c>
      <c r="W309" s="143" t="str">
        <f t="shared" si="99"/>
        <v>100016PL205</v>
      </c>
      <c r="X309" s="144" t="s">
        <v>672</v>
      </c>
    </row>
    <row r="310" spans="1:24">
      <c r="A310" s="161">
        <v>30</v>
      </c>
      <c r="B310" s="140">
        <f t="shared" si="100"/>
        <v>306</v>
      </c>
      <c r="C310" s="144" t="s">
        <v>654</v>
      </c>
      <c r="D310" s="144" t="s">
        <v>892</v>
      </c>
      <c r="E310" s="142">
        <f t="shared" si="82"/>
        <v>206</v>
      </c>
      <c r="F310" s="152" t="str">
        <f t="shared" si="83"/>
        <v>PL206</v>
      </c>
      <c r="G310" s="143" t="str">
        <f t="shared" si="101"/>
        <v>100000PL206</v>
      </c>
      <c r="H310" s="143" t="str">
        <f t="shared" si="84"/>
        <v>100001PL206</v>
      </c>
      <c r="I310" s="143" t="str">
        <f t="shared" si="85"/>
        <v>100002PL206</v>
      </c>
      <c r="J310" s="143" t="str">
        <f t="shared" si="86"/>
        <v>100003PL206</v>
      </c>
      <c r="K310" s="143" t="str">
        <f t="shared" si="87"/>
        <v>100004PL206</v>
      </c>
      <c r="L310" s="143" t="str">
        <f t="shared" si="88"/>
        <v>100005PL206</v>
      </c>
      <c r="M310" s="143" t="str">
        <f t="shared" si="89"/>
        <v>100006PL206</v>
      </c>
      <c r="N310" s="143" t="str">
        <f t="shared" si="90"/>
        <v>100007PL206</v>
      </c>
      <c r="O310" s="143" t="str">
        <f t="shared" si="91"/>
        <v>100008PL206</v>
      </c>
      <c r="P310" s="143" t="str">
        <f t="shared" si="92"/>
        <v>100009PL206</v>
      </c>
      <c r="Q310" s="143" t="str">
        <f t="shared" si="93"/>
        <v>100010PL206</v>
      </c>
      <c r="R310" s="143" t="str">
        <f t="shared" si="94"/>
        <v>100011PL206</v>
      </c>
      <c r="S310" s="143" t="str">
        <f t="shared" si="95"/>
        <v>100012PL206</v>
      </c>
      <c r="T310" s="143" t="str">
        <f t="shared" si="96"/>
        <v>100013PL206</v>
      </c>
      <c r="U310" s="143" t="str">
        <f t="shared" si="97"/>
        <v>100014PL206</v>
      </c>
      <c r="V310" s="143" t="str">
        <f t="shared" si="98"/>
        <v>100015PL206</v>
      </c>
      <c r="W310" s="143" t="str">
        <f t="shared" si="99"/>
        <v>100016PL206</v>
      </c>
      <c r="X310" s="144" t="s">
        <v>654</v>
      </c>
    </row>
    <row r="311" spans="1:24">
      <c r="A311" s="161">
        <v>30</v>
      </c>
      <c r="B311" s="140">
        <f t="shared" si="100"/>
        <v>307</v>
      </c>
      <c r="C311" s="144" t="s">
        <v>348</v>
      </c>
      <c r="D311" s="144" t="s">
        <v>892</v>
      </c>
      <c r="E311" s="142">
        <f t="shared" si="82"/>
        <v>207</v>
      </c>
      <c r="F311" s="152" t="str">
        <f t="shared" si="83"/>
        <v>PL207</v>
      </c>
      <c r="G311" s="143" t="str">
        <f t="shared" si="101"/>
        <v>100000PL207</v>
      </c>
      <c r="H311" s="143" t="str">
        <f t="shared" si="84"/>
        <v>100001PL207</v>
      </c>
      <c r="I311" s="143" t="str">
        <f t="shared" si="85"/>
        <v>100002PL207</v>
      </c>
      <c r="J311" s="143" t="str">
        <f t="shared" si="86"/>
        <v>100003PL207</v>
      </c>
      <c r="K311" s="143" t="str">
        <f t="shared" si="87"/>
        <v>100004PL207</v>
      </c>
      <c r="L311" s="143" t="str">
        <f t="shared" si="88"/>
        <v>100005PL207</v>
      </c>
      <c r="M311" s="143" t="str">
        <f t="shared" si="89"/>
        <v>100006PL207</v>
      </c>
      <c r="N311" s="143" t="str">
        <f t="shared" si="90"/>
        <v>100007PL207</v>
      </c>
      <c r="O311" s="143" t="str">
        <f t="shared" si="91"/>
        <v>100008PL207</v>
      </c>
      <c r="P311" s="143" t="str">
        <f t="shared" si="92"/>
        <v>100009PL207</v>
      </c>
      <c r="Q311" s="143" t="str">
        <f t="shared" si="93"/>
        <v>100010PL207</v>
      </c>
      <c r="R311" s="143" t="str">
        <f t="shared" si="94"/>
        <v>100011PL207</v>
      </c>
      <c r="S311" s="143" t="str">
        <f t="shared" si="95"/>
        <v>100012PL207</v>
      </c>
      <c r="T311" s="143" t="str">
        <f t="shared" si="96"/>
        <v>100013PL207</v>
      </c>
      <c r="U311" s="143" t="str">
        <f t="shared" si="97"/>
        <v>100014PL207</v>
      </c>
      <c r="V311" s="143" t="str">
        <f t="shared" si="98"/>
        <v>100015PL207</v>
      </c>
      <c r="W311" s="143" t="str">
        <f t="shared" si="99"/>
        <v>100016PL207</v>
      </c>
      <c r="X311" s="144" t="s">
        <v>348</v>
      </c>
    </row>
    <row r="312" spans="1:24">
      <c r="A312" s="161">
        <v>8</v>
      </c>
      <c r="B312" s="140">
        <f t="shared" si="100"/>
        <v>308</v>
      </c>
      <c r="C312" s="144" t="s">
        <v>104</v>
      </c>
      <c r="D312" s="144" t="s">
        <v>777</v>
      </c>
      <c r="E312" s="142">
        <f>E308+1</f>
        <v>299</v>
      </c>
      <c r="F312" s="152" t="str">
        <f t="shared" si="83"/>
        <v>BS299</v>
      </c>
      <c r="G312" s="143" t="str">
        <f t="shared" si="101"/>
        <v>100000BS299</v>
      </c>
      <c r="H312" s="143" t="str">
        <f t="shared" si="84"/>
        <v>100001BS299</v>
      </c>
      <c r="I312" s="143" t="str">
        <f t="shared" si="85"/>
        <v>100002BS299</v>
      </c>
      <c r="J312" s="143" t="str">
        <f t="shared" si="86"/>
        <v>100003BS299</v>
      </c>
      <c r="K312" s="143" t="str">
        <f t="shared" si="87"/>
        <v>100004BS299</v>
      </c>
      <c r="L312" s="143" t="str">
        <f t="shared" si="88"/>
        <v>100005BS299</v>
      </c>
      <c r="M312" s="143" t="str">
        <f t="shared" si="89"/>
        <v>100006BS299</v>
      </c>
      <c r="N312" s="143" t="str">
        <f t="shared" si="90"/>
        <v>100007BS299</v>
      </c>
      <c r="O312" s="143" t="str">
        <f t="shared" si="91"/>
        <v>100008BS299</v>
      </c>
      <c r="P312" s="143" t="str">
        <f t="shared" si="92"/>
        <v>100009BS299</v>
      </c>
      <c r="Q312" s="143" t="str">
        <f t="shared" si="93"/>
        <v>100010BS299</v>
      </c>
      <c r="R312" s="143" t="str">
        <f t="shared" si="94"/>
        <v>100011BS299</v>
      </c>
      <c r="S312" s="143" t="str">
        <f t="shared" si="95"/>
        <v>100012BS299</v>
      </c>
      <c r="T312" s="143" t="str">
        <f t="shared" si="96"/>
        <v>100013BS299</v>
      </c>
      <c r="U312" s="143" t="str">
        <f t="shared" si="97"/>
        <v>100014BS299</v>
      </c>
      <c r="V312" s="143" t="str">
        <f t="shared" si="98"/>
        <v>100015BS299</v>
      </c>
      <c r="W312" s="143" t="str">
        <f t="shared" si="99"/>
        <v>100016BS299</v>
      </c>
      <c r="X312" s="144" t="s">
        <v>104</v>
      </c>
    </row>
    <row r="313" spans="1:24">
      <c r="A313" s="161">
        <v>8</v>
      </c>
      <c r="B313" s="140">
        <f t="shared" si="100"/>
        <v>309</v>
      </c>
      <c r="C313" s="144" t="s">
        <v>105</v>
      </c>
      <c r="D313" s="144" t="s">
        <v>777</v>
      </c>
      <c r="E313" s="142">
        <f>E312+1</f>
        <v>300</v>
      </c>
      <c r="F313" s="152" t="str">
        <f t="shared" si="83"/>
        <v>BS300</v>
      </c>
      <c r="G313" s="143" t="str">
        <f t="shared" si="101"/>
        <v>100000BS300</v>
      </c>
      <c r="H313" s="143" t="str">
        <f t="shared" si="84"/>
        <v>100001BS300</v>
      </c>
      <c r="I313" s="143" t="str">
        <f t="shared" si="85"/>
        <v>100002BS300</v>
      </c>
      <c r="J313" s="143" t="str">
        <f t="shared" si="86"/>
        <v>100003BS300</v>
      </c>
      <c r="K313" s="143" t="str">
        <f t="shared" si="87"/>
        <v>100004BS300</v>
      </c>
      <c r="L313" s="143" t="str">
        <f t="shared" si="88"/>
        <v>100005BS300</v>
      </c>
      <c r="M313" s="143" t="str">
        <f t="shared" si="89"/>
        <v>100006BS300</v>
      </c>
      <c r="N313" s="143" t="str">
        <f t="shared" si="90"/>
        <v>100007BS300</v>
      </c>
      <c r="O313" s="143" t="str">
        <f t="shared" si="91"/>
        <v>100008BS300</v>
      </c>
      <c r="P313" s="143" t="str">
        <f t="shared" si="92"/>
        <v>100009BS300</v>
      </c>
      <c r="Q313" s="143" t="str">
        <f t="shared" si="93"/>
        <v>100010BS300</v>
      </c>
      <c r="R313" s="143" t="str">
        <f t="shared" si="94"/>
        <v>100011BS300</v>
      </c>
      <c r="S313" s="143" t="str">
        <f t="shared" si="95"/>
        <v>100012BS300</v>
      </c>
      <c r="T313" s="143" t="str">
        <f t="shared" si="96"/>
        <v>100013BS300</v>
      </c>
      <c r="U313" s="143" t="str">
        <f t="shared" si="97"/>
        <v>100014BS300</v>
      </c>
      <c r="V313" s="143" t="str">
        <f t="shared" si="98"/>
        <v>100015BS300</v>
      </c>
      <c r="W313" s="143" t="str">
        <f t="shared" si="99"/>
        <v>100016BS300</v>
      </c>
      <c r="X313" s="144" t="s">
        <v>105</v>
      </c>
    </row>
    <row r="314" spans="1:24">
      <c r="A314" s="161">
        <v>9</v>
      </c>
      <c r="B314" s="140">
        <f t="shared" si="100"/>
        <v>310</v>
      </c>
      <c r="C314" s="144" t="s">
        <v>666</v>
      </c>
      <c r="D314" s="144" t="s">
        <v>777</v>
      </c>
      <c r="E314" s="142">
        <f>E313+1</f>
        <v>301</v>
      </c>
      <c r="F314" s="152" t="str">
        <f t="shared" si="83"/>
        <v>BS301</v>
      </c>
      <c r="G314" s="143" t="str">
        <f t="shared" si="101"/>
        <v>100000BS301</v>
      </c>
      <c r="H314" s="143" t="str">
        <f t="shared" si="84"/>
        <v>100001BS301</v>
      </c>
      <c r="I314" s="143" t="str">
        <f t="shared" si="85"/>
        <v>100002BS301</v>
      </c>
      <c r="J314" s="143" t="str">
        <f t="shared" si="86"/>
        <v>100003BS301</v>
      </c>
      <c r="K314" s="143" t="str">
        <f t="shared" si="87"/>
        <v>100004BS301</v>
      </c>
      <c r="L314" s="143" t="str">
        <f t="shared" si="88"/>
        <v>100005BS301</v>
      </c>
      <c r="M314" s="143" t="str">
        <f t="shared" si="89"/>
        <v>100006BS301</v>
      </c>
      <c r="N314" s="143" t="str">
        <f t="shared" si="90"/>
        <v>100007BS301</v>
      </c>
      <c r="O314" s="143" t="str">
        <f t="shared" si="91"/>
        <v>100008BS301</v>
      </c>
      <c r="P314" s="143" t="str">
        <f t="shared" si="92"/>
        <v>100009BS301</v>
      </c>
      <c r="Q314" s="143" t="str">
        <f t="shared" si="93"/>
        <v>100010BS301</v>
      </c>
      <c r="R314" s="143" t="str">
        <f t="shared" si="94"/>
        <v>100011BS301</v>
      </c>
      <c r="S314" s="143" t="str">
        <f t="shared" si="95"/>
        <v>100012BS301</v>
      </c>
      <c r="T314" s="143" t="str">
        <f t="shared" si="96"/>
        <v>100013BS301</v>
      </c>
      <c r="U314" s="143" t="str">
        <f t="shared" si="97"/>
        <v>100014BS301</v>
      </c>
      <c r="V314" s="143" t="str">
        <f t="shared" si="98"/>
        <v>100015BS301</v>
      </c>
      <c r="W314" s="143" t="str">
        <f t="shared" si="99"/>
        <v>100016BS301</v>
      </c>
      <c r="X314" s="144" t="s">
        <v>666</v>
      </c>
    </row>
    <row r="315" spans="1:24">
      <c r="A315" s="161">
        <v>20</v>
      </c>
      <c r="B315" s="140">
        <f t="shared" si="100"/>
        <v>311</v>
      </c>
      <c r="C315" s="144" t="s">
        <v>202</v>
      </c>
      <c r="D315" s="144" t="s">
        <v>777</v>
      </c>
      <c r="E315" s="142">
        <f>E314+1</f>
        <v>302</v>
      </c>
      <c r="F315" s="152" t="str">
        <f t="shared" si="83"/>
        <v>BS302</v>
      </c>
      <c r="G315" s="143" t="str">
        <f t="shared" si="101"/>
        <v>100000BS302</v>
      </c>
      <c r="H315" s="143" t="str">
        <f t="shared" si="84"/>
        <v>100001BS302</v>
      </c>
      <c r="I315" s="143" t="str">
        <f t="shared" si="85"/>
        <v>100002BS302</v>
      </c>
      <c r="J315" s="143" t="str">
        <f t="shared" si="86"/>
        <v>100003BS302</v>
      </c>
      <c r="K315" s="143" t="str">
        <f t="shared" si="87"/>
        <v>100004BS302</v>
      </c>
      <c r="L315" s="143" t="str">
        <f t="shared" si="88"/>
        <v>100005BS302</v>
      </c>
      <c r="M315" s="143" t="str">
        <f t="shared" si="89"/>
        <v>100006BS302</v>
      </c>
      <c r="N315" s="143" t="str">
        <f t="shared" si="90"/>
        <v>100007BS302</v>
      </c>
      <c r="O315" s="143" t="str">
        <f t="shared" si="91"/>
        <v>100008BS302</v>
      </c>
      <c r="P315" s="143" t="str">
        <f t="shared" si="92"/>
        <v>100009BS302</v>
      </c>
      <c r="Q315" s="143" t="str">
        <f t="shared" si="93"/>
        <v>100010BS302</v>
      </c>
      <c r="R315" s="143" t="str">
        <f t="shared" si="94"/>
        <v>100011BS302</v>
      </c>
      <c r="S315" s="143" t="str">
        <f t="shared" si="95"/>
        <v>100012BS302</v>
      </c>
      <c r="T315" s="143" t="str">
        <f t="shared" si="96"/>
        <v>100013BS302</v>
      </c>
      <c r="U315" s="143" t="str">
        <f t="shared" si="97"/>
        <v>100014BS302</v>
      </c>
      <c r="V315" s="143" t="str">
        <f t="shared" si="98"/>
        <v>100015BS302</v>
      </c>
      <c r="W315" s="143" t="str">
        <f t="shared" si="99"/>
        <v>100016BS302</v>
      </c>
      <c r="X315" s="144" t="s">
        <v>202</v>
      </c>
    </row>
    <row r="316" spans="1:24">
      <c r="A316" s="161">
        <v>27</v>
      </c>
      <c r="B316" s="140">
        <f t="shared" si="100"/>
        <v>312</v>
      </c>
      <c r="C316" s="144" t="s">
        <v>285</v>
      </c>
      <c r="D316" s="144" t="s">
        <v>892</v>
      </c>
      <c r="E316" s="142">
        <f>E311+1</f>
        <v>208</v>
      </c>
      <c r="F316" s="152" t="str">
        <f t="shared" si="83"/>
        <v>PL208</v>
      </c>
      <c r="G316" s="143" t="str">
        <f t="shared" si="101"/>
        <v>100000PL208</v>
      </c>
      <c r="H316" s="143" t="str">
        <f t="shared" si="84"/>
        <v>100001PL208</v>
      </c>
      <c r="I316" s="143" t="str">
        <f t="shared" si="85"/>
        <v>100002PL208</v>
      </c>
      <c r="J316" s="143" t="str">
        <f t="shared" si="86"/>
        <v>100003PL208</v>
      </c>
      <c r="K316" s="143" t="str">
        <f t="shared" si="87"/>
        <v>100004PL208</v>
      </c>
      <c r="L316" s="143" t="str">
        <f t="shared" si="88"/>
        <v>100005PL208</v>
      </c>
      <c r="M316" s="143" t="str">
        <f t="shared" si="89"/>
        <v>100006PL208</v>
      </c>
      <c r="N316" s="143" t="str">
        <f t="shared" si="90"/>
        <v>100007PL208</v>
      </c>
      <c r="O316" s="143" t="str">
        <f t="shared" si="91"/>
        <v>100008PL208</v>
      </c>
      <c r="P316" s="143" t="str">
        <f t="shared" si="92"/>
        <v>100009PL208</v>
      </c>
      <c r="Q316" s="143" t="str">
        <f t="shared" si="93"/>
        <v>100010PL208</v>
      </c>
      <c r="R316" s="143" t="str">
        <f t="shared" si="94"/>
        <v>100011PL208</v>
      </c>
      <c r="S316" s="143" t="str">
        <f t="shared" si="95"/>
        <v>100012PL208</v>
      </c>
      <c r="T316" s="143" t="str">
        <f t="shared" si="96"/>
        <v>100013PL208</v>
      </c>
      <c r="U316" s="143" t="str">
        <f t="shared" si="97"/>
        <v>100014PL208</v>
      </c>
      <c r="V316" s="143" t="str">
        <f t="shared" si="98"/>
        <v>100015PL208</v>
      </c>
      <c r="W316" s="143" t="str">
        <f t="shared" si="99"/>
        <v>100016PL208</v>
      </c>
      <c r="X316" s="144" t="s">
        <v>285</v>
      </c>
    </row>
    <row r="317" spans="1:24">
      <c r="A317" s="162">
        <v>11</v>
      </c>
      <c r="B317" s="140">
        <f t="shared" si="100"/>
        <v>313</v>
      </c>
      <c r="C317" s="144" t="s">
        <v>959</v>
      </c>
      <c r="D317" s="144" t="s">
        <v>777</v>
      </c>
      <c r="E317" s="142">
        <f>E315+1</f>
        <v>303</v>
      </c>
      <c r="F317" s="152" t="str">
        <f t="shared" si="83"/>
        <v>BS303</v>
      </c>
      <c r="G317" s="143" t="str">
        <f t="shared" si="101"/>
        <v>100000BS303</v>
      </c>
      <c r="H317" s="143" t="str">
        <f t="shared" si="84"/>
        <v>100001BS303</v>
      </c>
      <c r="I317" s="143" t="str">
        <f t="shared" si="85"/>
        <v>100002BS303</v>
      </c>
      <c r="J317" s="143" t="str">
        <f t="shared" si="86"/>
        <v>100003BS303</v>
      </c>
      <c r="K317" s="143" t="str">
        <f t="shared" si="87"/>
        <v>100004BS303</v>
      </c>
      <c r="L317" s="143" t="str">
        <f t="shared" si="88"/>
        <v>100005BS303</v>
      </c>
      <c r="M317" s="143" t="str">
        <f t="shared" si="89"/>
        <v>100006BS303</v>
      </c>
      <c r="N317" s="143" t="str">
        <f t="shared" si="90"/>
        <v>100007BS303</v>
      </c>
      <c r="O317" s="143" t="str">
        <f t="shared" si="91"/>
        <v>100008BS303</v>
      </c>
      <c r="P317" s="143" t="str">
        <f t="shared" si="92"/>
        <v>100009BS303</v>
      </c>
      <c r="Q317" s="143" t="str">
        <f t="shared" si="93"/>
        <v>100010BS303</v>
      </c>
      <c r="R317" s="143" t="str">
        <f t="shared" si="94"/>
        <v>100011BS303</v>
      </c>
      <c r="S317" s="143" t="str">
        <f t="shared" si="95"/>
        <v>100012BS303</v>
      </c>
      <c r="T317" s="143" t="str">
        <f t="shared" si="96"/>
        <v>100013BS303</v>
      </c>
      <c r="U317" s="143" t="str">
        <f t="shared" si="97"/>
        <v>100014BS303</v>
      </c>
      <c r="V317" s="143" t="str">
        <f t="shared" si="98"/>
        <v>100015BS303</v>
      </c>
      <c r="W317" s="143" t="str">
        <f t="shared" si="99"/>
        <v>100016BS303</v>
      </c>
      <c r="X317" s="144" t="s">
        <v>959</v>
      </c>
    </row>
    <row r="318" spans="1:24">
      <c r="A318" s="162">
        <v>11</v>
      </c>
      <c r="B318" s="140">
        <f t="shared" si="100"/>
        <v>314</v>
      </c>
      <c r="C318" s="144" t="s">
        <v>960</v>
      </c>
      <c r="D318" s="144" t="s">
        <v>777</v>
      </c>
      <c r="E318" s="142">
        <f>E317+1</f>
        <v>304</v>
      </c>
      <c r="F318" s="152" t="str">
        <f t="shared" si="83"/>
        <v>BS304</v>
      </c>
      <c r="G318" s="143" t="str">
        <f t="shared" si="101"/>
        <v>100000BS304</v>
      </c>
      <c r="H318" s="143" t="str">
        <f t="shared" si="84"/>
        <v>100001BS304</v>
      </c>
      <c r="I318" s="143" t="str">
        <f t="shared" si="85"/>
        <v>100002BS304</v>
      </c>
      <c r="J318" s="143" t="str">
        <f t="shared" si="86"/>
        <v>100003BS304</v>
      </c>
      <c r="K318" s="143" t="str">
        <f t="shared" si="87"/>
        <v>100004BS304</v>
      </c>
      <c r="L318" s="143" t="str">
        <f t="shared" si="88"/>
        <v>100005BS304</v>
      </c>
      <c r="M318" s="143" t="str">
        <f t="shared" si="89"/>
        <v>100006BS304</v>
      </c>
      <c r="N318" s="143" t="str">
        <f t="shared" si="90"/>
        <v>100007BS304</v>
      </c>
      <c r="O318" s="143" t="str">
        <f t="shared" si="91"/>
        <v>100008BS304</v>
      </c>
      <c r="P318" s="143" t="str">
        <f t="shared" si="92"/>
        <v>100009BS304</v>
      </c>
      <c r="Q318" s="143" t="str">
        <f t="shared" si="93"/>
        <v>100010BS304</v>
      </c>
      <c r="R318" s="143" t="str">
        <f t="shared" si="94"/>
        <v>100011BS304</v>
      </c>
      <c r="S318" s="143" t="str">
        <f t="shared" si="95"/>
        <v>100012BS304</v>
      </c>
      <c r="T318" s="143" t="str">
        <f t="shared" si="96"/>
        <v>100013BS304</v>
      </c>
      <c r="U318" s="143" t="str">
        <f t="shared" si="97"/>
        <v>100014BS304</v>
      </c>
      <c r="V318" s="143" t="str">
        <f t="shared" si="98"/>
        <v>100015BS304</v>
      </c>
      <c r="W318" s="143" t="str">
        <f t="shared" si="99"/>
        <v>100016BS304</v>
      </c>
      <c r="X318" s="144" t="s">
        <v>960</v>
      </c>
    </row>
    <row r="319" spans="1:24">
      <c r="A319" s="162">
        <v>11</v>
      </c>
      <c r="B319" s="140">
        <f t="shared" si="100"/>
        <v>315</v>
      </c>
      <c r="C319" s="144" t="s">
        <v>961</v>
      </c>
      <c r="D319" s="144" t="s">
        <v>777</v>
      </c>
      <c r="E319" s="142">
        <f t="shared" ref="E319:E325" si="102">E318+1</f>
        <v>305</v>
      </c>
      <c r="F319" s="152" t="str">
        <f t="shared" si="83"/>
        <v>BS305</v>
      </c>
      <c r="G319" s="143" t="str">
        <f t="shared" si="101"/>
        <v>100000BS305</v>
      </c>
      <c r="H319" s="143" t="str">
        <f t="shared" si="84"/>
        <v>100001BS305</v>
      </c>
      <c r="I319" s="143" t="str">
        <f t="shared" si="85"/>
        <v>100002BS305</v>
      </c>
      <c r="J319" s="143" t="str">
        <f t="shared" si="86"/>
        <v>100003BS305</v>
      </c>
      <c r="K319" s="143" t="str">
        <f t="shared" si="87"/>
        <v>100004BS305</v>
      </c>
      <c r="L319" s="143" t="str">
        <f t="shared" si="88"/>
        <v>100005BS305</v>
      </c>
      <c r="M319" s="143" t="str">
        <f t="shared" si="89"/>
        <v>100006BS305</v>
      </c>
      <c r="N319" s="143" t="str">
        <f t="shared" si="90"/>
        <v>100007BS305</v>
      </c>
      <c r="O319" s="143" t="str">
        <f t="shared" si="91"/>
        <v>100008BS305</v>
      </c>
      <c r="P319" s="143" t="str">
        <f t="shared" si="92"/>
        <v>100009BS305</v>
      </c>
      <c r="Q319" s="143" t="str">
        <f t="shared" si="93"/>
        <v>100010BS305</v>
      </c>
      <c r="R319" s="143" t="str">
        <f t="shared" si="94"/>
        <v>100011BS305</v>
      </c>
      <c r="S319" s="143" t="str">
        <f t="shared" si="95"/>
        <v>100012BS305</v>
      </c>
      <c r="T319" s="143" t="str">
        <f t="shared" si="96"/>
        <v>100013BS305</v>
      </c>
      <c r="U319" s="143" t="str">
        <f t="shared" si="97"/>
        <v>100014BS305</v>
      </c>
      <c r="V319" s="143" t="str">
        <f t="shared" si="98"/>
        <v>100015BS305</v>
      </c>
      <c r="W319" s="143" t="str">
        <f t="shared" si="99"/>
        <v>100016BS305</v>
      </c>
      <c r="X319" s="144" t="s">
        <v>961</v>
      </c>
    </row>
    <row r="320" spans="1:24">
      <c r="A320" s="162">
        <v>11</v>
      </c>
      <c r="B320" s="140">
        <f t="shared" si="100"/>
        <v>316</v>
      </c>
      <c r="C320" s="144" t="s">
        <v>962</v>
      </c>
      <c r="D320" s="144" t="s">
        <v>777</v>
      </c>
      <c r="E320" s="142">
        <f t="shared" si="102"/>
        <v>306</v>
      </c>
      <c r="F320" s="152" t="str">
        <f t="shared" si="83"/>
        <v>BS306</v>
      </c>
      <c r="G320" s="143" t="str">
        <f t="shared" si="101"/>
        <v>100000BS306</v>
      </c>
      <c r="H320" s="143" t="str">
        <f t="shared" si="84"/>
        <v>100001BS306</v>
      </c>
      <c r="I320" s="143" t="str">
        <f t="shared" si="85"/>
        <v>100002BS306</v>
      </c>
      <c r="J320" s="143" t="str">
        <f t="shared" si="86"/>
        <v>100003BS306</v>
      </c>
      <c r="K320" s="143" t="str">
        <f t="shared" si="87"/>
        <v>100004BS306</v>
      </c>
      <c r="L320" s="143" t="str">
        <f t="shared" si="88"/>
        <v>100005BS306</v>
      </c>
      <c r="M320" s="143" t="str">
        <f t="shared" si="89"/>
        <v>100006BS306</v>
      </c>
      <c r="N320" s="143" t="str">
        <f t="shared" si="90"/>
        <v>100007BS306</v>
      </c>
      <c r="O320" s="143" t="str">
        <f t="shared" si="91"/>
        <v>100008BS306</v>
      </c>
      <c r="P320" s="143" t="str">
        <f t="shared" si="92"/>
        <v>100009BS306</v>
      </c>
      <c r="Q320" s="143" t="str">
        <f t="shared" si="93"/>
        <v>100010BS306</v>
      </c>
      <c r="R320" s="143" t="str">
        <f t="shared" si="94"/>
        <v>100011BS306</v>
      </c>
      <c r="S320" s="143" t="str">
        <f t="shared" si="95"/>
        <v>100012BS306</v>
      </c>
      <c r="T320" s="143" t="str">
        <f t="shared" si="96"/>
        <v>100013BS306</v>
      </c>
      <c r="U320" s="143" t="str">
        <f t="shared" si="97"/>
        <v>100014BS306</v>
      </c>
      <c r="V320" s="143" t="str">
        <f t="shared" si="98"/>
        <v>100015BS306</v>
      </c>
      <c r="W320" s="143" t="str">
        <f t="shared" si="99"/>
        <v>100016BS306</v>
      </c>
      <c r="X320" s="144" t="s">
        <v>962</v>
      </c>
    </row>
    <row r="321" spans="1:24">
      <c r="A321" s="162">
        <v>11</v>
      </c>
      <c r="B321" s="140">
        <f t="shared" si="100"/>
        <v>317</v>
      </c>
      <c r="C321" s="144" t="s">
        <v>963</v>
      </c>
      <c r="D321" s="144" t="s">
        <v>777</v>
      </c>
      <c r="E321" s="142">
        <f t="shared" si="102"/>
        <v>307</v>
      </c>
      <c r="F321" s="152" t="str">
        <f t="shared" si="83"/>
        <v>BS307</v>
      </c>
      <c r="G321" s="143" t="str">
        <f t="shared" si="101"/>
        <v>100000BS307</v>
      </c>
      <c r="H321" s="143" t="str">
        <f t="shared" si="84"/>
        <v>100001BS307</v>
      </c>
      <c r="I321" s="143" t="str">
        <f t="shared" si="85"/>
        <v>100002BS307</v>
      </c>
      <c r="J321" s="143" t="str">
        <f t="shared" si="86"/>
        <v>100003BS307</v>
      </c>
      <c r="K321" s="143" t="str">
        <f t="shared" si="87"/>
        <v>100004BS307</v>
      </c>
      <c r="L321" s="143" t="str">
        <f t="shared" si="88"/>
        <v>100005BS307</v>
      </c>
      <c r="M321" s="143" t="str">
        <f t="shared" si="89"/>
        <v>100006BS307</v>
      </c>
      <c r="N321" s="143" t="str">
        <f t="shared" si="90"/>
        <v>100007BS307</v>
      </c>
      <c r="O321" s="143" t="str">
        <f t="shared" si="91"/>
        <v>100008BS307</v>
      </c>
      <c r="P321" s="143" t="str">
        <f t="shared" si="92"/>
        <v>100009BS307</v>
      </c>
      <c r="Q321" s="143" t="str">
        <f t="shared" si="93"/>
        <v>100010BS307</v>
      </c>
      <c r="R321" s="143" t="str">
        <f t="shared" si="94"/>
        <v>100011BS307</v>
      </c>
      <c r="S321" s="143" t="str">
        <f t="shared" si="95"/>
        <v>100012BS307</v>
      </c>
      <c r="T321" s="143" t="str">
        <f t="shared" si="96"/>
        <v>100013BS307</v>
      </c>
      <c r="U321" s="143" t="str">
        <f t="shared" si="97"/>
        <v>100014BS307</v>
      </c>
      <c r="V321" s="143" t="str">
        <f t="shared" si="98"/>
        <v>100015BS307</v>
      </c>
      <c r="W321" s="143" t="str">
        <f t="shared" si="99"/>
        <v>100016BS307</v>
      </c>
      <c r="X321" s="144" t="s">
        <v>963</v>
      </c>
    </row>
    <row r="322" spans="1:24">
      <c r="A322" s="162">
        <v>11</v>
      </c>
      <c r="B322" s="140">
        <f t="shared" si="100"/>
        <v>318</v>
      </c>
      <c r="C322" s="144" t="s">
        <v>964</v>
      </c>
      <c r="D322" s="144" t="s">
        <v>777</v>
      </c>
      <c r="E322" s="142">
        <f t="shared" si="102"/>
        <v>308</v>
      </c>
      <c r="F322" s="152" t="str">
        <f t="shared" ref="F322:F363" si="103">D322&amp;E322</f>
        <v>BS308</v>
      </c>
      <c r="G322" s="143" t="str">
        <f t="shared" si="101"/>
        <v>100000BS308</v>
      </c>
      <c r="H322" s="143" t="str">
        <f t="shared" ref="H322:H363" si="104">$H$2&amp;$F322</f>
        <v>100001BS308</v>
      </c>
      <c r="I322" s="143" t="str">
        <f t="shared" ref="I322:I363" si="105">$I$2&amp;$F322</f>
        <v>100002BS308</v>
      </c>
      <c r="J322" s="143" t="str">
        <f t="shared" ref="J322:J363" si="106">$J$2&amp;$F322</f>
        <v>100003BS308</v>
      </c>
      <c r="K322" s="143" t="str">
        <f t="shared" ref="K322:K363" si="107">$K$2&amp;$F322</f>
        <v>100004BS308</v>
      </c>
      <c r="L322" s="143" t="str">
        <f t="shared" ref="L322:L363" si="108">$L$2&amp;$F322</f>
        <v>100005BS308</v>
      </c>
      <c r="M322" s="143" t="str">
        <f t="shared" ref="M322:M363" si="109">$M$2&amp;$F322</f>
        <v>100006BS308</v>
      </c>
      <c r="N322" s="143" t="str">
        <f t="shared" ref="N322:N363" si="110">$N$2&amp;$F322</f>
        <v>100007BS308</v>
      </c>
      <c r="O322" s="143" t="str">
        <f t="shared" ref="O322:O363" si="111">$O$2&amp;$F322</f>
        <v>100008BS308</v>
      </c>
      <c r="P322" s="143" t="str">
        <f t="shared" ref="P322:P363" si="112">$P$2&amp;$F322</f>
        <v>100009BS308</v>
      </c>
      <c r="Q322" s="143" t="str">
        <f t="shared" ref="Q322:Q363" si="113">$Q$2&amp;$F322</f>
        <v>100010BS308</v>
      </c>
      <c r="R322" s="143" t="str">
        <f t="shared" ref="R322:R363" si="114">$R$2&amp;$F322</f>
        <v>100011BS308</v>
      </c>
      <c r="S322" s="143" t="str">
        <f t="shared" ref="S322:S363" si="115">$S$2&amp;$F322</f>
        <v>100012BS308</v>
      </c>
      <c r="T322" s="143" t="str">
        <f t="shared" ref="T322:T363" si="116">$T$2&amp;$F322</f>
        <v>100013BS308</v>
      </c>
      <c r="U322" s="143" t="str">
        <f t="shared" ref="U322:U363" si="117">$U$2&amp;$F322</f>
        <v>100014BS308</v>
      </c>
      <c r="V322" s="143" t="str">
        <f t="shared" ref="V322:V363" si="118">$V$2&amp;$F322</f>
        <v>100015BS308</v>
      </c>
      <c r="W322" s="143" t="str">
        <f t="shared" ref="W322:W363" si="119">$W$2&amp;$F322</f>
        <v>100016BS308</v>
      </c>
      <c r="X322" s="144" t="s">
        <v>964</v>
      </c>
    </row>
    <row r="323" spans="1:24">
      <c r="A323" s="162">
        <v>11</v>
      </c>
      <c r="B323" s="140">
        <f t="shared" si="100"/>
        <v>319</v>
      </c>
      <c r="C323" s="144" t="s">
        <v>965</v>
      </c>
      <c r="D323" s="144" t="s">
        <v>777</v>
      </c>
      <c r="E323" s="142">
        <f t="shared" si="102"/>
        <v>309</v>
      </c>
      <c r="F323" s="152" t="str">
        <f t="shared" si="103"/>
        <v>BS309</v>
      </c>
      <c r="G323" s="143" t="str">
        <f t="shared" si="101"/>
        <v>100000BS309</v>
      </c>
      <c r="H323" s="143" t="str">
        <f t="shared" si="104"/>
        <v>100001BS309</v>
      </c>
      <c r="I323" s="143" t="str">
        <f t="shared" si="105"/>
        <v>100002BS309</v>
      </c>
      <c r="J323" s="143" t="str">
        <f t="shared" si="106"/>
        <v>100003BS309</v>
      </c>
      <c r="K323" s="143" t="str">
        <f t="shared" si="107"/>
        <v>100004BS309</v>
      </c>
      <c r="L323" s="143" t="str">
        <f t="shared" si="108"/>
        <v>100005BS309</v>
      </c>
      <c r="M323" s="143" t="str">
        <f t="shared" si="109"/>
        <v>100006BS309</v>
      </c>
      <c r="N323" s="143" t="str">
        <f t="shared" si="110"/>
        <v>100007BS309</v>
      </c>
      <c r="O323" s="143" t="str">
        <f t="shared" si="111"/>
        <v>100008BS309</v>
      </c>
      <c r="P323" s="143" t="str">
        <f t="shared" si="112"/>
        <v>100009BS309</v>
      </c>
      <c r="Q323" s="143" t="str">
        <f t="shared" si="113"/>
        <v>100010BS309</v>
      </c>
      <c r="R323" s="143" t="str">
        <f t="shared" si="114"/>
        <v>100011BS309</v>
      </c>
      <c r="S323" s="143" t="str">
        <f t="shared" si="115"/>
        <v>100012BS309</v>
      </c>
      <c r="T323" s="143" t="str">
        <f t="shared" si="116"/>
        <v>100013BS309</v>
      </c>
      <c r="U323" s="143" t="str">
        <f t="shared" si="117"/>
        <v>100014BS309</v>
      </c>
      <c r="V323" s="143" t="str">
        <f t="shared" si="118"/>
        <v>100015BS309</v>
      </c>
      <c r="W323" s="143" t="str">
        <f t="shared" si="119"/>
        <v>100016BS309</v>
      </c>
      <c r="X323" s="144" t="s">
        <v>965</v>
      </c>
    </row>
    <row r="324" spans="1:24">
      <c r="A324" s="162">
        <v>11</v>
      </c>
      <c r="B324" s="140">
        <f t="shared" si="100"/>
        <v>320</v>
      </c>
      <c r="C324" s="144" t="s">
        <v>966</v>
      </c>
      <c r="D324" s="144" t="s">
        <v>777</v>
      </c>
      <c r="E324" s="142">
        <f t="shared" si="102"/>
        <v>310</v>
      </c>
      <c r="F324" s="152" t="str">
        <f t="shared" si="103"/>
        <v>BS310</v>
      </c>
      <c r="G324" s="143" t="str">
        <f t="shared" si="101"/>
        <v>100000BS310</v>
      </c>
      <c r="H324" s="143" t="str">
        <f t="shared" si="104"/>
        <v>100001BS310</v>
      </c>
      <c r="I324" s="143" t="str">
        <f t="shared" si="105"/>
        <v>100002BS310</v>
      </c>
      <c r="J324" s="143" t="str">
        <f t="shared" si="106"/>
        <v>100003BS310</v>
      </c>
      <c r="K324" s="143" t="str">
        <f t="shared" si="107"/>
        <v>100004BS310</v>
      </c>
      <c r="L324" s="143" t="str">
        <f t="shared" si="108"/>
        <v>100005BS310</v>
      </c>
      <c r="M324" s="143" t="str">
        <f t="shared" si="109"/>
        <v>100006BS310</v>
      </c>
      <c r="N324" s="143" t="str">
        <f t="shared" si="110"/>
        <v>100007BS310</v>
      </c>
      <c r="O324" s="143" t="str">
        <f t="shared" si="111"/>
        <v>100008BS310</v>
      </c>
      <c r="P324" s="143" t="str">
        <f t="shared" si="112"/>
        <v>100009BS310</v>
      </c>
      <c r="Q324" s="143" t="str">
        <f t="shared" si="113"/>
        <v>100010BS310</v>
      </c>
      <c r="R324" s="143" t="str">
        <f t="shared" si="114"/>
        <v>100011BS310</v>
      </c>
      <c r="S324" s="143" t="str">
        <f t="shared" si="115"/>
        <v>100012BS310</v>
      </c>
      <c r="T324" s="143" t="str">
        <f t="shared" si="116"/>
        <v>100013BS310</v>
      </c>
      <c r="U324" s="143" t="str">
        <f t="shared" si="117"/>
        <v>100014BS310</v>
      </c>
      <c r="V324" s="143" t="str">
        <f t="shared" si="118"/>
        <v>100015BS310</v>
      </c>
      <c r="W324" s="143" t="str">
        <f t="shared" si="119"/>
        <v>100016BS310</v>
      </c>
      <c r="X324" s="144" t="s">
        <v>966</v>
      </c>
    </row>
    <row r="325" spans="1:24">
      <c r="A325" s="162" t="s">
        <v>627</v>
      </c>
      <c r="B325" s="140">
        <f t="shared" si="100"/>
        <v>321</v>
      </c>
      <c r="C325" s="144" t="s">
        <v>967</v>
      </c>
      <c r="D325" s="144" t="s">
        <v>777</v>
      </c>
      <c r="E325" s="142">
        <f t="shared" si="102"/>
        <v>311</v>
      </c>
      <c r="F325" s="152" t="str">
        <f t="shared" si="103"/>
        <v>BS311</v>
      </c>
      <c r="G325" s="143" t="str">
        <f t="shared" si="101"/>
        <v>100000BS311</v>
      </c>
      <c r="H325" s="143" t="str">
        <f t="shared" si="104"/>
        <v>100001BS311</v>
      </c>
      <c r="I325" s="143" t="str">
        <f t="shared" si="105"/>
        <v>100002BS311</v>
      </c>
      <c r="J325" s="143" t="str">
        <f t="shared" si="106"/>
        <v>100003BS311</v>
      </c>
      <c r="K325" s="143" t="str">
        <f t="shared" si="107"/>
        <v>100004BS311</v>
      </c>
      <c r="L325" s="143" t="str">
        <f t="shared" si="108"/>
        <v>100005BS311</v>
      </c>
      <c r="M325" s="143" t="str">
        <f t="shared" si="109"/>
        <v>100006BS311</v>
      </c>
      <c r="N325" s="143" t="str">
        <f t="shared" si="110"/>
        <v>100007BS311</v>
      </c>
      <c r="O325" s="143" t="str">
        <f t="shared" si="111"/>
        <v>100008BS311</v>
      </c>
      <c r="P325" s="143" t="str">
        <f t="shared" si="112"/>
        <v>100009BS311</v>
      </c>
      <c r="Q325" s="143" t="str">
        <f t="shared" si="113"/>
        <v>100010BS311</v>
      </c>
      <c r="R325" s="143" t="str">
        <f t="shared" si="114"/>
        <v>100011BS311</v>
      </c>
      <c r="S325" s="143" t="str">
        <f t="shared" si="115"/>
        <v>100012BS311</v>
      </c>
      <c r="T325" s="143" t="str">
        <f t="shared" si="116"/>
        <v>100013BS311</v>
      </c>
      <c r="U325" s="143" t="str">
        <f t="shared" si="117"/>
        <v>100014BS311</v>
      </c>
      <c r="V325" s="143" t="str">
        <f t="shared" si="118"/>
        <v>100015BS311</v>
      </c>
      <c r="W325" s="143" t="str">
        <f t="shared" si="119"/>
        <v>100016BS311</v>
      </c>
      <c r="X325" s="144" t="s">
        <v>967</v>
      </c>
    </row>
    <row r="326" spans="1:24">
      <c r="A326" s="162">
        <v>11</v>
      </c>
      <c r="B326" s="140">
        <f t="shared" ref="B326:B363" si="120">B325+1</f>
        <v>322</v>
      </c>
      <c r="C326" s="144" t="s">
        <v>968</v>
      </c>
      <c r="D326" s="144" t="s">
        <v>777</v>
      </c>
      <c r="E326" s="142">
        <f>E325+1</f>
        <v>312</v>
      </c>
      <c r="F326" s="152" t="str">
        <f t="shared" si="103"/>
        <v>BS312</v>
      </c>
      <c r="G326" s="143" t="str">
        <f t="shared" ref="G326:G363" si="121">$G$2&amp;$F326</f>
        <v>100000BS312</v>
      </c>
      <c r="H326" s="143" t="str">
        <f t="shared" si="104"/>
        <v>100001BS312</v>
      </c>
      <c r="I326" s="143" t="str">
        <f t="shared" si="105"/>
        <v>100002BS312</v>
      </c>
      <c r="J326" s="143" t="str">
        <f t="shared" si="106"/>
        <v>100003BS312</v>
      </c>
      <c r="K326" s="143" t="str">
        <f t="shared" si="107"/>
        <v>100004BS312</v>
      </c>
      <c r="L326" s="143" t="str">
        <f t="shared" si="108"/>
        <v>100005BS312</v>
      </c>
      <c r="M326" s="143" t="str">
        <f t="shared" si="109"/>
        <v>100006BS312</v>
      </c>
      <c r="N326" s="143" t="str">
        <f t="shared" si="110"/>
        <v>100007BS312</v>
      </c>
      <c r="O326" s="143" t="str">
        <f t="shared" si="111"/>
        <v>100008BS312</v>
      </c>
      <c r="P326" s="143" t="str">
        <f t="shared" si="112"/>
        <v>100009BS312</v>
      </c>
      <c r="Q326" s="143" t="str">
        <f t="shared" si="113"/>
        <v>100010BS312</v>
      </c>
      <c r="R326" s="143" t="str">
        <f t="shared" si="114"/>
        <v>100011BS312</v>
      </c>
      <c r="S326" s="143" t="str">
        <f t="shared" si="115"/>
        <v>100012BS312</v>
      </c>
      <c r="T326" s="143" t="str">
        <f t="shared" si="116"/>
        <v>100013BS312</v>
      </c>
      <c r="U326" s="143" t="str">
        <f t="shared" si="117"/>
        <v>100014BS312</v>
      </c>
      <c r="V326" s="143" t="str">
        <f t="shared" si="118"/>
        <v>100015BS312</v>
      </c>
      <c r="W326" s="143" t="str">
        <f t="shared" si="119"/>
        <v>100016BS312</v>
      </c>
      <c r="X326" s="144" t="s">
        <v>968</v>
      </c>
    </row>
    <row r="327" spans="1:24">
      <c r="A327" s="162">
        <v>11</v>
      </c>
      <c r="B327" s="140">
        <f t="shared" si="120"/>
        <v>323</v>
      </c>
      <c r="C327" s="144" t="s">
        <v>969</v>
      </c>
      <c r="D327" s="144" t="s">
        <v>777</v>
      </c>
      <c r="E327" s="142">
        <f t="shared" ref="E327:E337" si="122">E326+1</f>
        <v>313</v>
      </c>
      <c r="F327" s="152" t="str">
        <f t="shared" si="103"/>
        <v>BS313</v>
      </c>
      <c r="G327" s="143" t="str">
        <f t="shared" si="121"/>
        <v>100000BS313</v>
      </c>
      <c r="H327" s="143" t="str">
        <f t="shared" si="104"/>
        <v>100001BS313</v>
      </c>
      <c r="I327" s="143" t="str">
        <f t="shared" si="105"/>
        <v>100002BS313</v>
      </c>
      <c r="J327" s="143" t="str">
        <f t="shared" si="106"/>
        <v>100003BS313</v>
      </c>
      <c r="K327" s="143" t="str">
        <f t="shared" si="107"/>
        <v>100004BS313</v>
      </c>
      <c r="L327" s="143" t="str">
        <f t="shared" si="108"/>
        <v>100005BS313</v>
      </c>
      <c r="M327" s="143" t="str">
        <f t="shared" si="109"/>
        <v>100006BS313</v>
      </c>
      <c r="N327" s="143" t="str">
        <f t="shared" si="110"/>
        <v>100007BS313</v>
      </c>
      <c r="O327" s="143" t="str">
        <f t="shared" si="111"/>
        <v>100008BS313</v>
      </c>
      <c r="P327" s="143" t="str">
        <f t="shared" si="112"/>
        <v>100009BS313</v>
      </c>
      <c r="Q327" s="143" t="str">
        <f t="shared" si="113"/>
        <v>100010BS313</v>
      </c>
      <c r="R327" s="143" t="str">
        <f t="shared" si="114"/>
        <v>100011BS313</v>
      </c>
      <c r="S327" s="143" t="str">
        <f t="shared" si="115"/>
        <v>100012BS313</v>
      </c>
      <c r="T327" s="143" t="str">
        <f t="shared" si="116"/>
        <v>100013BS313</v>
      </c>
      <c r="U327" s="143" t="str">
        <f t="shared" si="117"/>
        <v>100014BS313</v>
      </c>
      <c r="V327" s="143" t="str">
        <f t="shared" si="118"/>
        <v>100015BS313</v>
      </c>
      <c r="W327" s="143" t="str">
        <f t="shared" si="119"/>
        <v>100016BS313</v>
      </c>
      <c r="X327" s="144" t="s">
        <v>969</v>
      </c>
    </row>
    <row r="328" spans="1:24">
      <c r="A328" s="162">
        <v>11</v>
      </c>
      <c r="B328" s="140">
        <f t="shared" si="120"/>
        <v>324</v>
      </c>
      <c r="C328" s="144" t="s">
        <v>970</v>
      </c>
      <c r="D328" s="144" t="s">
        <v>777</v>
      </c>
      <c r="E328" s="142">
        <f t="shared" si="122"/>
        <v>314</v>
      </c>
      <c r="F328" s="152" t="str">
        <f t="shared" si="103"/>
        <v>BS314</v>
      </c>
      <c r="G328" s="143" t="str">
        <f t="shared" si="121"/>
        <v>100000BS314</v>
      </c>
      <c r="H328" s="143" t="str">
        <f t="shared" si="104"/>
        <v>100001BS314</v>
      </c>
      <c r="I328" s="143" t="str">
        <f t="shared" si="105"/>
        <v>100002BS314</v>
      </c>
      <c r="J328" s="143" t="str">
        <f t="shared" si="106"/>
        <v>100003BS314</v>
      </c>
      <c r="K328" s="143" t="str">
        <f t="shared" si="107"/>
        <v>100004BS314</v>
      </c>
      <c r="L328" s="143" t="str">
        <f t="shared" si="108"/>
        <v>100005BS314</v>
      </c>
      <c r="M328" s="143" t="str">
        <f t="shared" si="109"/>
        <v>100006BS314</v>
      </c>
      <c r="N328" s="143" t="str">
        <f t="shared" si="110"/>
        <v>100007BS314</v>
      </c>
      <c r="O328" s="143" t="str">
        <f t="shared" si="111"/>
        <v>100008BS314</v>
      </c>
      <c r="P328" s="143" t="str">
        <f t="shared" si="112"/>
        <v>100009BS314</v>
      </c>
      <c r="Q328" s="143" t="str">
        <f t="shared" si="113"/>
        <v>100010BS314</v>
      </c>
      <c r="R328" s="143" t="str">
        <f t="shared" si="114"/>
        <v>100011BS314</v>
      </c>
      <c r="S328" s="143" t="str">
        <f t="shared" si="115"/>
        <v>100012BS314</v>
      </c>
      <c r="T328" s="143" t="str">
        <f t="shared" si="116"/>
        <v>100013BS314</v>
      </c>
      <c r="U328" s="143" t="str">
        <f t="shared" si="117"/>
        <v>100014BS314</v>
      </c>
      <c r="V328" s="143" t="str">
        <f t="shared" si="118"/>
        <v>100015BS314</v>
      </c>
      <c r="W328" s="143" t="str">
        <f t="shared" si="119"/>
        <v>100016BS314</v>
      </c>
      <c r="X328" s="144" t="s">
        <v>970</v>
      </c>
    </row>
    <row r="329" spans="1:24">
      <c r="A329" s="162">
        <v>11</v>
      </c>
      <c r="B329" s="140">
        <f t="shared" si="120"/>
        <v>325</v>
      </c>
      <c r="C329" s="144" t="s">
        <v>971</v>
      </c>
      <c r="D329" s="144" t="s">
        <v>777</v>
      </c>
      <c r="E329" s="142">
        <f t="shared" si="122"/>
        <v>315</v>
      </c>
      <c r="F329" s="152" t="str">
        <f t="shared" si="103"/>
        <v>BS315</v>
      </c>
      <c r="G329" s="143" t="str">
        <f t="shared" si="121"/>
        <v>100000BS315</v>
      </c>
      <c r="H329" s="143" t="str">
        <f t="shared" si="104"/>
        <v>100001BS315</v>
      </c>
      <c r="I329" s="143" t="str">
        <f t="shared" si="105"/>
        <v>100002BS315</v>
      </c>
      <c r="J329" s="143" t="str">
        <f t="shared" si="106"/>
        <v>100003BS315</v>
      </c>
      <c r="K329" s="143" t="str">
        <f t="shared" si="107"/>
        <v>100004BS315</v>
      </c>
      <c r="L329" s="143" t="str">
        <f t="shared" si="108"/>
        <v>100005BS315</v>
      </c>
      <c r="M329" s="143" t="str">
        <f t="shared" si="109"/>
        <v>100006BS315</v>
      </c>
      <c r="N329" s="143" t="str">
        <f t="shared" si="110"/>
        <v>100007BS315</v>
      </c>
      <c r="O329" s="143" t="str">
        <f t="shared" si="111"/>
        <v>100008BS315</v>
      </c>
      <c r="P329" s="143" t="str">
        <f t="shared" si="112"/>
        <v>100009BS315</v>
      </c>
      <c r="Q329" s="143" t="str">
        <f t="shared" si="113"/>
        <v>100010BS315</v>
      </c>
      <c r="R329" s="143" t="str">
        <f t="shared" si="114"/>
        <v>100011BS315</v>
      </c>
      <c r="S329" s="143" t="str">
        <f t="shared" si="115"/>
        <v>100012BS315</v>
      </c>
      <c r="T329" s="143" t="str">
        <f t="shared" si="116"/>
        <v>100013BS315</v>
      </c>
      <c r="U329" s="143" t="str">
        <f t="shared" si="117"/>
        <v>100014BS315</v>
      </c>
      <c r="V329" s="143" t="str">
        <f t="shared" si="118"/>
        <v>100015BS315</v>
      </c>
      <c r="W329" s="143" t="str">
        <f t="shared" si="119"/>
        <v>100016BS315</v>
      </c>
      <c r="X329" s="144" t="s">
        <v>971</v>
      </c>
    </row>
    <row r="330" spans="1:24">
      <c r="A330" s="162">
        <v>11</v>
      </c>
      <c r="B330" s="140">
        <f t="shared" si="120"/>
        <v>326</v>
      </c>
      <c r="C330" s="144" t="s">
        <v>972</v>
      </c>
      <c r="D330" s="144" t="s">
        <v>777</v>
      </c>
      <c r="E330" s="142">
        <f t="shared" si="122"/>
        <v>316</v>
      </c>
      <c r="F330" s="152" t="str">
        <f t="shared" si="103"/>
        <v>BS316</v>
      </c>
      <c r="G330" s="143" t="str">
        <f t="shared" si="121"/>
        <v>100000BS316</v>
      </c>
      <c r="H330" s="143" t="str">
        <f t="shared" si="104"/>
        <v>100001BS316</v>
      </c>
      <c r="I330" s="143" t="str">
        <f t="shared" si="105"/>
        <v>100002BS316</v>
      </c>
      <c r="J330" s="143" t="str">
        <f t="shared" si="106"/>
        <v>100003BS316</v>
      </c>
      <c r="K330" s="143" t="str">
        <f t="shared" si="107"/>
        <v>100004BS316</v>
      </c>
      <c r="L330" s="143" t="str">
        <f t="shared" si="108"/>
        <v>100005BS316</v>
      </c>
      <c r="M330" s="143" t="str">
        <f t="shared" si="109"/>
        <v>100006BS316</v>
      </c>
      <c r="N330" s="143" t="str">
        <f t="shared" si="110"/>
        <v>100007BS316</v>
      </c>
      <c r="O330" s="143" t="str">
        <f t="shared" si="111"/>
        <v>100008BS316</v>
      </c>
      <c r="P330" s="143" t="str">
        <f t="shared" si="112"/>
        <v>100009BS316</v>
      </c>
      <c r="Q330" s="143" t="str">
        <f t="shared" si="113"/>
        <v>100010BS316</v>
      </c>
      <c r="R330" s="143" t="str">
        <f t="shared" si="114"/>
        <v>100011BS316</v>
      </c>
      <c r="S330" s="143" t="str">
        <f t="shared" si="115"/>
        <v>100012BS316</v>
      </c>
      <c r="T330" s="143" t="str">
        <f t="shared" si="116"/>
        <v>100013BS316</v>
      </c>
      <c r="U330" s="143" t="str">
        <f t="shared" si="117"/>
        <v>100014BS316</v>
      </c>
      <c r="V330" s="143" t="str">
        <f t="shared" si="118"/>
        <v>100015BS316</v>
      </c>
      <c r="W330" s="143" t="str">
        <f t="shared" si="119"/>
        <v>100016BS316</v>
      </c>
      <c r="X330" s="144" t="s">
        <v>972</v>
      </c>
    </row>
    <row r="331" spans="1:24">
      <c r="A331" s="162">
        <v>11</v>
      </c>
      <c r="B331" s="140">
        <f t="shared" si="120"/>
        <v>327</v>
      </c>
      <c r="C331" s="144" t="s">
        <v>973</v>
      </c>
      <c r="D331" s="144" t="s">
        <v>777</v>
      </c>
      <c r="E331" s="142">
        <f t="shared" si="122"/>
        <v>317</v>
      </c>
      <c r="F331" s="152" t="str">
        <f t="shared" si="103"/>
        <v>BS317</v>
      </c>
      <c r="G331" s="143" t="str">
        <f t="shared" si="121"/>
        <v>100000BS317</v>
      </c>
      <c r="H331" s="143" t="str">
        <f t="shared" si="104"/>
        <v>100001BS317</v>
      </c>
      <c r="I331" s="143" t="str">
        <f t="shared" si="105"/>
        <v>100002BS317</v>
      </c>
      <c r="J331" s="143" t="str">
        <f t="shared" si="106"/>
        <v>100003BS317</v>
      </c>
      <c r="K331" s="143" t="str">
        <f t="shared" si="107"/>
        <v>100004BS317</v>
      </c>
      <c r="L331" s="143" t="str">
        <f t="shared" si="108"/>
        <v>100005BS317</v>
      </c>
      <c r="M331" s="143" t="str">
        <f t="shared" si="109"/>
        <v>100006BS317</v>
      </c>
      <c r="N331" s="143" t="str">
        <f t="shared" si="110"/>
        <v>100007BS317</v>
      </c>
      <c r="O331" s="143" t="str">
        <f t="shared" si="111"/>
        <v>100008BS317</v>
      </c>
      <c r="P331" s="143" t="str">
        <f t="shared" si="112"/>
        <v>100009BS317</v>
      </c>
      <c r="Q331" s="143" t="str">
        <f t="shared" si="113"/>
        <v>100010BS317</v>
      </c>
      <c r="R331" s="143" t="str">
        <f t="shared" si="114"/>
        <v>100011BS317</v>
      </c>
      <c r="S331" s="143" t="str">
        <f t="shared" si="115"/>
        <v>100012BS317</v>
      </c>
      <c r="T331" s="143" t="str">
        <f t="shared" si="116"/>
        <v>100013BS317</v>
      </c>
      <c r="U331" s="143" t="str">
        <f t="shared" si="117"/>
        <v>100014BS317</v>
      </c>
      <c r="V331" s="143" t="str">
        <f t="shared" si="118"/>
        <v>100015BS317</v>
      </c>
      <c r="W331" s="143" t="str">
        <f t="shared" si="119"/>
        <v>100016BS317</v>
      </c>
      <c r="X331" s="144" t="s">
        <v>973</v>
      </c>
    </row>
    <row r="332" spans="1:24">
      <c r="A332" s="162">
        <v>11</v>
      </c>
      <c r="B332" s="140">
        <f t="shared" si="120"/>
        <v>328</v>
      </c>
      <c r="C332" s="144" t="s">
        <v>974</v>
      </c>
      <c r="D332" s="144" t="s">
        <v>777</v>
      </c>
      <c r="E332" s="142">
        <f t="shared" si="122"/>
        <v>318</v>
      </c>
      <c r="F332" s="152" t="str">
        <f t="shared" si="103"/>
        <v>BS318</v>
      </c>
      <c r="G332" s="143" t="str">
        <f t="shared" si="121"/>
        <v>100000BS318</v>
      </c>
      <c r="H332" s="143" t="str">
        <f t="shared" si="104"/>
        <v>100001BS318</v>
      </c>
      <c r="I332" s="143" t="str">
        <f t="shared" si="105"/>
        <v>100002BS318</v>
      </c>
      <c r="J332" s="143" t="str">
        <f t="shared" si="106"/>
        <v>100003BS318</v>
      </c>
      <c r="K332" s="143" t="str">
        <f t="shared" si="107"/>
        <v>100004BS318</v>
      </c>
      <c r="L332" s="143" t="str">
        <f t="shared" si="108"/>
        <v>100005BS318</v>
      </c>
      <c r="M332" s="143" t="str">
        <f t="shared" si="109"/>
        <v>100006BS318</v>
      </c>
      <c r="N332" s="143" t="str">
        <f t="shared" si="110"/>
        <v>100007BS318</v>
      </c>
      <c r="O332" s="143" t="str">
        <f t="shared" si="111"/>
        <v>100008BS318</v>
      </c>
      <c r="P332" s="143" t="str">
        <f t="shared" si="112"/>
        <v>100009BS318</v>
      </c>
      <c r="Q332" s="143" t="str">
        <f t="shared" si="113"/>
        <v>100010BS318</v>
      </c>
      <c r="R332" s="143" t="str">
        <f t="shared" si="114"/>
        <v>100011BS318</v>
      </c>
      <c r="S332" s="143" t="str">
        <f t="shared" si="115"/>
        <v>100012BS318</v>
      </c>
      <c r="T332" s="143" t="str">
        <f t="shared" si="116"/>
        <v>100013BS318</v>
      </c>
      <c r="U332" s="143" t="str">
        <f t="shared" si="117"/>
        <v>100014BS318</v>
      </c>
      <c r="V332" s="143" t="str">
        <f t="shared" si="118"/>
        <v>100015BS318</v>
      </c>
      <c r="W332" s="143" t="str">
        <f t="shared" si="119"/>
        <v>100016BS318</v>
      </c>
      <c r="X332" s="144" t="s">
        <v>974</v>
      </c>
    </row>
    <row r="333" spans="1:24">
      <c r="A333" s="162" t="s">
        <v>627</v>
      </c>
      <c r="B333" s="140">
        <f t="shared" si="120"/>
        <v>329</v>
      </c>
      <c r="C333" s="144" t="s">
        <v>975</v>
      </c>
      <c r="D333" s="144" t="s">
        <v>777</v>
      </c>
      <c r="E333" s="142">
        <f t="shared" si="122"/>
        <v>319</v>
      </c>
      <c r="F333" s="152" t="str">
        <f t="shared" si="103"/>
        <v>BS319</v>
      </c>
      <c r="G333" s="143" t="str">
        <f t="shared" si="121"/>
        <v>100000BS319</v>
      </c>
      <c r="H333" s="143" t="str">
        <f t="shared" si="104"/>
        <v>100001BS319</v>
      </c>
      <c r="I333" s="143" t="str">
        <f t="shared" si="105"/>
        <v>100002BS319</v>
      </c>
      <c r="J333" s="143" t="str">
        <f t="shared" si="106"/>
        <v>100003BS319</v>
      </c>
      <c r="K333" s="143" t="str">
        <f t="shared" si="107"/>
        <v>100004BS319</v>
      </c>
      <c r="L333" s="143" t="str">
        <f t="shared" si="108"/>
        <v>100005BS319</v>
      </c>
      <c r="M333" s="143" t="str">
        <f t="shared" si="109"/>
        <v>100006BS319</v>
      </c>
      <c r="N333" s="143" t="str">
        <f t="shared" si="110"/>
        <v>100007BS319</v>
      </c>
      <c r="O333" s="143" t="str">
        <f t="shared" si="111"/>
        <v>100008BS319</v>
      </c>
      <c r="P333" s="143" t="str">
        <f t="shared" si="112"/>
        <v>100009BS319</v>
      </c>
      <c r="Q333" s="143" t="str">
        <f t="shared" si="113"/>
        <v>100010BS319</v>
      </c>
      <c r="R333" s="143" t="str">
        <f t="shared" si="114"/>
        <v>100011BS319</v>
      </c>
      <c r="S333" s="143" t="str">
        <f t="shared" si="115"/>
        <v>100012BS319</v>
      </c>
      <c r="T333" s="143" t="str">
        <f t="shared" si="116"/>
        <v>100013BS319</v>
      </c>
      <c r="U333" s="143" t="str">
        <f t="shared" si="117"/>
        <v>100014BS319</v>
      </c>
      <c r="V333" s="143" t="str">
        <f t="shared" si="118"/>
        <v>100015BS319</v>
      </c>
      <c r="W333" s="143" t="str">
        <f t="shared" si="119"/>
        <v>100016BS319</v>
      </c>
      <c r="X333" s="144" t="s">
        <v>975</v>
      </c>
    </row>
    <row r="334" spans="1:24">
      <c r="A334" s="161">
        <v>20</v>
      </c>
      <c r="B334" s="140">
        <f t="shared" si="120"/>
        <v>330</v>
      </c>
      <c r="C334" s="144" t="s">
        <v>683</v>
      </c>
      <c r="D334" s="144" t="s">
        <v>777</v>
      </c>
      <c r="E334" s="142">
        <f t="shared" si="122"/>
        <v>320</v>
      </c>
      <c r="F334" s="152" t="str">
        <f t="shared" si="103"/>
        <v>BS320</v>
      </c>
      <c r="G334" s="143" t="str">
        <f t="shared" si="121"/>
        <v>100000BS320</v>
      </c>
      <c r="H334" s="143" t="str">
        <f t="shared" si="104"/>
        <v>100001BS320</v>
      </c>
      <c r="I334" s="143" t="str">
        <f t="shared" si="105"/>
        <v>100002BS320</v>
      </c>
      <c r="J334" s="143" t="str">
        <f t="shared" si="106"/>
        <v>100003BS320</v>
      </c>
      <c r="K334" s="143" t="str">
        <f t="shared" si="107"/>
        <v>100004BS320</v>
      </c>
      <c r="L334" s="143" t="str">
        <f t="shared" si="108"/>
        <v>100005BS320</v>
      </c>
      <c r="M334" s="143" t="str">
        <f t="shared" si="109"/>
        <v>100006BS320</v>
      </c>
      <c r="N334" s="143" t="str">
        <f t="shared" si="110"/>
        <v>100007BS320</v>
      </c>
      <c r="O334" s="143" t="str">
        <f t="shared" si="111"/>
        <v>100008BS320</v>
      </c>
      <c r="P334" s="143" t="str">
        <f t="shared" si="112"/>
        <v>100009BS320</v>
      </c>
      <c r="Q334" s="143" t="str">
        <f t="shared" si="113"/>
        <v>100010BS320</v>
      </c>
      <c r="R334" s="143" t="str">
        <f t="shared" si="114"/>
        <v>100011BS320</v>
      </c>
      <c r="S334" s="143" t="str">
        <f t="shared" si="115"/>
        <v>100012BS320</v>
      </c>
      <c r="T334" s="143" t="str">
        <f t="shared" si="116"/>
        <v>100013BS320</v>
      </c>
      <c r="U334" s="143" t="str">
        <f t="shared" si="117"/>
        <v>100014BS320</v>
      </c>
      <c r="V334" s="143" t="str">
        <f t="shared" si="118"/>
        <v>100015BS320</v>
      </c>
      <c r="W334" s="143" t="str">
        <f t="shared" si="119"/>
        <v>100016BS320</v>
      </c>
      <c r="X334" s="144" t="s">
        <v>683</v>
      </c>
    </row>
    <row r="335" spans="1:24">
      <c r="A335" s="161">
        <v>20</v>
      </c>
      <c r="B335" s="140">
        <f t="shared" si="120"/>
        <v>331</v>
      </c>
      <c r="C335" s="144" t="s">
        <v>693</v>
      </c>
      <c r="D335" s="144" t="s">
        <v>777</v>
      </c>
      <c r="E335" s="142">
        <f t="shared" si="122"/>
        <v>321</v>
      </c>
      <c r="F335" s="152" t="str">
        <f t="shared" si="103"/>
        <v>BS321</v>
      </c>
      <c r="G335" s="143" t="str">
        <f t="shared" si="121"/>
        <v>100000BS321</v>
      </c>
      <c r="H335" s="143" t="str">
        <f t="shared" si="104"/>
        <v>100001BS321</v>
      </c>
      <c r="I335" s="143" t="str">
        <f t="shared" si="105"/>
        <v>100002BS321</v>
      </c>
      <c r="J335" s="143" t="str">
        <f t="shared" si="106"/>
        <v>100003BS321</v>
      </c>
      <c r="K335" s="143" t="str">
        <f t="shared" si="107"/>
        <v>100004BS321</v>
      </c>
      <c r="L335" s="143" t="str">
        <f t="shared" si="108"/>
        <v>100005BS321</v>
      </c>
      <c r="M335" s="143" t="str">
        <f t="shared" si="109"/>
        <v>100006BS321</v>
      </c>
      <c r="N335" s="143" t="str">
        <f t="shared" si="110"/>
        <v>100007BS321</v>
      </c>
      <c r="O335" s="143" t="str">
        <f t="shared" si="111"/>
        <v>100008BS321</v>
      </c>
      <c r="P335" s="143" t="str">
        <f t="shared" si="112"/>
        <v>100009BS321</v>
      </c>
      <c r="Q335" s="143" t="str">
        <f t="shared" si="113"/>
        <v>100010BS321</v>
      </c>
      <c r="R335" s="143" t="str">
        <f t="shared" si="114"/>
        <v>100011BS321</v>
      </c>
      <c r="S335" s="143" t="str">
        <f t="shared" si="115"/>
        <v>100012BS321</v>
      </c>
      <c r="T335" s="143" t="str">
        <f t="shared" si="116"/>
        <v>100013BS321</v>
      </c>
      <c r="U335" s="143" t="str">
        <f t="shared" si="117"/>
        <v>100014BS321</v>
      </c>
      <c r="V335" s="143" t="str">
        <f t="shared" si="118"/>
        <v>100015BS321</v>
      </c>
      <c r="W335" s="143" t="str">
        <f t="shared" si="119"/>
        <v>100016BS321</v>
      </c>
      <c r="X335" s="144" t="s">
        <v>693</v>
      </c>
    </row>
    <row r="336" spans="1:24">
      <c r="A336" s="161">
        <v>20</v>
      </c>
      <c r="B336" s="140">
        <f t="shared" si="120"/>
        <v>332</v>
      </c>
      <c r="C336" s="144" t="s">
        <v>205</v>
      </c>
      <c r="D336" s="144" t="s">
        <v>777</v>
      </c>
      <c r="E336" s="142">
        <f t="shared" si="122"/>
        <v>322</v>
      </c>
      <c r="F336" s="152" t="str">
        <f t="shared" si="103"/>
        <v>BS322</v>
      </c>
      <c r="G336" s="143" t="str">
        <f t="shared" si="121"/>
        <v>100000BS322</v>
      </c>
      <c r="H336" s="143" t="str">
        <f t="shared" si="104"/>
        <v>100001BS322</v>
      </c>
      <c r="I336" s="143" t="str">
        <f t="shared" si="105"/>
        <v>100002BS322</v>
      </c>
      <c r="J336" s="143" t="str">
        <f t="shared" si="106"/>
        <v>100003BS322</v>
      </c>
      <c r="K336" s="143" t="str">
        <f t="shared" si="107"/>
        <v>100004BS322</v>
      </c>
      <c r="L336" s="143" t="str">
        <f t="shared" si="108"/>
        <v>100005BS322</v>
      </c>
      <c r="M336" s="143" t="str">
        <f t="shared" si="109"/>
        <v>100006BS322</v>
      </c>
      <c r="N336" s="143" t="str">
        <f t="shared" si="110"/>
        <v>100007BS322</v>
      </c>
      <c r="O336" s="143" t="str">
        <f t="shared" si="111"/>
        <v>100008BS322</v>
      </c>
      <c r="P336" s="143" t="str">
        <f t="shared" si="112"/>
        <v>100009BS322</v>
      </c>
      <c r="Q336" s="143" t="str">
        <f t="shared" si="113"/>
        <v>100010BS322</v>
      </c>
      <c r="R336" s="143" t="str">
        <f t="shared" si="114"/>
        <v>100011BS322</v>
      </c>
      <c r="S336" s="143" t="str">
        <f t="shared" si="115"/>
        <v>100012BS322</v>
      </c>
      <c r="T336" s="143" t="str">
        <f t="shared" si="116"/>
        <v>100013BS322</v>
      </c>
      <c r="U336" s="143" t="str">
        <f t="shared" si="117"/>
        <v>100014BS322</v>
      </c>
      <c r="V336" s="143" t="str">
        <f t="shared" si="118"/>
        <v>100015BS322</v>
      </c>
      <c r="W336" s="143" t="str">
        <f t="shared" si="119"/>
        <v>100016BS322</v>
      </c>
      <c r="X336" s="144" t="s">
        <v>205</v>
      </c>
    </row>
    <row r="337" spans="1:24">
      <c r="A337" s="161">
        <v>20</v>
      </c>
      <c r="B337" s="140">
        <f t="shared" si="120"/>
        <v>333</v>
      </c>
      <c r="C337" s="144" t="s">
        <v>206</v>
      </c>
      <c r="D337" s="144" t="s">
        <v>777</v>
      </c>
      <c r="E337" s="142">
        <f t="shared" si="122"/>
        <v>323</v>
      </c>
      <c r="F337" s="152" t="str">
        <f t="shared" si="103"/>
        <v>BS323</v>
      </c>
      <c r="G337" s="143" t="str">
        <f t="shared" si="121"/>
        <v>100000BS323</v>
      </c>
      <c r="H337" s="143" t="str">
        <f t="shared" si="104"/>
        <v>100001BS323</v>
      </c>
      <c r="I337" s="143" t="str">
        <f t="shared" si="105"/>
        <v>100002BS323</v>
      </c>
      <c r="J337" s="143" t="str">
        <f t="shared" si="106"/>
        <v>100003BS323</v>
      </c>
      <c r="K337" s="143" t="str">
        <f t="shared" si="107"/>
        <v>100004BS323</v>
      </c>
      <c r="L337" s="143" t="str">
        <f t="shared" si="108"/>
        <v>100005BS323</v>
      </c>
      <c r="M337" s="143" t="str">
        <f t="shared" si="109"/>
        <v>100006BS323</v>
      </c>
      <c r="N337" s="143" t="str">
        <f t="shared" si="110"/>
        <v>100007BS323</v>
      </c>
      <c r="O337" s="143" t="str">
        <f t="shared" si="111"/>
        <v>100008BS323</v>
      </c>
      <c r="P337" s="143" t="str">
        <f t="shared" si="112"/>
        <v>100009BS323</v>
      </c>
      <c r="Q337" s="143" t="str">
        <f t="shared" si="113"/>
        <v>100010BS323</v>
      </c>
      <c r="R337" s="143" t="str">
        <f t="shared" si="114"/>
        <v>100011BS323</v>
      </c>
      <c r="S337" s="143" t="str">
        <f t="shared" si="115"/>
        <v>100012BS323</v>
      </c>
      <c r="T337" s="143" t="str">
        <f t="shared" si="116"/>
        <v>100013BS323</v>
      </c>
      <c r="U337" s="143" t="str">
        <f t="shared" si="117"/>
        <v>100014BS323</v>
      </c>
      <c r="V337" s="143" t="str">
        <f t="shared" si="118"/>
        <v>100015BS323</v>
      </c>
      <c r="W337" s="143" t="str">
        <f t="shared" si="119"/>
        <v>100016BS323</v>
      </c>
      <c r="X337" s="144" t="s">
        <v>206</v>
      </c>
    </row>
    <row r="338" spans="1:24">
      <c r="A338" s="161">
        <v>23</v>
      </c>
      <c r="B338" s="140">
        <f t="shared" si="120"/>
        <v>334</v>
      </c>
      <c r="C338" s="144" t="s">
        <v>702</v>
      </c>
      <c r="D338" s="144" t="s">
        <v>892</v>
      </c>
      <c r="E338" s="142">
        <f>E316+1</f>
        <v>209</v>
      </c>
      <c r="F338" s="152" t="str">
        <f t="shared" si="103"/>
        <v>PL209</v>
      </c>
      <c r="G338" s="143" t="str">
        <f t="shared" si="121"/>
        <v>100000PL209</v>
      </c>
      <c r="H338" s="143" t="str">
        <f t="shared" si="104"/>
        <v>100001PL209</v>
      </c>
      <c r="I338" s="143" t="str">
        <f t="shared" si="105"/>
        <v>100002PL209</v>
      </c>
      <c r="J338" s="143" t="str">
        <f t="shared" si="106"/>
        <v>100003PL209</v>
      </c>
      <c r="K338" s="143" t="str">
        <f t="shared" si="107"/>
        <v>100004PL209</v>
      </c>
      <c r="L338" s="143" t="str">
        <f t="shared" si="108"/>
        <v>100005PL209</v>
      </c>
      <c r="M338" s="143" t="str">
        <f t="shared" si="109"/>
        <v>100006PL209</v>
      </c>
      <c r="N338" s="143" t="str">
        <f t="shared" si="110"/>
        <v>100007PL209</v>
      </c>
      <c r="O338" s="143" t="str">
        <f t="shared" si="111"/>
        <v>100008PL209</v>
      </c>
      <c r="P338" s="143" t="str">
        <f t="shared" si="112"/>
        <v>100009PL209</v>
      </c>
      <c r="Q338" s="143" t="str">
        <f t="shared" si="113"/>
        <v>100010PL209</v>
      </c>
      <c r="R338" s="143" t="str">
        <f t="shared" si="114"/>
        <v>100011PL209</v>
      </c>
      <c r="S338" s="143" t="str">
        <f t="shared" si="115"/>
        <v>100012PL209</v>
      </c>
      <c r="T338" s="143" t="str">
        <f t="shared" si="116"/>
        <v>100013PL209</v>
      </c>
      <c r="U338" s="143" t="str">
        <f t="shared" si="117"/>
        <v>100014PL209</v>
      </c>
      <c r="V338" s="143" t="str">
        <f t="shared" si="118"/>
        <v>100015PL209</v>
      </c>
      <c r="W338" s="143" t="str">
        <f t="shared" si="119"/>
        <v>100016PL209</v>
      </c>
      <c r="X338" s="144" t="s">
        <v>702</v>
      </c>
    </row>
    <row r="339" spans="1:24">
      <c r="A339" s="161">
        <v>30</v>
      </c>
      <c r="B339" s="140">
        <f t="shared" si="120"/>
        <v>335</v>
      </c>
      <c r="C339" s="144" t="s">
        <v>350</v>
      </c>
      <c r="D339" s="144" t="s">
        <v>892</v>
      </c>
      <c r="E339" s="142">
        <f>E338+1</f>
        <v>210</v>
      </c>
      <c r="F339" s="152" t="str">
        <f t="shared" si="103"/>
        <v>PL210</v>
      </c>
      <c r="G339" s="143" t="str">
        <f t="shared" si="121"/>
        <v>100000PL210</v>
      </c>
      <c r="H339" s="143" t="str">
        <f t="shared" si="104"/>
        <v>100001PL210</v>
      </c>
      <c r="I339" s="143" t="str">
        <f t="shared" si="105"/>
        <v>100002PL210</v>
      </c>
      <c r="J339" s="143" t="str">
        <f t="shared" si="106"/>
        <v>100003PL210</v>
      </c>
      <c r="K339" s="143" t="str">
        <f t="shared" si="107"/>
        <v>100004PL210</v>
      </c>
      <c r="L339" s="143" t="str">
        <f t="shared" si="108"/>
        <v>100005PL210</v>
      </c>
      <c r="M339" s="143" t="str">
        <f t="shared" si="109"/>
        <v>100006PL210</v>
      </c>
      <c r="N339" s="143" t="str">
        <f t="shared" si="110"/>
        <v>100007PL210</v>
      </c>
      <c r="O339" s="143" t="str">
        <f t="shared" si="111"/>
        <v>100008PL210</v>
      </c>
      <c r="P339" s="143" t="str">
        <f t="shared" si="112"/>
        <v>100009PL210</v>
      </c>
      <c r="Q339" s="143" t="str">
        <f t="shared" si="113"/>
        <v>100010PL210</v>
      </c>
      <c r="R339" s="143" t="str">
        <f t="shared" si="114"/>
        <v>100011PL210</v>
      </c>
      <c r="S339" s="143" t="str">
        <f t="shared" si="115"/>
        <v>100012PL210</v>
      </c>
      <c r="T339" s="143" t="str">
        <f t="shared" si="116"/>
        <v>100013PL210</v>
      </c>
      <c r="U339" s="143" t="str">
        <f t="shared" si="117"/>
        <v>100014PL210</v>
      </c>
      <c r="V339" s="143" t="str">
        <f t="shared" si="118"/>
        <v>100015PL210</v>
      </c>
      <c r="W339" s="143" t="str">
        <f t="shared" si="119"/>
        <v>100016PL210</v>
      </c>
      <c r="X339" s="144" t="s">
        <v>350</v>
      </c>
    </row>
    <row r="340" spans="1:24">
      <c r="A340" s="161">
        <v>30</v>
      </c>
      <c r="B340" s="140">
        <f t="shared" si="120"/>
        <v>336</v>
      </c>
      <c r="C340" s="144" t="s">
        <v>351</v>
      </c>
      <c r="D340" s="144" t="s">
        <v>892</v>
      </c>
      <c r="E340" s="142">
        <f>E339+1</f>
        <v>211</v>
      </c>
      <c r="F340" s="152" t="str">
        <f t="shared" si="103"/>
        <v>PL211</v>
      </c>
      <c r="G340" s="143" t="str">
        <f t="shared" si="121"/>
        <v>100000PL211</v>
      </c>
      <c r="H340" s="143" t="str">
        <f t="shared" si="104"/>
        <v>100001PL211</v>
      </c>
      <c r="I340" s="143" t="str">
        <f t="shared" si="105"/>
        <v>100002PL211</v>
      </c>
      <c r="J340" s="143" t="str">
        <f t="shared" si="106"/>
        <v>100003PL211</v>
      </c>
      <c r="K340" s="143" t="str">
        <f t="shared" si="107"/>
        <v>100004PL211</v>
      </c>
      <c r="L340" s="143" t="str">
        <f t="shared" si="108"/>
        <v>100005PL211</v>
      </c>
      <c r="M340" s="143" t="str">
        <f t="shared" si="109"/>
        <v>100006PL211</v>
      </c>
      <c r="N340" s="143" t="str">
        <f t="shared" si="110"/>
        <v>100007PL211</v>
      </c>
      <c r="O340" s="143" t="str">
        <f t="shared" si="111"/>
        <v>100008PL211</v>
      </c>
      <c r="P340" s="143" t="str">
        <f t="shared" si="112"/>
        <v>100009PL211</v>
      </c>
      <c r="Q340" s="143" t="str">
        <f t="shared" si="113"/>
        <v>100010PL211</v>
      </c>
      <c r="R340" s="143" t="str">
        <f t="shared" si="114"/>
        <v>100011PL211</v>
      </c>
      <c r="S340" s="143" t="str">
        <f t="shared" si="115"/>
        <v>100012PL211</v>
      </c>
      <c r="T340" s="143" t="str">
        <f t="shared" si="116"/>
        <v>100013PL211</v>
      </c>
      <c r="U340" s="143" t="str">
        <f t="shared" si="117"/>
        <v>100014PL211</v>
      </c>
      <c r="V340" s="143" t="str">
        <f t="shared" si="118"/>
        <v>100015PL211</v>
      </c>
      <c r="W340" s="143" t="str">
        <f t="shared" si="119"/>
        <v>100016PL211</v>
      </c>
      <c r="X340" s="144" t="s">
        <v>351</v>
      </c>
    </row>
    <row r="341" spans="1:24">
      <c r="A341" s="161">
        <v>9</v>
      </c>
      <c r="B341" s="140">
        <f t="shared" si="120"/>
        <v>337</v>
      </c>
      <c r="C341" s="144" t="s">
        <v>729</v>
      </c>
      <c r="D341" s="144" t="s">
        <v>777</v>
      </c>
      <c r="E341" s="142">
        <f>E337+1</f>
        <v>324</v>
      </c>
      <c r="F341" s="152" t="str">
        <f t="shared" si="103"/>
        <v>BS324</v>
      </c>
      <c r="G341" s="143" t="str">
        <f t="shared" si="121"/>
        <v>100000BS324</v>
      </c>
      <c r="H341" s="143" t="str">
        <f t="shared" si="104"/>
        <v>100001BS324</v>
      </c>
      <c r="I341" s="143" t="str">
        <f t="shared" si="105"/>
        <v>100002BS324</v>
      </c>
      <c r="J341" s="143" t="str">
        <f t="shared" si="106"/>
        <v>100003BS324</v>
      </c>
      <c r="K341" s="143" t="str">
        <f t="shared" si="107"/>
        <v>100004BS324</v>
      </c>
      <c r="L341" s="143" t="str">
        <f t="shared" si="108"/>
        <v>100005BS324</v>
      </c>
      <c r="M341" s="143" t="str">
        <f t="shared" si="109"/>
        <v>100006BS324</v>
      </c>
      <c r="N341" s="143" t="str">
        <f t="shared" si="110"/>
        <v>100007BS324</v>
      </c>
      <c r="O341" s="143" t="str">
        <f t="shared" si="111"/>
        <v>100008BS324</v>
      </c>
      <c r="P341" s="143" t="str">
        <f t="shared" si="112"/>
        <v>100009BS324</v>
      </c>
      <c r="Q341" s="143" t="str">
        <f t="shared" si="113"/>
        <v>100010BS324</v>
      </c>
      <c r="R341" s="143" t="str">
        <f t="shared" si="114"/>
        <v>100011BS324</v>
      </c>
      <c r="S341" s="143" t="str">
        <f t="shared" si="115"/>
        <v>100012BS324</v>
      </c>
      <c r="T341" s="143" t="str">
        <f t="shared" si="116"/>
        <v>100013BS324</v>
      </c>
      <c r="U341" s="143" t="str">
        <f t="shared" si="117"/>
        <v>100014BS324</v>
      </c>
      <c r="V341" s="143" t="str">
        <f t="shared" si="118"/>
        <v>100015BS324</v>
      </c>
      <c r="W341" s="143" t="str">
        <f t="shared" si="119"/>
        <v>100016BS324</v>
      </c>
      <c r="X341" s="144" t="s">
        <v>729</v>
      </c>
    </row>
    <row r="342" spans="1:24">
      <c r="A342" s="161">
        <v>23</v>
      </c>
      <c r="B342" s="140">
        <f t="shared" si="120"/>
        <v>338</v>
      </c>
      <c r="C342" s="144" t="s">
        <v>266</v>
      </c>
      <c r="D342" s="144" t="s">
        <v>892</v>
      </c>
      <c r="E342" s="142">
        <f>E340+1</f>
        <v>212</v>
      </c>
      <c r="F342" s="152" t="str">
        <f t="shared" si="103"/>
        <v>PL212</v>
      </c>
      <c r="G342" s="143" t="str">
        <f t="shared" si="121"/>
        <v>100000PL212</v>
      </c>
      <c r="H342" s="143" t="str">
        <f t="shared" si="104"/>
        <v>100001PL212</v>
      </c>
      <c r="I342" s="143" t="str">
        <f t="shared" si="105"/>
        <v>100002PL212</v>
      </c>
      <c r="J342" s="143" t="str">
        <f t="shared" si="106"/>
        <v>100003PL212</v>
      </c>
      <c r="K342" s="143" t="str">
        <f t="shared" si="107"/>
        <v>100004PL212</v>
      </c>
      <c r="L342" s="143" t="str">
        <f t="shared" si="108"/>
        <v>100005PL212</v>
      </c>
      <c r="M342" s="143" t="str">
        <f t="shared" si="109"/>
        <v>100006PL212</v>
      </c>
      <c r="N342" s="143" t="str">
        <f t="shared" si="110"/>
        <v>100007PL212</v>
      </c>
      <c r="O342" s="143" t="str">
        <f t="shared" si="111"/>
        <v>100008PL212</v>
      </c>
      <c r="P342" s="143" t="str">
        <f t="shared" si="112"/>
        <v>100009PL212</v>
      </c>
      <c r="Q342" s="143" t="str">
        <f t="shared" si="113"/>
        <v>100010PL212</v>
      </c>
      <c r="R342" s="143" t="str">
        <f t="shared" si="114"/>
        <v>100011PL212</v>
      </c>
      <c r="S342" s="143" t="str">
        <f t="shared" si="115"/>
        <v>100012PL212</v>
      </c>
      <c r="T342" s="143" t="str">
        <f t="shared" si="116"/>
        <v>100013PL212</v>
      </c>
      <c r="U342" s="143" t="str">
        <f t="shared" si="117"/>
        <v>100014PL212</v>
      </c>
      <c r="V342" s="143" t="str">
        <f t="shared" si="118"/>
        <v>100015PL212</v>
      </c>
      <c r="W342" s="143" t="str">
        <f t="shared" si="119"/>
        <v>100016PL212</v>
      </c>
      <c r="X342" s="144" t="s">
        <v>266</v>
      </c>
    </row>
    <row r="343" spans="1:24">
      <c r="A343" s="161">
        <v>14</v>
      </c>
      <c r="B343" s="140">
        <f t="shared" si="120"/>
        <v>339</v>
      </c>
      <c r="C343" s="144" t="s">
        <v>659</v>
      </c>
      <c r="D343" s="144" t="s">
        <v>777</v>
      </c>
      <c r="E343" s="142">
        <f>E341+1</f>
        <v>325</v>
      </c>
      <c r="F343" s="152" t="s">
        <v>456</v>
      </c>
      <c r="G343" s="143" t="str">
        <f t="shared" si="121"/>
        <v>100000BS177</v>
      </c>
      <c r="H343" s="143" t="str">
        <f t="shared" si="104"/>
        <v>100001BS177</v>
      </c>
      <c r="I343" s="143" t="str">
        <f t="shared" si="105"/>
        <v>100002BS177</v>
      </c>
      <c r="J343" s="143" t="str">
        <f t="shared" si="106"/>
        <v>100003BS177</v>
      </c>
      <c r="K343" s="143" t="str">
        <f t="shared" si="107"/>
        <v>100004BS177</v>
      </c>
      <c r="L343" s="143" t="str">
        <f t="shared" si="108"/>
        <v>100005BS177</v>
      </c>
      <c r="M343" s="143" t="str">
        <f t="shared" si="109"/>
        <v>100006BS177</v>
      </c>
      <c r="N343" s="143" t="str">
        <f t="shared" si="110"/>
        <v>100007BS177</v>
      </c>
      <c r="O343" s="143" t="str">
        <f t="shared" si="111"/>
        <v>100008BS177</v>
      </c>
      <c r="P343" s="143" t="str">
        <f t="shared" si="112"/>
        <v>100009BS177</v>
      </c>
      <c r="Q343" s="143" t="str">
        <f t="shared" si="113"/>
        <v>100010BS177</v>
      </c>
      <c r="R343" s="143" t="str">
        <f t="shared" si="114"/>
        <v>100011BS177</v>
      </c>
      <c r="S343" s="143" t="str">
        <f t="shared" si="115"/>
        <v>100012BS177</v>
      </c>
      <c r="T343" s="143" t="str">
        <f t="shared" si="116"/>
        <v>100013BS177</v>
      </c>
      <c r="U343" s="143" t="str">
        <f t="shared" si="117"/>
        <v>100014BS177</v>
      </c>
      <c r="V343" s="143" t="str">
        <f t="shared" si="118"/>
        <v>100015BS177</v>
      </c>
      <c r="W343" s="143" t="str">
        <f t="shared" si="119"/>
        <v>100016BS177</v>
      </c>
      <c r="X343" s="144" t="s">
        <v>659</v>
      </c>
    </row>
    <row r="344" spans="1:24">
      <c r="A344" s="161">
        <v>19</v>
      </c>
      <c r="B344" s="140">
        <f t="shared" si="120"/>
        <v>340</v>
      </c>
      <c r="C344" s="144" t="s">
        <v>686</v>
      </c>
      <c r="D344" s="144" t="s">
        <v>777</v>
      </c>
      <c r="E344" s="142">
        <f>E343+1</f>
        <v>326</v>
      </c>
      <c r="F344" s="152" t="str">
        <f t="shared" si="103"/>
        <v>BS326</v>
      </c>
      <c r="G344" s="143" t="str">
        <f t="shared" si="121"/>
        <v>100000BS326</v>
      </c>
      <c r="H344" s="143" t="str">
        <f t="shared" si="104"/>
        <v>100001BS326</v>
      </c>
      <c r="I344" s="143" t="str">
        <f t="shared" si="105"/>
        <v>100002BS326</v>
      </c>
      <c r="J344" s="143" t="str">
        <f t="shared" si="106"/>
        <v>100003BS326</v>
      </c>
      <c r="K344" s="143" t="str">
        <f t="shared" si="107"/>
        <v>100004BS326</v>
      </c>
      <c r="L344" s="143" t="str">
        <f t="shared" si="108"/>
        <v>100005BS326</v>
      </c>
      <c r="M344" s="143" t="str">
        <f t="shared" si="109"/>
        <v>100006BS326</v>
      </c>
      <c r="N344" s="143" t="str">
        <f t="shared" si="110"/>
        <v>100007BS326</v>
      </c>
      <c r="O344" s="143" t="str">
        <f t="shared" si="111"/>
        <v>100008BS326</v>
      </c>
      <c r="P344" s="143" t="str">
        <f t="shared" si="112"/>
        <v>100009BS326</v>
      </c>
      <c r="Q344" s="143" t="str">
        <f t="shared" si="113"/>
        <v>100010BS326</v>
      </c>
      <c r="R344" s="143" t="str">
        <f t="shared" si="114"/>
        <v>100011BS326</v>
      </c>
      <c r="S344" s="143" t="str">
        <f t="shared" si="115"/>
        <v>100012BS326</v>
      </c>
      <c r="T344" s="143" t="str">
        <f t="shared" si="116"/>
        <v>100013BS326</v>
      </c>
      <c r="U344" s="143" t="str">
        <f t="shared" si="117"/>
        <v>100014BS326</v>
      </c>
      <c r="V344" s="143" t="str">
        <f t="shared" si="118"/>
        <v>100015BS326</v>
      </c>
      <c r="W344" s="143" t="str">
        <f t="shared" si="119"/>
        <v>100016BS326</v>
      </c>
      <c r="X344" s="144" t="s">
        <v>686</v>
      </c>
    </row>
    <row r="345" spans="1:24">
      <c r="A345" s="161">
        <v>12</v>
      </c>
      <c r="B345" s="140">
        <f t="shared" si="120"/>
        <v>341</v>
      </c>
      <c r="C345" s="144" t="s">
        <v>678</v>
      </c>
      <c r="D345" s="144" t="s">
        <v>777</v>
      </c>
      <c r="E345" s="142">
        <f>E344+1</f>
        <v>327</v>
      </c>
      <c r="F345" s="152" t="str">
        <f t="shared" si="103"/>
        <v>BS327</v>
      </c>
      <c r="G345" s="143" t="str">
        <f t="shared" si="121"/>
        <v>100000BS327</v>
      </c>
      <c r="H345" s="143" t="str">
        <f t="shared" si="104"/>
        <v>100001BS327</v>
      </c>
      <c r="I345" s="143" t="str">
        <f t="shared" si="105"/>
        <v>100002BS327</v>
      </c>
      <c r="J345" s="143" t="str">
        <f t="shared" si="106"/>
        <v>100003BS327</v>
      </c>
      <c r="K345" s="143" t="str">
        <f t="shared" si="107"/>
        <v>100004BS327</v>
      </c>
      <c r="L345" s="143" t="str">
        <f t="shared" si="108"/>
        <v>100005BS327</v>
      </c>
      <c r="M345" s="143" t="str">
        <f t="shared" si="109"/>
        <v>100006BS327</v>
      </c>
      <c r="N345" s="143" t="str">
        <f t="shared" si="110"/>
        <v>100007BS327</v>
      </c>
      <c r="O345" s="143" t="str">
        <f t="shared" si="111"/>
        <v>100008BS327</v>
      </c>
      <c r="P345" s="143" t="str">
        <f t="shared" si="112"/>
        <v>100009BS327</v>
      </c>
      <c r="Q345" s="143" t="str">
        <f t="shared" si="113"/>
        <v>100010BS327</v>
      </c>
      <c r="R345" s="143" t="str">
        <f t="shared" si="114"/>
        <v>100011BS327</v>
      </c>
      <c r="S345" s="143" t="str">
        <f t="shared" si="115"/>
        <v>100012BS327</v>
      </c>
      <c r="T345" s="143" t="str">
        <f t="shared" si="116"/>
        <v>100013BS327</v>
      </c>
      <c r="U345" s="143" t="str">
        <f t="shared" si="117"/>
        <v>100014BS327</v>
      </c>
      <c r="V345" s="143" t="str">
        <f t="shared" si="118"/>
        <v>100015BS327</v>
      </c>
      <c r="W345" s="143" t="str">
        <f t="shared" si="119"/>
        <v>100016BS327</v>
      </c>
      <c r="X345" s="144" t="s">
        <v>678</v>
      </c>
    </row>
    <row r="346" spans="1:24">
      <c r="A346" s="161">
        <v>15</v>
      </c>
      <c r="B346" s="140">
        <f t="shared" si="120"/>
        <v>342</v>
      </c>
      <c r="C346" s="144" t="s">
        <v>976</v>
      </c>
      <c r="D346" s="144" t="s">
        <v>777</v>
      </c>
      <c r="E346" s="142">
        <f>E345+1</f>
        <v>328</v>
      </c>
      <c r="F346" s="152" t="str">
        <f t="shared" si="103"/>
        <v>BS328</v>
      </c>
      <c r="G346" s="143" t="str">
        <f t="shared" si="121"/>
        <v>100000BS328</v>
      </c>
      <c r="H346" s="143" t="str">
        <f t="shared" si="104"/>
        <v>100001BS328</v>
      </c>
      <c r="I346" s="143" t="str">
        <f t="shared" si="105"/>
        <v>100002BS328</v>
      </c>
      <c r="J346" s="143" t="str">
        <f t="shared" si="106"/>
        <v>100003BS328</v>
      </c>
      <c r="K346" s="143" t="str">
        <f t="shared" si="107"/>
        <v>100004BS328</v>
      </c>
      <c r="L346" s="143" t="str">
        <f t="shared" si="108"/>
        <v>100005BS328</v>
      </c>
      <c r="M346" s="143" t="str">
        <f t="shared" si="109"/>
        <v>100006BS328</v>
      </c>
      <c r="N346" s="143" t="str">
        <f t="shared" si="110"/>
        <v>100007BS328</v>
      </c>
      <c r="O346" s="143" t="str">
        <f t="shared" si="111"/>
        <v>100008BS328</v>
      </c>
      <c r="P346" s="143" t="str">
        <f t="shared" si="112"/>
        <v>100009BS328</v>
      </c>
      <c r="Q346" s="143" t="str">
        <f t="shared" si="113"/>
        <v>100010BS328</v>
      </c>
      <c r="R346" s="143" t="str">
        <f t="shared" si="114"/>
        <v>100011BS328</v>
      </c>
      <c r="S346" s="143" t="str">
        <f t="shared" si="115"/>
        <v>100012BS328</v>
      </c>
      <c r="T346" s="143" t="str">
        <f t="shared" si="116"/>
        <v>100013BS328</v>
      </c>
      <c r="U346" s="143" t="str">
        <f t="shared" si="117"/>
        <v>100014BS328</v>
      </c>
      <c r="V346" s="143" t="str">
        <f t="shared" si="118"/>
        <v>100015BS328</v>
      </c>
      <c r="W346" s="143" t="str">
        <f t="shared" si="119"/>
        <v>100016BS328</v>
      </c>
      <c r="X346" s="144" t="s">
        <v>976</v>
      </c>
    </row>
    <row r="347" spans="1:24">
      <c r="A347" s="161">
        <v>10</v>
      </c>
      <c r="B347" s="140">
        <f t="shared" si="120"/>
        <v>343</v>
      </c>
      <c r="C347" s="144" t="s">
        <v>977</v>
      </c>
      <c r="D347" s="144" t="s">
        <v>777</v>
      </c>
      <c r="E347" s="142">
        <f>E346+1</f>
        <v>329</v>
      </c>
      <c r="F347" s="152" t="str">
        <f t="shared" si="103"/>
        <v>BS329</v>
      </c>
      <c r="G347" s="143" t="str">
        <f t="shared" si="121"/>
        <v>100000BS329</v>
      </c>
      <c r="H347" s="143" t="str">
        <f t="shared" si="104"/>
        <v>100001BS329</v>
      </c>
      <c r="I347" s="143" t="str">
        <f t="shared" si="105"/>
        <v>100002BS329</v>
      </c>
      <c r="J347" s="143" t="str">
        <f t="shared" si="106"/>
        <v>100003BS329</v>
      </c>
      <c r="K347" s="143" t="str">
        <f t="shared" si="107"/>
        <v>100004BS329</v>
      </c>
      <c r="L347" s="143" t="str">
        <f t="shared" si="108"/>
        <v>100005BS329</v>
      </c>
      <c r="M347" s="143" t="str">
        <f t="shared" si="109"/>
        <v>100006BS329</v>
      </c>
      <c r="N347" s="143" t="str">
        <f t="shared" si="110"/>
        <v>100007BS329</v>
      </c>
      <c r="O347" s="143" t="str">
        <f t="shared" si="111"/>
        <v>100008BS329</v>
      </c>
      <c r="P347" s="143" t="str">
        <f t="shared" si="112"/>
        <v>100009BS329</v>
      </c>
      <c r="Q347" s="143" t="str">
        <f t="shared" si="113"/>
        <v>100010BS329</v>
      </c>
      <c r="R347" s="143" t="str">
        <f t="shared" si="114"/>
        <v>100011BS329</v>
      </c>
      <c r="S347" s="143" t="str">
        <f t="shared" si="115"/>
        <v>100012BS329</v>
      </c>
      <c r="T347" s="143" t="str">
        <f t="shared" si="116"/>
        <v>100013BS329</v>
      </c>
      <c r="U347" s="143" t="str">
        <f t="shared" si="117"/>
        <v>100014BS329</v>
      </c>
      <c r="V347" s="143" t="str">
        <f t="shared" si="118"/>
        <v>100015BS329</v>
      </c>
      <c r="W347" s="143" t="str">
        <f t="shared" si="119"/>
        <v>100016BS329</v>
      </c>
      <c r="X347" s="144" t="s">
        <v>977</v>
      </c>
    </row>
    <row r="348" spans="1:24">
      <c r="A348" s="161">
        <v>21</v>
      </c>
      <c r="B348" s="140">
        <f t="shared" si="120"/>
        <v>344</v>
      </c>
      <c r="C348" s="144" t="s">
        <v>978</v>
      </c>
      <c r="D348" s="144" t="s">
        <v>777</v>
      </c>
      <c r="E348" s="142">
        <f>E347+1</f>
        <v>330</v>
      </c>
      <c r="F348" s="152" t="str">
        <f t="shared" si="103"/>
        <v>BS330</v>
      </c>
      <c r="G348" s="143" t="str">
        <f t="shared" si="121"/>
        <v>100000BS330</v>
      </c>
      <c r="H348" s="143" t="str">
        <f t="shared" si="104"/>
        <v>100001BS330</v>
      </c>
      <c r="I348" s="143" t="str">
        <f t="shared" si="105"/>
        <v>100002BS330</v>
      </c>
      <c r="J348" s="143" t="str">
        <f t="shared" si="106"/>
        <v>100003BS330</v>
      </c>
      <c r="K348" s="143" t="str">
        <f t="shared" si="107"/>
        <v>100004BS330</v>
      </c>
      <c r="L348" s="143" t="str">
        <f t="shared" si="108"/>
        <v>100005BS330</v>
      </c>
      <c r="M348" s="143" t="str">
        <f t="shared" si="109"/>
        <v>100006BS330</v>
      </c>
      <c r="N348" s="143" t="str">
        <f t="shared" si="110"/>
        <v>100007BS330</v>
      </c>
      <c r="O348" s="143" t="str">
        <f t="shared" si="111"/>
        <v>100008BS330</v>
      </c>
      <c r="P348" s="143" t="str">
        <f t="shared" si="112"/>
        <v>100009BS330</v>
      </c>
      <c r="Q348" s="143" t="str">
        <f t="shared" si="113"/>
        <v>100010BS330</v>
      </c>
      <c r="R348" s="143" t="str">
        <f t="shared" si="114"/>
        <v>100011BS330</v>
      </c>
      <c r="S348" s="143" t="str">
        <f t="shared" si="115"/>
        <v>100012BS330</v>
      </c>
      <c r="T348" s="143" t="str">
        <f t="shared" si="116"/>
        <v>100013BS330</v>
      </c>
      <c r="U348" s="143" t="str">
        <f t="shared" si="117"/>
        <v>100014BS330</v>
      </c>
      <c r="V348" s="143" t="str">
        <f t="shared" si="118"/>
        <v>100015BS330</v>
      </c>
      <c r="W348" s="143" t="str">
        <f t="shared" si="119"/>
        <v>100016BS330</v>
      </c>
      <c r="X348" s="144" t="s">
        <v>978</v>
      </c>
    </row>
    <row r="349" spans="1:24">
      <c r="A349" s="161" t="s">
        <v>737</v>
      </c>
      <c r="B349" s="140">
        <f t="shared" si="120"/>
        <v>345</v>
      </c>
      <c r="C349" s="159" t="s">
        <v>687</v>
      </c>
      <c r="D349" s="144" t="s">
        <v>892</v>
      </c>
      <c r="E349" s="142">
        <f>+E342+1</f>
        <v>213</v>
      </c>
      <c r="F349" s="152" t="str">
        <f t="shared" si="103"/>
        <v>PL213</v>
      </c>
      <c r="G349" s="143" t="str">
        <f t="shared" si="121"/>
        <v>100000PL213</v>
      </c>
      <c r="H349" s="143" t="str">
        <f t="shared" si="104"/>
        <v>100001PL213</v>
      </c>
      <c r="I349" s="143" t="str">
        <f t="shared" si="105"/>
        <v>100002PL213</v>
      </c>
      <c r="J349" s="143" t="str">
        <f t="shared" si="106"/>
        <v>100003PL213</v>
      </c>
      <c r="K349" s="143" t="str">
        <f t="shared" si="107"/>
        <v>100004PL213</v>
      </c>
      <c r="L349" s="143" t="str">
        <f t="shared" si="108"/>
        <v>100005PL213</v>
      </c>
      <c r="M349" s="143" t="str">
        <f t="shared" si="109"/>
        <v>100006PL213</v>
      </c>
      <c r="N349" s="143" t="str">
        <f t="shared" si="110"/>
        <v>100007PL213</v>
      </c>
      <c r="O349" s="143" t="str">
        <f t="shared" si="111"/>
        <v>100008PL213</v>
      </c>
      <c r="P349" s="143" t="str">
        <f t="shared" si="112"/>
        <v>100009PL213</v>
      </c>
      <c r="Q349" s="143" t="str">
        <f t="shared" si="113"/>
        <v>100010PL213</v>
      </c>
      <c r="R349" s="143" t="str">
        <f t="shared" si="114"/>
        <v>100011PL213</v>
      </c>
      <c r="S349" s="143" t="str">
        <f t="shared" si="115"/>
        <v>100012PL213</v>
      </c>
      <c r="T349" s="143" t="str">
        <f t="shared" si="116"/>
        <v>100013PL213</v>
      </c>
      <c r="U349" s="143" t="str">
        <f t="shared" si="117"/>
        <v>100014PL213</v>
      </c>
      <c r="V349" s="143" t="str">
        <f t="shared" si="118"/>
        <v>100015PL213</v>
      </c>
      <c r="W349" s="143" t="str">
        <f t="shared" si="119"/>
        <v>100016PL213</v>
      </c>
      <c r="X349" s="144" t="s">
        <v>687</v>
      </c>
    </row>
    <row r="350" spans="1:24">
      <c r="A350" s="161" t="s">
        <v>737</v>
      </c>
      <c r="B350" s="140">
        <f t="shared" si="120"/>
        <v>346</v>
      </c>
      <c r="C350" s="159" t="s">
        <v>690</v>
      </c>
      <c r="D350" s="144" t="s">
        <v>892</v>
      </c>
      <c r="E350" s="142">
        <f>+E349+1</f>
        <v>214</v>
      </c>
      <c r="F350" s="152" t="str">
        <f t="shared" si="103"/>
        <v>PL214</v>
      </c>
      <c r="G350" s="143" t="str">
        <f t="shared" si="121"/>
        <v>100000PL214</v>
      </c>
      <c r="H350" s="143" t="str">
        <f t="shared" si="104"/>
        <v>100001PL214</v>
      </c>
      <c r="I350" s="143" t="str">
        <f t="shared" si="105"/>
        <v>100002PL214</v>
      </c>
      <c r="J350" s="143" t="str">
        <f t="shared" si="106"/>
        <v>100003PL214</v>
      </c>
      <c r="K350" s="143" t="str">
        <f t="shared" si="107"/>
        <v>100004PL214</v>
      </c>
      <c r="L350" s="143" t="str">
        <f t="shared" si="108"/>
        <v>100005PL214</v>
      </c>
      <c r="M350" s="143" t="str">
        <f t="shared" si="109"/>
        <v>100006PL214</v>
      </c>
      <c r="N350" s="143" t="str">
        <f t="shared" si="110"/>
        <v>100007PL214</v>
      </c>
      <c r="O350" s="143" t="str">
        <f t="shared" si="111"/>
        <v>100008PL214</v>
      </c>
      <c r="P350" s="143" t="str">
        <f t="shared" si="112"/>
        <v>100009PL214</v>
      </c>
      <c r="Q350" s="143" t="str">
        <f t="shared" si="113"/>
        <v>100010PL214</v>
      </c>
      <c r="R350" s="143" t="str">
        <f t="shared" si="114"/>
        <v>100011PL214</v>
      </c>
      <c r="S350" s="143" t="str">
        <f t="shared" si="115"/>
        <v>100012PL214</v>
      </c>
      <c r="T350" s="143" t="str">
        <f t="shared" si="116"/>
        <v>100013PL214</v>
      </c>
      <c r="U350" s="143" t="str">
        <f t="shared" si="117"/>
        <v>100014PL214</v>
      </c>
      <c r="V350" s="143" t="str">
        <f t="shared" si="118"/>
        <v>100015PL214</v>
      </c>
      <c r="W350" s="143" t="str">
        <f t="shared" si="119"/>
        <v>100016PL214</v>
      </c>
      <c r="X350" s="144" t="s">
        <v>690</v>
      </c>
    </row>
    <row r="351" spans="1:24">
      <c r="A351" s="161" t="s">
        <v>737</v>
      </c>
      <c r="B351" s="140">
        <f t="shared" si="120"/>
        <v>347</v>
      </c>
      <c r="C351" s="159" t="s">
        <v>689</v>
      </c>
      <c r="D351" s="144" t="s">
        <v>892</v>
      </c>
      <c r="E351" s="142">
        <f t="shared" ref="E351:E357" si="123">+E350+1</f>
        <v>215</v>
      </c>
      <c r="F351" s="152" t="str">
        <f t="shared" si="103"/>
        <v>PL215</v>
      </c>
      <c r="G351" s="143" t="str">
        <f t="shared" si="121"/>
        <v>100000PL215</v>
      </c>
      <c r="H351" s="143" t="str">
        <f t="shared" si="104"/>
        <v>100001PL215</v>
      </c>
      <c r="I351" s="143" t="str">
        <f t="shared" si="105"/>
        <v>100002PL215</v>
      </c>
      <c r="J351" s="143" t="str">
        <f t="shared" si="106"/>
        <v>100003PL215</v>
      </c>
      <c r="K351" s="143" t="str">
        <f t="shared" si="107"/>
        <v>100004PL215</v>
      </c>
      <c r="L351" s="143" t="str">
        <f t="shared" si="108"/>
        <v>100005PL215</v>
      </c>
      <c r="M351" s="143" t="str">
        <f t="shared" si="109"/>
        <v>100006PL215</v>
      </c>
      <c r="N351" s="143" t="str">
        <f t="shared" si="110"/>
        <v>100007PL215</v>
      </c>
      <c r="O351" s="143" t="str">
        <f t="shared" si="111"/>
        <v>100008PL215</v>
      </c>
      <c r="P351" s="143" t="str">
        <f t="shared" si="112"/>
        <v>100009PL215</v>
      </c>
      <c r="Q351" s="143" t="str">
        <f t="shared" si="113"/>
        <v>100010PL215</v>
      </c>
      <c r="R351" s="143" t="str">
        <f t="shared" si="114"/>
        <v>100011PL215</v>
      </c>
      <c r="S351" s="143" t="str">
        <f t="shared" si="115"/>
        <v>100012PL215</v>
      </c>
      <c r="T351" s="143" t="str">
        <f t="shared" si="116"/>
        <v>100013PL215</v>
      </c>
      <c r="U351" s="143" t="str">
        <f t="shared" si="117"/>
        <v>100014PL215</v>
      </c>
      <c r="V351" s="143" t="str">
        <f t="shared" si="118"/>
        <v>100015PL215</v>
      </c>
      <c r="W351" s="143" t="str">
        <f t="shared" si="119"/>
        <v>100016PL215</v>
      </c>
      <c r="X351" s="144" t="s">
        <v>689</v>
      </c>
    </row>
    <row r="352" spans="1:24">
      <c r="A352" s="161" t="s">
        <v>738</v>
      </c>
      <c r="B352" s="140">
        <f t="shared" si="120"/>
        <v>348</v>
      </c>
      <c r="C352" s="159" t="s">
        <v>660</v>
      </c>
      <c r="D352" s="144" t="s">
        <v>892</v>
      </c>
      <c r="E352" s="142">
        <f t="shared" si="123"/>
        <v>216</v>
      </c>
      <c r="F352" s="152" t="str">
        <f t="shared" si="103"/>
        <v>PL216</v>
      </c>
      <c r="G352" s="143" t="str">
        <f t="shared" si="121"/>
        <v>100000PL216</v>
      </c>
      <c r="H352" s="143" t="str">
        <f t="shared" si="104"/>
        <v>100001PL216</v>
      </c>
      <c r="I352" s="143" t="str">
        <f t="shared" si="105"/>
        <v>100002PL216</v>
      </c>
      <c r="J352" s="143" t="str">
        <f t="shared" si="106"/>
        <v>100003PL216</v>
      </c>
      <c r="K352" s="143" t="str">
        <f t="shared" si="107"/>
        <v>100004PL216</v>
      </c>
      <c r="L352" s="143" t="str">
        <f t="shared" si="108"/>
        <v>100005PL216</v>
      </c>
      <c r="M352" s="143" t="str">
        <f t="shared" si="109"/>
        <v>100006PL216</v>
      </c>
      <c r="N352" s="143" t="str">
        <f t="shared" si="110"/>
        <v>100007PL216</v>
      </c>
      <c r="O352" s="143" t="str">
        <f t="shared" si="111"/>
        <v>100008PL216</v>
      </c>
      <c r="P352" s="143" t="str">
        <f t="shared" si="112"/>
        <v>100009PL216</v>
      </c>
      <c r="Q352" s="143" t="str">
        <f t="shared" si="113"/>
        <v>100010PL216</v>
      </c>
      <c r="R352" s="143" t="str">
        <f t="shared" si="114"/>
        <v>100011PL216</v>
      </c>
      <c r="S352" s="143" t="str">
        <f t="shared" si="115"/>
        <v>100012PL216</v>
      </c>
      <c r="T352" s="143" t="str">
        <f t="shared" si="116"/>
        <v>100013PL216</v>
      </c>
      <c r="U352" s="143" t="str">
        <f t="shared" si="117"/>
        <v>100014PL216</v>
      </c>
      <c r="V352" s="143" t="str">
        <f t="shared" si="118"/>
        <v>100015PL216</v>
      </c>
      <c r="W352" s="143" t="str">
        <f t="shared" si="119"/>
        <v>100016PL216</v>
      </c>
      <c r="X352" s="144" t="s">
        <v>660</v>
      </c>
    </row>
    <row r="353" spans="1:24">
      <c r="A353" s="161" t="s">
        <v>738</v>
      </c>
      <c r="B353" s="140">
        <f t="shared" si="120"/>
        <v>349</v>
      </c>
      <c r="C353" s="159" t="s">
        <v>663</v>
      </c>
      <c r="D353" s="144" t="s">
        <v>892</v>
      </c>
      <c r="E353" s="142">
        <f t="shared" si="123"/>
        <v>217</v>
      </c>
      <c r="F353" s="152" t="str">
        <f t="shared" si="103"/>
        <v>PL217</v>
      </c>
      <c r="G353" s="143" t="str">
        <f t="shared" si="121"/>
        <v>100000PL217</v>
      </c>
      <c r="H353" s="143" t="str">
        <f t="shared" si="104"/>
        <v>100001PL217</v>
      </c>
      <c r="I353" s="143" t="str">
        <f t="shared" si="105"/>
        <v>100002PL217</v>
      </c>
      <c r="J353" s="143" t="str">
        <f t="shared" si="106"/>
        <v>100003PL217</v>
      </c>
      <c r="K353" s="143" t="str">
        <f t="shared" si="107"/>
        <v>100004PL217</v>
      </c>
      <c r="L353" s="143" t="str">
        <f t="shared" si="108"/>
        <v>100005PL217</v>
      </c>
      <c r="M353" s="143" t="str">
        <f t="shared" si="109"/>
        <v>100006PL217</v>
      </c>
      <c r="N353" s="143" t="str">
        <f t="shared" si="110"/>
        <v>100007PL217</v>
      </c>
      <c r="O353" s="143" t="str">
        <f t="shared" si="111"/>
        <v>100008PL217</v>
      </c>
      <c r="P353" s="143" t="str">
        <f t="shared" si="112"/>
        <v>100009PL217</v>
      </c>
      <c r="Q353" s="143" t="str">
        <f t="shared" si="113"/>
        <v>100010PL217</v>
      </c>
      <c r="R353" s="143" t="str">
        <f t="shared" si="114"/>
        <v>100011PL217</v>
      </c>
      <c r="S353" s="143" t="str">
        <f t="shared" si="115"/>
        <v>100012PL217</v>
      </c>
      <c r="T353" s="143" t="str">
        <f t="shared" si="116"/>
        <v>100013PL217</v>
      </c>
      <c r="U353" s="143" t="str">
        <f t="shared" si="117"/>
        <v>100014PL217</v>
      </c>
      <c r="V353" s="143" t="str">
        <f t="shared" si="118"/>
        <v>100015PL217</v>
      </c>
      <c r="W353" s="143" t="str">
        <f t="shared" si="119"/>
        <v>100016PL217</v>
      </c>
      <c r="X353" s="144" t="s">
        <v>663</v>
      </c>
    </row>
    <row r="354" spans="1:24">
      <c r="A354" s="161" t="s">
        <v>738</v>
      </c>
      <c r="B354" s="140">
        <f t="shared" si="120"/>
        <v>350</v>
      </c>
      <c r="C354" s="159" t="s">
        <v>662</v>
      </c>
      <c r="D354" s="144" t="s">
        <v>892</v>
      </c>
      <c r="E354" s="142">
        <f t="shared" si="123"/>
        <v>218</v>
      </c>
      <c r="F354" s="152" t="str">
        <f t="shared" si="103"/>
        <v>PL218</v>
      </c>
      <c r="G354" s="143" t="str">
        <f t="shared" si="121"/>
        <v>100000PL218</v>
      </c>
      <c r="H354" s="143" t="str">
        <f t="shared" si="104"/>
        <v>100001PL218</v>
      </c>
      <c r="I354" s="143" t="str">
        <f t="shared" si="105"/>
        <v>100002PL218</v>
      </c>
      <c r="J354" s="143" t="str">
        <f t="shared" si="106"/>
        <v>100003PL218</v>
      </c>
      <c r="K354" s="143" t="str">
        <f t="shared" si="107"/>
        <v>100004PL218</v>
      </c>
      <c r="L354" s="143" t="str">
        <f t="shared" si="108"/>
        <v>100005PL218</v>
      </c>
      <c r="M354" s="143" t="str">
        <f t="shared" si="109"/>
        <v>100006PL218</v>
      </c>
      <c r="N354" s="143" t="str">
        <f t="shared" si="110"/>
        <v>100007PL218</v>
      </c>
      <c r="O354" s="143" t="str">
        <f t="shared" si="111"/>
        <v>100008PL218</v>
      </c>
      <c r="P354" s="143" t="str">
        <f t="shared" si="112"/>
        <v>100009PL218</v>
      </c>
      <c r="Q354" s="143" t="str">
        <f t="shared" si="113"/>
        <v>100010PL218</v>
      </c>
      <c r="R354" s="143" t="str">
        <f t="shared" si="114"/>
        <v>100011PL218</v>
      </c>
      <c r="S354" s="143" t="str">
        <f t="shared" si="115"/>
        <v>100012PL218</v>
      </c>
      <c r="T354" s="143" t="str">
        <f t="shared" si="116"/>
        <v>100013PL218</v>
      </c>
      <c r="U354" s="143" t="str">
        <f t="shared" si="117"/>
        <v>100014PL218</v>
      </c>
      <c r="V354" s="143" t="str">
        <f t="shared" si="118"/>
        <v>100015PL218</v>
      </c>
      <c r="W354" s="143" t="str">
        <f t="shared" si="119"/>
        <v>100016PL218</v>
      </c>
      <c r="X354" s="144" t="s">
        <v>662</v>
      </c>
    </row>
    <row r="355" spans="1:24">
      <c r="A355" s="161">
        <v>24</v>
      </c>
      <c r="B355" s="140">
        <f t="shared" si="120"/>
        <v>351</v>
      </c>
      <c r="C355" s="159" t="s">
        <v>688</v>
      </c>
      <c r="D355" s="144" t="s">
        <v>892</v>
      </c>
      <c r="E355" s="142">
        <f t="shared" si="123"/>
        <v>219</v>
      </c>
      <c r="F355" s="152" t="str">
        <f t="shared" si="103"/>
        <v>PL219</v>
      </c>
      <c r="G355" s="143" t="str">
        <f t="shared" si="121"/>
        <v>100000PL219</v>
      </c>
      <c r="H355" s="143" t="str">
        <f t="shared" si="104"/>
        <v>100001PL219</v>
      </c>
      <c r="I355" s="143" t="str">
        <f t="shared" si="105"/>
        <v>100002PL219</v>
      </c>
      <c r="J355" s="143" t="str">
        <f t="shared" si="106"/>
        <v>100003PL219</v>
      </c>
      <c r="K355" s="143" t="str">
        <f t="shared" si="107"/>
        <v>100004PL219</v>
      </c>
      <c r="L355" s="143" t="str">
        <f t="shared" si="108"/>
        <v>100005PL219</v>
      </c>
      <c r="M355" s="143" t="str">
        <f t="shared" si="109"/>
        <v>100006PL219</v>
      </c>
      <c r="N355" s="143" t="str">
        <f t="shared" si="110"/>
        <v>100007PL219</v>
      </c>
      <c r="O355" s="143" t="str">
        <f t="shared" si="111"/>
        <v>100008PL219</v>
      </c>
      <c r="P355" s="143" t="str">
        <f t="shared" si="112"/>
        <v>100009PL219</v>
      </c>
      <c r="Q355" s="143" t="str">
        <f t="shared" si="113"/>
        <v>100010PL219</v>
      </c>
      <c r="R355" s="143" t="str">
        <f t="shared" si="114"/>
        <v>100011PL219</v>
      </c>
      <c r="S355" s="143" t="str">
        <f t="shared" si="115"/>
        <v>100012PL219</v>
      </c>
      <c r="T355" s="143" t="str">
        <f t="shared" si="116"/>
        <v>100013PL219</v>
      </c>
      <c r="U355" s="143" t="str">
        <f t="shared" si="117"/>
        <v>100014PL219</v>
      </c>
      <c r="V355" s="143" t="str">
        <f t="shared" si="118"/>
        <v>100015PL219</v>
      </c>
      <c r="W355" s="143" t="str">
        <f t="shared" si="119"/>
        <v>100016PL219</v>
      </c>
      <c r="X355" s="144" t="s">
        <v>688</v>
      </c>
    </row>
    <row r="356" spans="1:24">
      <c r="A356" s="161" t="s">
        <v>740</v>
      </c>
      <c r="B356" s="140">
        <f t="shared" si="120"/>
        <v>352</v>
      </c>
      <c r="C356" s="159" t="s">
        <v>661</v>
      </c>
      <c r="D356" s="144" t="s">
        <v>892</v>
      </c>
      <c r="E356" s="142">
        <f t="shared" si="123"/>
        <v>220</v>
      </c>
      <c r="F356" s="152" t="str">
        <f t="shared" si="103"/>
        <v>PL220</v>
      </c>
      <c r="G356" s="143" t="str">
        <f t="shared" si="121"/>
        <v>100000PL220</v>
      </c>
      <c r="H356" s="143" t="str">
        <f t="shared" si="104"/>
        <v>100001PL220</v>
      </c>
      <c r="I356" s="143" t="str">
        <f t="shared" si="105"/>
        <v>100002PL220</v>
      </c>
      <c r="J356" s="143" t="str">
        <f t="shared" si="106"/>
        <v>100003PL220</v>
      </c>
      <c r="K356" s="143" t="str">
        <f t="shared" si="107"/>
        <v>100004PL220</v>
      </c>
      <c r="L356" s="143" t="str">
        <f t="shared" si="108"/>
        <v>100005PL220</v>
      </c>
      <c r="M356" s="143" t="str">
        <f t="shared" si="109"/>
        <v>100006PL220</v>
      </c>
      <c r="N356" s="143" t="str">
        <f t="shared" si="110"/>
        <v>100007PL220</v>
      </c>
      <c r="O356" s="143" t="str">
        <f t="shared" si="111"/>
        <v>100008PL220</v>
      </c>
      <c r="P356" s="143" t="str">
        <f t="shared" si="112"/>
        <v>100009PL220</v>
      </c>
      <c r="Q356" s="143" t="str">
        <f t="shared" si="113"/>
        <v>100010PL220</v>
      </c>
      <c r="R356" s="143" t="str">
        <f t="shared" si="114"/>
        <v>100011PL220</v>
      </c>
      <c r="S356" s="143" t="str">
        <f t="shared" si="115"/>
        <v>100012PL220</v>
      </c>
      <c r="T356" s="143" t="str">
        <f t="shared" si="116"/>
        <v>100013PL220</v>
      </c>
      <c r="U356" s="143" t="str">
        <f t="shared" si="117"/>
        <v>100014PL220</v>
      </c>
      <c r="V356" s="143" t="str">
        <f t="shared" si="118"/>
        <v>100015PL220</v>
      </c>
      <c r="W356" s="143" t="str">
        <f t="shared" si="119"/>
        <v>100016PL220</v>
      </c>
      <c r="X356" s="144" t="s">
        <v>661</v>
      </c>
    </row>
    <row r="357" spans="1:24">
      <c r="A357" s="161">
        <v>30</v>
      </c>
      <c r="B357" s="140">
        <f t="shared" si="120"/>
        <v>353</v>
      </c>
      <c r="C357" s="159" t="s">
        <v>311</v>
      </c>
      <c r="D357" s="144" t="s">
        <v>892</v>
      </c>
      <c r="E357" s="142">
        <f t="shared" si="123"/>
        <v>221</v>
      </c>
      <c r="F357" s="152" t="str">
        <f t="shared" si="103"/>
        <v>PL221</v>
      </c>
      <c r="G357" s="143" t="str">
        <f t="shared" si="121"/>
        <v>100000PL221</v>
      </c>
      <c r="H357" s="143" t="str">
        <f t="shared" si="104"/>
        <v>100001PL221</v>
      </c>
      <c r="I357" s="143" t="str">
        <f t="shared" si="105"/>
        <v>100002PL221</v>
      </c>
      <c r="J357" s="143" t="str">
        <f t="shared" si="106"/>
        <v>100003PL221</v>
      </c>
      <c r="K357" s="143" t="str">
        <f t="shared" si="107"/>
        <v>100004PL221</v>
      </c>
      <c r="L357" s="143" t="str">
        <f t="shared" si="108"/>
        <v>100005PL221</v>
      </c>
      <c r="M357" s="143" t="str">
        <f t="shared" si="109"/>
        <v>100006PL221</v>
      </c>
      <c r="N357" s="143" t="str">
        <f t="shared" si="110"/>
        <v>100007PL221</v>
      </c>
      <c r="O357" s="143" t="str">
        <f t="shared" si="111"/>
        <v>100008PL221</v>
      </c>
      <c r="P357" s="143" t="str">
        <f t="shared" si="112"/>
        <v>100009PL221</v>
      </c>
      <c r="Q357" s="143" t="str">
        <f t="shared" si="113"/>
        <v>100010PL221</v>
      </c>
      <c r="R357" s="143" t="str">
        <f t="shared" si="114"/>
        <v>100011PL221</v>
      </c>
      <c r="S357" s="143" t="str">
        <f t="shared" si="115"/>
        <v>100012PL221</v>
      </c>
      <c r="T357" s="143" t="str">
        <f t="shared" si="116"/>
        <v>100013PL221</v>
      </c>
      <c r="U357" s="143" t="str">
        <f t="shared" si="117"/>
        <v>100014PL221</v>
      </c>
      <c r="V357" s="143" t="str">
        <f t="shared" si="118"/>
        <v>100015PL221</v>
      </c>
      <c r="W357" s="143" t="str">
        <f t="shared" si="119"/>
        <v>100016PL221</v>
      </c>
      <c r="X357" s="144" t="s">
        <v>311</v>
      </c>
    </row>
    <row r="358" spans="1:24">
      <c r="A358" s="161" t="s">
        <v>750</v>
      </c>
      <c r="B358" s="140">
        <f t="shared" si="120"/>
        <v>354</v>
      </c>
      <c r="C358" s="159" t="s">
        <v>979</v>
      </c>
      <c r="D358" s="144" t="s">
        <v>777</v>
      </c>
      <c r="E358" s="142">
        <f>E348+1</f>
        <v>331</v>
      </c>
      <c r="F358" s="152" t="str">
        <f t="shared" si="103"/>
        <v>BS331</v>
      </c>
      <c r="G358" s="143" t="str">
        <f t="shared" si="121"/>
        <v>100000BS331</v>
      </c>
      <c r="H358" s="143" t="str">
        <f t="shared" si="104"/>
        <v>100001BS331</v>
      </c>
      <c r="I358" s="143" t="str">
        <f t="shared" si="105"/>
        <v>100002BS331</v>
      </c>
      <c r="J358" s="143" t="str">
        <f t="shared" si="106"/>
        <v>100003BS331</v>
      </c>
      <c r="K358" s="143" t="str">
        <f t="shared" si="107"/>
        <v>100004BS331</v>
      </c>
      <c r="L358" s="143" t="str">
        <f t="shared" si="108"/>
        <v>100005BS331</v>
      </c>
      <c r="M358" s="143" t="str">
        <f t="shared" si="109"/>
        <v>100006BS331</v>
      </c>
      <c r="N358" s="143" t="str">
        <f t="shared" si="110"/>
        <v>100007BS331</v>
      </c>
      <c r="O358" s="143" t="str">
        <f t="shared" si="111"/>
        <v>100008BS331</v>
      </c>
      <c r="P358" s="143" t="str">
        <f t="shared" si="112"/>
        <v>100009BS331</v>
      </c>
      <c r="Q358" s="143" t="str">
        <f t="shared" si="113"/>
        <v>100010BS331</v>
      </c>
      <c r="R358" s="143" t="str">
        <f t="shared" si="114"/>
        <v>100011BS331</v>
      </c>
      <c r="S358" s="143" t="str">
        <f t="shared" si="115"/>
        <v>100012BS331</v>
      </c>
      <c r="T358" s="143" t="str">
        <f t="shared" si="116"/>
        <v>100013BS331</v>
      </c>
      <c r="U358" s="143" t="str">
        <f t="shared" si="117"/>
        <v>100014BS331</v>
      </c>
      <c r="V358" s="143" t="str">
        <f t="shared" si="118"/>
        <v>100015BS331</v>
      </c>
      <c r="W358" s="143" t="str">
        <f t="shared" si="119"/>
        <v>100016BS331</v>
      </c>
      <c r="X358" s="144" t="s">
        <v>979</v>
      </c>
    </row>
    <row r="359" spans="1:24">
      <c r="A359" s="161" t="s">
        <v>622</v>
      </c>
      <c r="B359" s="140">
        <f t="shared" si="120"/>
        <v>355</v>
      </c>
      <c r="C359" s="159" t="s">
        <v>980</v>
      </c>
      <c r="D359" s="144" t="s">
        <v>892</v>
      </c>
      <c r="E359" s="142">
        <f>+E357+1</f>
        <v>222</v>
      </c>
      <c r="F359" s="152" t="str">
        <f t="shared" si="103"/>
        <v>PL222</v>
      </c>
      <c r="G359" s="143" t="str">
        <f t="shared" si="121"/>
        <v>100000PL222</v>
      </c>
      <c r="H359" s="143" t="str">
        <f t="shared" si="104"/>
        <v>100001PL222</v>
      </c>
      <c r="I359" s="143" t="str">
        <f t="shared" si="105"/>
        <v>100002PL222</v>
      </c>
      <c r="J359" s="143" t="str">
        <f t="shared" si="106"/>
        <v>100003PL222</v>
      </c>
      <c r="K359" s="143" t="str">
        <f t="shared" si="107"/>
        <v>100004PL222</v>
      </c>
      <c r="L359" s="143" t="str">
        <f t="shared" si="108"/>
        <v>100005PL222</v>
      </c>
      <c r="M359" s="143" t="str">
        <f t="shared" si="109"/>
        <v>100006PL222</v>
      </c>
      <c r="N359" s="143" t="str">
        <f t="shared" si="110"/>
        <v>100007PL222</v>
      </c>
      <c r="O359" s="143" t="str">
        <f t="shared" si="111"/>
        <v>100008PL222</v>
      </c>
      <c r="P359" s="143" t="str">
        <f t="shared" si="112"/>
        <v>100009PL222</v>
      </c>
      <c r="Q359" s="143" t="str">
        <f t="shared" si="113"/>
        <v>100010PL222</v>
      </c>
      <c r="R359" s="143" t="str">
        <f t="shared" si="114"/>
        <v>100011PL222</v>
      </c>
      <c r="S359" s="143" t="str">
        <f t="shared" si="115"/>
        <v>100012PL222</v>
      </c>
      <c r="T359" s="143" t="str">
        <f t="shared" si="116"/>
        <v>100013PL222</v>
      </c>
      <c r="U359" s="143" t="str">
        <f t="shared" si="117"/>
        <v>100014PL222</v>
      </c>
      <c r="V359" s="143" t="str">
        <f t="shared" si="118"/>
        <v>100015PL222</v>
      </c>
      <c r="W359" s="143" t="str">
        <f t="shared" si="119"/>
        <v>100016PL222</v>
      </c>
      <c r="X359" s="144" t="s">
        <v>980</v>
      </c>
    </row>
    <row r="360" spans="1:24">
      <c r="A360" s="161">
        <v>11</v>
      </c>
      <c r="B360" s="140">
        <f t="shared" si="120"/>
        <v>356</v>
      </c>
      <c r="C360" s="159" t="s">
        <v>981</v>
      </c>
      <c r="D360" s="144" t="s">
        <v>777</v>
      </c>
      <c r="E360" s="142">
        <f>+E358+1</f>
        <v>332</v>
      </c>
      <c r="F360" s="152" t="str">
        <f t="shared" si="103"/>
        <v>BS332</v>
      </c>
      <c r="G360" s="143" t="str">
        <f t="shared" si="121"/>
        <v>100000BS332</v>
      </c>
      <c r="H360" s="143" t="str">
        <f t="shared" si="104"/>
        <v>100001BS332</v>
      </c>
      <c r="I360" s="143" t="str">
        <f t="shared" si="105"/>
        <v>100002BS332</v>
      </c>
      <c r="J360" s="143" t="str">
        <f t="shared" si="106"/>
        <v>100003BS332</v>
      </c>
      <c r="K360" s="143" t="str">
        <f t="shared" si="107"/>
        <v>100004BS332</v>
      </c>
      <c r="L360" s="143" t="str">
        <f t="shared" si="108"/>
        <v>100005BS332</v>
      </c>
      <c r="M360" s="143" t="str">
        <f t="shared" si="109"/>
        <v>100006BS332</v>
      </c>
      <c r="N360" s="143" t="str">
        <f t="shared" si="110"/>
        <v>100007BS332</v>
      </c>
      <c r="O360" s="143" t="str">
        <f t="shared" si="111"/>
        <v>100008BS332</v>
      </c>
      <c r="P360" s="143" t="str">
        <f t="shared" si="112"/>
        <v>100009BS332</v>
      </c>
      <c r="Q360" s="143" t="str">
        <f t="shared" si="113"/>
        <v>100010BS332</v>
      </c>
      <c r="R360" s="143" t="str">
        <f t="shared" si="114"/>
        <v>100011BS332</v>
      </c>
      <c r="S360" s="143" t="str">
        <f t="shared" si="115"/>
        <v>100012BS332</v>
      </c>
      <c r="T360" s="143" t="str">
        <f t="shared" si="116"/>
        <v>100013BS332</v>
      </c>
      <c r="U360" s="143" t="str">
        <f t="shared" si="117"/>
        <v>100014BS332</v>
      </c>
      <c r="V360" s="143" t="str">
        <f t="shared" si="118"/>
        <v>100015BS332</v>
      </c>
      <c r="W360" s="143" t="str">
        <f t="shared" si="119"/>
        <v>100016BS332</v>
      </c>
      <c r="X360" s="144" t="s">
        <v>981</v>
      </c>
    </row>
    <row r="361" spans="1:24">
      <c r="A361" s="161" t="s">
        <v>627</v>
      </c>
      <c r="B361" s="140">
        <f t="shared" si="120"/>
        <v>357</v>
      </c>
      <c r="C361" s="159" t="s">
        <v>982</v>
      </c>
      <c r="D361" s="144" t="s">
        <v>777</v>
      </c>
      <c r="E361" s="142">
        <f>+E360+1</f>
        <v>333</v>
      </c>
      <c r="F361" s="152" t="str">
        <f t="shared" si="103"/>
        <v>BS333</v>
      </c>
      <c r="G361" s="143" t="str">
        <f t="shared" si="121"/>
        <v>100000BS333</v>
      </c>
      <c r="H361" s="143" t="str">
        <f t="shared" si="104"/>
        <v>100001BS333</v>
      </c>
      <c r="I361" s="143" t="str">
        <f t="shared" si="105"/>
        <v>100002BS333</v>
      </c>
      <c r="J361" s="143" t="str">
        <f t="shared" si="106"/>
        <v>100003BS333</v>
      </c>
      <c r="K361" s="143" t="str">
        <f t="shared" si="107"/>
        <v>100004BS333</v>
      </c>
      <c r="L361" s="143" t="str">
        <f t="shared" si="108"/>
        <v>100005BS333</v>
      </c>
      <c r="M361" s="143" t="str">
        <f t="shared" si="109"/>
        <v>100006BS333</v>
      </c>
      <c r="N361" s="143" t="str">
        <f t="shared" si="110"/>
        <v>100007BS333</v>
      </c>
      <c r="O361" s="143" t="str">
        <f t="shared" si="111"/>
        <v>100008BS333</v>
      </c>
      <c r="P361" s="143" t="str">
        <f t="shared" si="112"/>
        <v>100009BS333</v>
      </c>
      <c r="Q361" s="143" t="str">
        <f t="shared" si="113"/>
        <v>100010BS333</v>
      </c>
      <c r="R361" s="143" t="str">
        <f t="shared" si="114"/>
        <v>100011BS333</v>
      </c>
      <c r="S361" s="143" t="str">
        <f t="shared" si="115"/>
        <v>100012BS333</v>
      </c>
      <c r="T361" s="143" t="str">
        <f t="shared" si="116"/>
        <v>100013BS333</v>
      </c>
      <c r="U361" s="143" t="str">
        <f t="shared" si="117"/>
        <v>100014BS333</v>
      </c>
      <c r="V361" s="143" t="str">
        <f t="shared" si="118"/>
        <v>100015BS333</v>
      </c>
      <c r="W361" s="143" t="str">
        <f t="shared" si="119"/>
        <v>100016BS333</v>
      </c>
      <c r="X361" s="144" t="s">
        <v>982</v>
      </c>
    </row>
    <row r="362" spans="1:24">
      <c r="A362" s="163">
        <v>30</v>
      </c>
      <c r="B362" s="140">
        <f t="shared" si="120"/>
        <v>358</v>
      </c>
      <c r="C362" s="159" t="s">
        <v>983</v>
      </c>
      <c r="D362" s="144" t="s">
        <v>892</v>
      </c>
      <c r="E362" s="142">
        <f>+E359+1</f>
        <v>223</v>
      </c>
      <c r="F362" s="152" t="str">
        <f t="shared" si="103"/>
        <v>PL223</v>
      </c>
      <c r="G362" s="143" t="str">
        <f t="shared" si="121"/>
        <v>100000PL223</v>
      </c>
      <c r="H362" s="143" t="str">
        <f t="shared" si="104"/>
        <v>100001PL223</v>
      </c>
      <c r="I362" s="143" t="str">
        <f t="shared" si="105"/>
        <v>100002PL223</v>
      </c>
      <c r="J362" s="143" t="str">
        <f t="shared" si="106"/>
        <v>100003PL223</v>
      </c>
      <c r="K362" s="143" t="str">
        <f t="shared" si="107"/>
        <v>100004PL223</v>
      </c>
      <c r="L362" s="143" t="str">
        <f t="shared" si="108"/>
        <v>100005PL223</v>
      </c>
      <c r="M362" s="143" t="str">
        <f t="shared" si="109"/>
        <v>100006PL223</v>
      </c>
      <c r="N362" s="143" t="str">
        <f t="shared" si="110"/>
        <v>100007PL223</v>
      </c>
      <c r="O362" s="143" t="str">
        <f t="shared" si="111"/>
        <v>100008PL223</v>
      </c>
      <c r="P362" s="143" t="str">
        <f t="shared" si="112"/>
        <v>100009PL223</v>
      </c>
      <c r="Q362" s="143" t="str">
        <f t="shared" si="113"/>
        <v>100010PL223</v>
      </c>
      <c r="R362" s="143" t="str">
        <f t="shared" si="114"/>
        <v>100011PL223</v>
      </c>
      <c r="S362" s="143" t="str">
        <f t="shared" si="115"/>
        <v>100012PL223</v>
      </c>
      <c r="T362" s="143" t="str">
        <f t="shared" si="116"/>
        <v>100013PL223</v>
      </c>
      <c r="U362" s="143" t="str">
        <f t="shared" si="117"/>
        <v>100014PL223</v>
      </c>
      <c r="V362" s="143" t="str">
        <f t="shared" si="118"/>
        <v>100015PL223</v>
      </c>
      <c r="W362" s="143" t="str">
        <f t="shared" si="119"/>
        <v>100016PL223</v>
      </c>
      <c r="X362" s="144" t="str">
        <f>+C362</f>
        <v xml:space="preserve"> Assets condemned &amp; written off </v>
      </c>
    </row>
    <row r="363" spans="1:24">
      <c r="A363" s="161">
        <v>30</v>
      </c>
      <c r="B363" s="140">
        <f t="shared" si="120"/>
        <v>359</v>
      </c>
      <c r="C363" s="160" t="s">
        <v>342</v>
      </c>
      <c r="D363" s="144" t="s">
        <v>892</v>
      </c>
      <c r="E363" s="142">
        <v>224</v>
      </c>
      <c r="F363" s="152" t="str">
        <f t="shared" si="103"/>
        <v>PL224</v>
      </c>
      <c r="G363" s="143" t="str">
        <f t="shared" si="121"/>
        <v>100000PL224</v>
      </c>
      <c r="H363" s="143" t="str">
        <f t="shared" si="104"/>
        <v>100001PL224</v>
      </c>
      <c r="I363" s="143" t="str">
        <f t="shared" si="105"/>
        <v>100002PL224</v>
      </c>
      <c r="J363" s="143" t="str">
        <f t="shared" si="106"/>
        <v>100003PL224</v>
      </c>
      <c r="K363" s="143" t="str">
        <f t="shared" si="107"/>
        <v>100004PL224</v>
      </c>
      <c r="L363" s="143" t="str">
        <f t="shared" si="108"/>
        <v>100005PL224</v>
      </c>
      <c r="M363" s="143" t="str">
        <f t="shared" si="109"/>
        <v>100006PL224</v>
      </c>
      <c r="N363" s="143" t="str">
        <f t="shared" si="110"/>
        <v>100007PL224</v>
      </c>
      <c r="O363" s="143" t="str">
        <f t="shared" si="111"/>
        <v>100008PL224</v>
      </c>
      <c r="P363" s="143" t="str">
        <f t="shared" si="112"/>
        <v>100009PL224</v>
      </c>
      <c r="Q363" s="143" t="str">
        <f t="shared" si="113"/>
        <v>100010PL224</v>
      </c>
      <c r="R363" s="143" t="str">
        <f t="shared" si="114"/>
        <v>100011PL224</v>
      </c>
      <c r="S363" s="143" t="str">
        <f t="shared" si="115"/>
        <v>100012PL224</v>
      </c>
      <c r="T363" s="143" t="str">
        <f t="shared" si="116"/>
        <v>100013PL224</v>
      </c>
      <c r="U363" s="143" t="str">
        <f t="shared" si="117"/>
        <v>100014PL224</v>
      </c>
      <c r="V363" s="143" t="str">
        <f t="shared" si="118"/>
        <v>100015PL224</v>
      </c>
      <c r="W363" s="143" t="str">
        <f t="shared" si="119"/>
        <v>100016PL224</v>
      </c>
      <c r="X363" s="144" t="str">
        <f>+C363</f>
        <v>CSR Expenses</v>
      </c>
    </row>
  </sheetData>
  <mergeCells count="6">
    <mergeCell ref="X2:X3"/>
    <mergeCell ref="G4:W4"/>
    <mergeCell ref="B2:B3"/>
    <mergeCell ref="C2:C3"/>
    <mergeCell ref="D2:D3"/>
    <mergeCell ref="E2:E3"/>
  </mergeCells>
  <hyperlinks>
    <hyperlink ref="B1" location="Index!A1" display="Ind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1547"/>
  <sheetViews>
    <sheetView showGridLines="0" workbookViewId="0">
      <pane xSplit="1" ySplit="1" topLeftCell="B312" activePane="bottomRight" state="frozen"/>
      <selection activeCell="F1396" sqref="F1396"/>
      <selection pane="topRight" activeCell="F1396" sqref="F1396"/>
      <selection pane="bottomLeft" activeCell="F1396" sqref="F1396"/>
      <selection pane="bottomRight" activeCell="D391" sqref="D391"/>
    </sheetView>
  </sheetViews>
  <sheetFormatPr defaultRowHeight="12.75"/>
  <cols>
    <col min="1" max="1" width="8" style="196" customWidth="1"/>
    <col min="2" max="2" width="5" style="204" customWidth="1"/>
    <col min="3" max="3" width="66.7109375" style="204" customWidth="1"/>
    <col min="4" max="4" width="10.85546875" style="204" customWidth="1"/>
    <col min="5" max="5" width="14.85546875" style="204" customWidth="1"/>
    <col min="6" max="6" width="16.5703125" style="235" customWidth="1"/>
    <col min="7" max="7" width="14.85546875" style="235" customWidth="1"/>
    <col min="8" max="8" width="19" style="235" customWidth="1"/>
    <col min="9" max="9" width="15.85546875" style="235" customWidth="1"/>
    <col min="10" max="11" width="19" style="232" customWidth="1"/>
    <col min="12" max="12" width="5.7109375" style="236" customWidth="1"/>
    <col min="13" max="13" width="9.85546875" style="189" customWidth="1"/>
    <col min="14" max="16384" width="9.140625" style="204"/>
  </cols>
  <sheetData>
    <row r="1" spans="1:13">
      <c r="A1" s="230"/>
      <c r="C1" s="210"/>
      <c r="F1" s="231"/>
      <c r="G1" s="188"/>
      <c r="H1" s="188"/>
      <c r="I1" s="188"/>
      <c r="K1" s="188"/>
      <c r="L1" s="188"/>
      <c r="M1" s="233"/>
    </row>
    <row r="2" spans="1:13" ht="13.5" thickBot="1">
      <c r="F2" s="234"/>
    </row>
    <row r="3" spans="1:13" ht="13.5" thickTop="1">
      <c r="A3" s="237">
        <v>100000</v>
      </c>
      <c r="B3" s="238"/>
      <c r="C3" s="239"/>
      <c r="D3" s="239"/>
      <c r="E3" s="239"/>
      <c r="F3" s="240"/>
      <c r="G3" s="240"/>
      <c r="H3" s="240"/>
      <c r="I3" s="240"/>
      <c r="J3" s="241"/>
      <c r="K3" s="241"/>
      <c r="L3" s="242"/>
      <c r="M3" s="191"/>
    </row>
    <row r="4" spans="1:13">
      <c r="A4" s="210"/>
      <c r="B4" s="211"/>
      <c r="C4" s="208" t="s">
        <v>632</v>
      </c>
      <c r="D4" s="208"/>
      <c r="E4" s="208"/>
      <c r="F4" s="243">
        <v>100000</v>
      </c>
      <c r="G4" s="244"/>
      <c r="H4" s="244"/>
      <c r="I4" s="243">
        <v>100000</v>
      </c>
      <c r="J4" s="245"/>
      <c r="K4" s="245">
        <v>100000</v>
      </c>
      <c r="L4" s="246"/>
      <c r="M4" s="192"/>
    </row>
    <row r="5" spans="1:13" s="210" customFormat="1">
      <c r="B5" s="247"/>
      <c r="C5" s="248" t="s">
        <v>2</v>
      </c>
      <c r="D5" s="248"/>
      <c r="E5" s="248"/>
      <c r="F5" s="193" t="s">
        <v>0</v>
      </c>
      <c r="G5" s="249"/>
      <c r="H5" s="249"/>
      <c r="I5" s="193" t="s">
        <v>0</v>
      </c>
      <c r="J5" s="250"/>
      <c r="K5" s="251" t="s">
        <v>0</v>
      </c>
      <c r="L5" s="252"/>
      <c r="M5" s="193"/>
    </row>
    <row r="6" spans="1:13">
      <c r="B6" s="211"/>
      <c r="C6" s="208" t="s">
        <v>634</v>
      </c>
      <c r="D6" s="208"/>
      <c r="E6" s="208"/>
      <c r="F6" s="253" t="s">
        <v>1000</v>
      </c>
      <c r="G6" s="244"/>
      <c r="H6" s="244"/>
      <c r="I6" s="253" t="s">
        <v>1000</v>
      </c>
      <c r="J6" s="245"/>
      <c r="K6" s="245" t="s">
        <v>1000</v>
      </c>
      <c r="L6" s="246"/>
      <c r="M6" s="192"/>
    </row>
    <row r="7" spans="1:13">
      <c r="B7" s="211"/>
      <c r="C7" s="208"/>
      <c r="D7" s="208"/>
      <c r="E7" s="208"/>
      <c r="F7" s="254">
        <v>0</v>
      </c>
      <c r="G7" s="254">
        <v>0</v>
      </c>
      <c r="H7" s="244"/>
      <c r="I7" s="244"/>
      <c r="J7" s="255" t="s">
        <v>2833</v>
      </c>
      <c r="K7" s="255" t="s">
        <v>1021</v>
      </c>
      <c r="L7" s="246"/>
      <c r="M7" s="194"/>
    </row>
    <row r="8" spans="1:13" ht="25.5">
      <c r="B8" s="211"/>
      <c r="C8" s="256" t="s">
        <v>3</v>
      </c>
      <c r="D8" s="256" t="s">
        <v>1</v>
      </c>
      <c r="E8" s="256" t="s">
        <v>635</v>
      </c>
      <c r="F8" s="257" t="s">
        <v>2468</v>
      </c>
      <c r="G8" s="257" t="s">
        <v>636</v>
      </c>
      <c r="H8" s="257" t="s">
        <v>2468</v>
      </c>
      <c r="I8" s="258" t="s">
        <v>637</v>
      </c>
      <c r="J8" s="259" t="s">
        <v>638</v>
      </c>
      <c r="K8" s="259" t="s">
        <v>638</v>
      </c>
      <c r="L8" s="203"/>
      <c r="M8" s="194"/>
    </row>
    <row r="9" spans="1:13">
      <c r="B9" s="211"/>
      <c r="C9" s="197" t="s">
        <v>640</v>
      </c>
      <c r="D9" s="198">
        <v>100000</v>
      </c>
      <c r="E9" s="198" t="s">
        <v>1023</v>
      </c>
      <c r="F9" s="195">
        <v>-2.384185791015625E-7</v>
      </c>
      <c r="G9" s="199"/>
      <c r="H9" s="199">
        <v>-2.384185791015625E-7</v>
      </c>
      <c r="I9" s="200">
        <v>1</v>
      </c>
      <c r="J9" s="201">
        <v>-2.384185791015625E-7</v>
      </c>
      <c r="K9" s="202">
        <v>0</v>
      </c>
      <c r="L9" s="203"/>
      <c r="M9" s="194" t="s">
        <v>641</v>
      </c>
    </row>
    <row r="10" spans="1:13">
      <c r="B10" s="211"/>
      <c r="C10" s="197" t="s">
        <v>642</v>
      </c>
      <c r="D10" s="198">
        <v>100000</v>
      </c>
      <c r="E10" s="198" t="s">
        <v>1023</v>
      </c>
      <c r="F10" s="195">
        <v>0</v>
      </c>
      <c r="G10" s="199"/>
      <c r="H10" s="199">
        <v>0</v>
      </c>
      <c r="I10" s="200">
        <v>1</v>
      </c>
      <c r="J10" s="201">
        <v>0</v>
      </c>
      <c r="K10" s="202">
        <v>0</v>
      </c>
      <c r="L10" s="203"/>
      <c r="M10" s="194" t="s">
        <v>641</v>
      </c>
    </row>
    <row r="11" spans="1:13">
      <c r="B11" s="211"/>
      <c r="C11" s="197" t="s">
        <v>643</v>
      </c>
      <c r="D11" s="198">
        <v>100000</v>
      </c>
      <c r="E11" s="198" t="s">
        <v>1024</v>
      </c>
      <c r="F11" s="195">
        <v>264059046.56</v>
      </c>
      <c r="G11" s="199"/>
      <c r="H11" s="199">
        <v>264059046.56</v>
      </c>
      <c r="I11" s="200">
        <v>1</v>
      </c>
      <c r="J11" s="201">
        <v>264059046.56</v>
      </c>
      <c r="K11" s="202">
        <v>291359459.07999998</v>
      </c>
      <c r="L11" s="203"/>
      <c r="M11" s="194" t="s">
        <v>362</v>
      </c>
    </row>
    <row r="12" spans="1:13">
      <c r="B12" s="211"/>
      <c r="C12" s="197" t="s">
        <v>644</v>
      </c>
      <c r="D12" s="198">
        <v>100000</v>
      </c>
      <c r="E12" s="198" t="s">
        <v>1023</v>
      </c>
      <c r="F12" s="195">
        <v>0</v>
      </c>
      <c r="G12" s="199"/>
      <c r="H12" s="199">
        <v>0</v>
      </c>
      <c r="I12" s="200">
        <v>1</v>
      </c>
      <c r="J12" s="201">
        <v>0</v>
      </c>
      <c r="K12" s="202">
        <v>0</v>
      </c>
      <c r="L12" s="203"/>
      <c r="M12" s="194" t="s">
        <v>641</v>
      </c>
    </row>
    <row r="13" spans="1:13">
      <c r="B13" s="211"/>
      <c r="C13" s="197" t="s">
        <v>645</v>
      </c>
      <c r="D13" s="198">
        <v>100000</v>
      </c>
      <c r="E13" s="198" t="s">
        <v>1023</v>
      </c>
      <c r="F13" s="195">
        <v>0</v>
      </c>
      <c r="G13" s="199"/>
      <c r="H13" s="199">
        <v>0</v>
      </c>
      <c r="I13" s="200">
        <v>1</v>
      </c>
      <c r="J13" s="201">
        <v>0</v>
      </c>
      <c r="K13" s="202">
        <v>0</v>
      </c>
      <c r="L13" s="203"/>
      <c r="M13" s="194" t="s">
        <v>641</v>
      </c>
    </row>
    <row r="14" spans="1:13">
      <c r="B14" s="211"/>
      <c r="C14" s="197" t="s">
        <v>646</v>
      </c>
      <c r="D14" s="198">
        <v>100000</v>
      </c>
      <c r="E14" s="198" t="s">
        <v>1025</v>
      </c>
      <c r="F14" s="195">
        <v>-3458398747.0500002</v>
      </c>
      <c r="G14" s="199"/>
      <c r="H14" s="199">
        <v>-3458398747.0500002</v>
      </c>
      <c r="I14" s="200">
        <v>1</v>
      </c>
      <c r="J14" s="201">
        <v>-3458398747.0500002</v>
      </c>
      <c r="K14" s="202">
        <v>-3144523990.6300001</v>
      </c>
      <c r="L14" s="203"/>
      <c r="M14" s="194" t="s">
        <v>380</v>
      </c>
    </row>
    <row r="15" spans="1:13">
      <c r="B15" s="211"/>
      <c r="C15" s="197" t="s">
        <v>647</v>
      </c>
      <c r="D15" s="198">
        <v>100000</v>
      </c>
      <c r="E15" s="198" t="s">
        <v>1023</v>
      </c>
      <c r="F15" s="195">
        <v>0</v>
      </c>
      <c r="G15" s="199"/>
      <c r="H15" s="199">
        <v>0</v>
      </c>
      <c r="I15" s="200">
        <v>1</v>
      </c>
      <c r="J15" s="201">
        <v>0</v>
      </c>
      <c r="K15" s="202">
        <v>0</v>
      </c>
      <c r="L15" s="203"/>
      <c r="M15" s="194" t="s">
        <v>641</v>
      </c>
    </row>
    <row r="16" spans="1:13">
      <c r="B16" s="211"/>
      <c r="C16" s="197" t="s">
        <v>104</v>
      </c>
      <c r="D16" s="198">
        <v>100000</v>
      </c>
      <c r="E16" s="198" t="s">
        <v>1026</v>
      </c>
      <c r="F16" s="195">
        <v>-196979153.68000001</v>
      </c>
      <c r="G16" s="199"/>
      <c r="H16" s="199">
        <v>-196979153.68000001</v>
      </c>
      <c r="I16" s="200">
        <v>1</v>
      </c>
      <c r="J16" s="201">
        <v>-196979153.68000001</v>
      </c>
      <c r="K16" s="202">
        <v>-200397574.61000004</v>
      </c>
      <c r="L16" s="203"/>
      <c r="M16" s="194" t="s">
        <v>408</v>
      </c>
    </row>
    <row r="17" spans="2:13">
      <c r="B17" s="211"/>
      <c r="C17" s="197" t="s">
        <v>648</v>
      </c>
      <c r="D17" s="198">
        <v>100000</v>
      </c>
      <c r="E17" s="198" t="s">
        <v>1027</v>
      </c>
      <c r="F17" s="195">
        <v>-127259727.45</v>
      </c>
      <c r="G17" s="199"/>
      <c r="H17" s="199">
        <v>-127259727.45</v>
      </c>
      <c r="I17" s="200">
        <v>1</v>
      </c>
      <c r="J17" s="201">
        <v>-127259727.45</v>
      </c>
      <c r="K17" s="202">
        <v>-126630329.00999999</v>
      </c>
      <c r="L17" s="203"/>
      <c r="M17" s="194" t="s">
        <v>421</v>
      </c>
    </row>
    <row r="18" spans="2:13">
      <c r="B18" s="211"/>
      <c r="C18" s="197" t="s">
        <v>649</v>
      </c>
      <c r="D18" s="198">
        <v>100000</v>
      </c>
      <c r="E18" s="198" t="s">
        <v>1028</v>
      </c>
      <c r="F18" s="195">
        <v>62506561.989999995</v>
      </c>
      <c r="G18" s="199"/>
      <c r="H18" s="199">
        <v>62506561.989999995</v>
      </c>
      <c r="I18" s="200">
        <v>1</v>
      </c>
      <c r="J18" s="201">
        <v>62506561.989999995</v>
      </c>
      <c r="K18" s="202">
        <v>75926595.5</v>
      </c>
      <c r="L18" s="203"/>
      <c r="M18" s="194" t="s">
        <v>514</v>
      </c>
    </row>
    <row r="19" spans="2:13">
      <c r="B19" s="211"/>
      <c r="C19" s="197" t="s">
        <v>347</v>
      </c>
      <c r="D19" s="198">
        <v>100000</v>
      </c>
      <c r="E19" s="198" t="s">
        <v>1029</v>
      </c>
      <c r="F19" s="195">
        <v>17491519.32</v>
      </c>
      <c r="G19" s="199"/>
      <c r="H19" s="199">
        <v>17491519.32</v>
      </c>
      <c r="I19" s="200">
        <v>1</v>
      </c>
      <c r="J19" s="201">
        <v>17491519.32</v>
      </c>
      <c r="K19" s="202">
        <v>21341608.719999999</v>
      </c>
      <c r="L19" s="203"/>
      <c r="M19" s="194" t="s">
        <v>614</v>
      </c>
    </row>
    <row r="20" spans="2:13">
      <c r="B20" s="211"/>
      <c r="C20" s="197" t="s">
        <v>332</v>
      </c>
      <c r="D20" s="198">
        <v>100000</v>
      </c>
      <c r="E20" s="198" t="s">
        <v>1030</v>
      </c>
      <c r="F20" s="195">
        <v>49665540.039999999</v>
      </c>
      <c r="G20" s="199"/>
      <c r="H20" s="199">
        <v>49665540.039999999</v>
      </c>
      <c r="I20" s="200">
        <v>1</v>
      </c>
      <c r="J20" s="201">
        <v>49665540.039999999</v>
      </c>
      <c r="K20" s="202">
        <v>66688874.560000002</v>
      </c>
      <c r="L20" s="203"/>
      <c r="M20" s="194" t="s">
        <v>600</v>
      </c>
    </row>
    <row r="21" spans="2:13">
      <c r="B21" s="211"/>
      <c r="C21" s="197" t="s">
        <v>650</v>
      </c>
      <c r="D21" s="198">
        <v>100000</v>
      </c>
      <c r="E21" s="198" t="s">
        <v>1031</v>
      </c>
      <c r="F21" s="195">
        <v>227789792.74000001</v>
      </c>
      <c r="G21" s="199"/>
      <c r="H21" s="199">
        <v>227789792.74000001</v>
      </c>
      <c r="I21" s="200">
        <v>1</v>
      </c>
      <c r="J21" s="201">
        <v>227789792.74000001</v>
      </c>
      <c r="K21" s="202">
        <v>137765238.03</v>
      </c>
      <c r="L21" s="203"/>
      <c r="M21" s="194" t="s">
        <v>512</v>
      </c>
    </row>
    <row r="22" spans="2:13">
      <c r="B22" s="211"/>
      <c r="C22" s="197" t="s">
        <v>651</v>
      </c>
      <c r="D22" s="198">
        <v>100000</v>
      </c>
      <c r="E22" s="198" t="s">
        <v>1032</v>
      </c>
      <c r="F22" s="195">
        <v>74728308.939999998</v>
      </c>
      <c r="G22" s="199"/>
      <c r="H22" s="199">
        <v>74728308.939999998</v>
      </c>
      <c r="I22" s="200">
        <v>1</v>
      </c>
      <c r="J22" s="201">
        <v>74728308.939999998</v>
      </c>
      <c r="K22" s="202">
        <v>80445195.219999984</v>
      </c>
      <c r="L22" s="203"/>
      <c r="M22" s="194" t="s">
        <v>511</v>
      </c>
    </row>
    <row r="23" spans="2:13">
      <c r="B23" s="211"/>
      <c r="C23" s="197" t="s">
        <v>652</v>
      </c>
      <c r="D23" s="198">
        <v>100000</v>
      </c>
      <c r="E23" s="198" t="s">
        <v>1033</v>
      </c>
      <c r="F23" s="195">
        <v>51164166.739999942</v>
      </c>
      <c r="G23" s="199"/>
      <c r="H23" s="199">
        <v>51164166.739999942</v>
      </c>
      <c r="I23" s="200">
        <v>1</v>
      </c>
      <c r="J23" s="201">
        <v>51164166.739999942</v>
      </c>
      <c r="K23" s="202">
        <v>51182141.479999952</v>
      </c>
      <c r="L23" s="203"/>
      <c r="M23" s="194" t="s">
        <v>508</v>
      </c>
    </row>
    <row r="24" spans="2:13">
      <c r="B24" s="211"/>
      <c r="C24" s="197" t="s">
        <v>334</v>
      </c>
      <c r="D24" s="198">
        <v>100000</v>
      </c>
      <c r="E24" s="198" t="s">
        <v>1034</v>
      </c>
      <c r="F24" s="195">
        <v>4609886</v>
      </c>
      <c r="G24" s="199"/>
      <c r="H24" s="199">
        <v>4609886</v>
      </c>
      <c r="I24" s="200">
        <v>1</v>
      </c>
      <c r="J24" s="201">
        <v>4609886</v>
      </c>
      <c r="K24" s="202">
        <v>7107132</v>
      </c>
      <c r="L24" s="203"/>
      <c r="M24" s="194" t="s">
        <v>602</v>
      </c>
    </row>
    <row r="25" spans="2:13">
      <c r="B25" s="211"/>
      <c r="C25" s="197" t="s">
        <v>196</v>
      </c>
      <c r="D25" s="198">
        <v>100000</v>
      </c>
      <c r="E25" s="198" t="s">
        <v>1035</v>
      </c>
      <c r="F25" s="195">
        <v>5332336</v>
      </c>
      <c r="G25" s="199"/>
      <c r="H25" s="199">
        <v>5332336</v>
      </c>
      <c r="I25" s="200">
        <v>1</v>
      </c>
      <c r="J25" s="201">
        <v>5332336</v>
      </c>
      <c r="K25" s="202">
        <v>4691663</v>
      </c>
      <c r="L25" s="203"/>
      <c r="M25" s="194" t="s">
        <v>499</v>
      </c>
    </row>
    <row r="26" spans="2:13">
      <c r="B26" s="211"/>
      <c r="C26" s="197" t="s">
        <v>653</v>
      </c>
      <c r="D26" s="198">
        <v>100000</v>
      </c>
      <c r="E26" s="198" t="s">
        <v>1036</v>
      </c>
      <c r="F26" s="195">
        <v>64773466.100000009</v>
      </c>
      <c r="G26" s="199"/>
      <c r="H26" s="199">
        <v>64773466.100000009</v>
      </c>
      <c r="I26" s="200">
        <v>1</v>
      </c>
      <c r="J26" s="201">
        <v>64773466.100000009</v>
      </c>
      <c r="K26" s="202">
        <v>79646087.319999993</v>
      </c>
      <c r="L26" s="203"/>
      <c r="M26" s="194" t="s">
        <v>496</v>
      </c>
    </row>
    <row r="27" spans="2:13">
      <c r="B27" s="211"/>
      <c r="C27" s="197" t="s">
        <v>654</v>
      </c>
      <c r="D27" s="198">
        <v>100000</v>
      </c>
      <c r="E27" s="198" t="s">
        <v>1037</v>
      </c>
      <c r="F27" s="195">
        <v>5797453.2199999997</v>
      </c>
      <c r="G27" s="199"/>
      <c r="H27" s="199">
        <v>5797453.2199999997</v>
      </c>
      <c r="I27" s="200">
        <v>1</v>
      </c>
      <c r="J27" s="201">
        <v>5797453.2199999997</v>
      </c>
      <c r="K27" s="202">
        <v>8114740.4299999997</v>
      </c>
      <c r="L27" s="203"/>
      <c r="M27" s="194" t="s">
        <v>607</v>
      </c>
    </row>
    <row r="28" spans="2:13">
      <c r="B28" s="211"/>
      <c r="C28" s="197" t="s">
        <v>655</v>
      </c>
      <c r="D28" s="198">
        <v>100000</v>
      </c>
      <c r="E28" s="198" t="s">
        <v>1038</v>
      </c>
      <c r="F28" s="195">
        <v>-3000</v>
      </c>
      <c r="G28" s="199"/>
      <c r="H28" s="199">
        <v>-3000</v>
      </c>
      <c r="I28" s="200">
        <v>1</v>
      </c>
      <c r="J28" s="201">
        <v>-3000</v>
      </c>
      <c r="K28" s="202">
        <v>-3000</v>
      </c>
      <c r="L28" s="203"/>
      <c r="M28" s="194" t="s">
        <v>368</v>
      </c>
    </row>
    <row r="29" spans="2:13">
      <c r="B29" s="211"/>
      <c r="C29" s="197" t="s">
        <v>656</v>
      </c>
      <c r="D29" s="198">
        <v>100000</v>
      </c>
      <c r="E29" s="198" t="s">
        <v>1039</v>
      </c>
      <c r="F29" s="195">
        <v>-181409812.15000001</v>
      </c>
      <c r="G29" s="199"/>
      <c r="H29" s="199">
        <v>-181409812.15000001</v>
      </c>
      <c r="I29" s="200">
        <v>1</v>
      </c>
      <c r="J29" s="201">
        <v>-181409812.15000001</v>
      </c>
      <c r="K29" s="202">
        <v>-181409812.15000001</v>
      </c>
      <c r="L29" s="203"/>
      <c r="M29" s="194" t="s">
        <v>366</v>
      </c>
    </row>
    <row r="30" spans="2:13">
      <c r="B30" s="211"/>
      <c r="C30" s="197" t="s">
        <v>657</v>
      </c>
      <c r="D30" s="198">
        <v>100000</v>
      </c>
      <c r="E30" s="198" t="s">
        <v>1040</v>
      </c>
      <c r="F30" s="195">
        <v>24340344.599999998</v>
      </c>
      <c r="G30" s="199"/>
      <c r="H30" s="199">
        <v>24340344.599999998</v>
      </c>
      <c r="I30" s="200">
        <v>1</v>
      </c>
      <c r="J30" s="201">
        <v>24340344.599999998</v>
      </c>
      <c r="K30" s="202">
        <v>63451656.710000001</v>
      </c>
      <c r="L30" s="203"/>
      <c r="M30" s="194" t="s">
        <v>359</v>
      </c>
    </row>
    <row r="31" spans="2:13">
      <c r="B31" s="211"/>
      <c r="C31" s="197" t="s">
        <v>658</v>
      </c>
      <c r="D31" s="198">
        <v>100000</v>
      </c>
      <c r="E31" s="198" t="s">
        <v>1041</v>
      </c>
      <c r="F31" s="195">
        <v>98584.58</v>
      </c>
      <c r="G31" s="199"/>
      <c r="H31" s="199">
        <v>98584.58</v>
      </c>
      <c r="I31" s="200">
        <v>1</v>
      </c>
      <c r="J31" s="201">
        <v>98584.58</v>
      </c>
      <c r="K31" s="202">
        <v>635390.76</v>
      </c>
      <c r="L31" s="203"/>
      <c r="M31" s="194" t="s">
        <v>494</v>
      </c>
    </row>
    <row r="32" spans="2:13">
      <c r="B32" s="211"/>
      <c r="C32" s="197" t="s">
        <v>659</v>
      </c>
      <c r="D32" s="198">
        <v>100000</v>
      </c>
      <c r="E32" s="198" t="s">
        <v>1042</v>
      </c>
      <c r="F32" s="195">
        <v>13258516.84</v>
      </c>
      <c r="G32" s="199"/>
      <c r="H32" s="199">
        <v>13258516.84</v>
      </c>
      <c r="I32" s="200">
        <v>1</v>
      </c>
      <c r="J32" s="201">
        <v>13258516.84</v>
      </c>
      <c r="K32" s="202">
        <v>-0.4</v>
      </c>
      <c r="L32" s="203"/>
      <c r="M32" s="194" t="s">
        <v>495</v>
      </c>
    </row>
    <row r="33" spans="2:13">
      <c r="B33" s="211"/>
      <c r="C33" s="197" t="s">
        <v>660</v>
      </c>
      <c r="D33" s="198">
        <v>100000</v>
      </c>
      <c r="E33" s="198" t="s">
        <v>1043</v>
      </c>
      <c r="F33" s="195">
        <v>-211771047.66999999</v>
      </c>
      <c r="G33" s="199"/>
      <c r="H33" s="199">
        <v>-211771047.66999999</v>
      </c>
      <c r="I33" s="200">
        <v>1</v>
      </c>
      <c r="J33" s="201">
        <v>-211771047.66999999</v>
      </c>
      <c r="K33" s="202">
        <v>-268432938.43000001</v>
      </c>
      <c r="L33" s="203"/>
      <c r="M33" s="194" t="s">
        <v>552</v>
      </c>
    </row>
    <row r="34" spans="2:13">
      <c r="B34" s="211"/>
      <c r="C34" s="197" t="s">
        <v>661</v>
      </c>
      <c r="D34" s="198">
        <v>100000</v>
      </c>
      <c r="E34" s="198" t="s">
        <v>1044</v>
      </c>
      <c r="F34" s="195">
        <v>-592963060.20000005</v>
      </c>
      <c r="G34" s="199"/>
      <c r="H34" s="199">
        <v>-592963060.20000005</v>
      </c>
      <c r="I34" s="200">
        <v>1</v>
      </c>
      <c r="J34" s="201">
        <v>-592963060.20000005</v>
      </c>
      <c r="K34" s="202">
        <v>-626335396.45000005</v>
      </c>
      <c r="L34" s="203"/>
      <c r="M34" s="194" t="s">
        <v>547</v>
      </c>
    </row>
    <row r="35" spans="2:13">
      <c r="B35" s="211"/>
      <c r="C35" s="197" t="s">
        <v>662</v>
      </c>
      <c r="D35" s="198">
        <v>100000</v>
      </c>
      <c r="E35" s="198" t="s">
        <v>1045</v>
      </c>
      <c r="F35" s="195">
        <v>-19202492</v>
      </c>
      <c r="G35" s="199"/>
      <c r="H35" s="199">
        <v>-19202492</v>
      </c>
      <c r="I35" s="200">
        <v>1</v>
      </c>
      <c r="J35" s="201">
        <v>-19202492</v>
      </c>
      <c r="K35" s="202">
        <v>-25564895</v>
      </c>
      <c r="L35" s="203"/>
      <c r="M35" s="194" t="s">
        <v>554</v>
      </c>
    </row>
    <row r="36" spans="2:13">
      <c r="B36" s="211"/>
      <c r="C36" s="197" t="s">
        <v>663</v>
      </c>
      <c r="D36" s="198">
        <v>100000</v>
      </c>
      <c r="E36" s="198" t="s">
        <v>1046</v>
      </c>
      <c r="F36" s="195">
        <v>-132365917</v>
      </c>
      <c r="G36" s="199"/>
      <c r="H36" s="199">
        <v>-132365917</v>
      </c>
      <c r="I36" s="200">
        <v>1</v>
      </c>
      <c r="J36" s="201">
        <v>-132365917</v>
      </c>
      <c r="K36" s="202">
        <v>-86962173.719999999</v>
      </c>
      <c r="L36" s="203"/>
      <c r="M36" s="194" t="s">
        <v>553</v>
      </c>
    </row>
    <row r="37" spans="2:13">
      <c r="B37" s="211"/>
      <c r="C37" s="197" t="s">
        <v>340</v>
      </c>
      <c r="D37" s="198">
        <v>100000</v>
      </c>
      <c r="E37" s="198" t="s">
        <v>1047</v>
      </c>
      <c r="F37" s="195">
        <v>79741768.400000006</v>
      </c>
      <c r="G37" s="199"/>
      <c r="H37" s="199">
        <v>79741768.400000006</v>
      </c>
      <c r="I37" s="200">
        <v>1</v>
      </c>
      <c r="J37" s="201">
        <v>79741768.400000006</v>
      </c>
      <c r="K37" s="202">
        <v>101939481.28</v>
      </c>
      <c r="L37" s="203"/>
      <c r="M37" s="194" t="s">
        <v>608</v>
      </c>
    </row>
    <row r="38" spans="2:13">
      <c r="B38" s="211"/>
      <c r="C38" s="197" t="s">
        <v>325</v>
      </c>
      <c r="D38" s="198">
        <v>100000</v>
      </c>
      <c r="E38" s="198" t="s">
        <v>1048</v>
      </c>
      <c r="F38" s="195">
        <v>10924675.029999999</v>
      </c>
      <c r="G38" s="199"/>
      <c r="H38" s="199">
        <v>10924675.029999999</v>
      </c>
      <c r="I38" s="200">
        <v>1</v>
      </c>
      <c r="J38" s="201">
        <v>10924675.029999999</v>
      </c>
      <c r="K38" s="202">
        <v>13628655.66</v>
      </c>
      <c r="L38" s="203"/>
      <c r="M38" s="194" t="s">
        <v>593</v>
      </c>
    </row>
    <row r="39" spans="2:13">
      <c r="B39" s="211"/>
      <c r="C39" s="197" t="s">
        <v>310</v>
      </c>
      <c r="D39" s="198">
        <v>100000</v>
      </c>
      <c r="E39" s="198" t="s">
        <v>1049</v>
      </c>
      <c r="F39" s="195">
        <v>34772642.630000003</v>
      </c>
      <c r="G39" s="199"/>
      <c r="H39" s="199">
        <v>34772642.630000003</v>
      </c>
      <c r="I39" s="200">
        <v>1</v>
      </c>
      <c r="J39" s="201">
        <v>34772642.630000003</v>
      </c>
      <c r="K39" s="202">
        <v>54412298.700000003</v>
      </c>
      <c r="L39" s="203"/>
      <c r="M39" s="194" t="s">
        <v>578</v>
      </c>
    </row>
    <row r="40" spans="2:13">
      <c r="B40" s="211"/>
      <c r="C40" s="197" t="s">
        <v>664</v>
      </c>
      <c r="D40" s="198">
        <v>100000</v>
      </c>
      <c r="E40" s="198" t="s">
        <v>1050</v>
      </c>
      <c r="F40" s="195">
        <v>38593513.100000001</v>
      </c>
      <c r="G40" s="199"/>
      <c r="H40" s="199">
        <v>38593513.100000001</v>
      </c>
      <c r="I40" s="200">
        <v>1</v>
      </c>
      <c r="J40" s="201">
        <v>38593513.100000001</v>
      </c>
      <c r="K40" s="202">
        <v>46620011.829999998</v>
      </c>
      <c r="L40" s="203"/>
      <c r="M40" s="194" t="s">
        <v>558</v>
      </c>
    </row>
    <row r="41" spans="2:13">
      <c r="B41" s="211"/>
      <c r="C41" s="197" t="s">
        <v>665</v>
      </c>
      <c r="D41" s="198">
        <v>100000</v>
      </c>
      <c r="E41" s="198" t="s">
        <v>1051</v>
      </c>
      <c r="F41" s="195">
        <v>-180659800</v>
      </c>
      <c r="G41" s="199"/>
      <c r="H41" s="199">
        <v>-180659800</v>
      </c>
      <c r="I41" s="200">
        <v>1</v>
      </c>
      <c r="J41" s="201">
        <v>-180659800</v>
      </c>
      <c r="K41" s="202">
        <v>-153988461</v>
      </c>
      <c r="L41" s="203"/>
      <c r="M41" s="194" t="s">
        <v>419</v>
      </c>
    </row>
    <row r="42" spans="2:13">
      <c r="B42" s="211"/>
      <c r="C42" s="197" t="s">
        <v>666</v>
      </c>
      <c r="D42" s="198">
        <v>100000</v>
      </c>
      <c r="E42" s="198" t="s">
        <v>1052</v>
      </c>
      <c r="F42" s="195">
        <v>-23199328</v>
      </c>
      <c r="G42" s="199"/>
      <c r="H42" s="199">
        <v>-23199328</v>
      </c>
      <c r="I42" s="200">
        <v>1</v>
      </c>
      <c r="J42" s="201">
        <v>-23199328</v>
      </c>
      <c r="K42" s="202">
        <v>-23788964</v>
      </c>
      <c r="L42" s="203"/>
      <c r="M42" s="194" t="s">
        <v>418</v>
      </c>
    </row>
    <row r="43" spans="2:13">
      <c r="B43" s="211"/>
      <c r="C43" s="197" t="s">
        <v>667</v>
      </c>
      <c r="D43" s="198">
        <v>100000</v>
      </c>
      <c r="E43" s="198" t="s">
        <v>1053</v>
      </c>
      <c r="F43" s="260">
        <v>-152538462</v>
      </c>
      <c r="G43" s="199"/>
      <c r="H43" s="199">
        <v>-152538462</v>
      </c>
      <c r="I43" s="200">
        <v>1</v>
      </c>
      <c r="J43" s="201">
        <v>-152538462</v>
      </c>
      <c r="K43" s="202">
        <v>-135538462</v>
      </c>
      <c r="L43" s="203"/>
      <c r="M43" s="194" t="s">
        <v>394</v>
      </c>
    </row>
    <row r="44" spans="2:13">
      <c r="B44" s="211"/>
      <c r="C44" s="197" t="s">
        <v>343</v>
      </c>
      <c r="D44" s="198">
        <v>100000</v>
      </c>
      <c r="E44" s="198" t="s">
        <v>1054</v>
      </c>
      <c r="F44" s="195">
        <v>820000</v>
      </c>
      <c r="G44" s="199"/>
      <c r="H44" s="199">
        <v>820000</v>
      </c>
      <c r="I44" s="200">
        <v>1</v>
      </c>
      <c r="J44" s="201">
        <v>820000</v>
      </c>
      <c r="K44" s="202">
        <v>860000</v>
      </c>
      <c r="L44" s="203"/>
      <c r="M44" s="194" t="s">
        <v>610</v>
      </c>
    </row>
    <row r="45" spans="2:13">
      <c r="B45" s="211"/>
      <c r="C45" s="197" t="s">
        <v>668</v>
      </c>
      <c r="D45" s="198">
        <v>100000</v>
      </c>
      <c r="E45" s="198" t="s">
        <v>1055</v>
      </c>
      <c r="F45" s="195">
        <v>-59305576.799999997</v>
      </c>
      <c r="G45" s="199"/>
      <c r="H45" s="199">
        <v>-59305576.799999997</v>
      </c>
      <c r="I45" s="200">
        <v>1</v>
      </c>
      <c r="J45" s="201">
        <v>-59305576.799999997</v>
      </c>
      <c r="K45" s="202">
        <v>-58603679.200000003</v>
      </c>
      <c r="L45" s="203"/>
      <c r="M45" s="194" t="s">
        <v>533</v>
      </c>
    </row>
    <row r="46" spans="2:13">
      <c r="B46" s="211"/>
      <c r="C46" s="197" t="s">
        <v>341</v>
      </c>
      <c r="D46" s="198">
        <v>100000</v>
      </c>
      <c r="E46" s="198" t="s">
        <v>1056</v>
      </c>
      <c r="F46" s="195">
        <v>27763859</v>
      </c>
      <c r="G46" s="199"/>
      <c r="H46" s="199">
        <v>27763859</v>
      </c>
      <c r="I46" s="200">
        <v>1</v>
      </c>
      <c r="J46" s="201">
        <v>27763859</v>
      </c>
      <c r="K46" s="202">
        <v>23055000</v>
      </c>
      <c r="L46" s="203"/>
      <c r="M46" s="194" t="s">
        <v>609</v>
      </c>
    </row>
    <row r="47" spans="2:13">
      <c r="B47" s="211"/>
      <c r="C47" s="197" t="s">
        <v>669</v>
      </c>
      <c r="D47" s="198">
        <v>100000</v>
      </c>
      <c r="E47" s="198" t="s">
        <v>1057</v>
      </c>
      <c r="F47" s="195">
        <v>-111565855.63</v>
      </c>
      <c r="G47" s="199"/>
      <c r="H47" s="199">
        <v>-111565855.63</v>
      </c>
      <c r="I47" s="200">
        <v>1</v>
      </c>
      <c r="J47" s="201">
        <v>-111565855.63</v>
      </c>
      <c r="K47" s="202">
        <v>-123898268.77000004</v>
      </c>
      <c r="L47" s="203"/>
      <c r="M47" s="194" t="s">
        <v>409</v>
      </c>
    </row>
    <row r="48" spans="2:13">
      <c r="B48" s="211"/>
      <c r="C48" s="197" t="s">
        <v>670</v>
      </c>
      <c r="D48" s="198">
        <v>100000</v>
      </c>
      <c r="E48" s="198" t="s">
        <v>1058</v>
      </c>
      <c r="F48" s="195">
        <v>385017598.17000002</v>
      </c>
      <c r="G48" s="199"/>
      <c r="H48" s="199">
        <v>385017598.17000002</v>
      </c>
      <c r="I48" s="200">
        <v>1</v>
      </c>
      <c r="J48" s="201">
        <v>385017598.17000002</v>
      </c>
      <c r="K48" s="202">
        <v>393939527.00999999</v>
      </c>
      <c r="L48" s="203"/>
      <c r="M48" s="194" t="s">
        <v>361</v>
      </c>
    </row>
    <row r="49" spans="2:13">
      <c r="B49" s="211"/>
      <c r="C49" s="197" t="s">
        <v>671</v>
      </c>
      <c r="D49" s="198">
        <v>100000</v>
      </c>
      <c r="E49" s="198" t="s">
        <v>1059</v>
      </c>
      <c r="F49" s="195">
        <v>21315054.659999967</v>
      </c>
      <c r="G49" s="199"/>
      <c r="H49" s="199">
        <v>21315054.659999967</v>
      </c>
      <c r="I49" s="200">
        <v>1</v>
      </c>
      <c r="J49" s="201">
        <v>21315054.659999967</v>
      </c>
      <c r="K49" s="202">
        <v>37267616.439999998</v>
      </c>
      <c r="L49" s="203"/>
      <c r="M49" s="194" t="s">
        <v>581</v>
      </c>
    </row>
    <row r="50" spans="2:13">
      <c r="B50" s="211"/>
      <c r="C50" s="197" t="s">
        <v>672</v>
      </c>
      <c r="D50" s="198">
        <v>100000</v>
      </c>
      <c r="E50" s="198" t="s">
        <v>1060</v>
      </c>
      <c r="F50" s="195">
        <v>7669872.2800000003</v>
      </c>
      <c r="G50" s="199"/>
      <c r="H50" s="199">
        <v>7669872.2800000003</v>
      </c>
      <c r="I50" s="200">
        <v>1</v>
      </c>
      <c r="J50" s="201">
        <v>7669872.2800000003</v>
      </c>
      <c r="K50" s="202">
        <v>18383009.489999998</v>
      </c>
      <c r="L50" s="203"/>
      <c r="M50" s="194" t="s">
        <v>606</v>
      </c>
    </row>
    <row r="51" spans="2:13">
      <c r="B51" s="211"/>
      <c r="C51" s="197" t="s">
        <v>673</v>
      </c>
      <c r="D51" s="198">
        <v>100000</v>
      </c>
      <c r="E51" s="198" t="s">
        <v>1061</v>
      </c>
      <c r="F51" s="195">
        <v>241992156.66999999</v>
      </c>
      <c r="G51" s="199"/>
      <c r="H51" s="199">
        <v>241992156.66999999</v>
      </c>
      <c r="I51" s="200">
        <v>1</v>
      </c>
      <c r="J51" s="201">
        <v>241992156.66999999</v>
      </c>
      <c r="K51" s="202">
        <v>296365841.43000001</v>
      </c>
      <c r="L51" s="203"/>
      <c r="M51" s="194" t="s">
        <v>478</v>
      </c>
    </row>
    <row r="52" spans="2:13">
      <c r="B52" s="211"/>
      <c r="C52" s="197" t="s">
        <v>674</v>
      </c>
      <c r="D52" s="198">
        <v>100000</v>
      </c>
      <c r="E52" s="198" t="s">
        <v>1062</v>
      </c>
      <c r="F52" s="195">
        <v>-1116795483.3199999</v>
      </c>
      <c r="G52" s="199"/>
      <c r="H52" s="199">
        <v>-1116795483.3199999</v>
      </c>
      <c r="I52" s="200">
        <v>1</v>
      </c>
      <c r="J52" s="201">
        <v>-1116795483.3199999</v>
      </c>
      <c r="K52" s="202">
        <v>-1112333536.3199999</v>
      </c>
      <c r="L52" s="203"/>
      <c r="M52" s="194" t="s">
        <v>376</v>
      </c>
    </row>
    <row r="53" spans="2:13">
      <c r="B53" s="211"/>
      <c r="C53" s="197" t="s">
        <v>675</v>
      </c>
      <c r="D53" s="198">
        <v>100000</v>
      </c>
      <c r="E53" s="198" t="s">
        <v>1063</v>
      </c>
      <c r="F53" s="195">
        <v>24001886</v>
      </c>
      <c r="G53" s="199"/>
      <c r="H53" s="199">
        <v>24001886</v>
      </c>
      <c r="I53" s="200">
        <v>1</v>
      </c>
      <c r="J53" s="201">
        <v>24001886</v>
      </c>
      <c r="K53" s="202">
        <v>32021540</v>
      </c>
      <c r="L53" s="203"/>
      <c r="M53" s="194" t="s">
        <v>561</v>
      </c>
    </row>
    <row r="54" spans="2:13">
      <c r="B54" s="211"/>
      <c r="C54" s="197" t="s">
        <v>335</v>
      </c>
      <c r="D54" s="198">
        <v>100000</v>
      </c>
      <c r="E54" s="198" t="s">
        <v>1064</v>
      </c>
      <c r="F54" s="195">
        <v>6545267.4900000002</v>
      </c>
      <c r="G54" s="199"/>
      <c r="H54" s="199">
        <v>6545267.4900000002</v>
      </c>
      <c r="I54" s="200">
        <v>1</v>
      </c>
      <c r="J54" s="201">
        <v>6545267.4900000002</v>
      </c>
      <c r="K54" s="202">
        <v>8503464.3300000001</v>
      </c>
      <c r="L54" s="203"/>
      <c r="M54" s="194" t="s">
        <v>603</v>
      </c>
    </row>
    <row r="55" spans="2:13">
      <c r="B55" s="211"/>
      <c r="C55" s="197" t="s">
        <v>676</v>
      </c>
      <c r="D55" s="198">
        <v>100000</v>
      </c>
      <c r="E55" s="198" t="s">
        <v>1065</v>
      </c>
      <c r="F55" s="195">
        <v>16285233.690000001</v>
      </c>
      <c r="G55" s="199"/>
      <c r="H55" s="199">
        <v>16285233.690000001</v>
      </c>
      <c r="I55" s="200">
        <v>1</v>
      </c>
      <c r="J55" s="201">
        <v>16285233.690000001</v>
      </c>
      <c r="K55" s="202">
        <v>5656285.6400000006</v>
      </c>
      <c r="L55" s="203"/>
      <c r="M55" s="194" t="s">
        <v>358</v>
      </c>
    </row>
    <row r="56" spans="2:13">
      <c r="B56" s="211"/>
      <c r="C56" s="197" t="s">
        <v>213</v>
      </c>
      <c r="D56" s="198">
        <v>100000</v>
      </c>
      <c r="E56" s="198" t="s">
        <v>1066</v>
      </c>
      <c r="F56" s="195">
        <v>8608411.1500000004</v>
      </c>
      <c r="G56" s="199"/>
      <c r="H56" s="199">
        <v>8608411.1500000004</v>
      </c>
      <c r="I56" s="200">
        <v>1</v>
      </c>
      <c r="J56" s="201">
        <v>8608411.1500000004</v>
      </c>
      <c r="K56" s="202">
        <v>6861749.3099999996</v>
      </c>
      <c r="L56" s="203"/>
      <c r="M56" s="194" t="s">
        <v>526</v>
      </c>
    </row>
    <row r="57" spans="2:13">
      <c r="B57" s="211"/>
      <c r="C57" s="197" t="s">
        <v>677</v>
      </c>
      <c r="D57" s="198">
        <v>100000</v>
      </c>
      <c r="E57" s="198" t="s">
        <v>1067</v>
      </c>
      <c r="F57" s="195">
        <v>29537218.370000001</v>
      </c>
      <c r="G57" s="199"/>
      <c r="H57" s="199">
        <v>29537218.370000001</v>
      </c>
      <c r="I57" s="200">
        <v>1</v>
      </c>
      <c r="J57" s="201">
        <v>29537218.370000001</v>
      </c>
      <c r="K57" s="202">
        <v>37066728.43</v>
      </c>
      <c r="L57" s="203"/>
      <c r="M57" s="194" t="s">
        <v>568</v>
      </c>
    </row>
    <row r="58" spans="2:13">
      <c r="B58" s="211"/>
      <c r="C58" s="197" t="s">
        <v>253</v>
      </c>
      <c r="D58" s="198">
        <v>100000</v>
      </c>
      <c r="E58" s="198" t="s">
        <v>1068</v>
      </c>
      <c r="F58" s="195">
        <v>-15490627.58</v>
      </c>
      <c r="G58" s="199"/>
      <c r="H58" s="199">
        <v>-15490627.58</v>
      </c>
      <c r="I58" s="200">
        <v>1</v>
      </c>
      <c r="J58" s="201">
        <v>-15490627.58</v>
      </c>
      <c r="K58" s="202">
        <v>-28341706.239999998</v>
      </c>
      <c r="L58" s="203"/>
      <c r="M58" s="194" t="s">
        <v>531</v>
      </c>
    </row>
    <row r="59" spans="2:13">
      <c r="B59" s="211"/>
      <c r="C59" s="197" t="s">
        <v>678</v>
      </c>
      <c r="D59" s="198">
        <v>100000</v>
      </c>
      <c r="E59" s="198" t="s">
        <v>1069</v>
      </c>
      <c r="F59" s="195">
        <v>17513612.350000001</v>
      </c>
      <c r="G59" s="199"/>
      <c r="H59" s="199">
        <v>17513612.350000001</v>
      </c>
      <c r="I59" s="200">
        <v>1</v>
      </c>
      <c r="J59" s="201">
        <v>17513612.350000001</v>
      </c>
      <c r="K59" s="202">
        <v>17513612.350000001</v>
      </c>
      <c r="L59" s="203"/>
      <c r="M59" s="194" t="s">
        <v>441</v>
      </c>
    </row>
    <row r="60" spans="2:13">
      <c r="B60" s="211"/>
      <c r="C60" s="197" t="s">
        <v>679</v>
      </c>
      <c r="D60" s="198">
        <v>100000</v>
      </c>
      <c r="E60" s="198" t="s">
        <v>1070</v>
      </c>
      <c r="F60" s="195">
        <v>408928</v>
      </c>
      <c r="G60" s="199"/>
      <c r="H60" s="199">
        <v>408928</v>
      </c>
      <c r="I60" s="200">
        <v>1</v>
      </c>
      <c r="J60" s="201">
        <v>408928</v>
      </c>
      <c r="K60" s="202">
        <v>408928</v>
      </c>
      <c r="L60" s="203"/>
      <c r="M60" s="194" t="s">
        <v>433</v>
      </c>
    </row>
    <row r="61" spans="2:13">
      <c r="B61" s="211"/>
      <c r="C61" s="197" t="s">
        <v>680</v>
      </c>
      <c r="D61" s="198">
        <v>100000</v>
      </c>
      <c r="E61" s="198" t="s">
        <v>1071</v>
      </c>
      <c r="F61" s="195">
        <v>1147485470.5799999</v>
      </c>
      <c r="G61" s="199"/>
      <c r="H61" s="199">
        <v>1147485470.5799999</v>
      </c>
      <c r="I61" s="200">
        <v>1</v>
      </c>
      <c r="J61" s="201">
        <v>1147485470.5799999</v>
      </c>
      <c r="K61" s="202">
        <v>1033610923.48</v>
      </c>
      <c r="L61" s="203"/>
      <c r="M61" s="194" t="s">
        <v>434</v>
      </c>
    </row>
    <row r="62" spans="2:13">
      <c r="B62" s="211"/>
      <c r="C62" s="197" t="s">
        <v>681</v>
      </c>
      <c r="D62" s="198">
        <v>100000</v>
      </c>
      <c r="E62" s="198" t="s">
        <v>1072</v>
      </c>
      <c r="F62" s="195">
        <v>124400194</v>
      </c>
      <c r="G62" s="199"/>
      <c r="H62" s="199">
        <v>124400194</v>
      </c>
      <c r="I62" s="200">
        <v>1</v>
      </c>
      <c r="J62" s="201">
        <v>124400194</v>
      </c>
      <c r="K62" s="202">
        <v>124400194</v>
      </c>
      <c r="L62" s="203"/>
      <c r="M62" s="194" t="s">
        <v>440</v>
      </c>
    </row>
    <row r="63" spans="2:13">
      <c r="B63" s="211"/>
      <c r="C63" s="197" t="s">
        <v>682</v>
      </c>
      <c r="D63" s="198">
        <v>100000</v>
      </c>
      <c r="E63" s="198" t="s">
        <v>1073</v>
      </c>
      <c r="F63" s="195">
        <v>-595192839.36999989</v>
      </c>
      <c r="G63" s="199"/>
      <c r="H63" s="199">
        <v>-595192839.36999989</v>
      </c>
      <c r="I63" s="200">
        <v>1</v>
      </c>
      <c r="J63" s="201">
        <v>-595192839.36999989</v>
      </c>
      <c r="K63" s="202">
        <v>-1093398462.6900001</v>
      </c>
      <c r="L63" s="203"/>
      <c r="M63" s="194" t="s">
        <v>403</v>
      </c>
    </row>
    <row r="64" spans="2:13">
      <c r="B64" s="211"/>
      <c r="C64" s="197" t="s">
        <v>683</v>
      </c>
      <c r="D64" s="198">
        <v>100000</v>
      </c>
      <c r="E64" s="198" t="s">
        <v>1074</v>
      </c>
      <c r="F64" s="195">
        <v>146233393.41</v>
      </c>
      <c r="G64" s="199"/>
      <c r="H64" s="199">
        <v>146233393.41</v>
      </c>
      <c r="I64" s="200">
        <v>1</v>
      </c>
      <c r="J64" s="201">
        <v>146233393.41</v>
      </c>
      <c r="K64" s="202">
        <v>105539076.41</v>
      </c>
      <c r="L64" s="203"/>
      <c r="M64" s="194" t="s">
        <v>517</v>
      </c>
    </row>
    <row r="65" spans="2:13">
      <c r="B65" s="211"/>
      <c r="C65" s="197" t="s">
        <v>684</v>
      </c>
      <c r="D65" s="198">
        <v>100000</v>
      </c>
      <c r="E65" s="198" t="s">
        <v>1075</v>
      </c>
      <c r="F65" s="195">
        <v>2470787.9782490823</v>
      </c>
      <c r="G65" s="199"/>
      <c r="H65" s="199">
        <v>2470787.9782490823</v>
      </c>
      <c r="I65" s="200">
        <v>1</v>
      </c>
      <c r="J65" s="201">
        <v>2470787.9782490823</v>
      </c>
      <c r="K65" s="202">
        <v>3751867.2605588618</v>
      </c>
      <c r="L65" s="203"/>
      <c r="M65" s="194" t="s">
        <v>466</v>
      </c>
    </row>
    <row r="66" spans="2:13">
      <c r="B66" s="211"/>
      <c r="C66" s="197" t="s">
        <v>685</v>
      </c>
      <c r="D66" s="198">
        <v>100000</v>
      </c>
      <c r="E66" s="198" t="s">
        <v>1076</v>
      </c>
      <c r="F66" s="195">
        <v>37352151</v>
      </c>
      <c r="G66" s="199"/>
      <c r="H66" s="199">
        <v>37352151</v>
      </c>
      <c r="I66" s="200">
        <v>1</v>
      </c>
      <c r="J66" s="201">
        <v>37352151</v>
      </c>
      <c r="K66" s="202">
        <v>32010264.809999999</v>
      </c>
      <c r="L66" s="203"/>
      <c r="M66" s="194" t="s">
        <v>481</v>
      </c>
    </row>
    <row r="67" spans="2:13">
      <c r="B67" s="211"/>
      <c r="C67" s="197" t="s">
        <v>284</v>
      </c>
      <c r="D67" s="198">
        <v>100000</v>
      </c>
      <c r="E67" s="198" t="s">
        <v>1077</v>
      </c>
      <c r="F67" s="195">
        <v>6410009</v>
      </c>
      <c r="G67" s="199"/>
      <c r="H67" s="199">
        <v>6410009</v>
      </c>
      <c r="I67" s="200">
        <v>1</v>
      </c>
      <c r="J67" s="201">
        <v>6410009</v>
      </c>
      <c r="K67" s="202">
        <v>7964327</v>
      </c>
      <c r="L67" s="203"/>
      <c r="M67" s="194" t="s">
        <v>556</v>
      </c>
    </row>
    <row r="68" spans="2:13">
      <c r="B68" s="211"/>
      <c r="C68" s="197" t="s">
        <v>352</v>
      </c>
      <c r="D68" s="198">
        <v>100000</v>
      </c>
      <c r="E68" s="198" t="s">
        <v>1078</v>
      </c>
      <c r="F68" s="195">
        <v>29441989.229999993</v>
      </c>
      <c r="G68" s="199"/>
      <c r="H68" s="199">
        <v>29441989.229999993</v>
      </c>
      <c r="I68" s="200">
        <v>1</v>
      </c>
      <c r="J68" s="201">
        <v>29441989.229999993</v>
      </c>
      <c r="K68" s="202">
        <v>44810161.809999995</v>
      </c>
      <c r="L68" s="203"/>
      <c r="M68" s="194" t="s">
        <v>619</v>
      </c>
    </row>
    <row r="69" spans="2:13">
      <c r="B69" s="211"/>
      <c r="C69" s="197" t="s">
        <v>263</v>
      </c>
      <c r="D69" s="198">
        <v>100000</v>
      </c>
      <c r="E69" s="198" t="s">
        <v>1079</v>
      </c>
      <c r="F69" s="195">
        <v>-11980160.630000001</v>
      </c>
      <c r="G69" s="199"/>
      <c r="H69" s="199">
        <v>-11980160.630000001</v>
      </c>
      <c r="I69" s="200">
        <v>1</v>
      </c>
      <c r="J69" s="201">
        <v>-11980160.630000001</v>
      </c>
      <c r="K69" s="202">
        <v>-14752363.27</v>
      </c>
      <c r="L69" s="203"/>
      <c r="M69" s="194" t="s">
        <v>538</v>
      </c>
    </row>
    <row r="70" spans="2:13">
      <c r="B70" s="211"/>
      <c r="C70" s="197" t="s">
        <v>353</v>
      </c>
      <c r="D70" s="198">
        <v>100000</v>
      </c>
      <c r="E70" s="198" t="s">
        <v>1080</v>
      </c>
      <c r="F70" s="195">
        <v>-40405694.659999996</v>
      </c>
      <c r="G70" s="199"/>
      <c r="H70" s="199">
        <v>-40405694.659999996</v>
      </c>
      <c r="I70" s="200">
        <v>1</v>
      </c>
      <c r="J70" s="201">
        <v>-40405694.659999996</v>
      </c>
      <c r="K70" s="206">
        <v>40136572.149999999</v>
      </c>
      <c r="L70" s="203"/>
      <c r="M70" s="194" t="s">
        <v>620</v>
      </c>
    </row>
    <row r="71" spans="2:13">
      <c r="B71" s="211"/>
      <c r="C71" s="197" t="s">
        <v>686</v>
      </c>
      <c r="D71" s="198">
        <v>100000</v>
      </c>
      <c r="E71" s="198" t="s">
        <v>1081</v>
      </c>
      <c r="F71" s="195">
        <v>35339002.569999993</v>
      </c>
      <c r="G71" s="199"/>
      <c r="H71" s="199">
        <v>35339002.569999993</v>
      </c>
      <c r="I71" s="200">
        <v>1</v>
      </c>
      <c r="J71" s="201">
        <v>35339002.569999993</v>
      </c>
      <c r="K71" s="206">
        <v>136423557.36000001</v>
      </c>
      <c r="L71" s="203"/>
      <c r="M71" s="194" t="s">
        <v>497</v>
      </c>
    </row>
    <row r="72" spans="2:13">
      <c r="B72" s="211"/>
      <c r="C72" s="197" t="s">
        <v>687</v>
      </c>
      <c r="D72" s="198">
        <v>100000</v>
      </c>
      <c r="E72" s="198" t="s">
        <v>1082</v>
      </c>
      <c r="F72" s="195">
        <v>268432938.43000001</v>
      </c>
      <c r="G72" s="199"/>
      <c r="H72" s="199">
        <v>268432938.43000001</v>
      </c>
      <c r="I72" s="200">
        <v>1</v>
      </c>
      <c r="J72" s="201">
        <v>268432938.43000001</v>
      </c>
      <c r="K72" s="206">
        <v>171049732.53</v>
      </c>
      <c r="L72" s="203"/>
      <c r="M72" s="194" t="s">
        <v>549</v>
      </c>
    </row>
    <row r="73" spans="2:13">
      <c r="B73" s="211"/>
      <c r="C73" s="197" t="s">
        <v>688</v>
      </c>
      <c r="D73" s="198">
        <v>100000</v>
      </c>
      <c r="E73" s="198" t="s">
        <v>1083</v>
      </c>
      <c r="F73" s="195">
        <v>626335396.45000005</v>
      </c>
      <c r="G73" s="199"/>
      <c r="H73" s="199">
        <v>626335396.45000005</v>
      </c>
      <c r="I73" s="200">
        <v>1</v>
      </c>
      <c r="J73" s="201">
        <v>626335396.45000005</v>
      </c>
      <c r="K73" s="206">
        <v>571556465.25999999</v>
      </c>
      <c r="L73" s="203"/>
      <c r="M73" s="194" t="s">
        <v>543</v>
      </c>
    </row>
    <row r="74" spans="2:13">
      <c r="B74" s="211"/>
      <c r="C74" s="197" t="s">
        <v>689</v>
      </c>
      <c r="D74" s="198">
        <v>100000</v>
      </c>
      <c r="E74" s="198" t="s">
        <v>1084</v>
      </c>
      <c r="F74" s="195">
        <v>25564895</v>
      </c>
      <c r="G74" s="199"/>
      <c r="H74" s="199">
        <v>25564895</v>
      </c>
      <c r="I74" s="200">
        <v>1</v>
      </c>
      <c r="J74" s="201">
        <v>25564895</v>
      </c>
      <c r="K74" s="202">
        <v>28626320</v>
      </c>
      <c r="L74" s="203"/>
      <c r="M74" s="194" t="s">
        <v>551</v>
      </c>
    </row>
    <row r="75" spans="2:13">
      <c r="B75" s="211"/>
      <c r="C75" s="197" t="s">
        <v>690</v>
      </c>
      <c r="D75" s="198">
        <v>100000</v>
      </c>
      <c r="E75" s="198" t="s">
        <v>1085</v>
      </c>
      <c r="F75" s="195">
        <v>86962173.719999999</v>
      </c>
      <c r="G75" s="199"/>
      <c r="H75" s="199">
        <v>86962173.719999999</v>
      </c>
      <c r="I75" s="200">
        <v>1</v>
      </c>
      <c r="J75" s="201">
        <v>86962173.719999999</v>
      </c>
      <c r="K75" s="202">
        <v>158671559</v>
      </c>
      <c r="L75" s="203"/>
      <c r="M75" s="194" t="s">
        <v>550</v>
      </c>
    </row>
    <row r="76" spans="2:13">
      <c r="B76" s="211"/>
      <c r="C76" s="197" t="s">
        <v>691</v>
      </c>
      <c r="D76" s="198">
        <v>100000</v>
      </c>
      <c r="E76" s="198" t="s">
        <v>1086</v>
      </c>
      <c r="F76" s="195">
        <v>0</v>
      </c>
      <c r="G76" s="199"/>
      <c r="H76" s="199">
        <v>0</v>
      </c>
      <c r="I76" s="200">
        <v>1</v>
      </c>
      <c r="J76" s="201">
        <v>0</v>
      </c>
      <c r="K76" s="202">
        <v>0</v>
      </c>
      <c r="L76" s="203"/>
      <c r="M76" s="194" t="s">
        <v>420</v>
      </c>
    </row>
    <row r="77" spans="2:13">
      <c r="B77" s="211"/>
      <c r="C77" s="197" t="s">
        <v>692</v>
      </c>
      <c r="D77" s="198">
        <v>100000</v>
      </c>
      <c r="E77" s="198" t="s">
        <v>1087</v>
      </c>
      <c r="F77" s="195">
        <v>17259910.230000053</v>
      </c>
      <c r="G77" s="199"/>
      <c r="H77" s="199">
        <v>17259910.230000053</v>
      </c>
      <c r="I77" s="200">
        <v>1</v>
      </c>
      <c r="J77" s="201">
        <v>17259910.230000053</v>
      </c>
      <c r="K77" s="202">
        <v>15906584.100000048</v>
      </c>
      <c r="L77" s="203"/>
      <c r="M77" s="194" t="s">
        <v>459</v>
      </c>
    </row>
    <row r="78" spans="2:13">
      <c r="B78" s="211"/>
      <c r="C78" s="197" t="s">
        <v>251</v>
      </c>
      <c r="D78" s="198">
        <v>100000</v>
      </c>
      <c r="E78" s="198" t="s">
        <v>1088</v>
      </c>
      <c r="F78" s="195">
        <v>-39663424</v>
      </c>
      <c r="G78" s="199"/>
      <c r="H78" s="199">
        <v>-39663424</v>
      </c>
      <c r="I78" s="200">
        <v>1</v>
      </c>
      <c r="J78" s="201">
        <v>-39663424</v>
      </c>
      <c r="K78" s="202">
        <v>-57131445.920000002</v>
      </c>
      <c r="L78" s="203"/>
      <c r="M78" s="194" t="s">
        <v>530</v>
      </c>
    </row>
    <row r="79" spans="2:13">
      <c r="B79" s="211"/>
      <c r="C79" s="197" t="s">
        <v>693</v>
      </c>
      <c r="D79" s="198">
        <v>100000</v>
      </c>
      <c r="E79" s="198" t="s">
        <v>1089</v>
      </c>
      <c r="F79" s="195">
        <v>89848161.719999999</v>
      </c>
      <c r="G79" s="199"/>
      <c r="H79" s="199">
        <v>89848161.719999999</v>
      </c>
      <c r="I79" s="200">
        <v>1</v>
      </c>
      <c r="J79" s="201">
        <v>89848161.719999999</v>
      </c>
      <c r="K79" s="202">
        <v>89521824.319999993</v>
      </c>
      <c r="L79" s="203"/>
      <c r="M79" s="194" t="s">
        <v>518</v>
      </c>
    </row>
    <row r="80" spans="2:13">
      <c r="B80" s="211"/>
      <c r="C80" s="197" t="s">
        <v>346</v>
      </c>
      <c r="D80" s="198">
        <v>100000</v>
      </c>
      <c r="E80" s="198" t="s">
        <v>1090</v>
      </c>
      <c r="F80" s="195">
        <v>99266840.189999998</v>
      </c>
      <c r="G80" s="199"/>
      <c r="H80" s="199">
        <v>99266840.189999998</v>
      </c>
      <c r="I80" s="200">
        <v>1</v>
      </c>
      <c r="J80" s="201">
        <v>99266840.189999998</v>
      </c>
      <c r="K80" s="202">
        <v>136800498.19999999</v>
      </c>
      <c r="L80" s="203"/>
      <c r="M80" s="194" t="s">
        <v>613</v>
      </c>
    </row>
    <row r="81" spans="2:13">
      <c r="B81" s="211"/>
      <c r="C81" s="197" t="s">
        <v>694</v>
      </c>
      <c r="D81" s="198">
        <v>100000</v>
      </c>
      <c r="E81" s="198" t="s">
        <v>1091</v>
      </c>
      <c r="F81" s="195">
        <v>1087500</v>
      </c>
      <c r="G81" s="199"/>
      <c r="H81" s="199">
        <v>1087500</v>
      </c>
      <c r="I81" s="200">
        <v>1</v>
      </c>
      <c r="J81" s="201">
        <v>1087500</v>
      </c>
      <c r="K81" s="202">
        <v>1400000</v>
      </c>
      <c r="L81" s="203"/>
      <c r="M81" s="194" t="s">
        <v>571</v>
      </c>
    </row>
    <row r="82" spans="2:13">
      <c r="B82" s="211"/>
      <c r="C82" s="197" t="s">
        <v>695</v>
      </c>
      <c r="D82" s="198">
        <v>100000</v>
      </c>
      <c r="E82" s="198" t="s">
        <v>1092</v>
      </c>
      <c r="F82" s="195">
        <v>185850</v>
      </c>
      <c r="G82" s="199"/>
      <c r="H82" s="199">
        <v>185850</v>
      </c>
      <c r="I82" s="200">
        <v>1</v>
      </c>
      <c r="J82" s="201">
        <v>185850</v>
      </c>
      <c r="K82" s="202">
        <v>290286.2</v>
      </c>
      <c r="L82" s="203"/>
      <c r="M82" s="194" t="s">
        <v>575</v>
      </c>
    </row>
    <row r="83" spans="2:13">
      <c r="B83" s="211"/>
      <c r="C83" s="197" t="s">
        <v>285</v>
      </c>
      <c r="D83" s="198">
        <v>100000</v>
      </c>
      <c r="E83" s="198" t="s">
        <v>1093</v>
      </c>
      <c r="F83" s="195">
        <v>84911000</v>
      </c>
      <c r="G83" s="199"/>
      <c r="H83" s="199">
        <v>84911000</v>
      </c>
      <c r="I83" s="200">
        <v>1</v>
      </c>
      <c r="J83" s="201">
        <v>84911000</v>
      </c>
      <c r="K83" s="202">
        <v>87701000</v>
      </c>
      <c r="L83" s="203"/>
      <c r="M83" s="194" t="s">
        <v>557</v>
      </c>
    </row>
    <row r="84" spans="2:13">
      <c r="B84" s="211"/>
      <c r="C84" s="197" t="s">
        <v>327</v>
      </c>
      <c r="D84" s="198">
        <v>100000</v>
      </c>
      <c r="E84" s="198" t="s">
        <v>1094</v>
      </c>
      <c r="F84" s="195">
        <v>97316753.530000001</v>
      </c>
      <c r="G84" s="199"/>
      <c r="H84" s="199">
        <v>97316753.530000001</v>
      </c>
      <c r="I84" s="200">
        <v>1</v>
      </c>
      <c r="J84" s="201">
        <v>97316753.530000001</v>
      </c>
      <c r="K84" s="202">
        <v>117701036.63</v>
      </c>
      <c r="L84" s="203"/>
      <c r="M84" s="194" t="s">
        <v>595</v>
      </c>
    </row>
    <row r="85" spans="2:13">
      <c r="B85" s="211"/>
      <c r="C85" s="197" t="s">
        <v>202</v>
      </c>
      <c r="D85" s="198">
        <v>100000</v>
      </c>
      <c r="E85" s="198" t="s">
        <v>1095</v>
      </c>
      <c r="F85" s="195">
        <v>20252522</v>
      </c>
      <c r="G85" s="199"/>
      <c r="H85" s="199">
        <v>20252522</v>
      </c>
      <c r="I85" s="200">
        <v>1</v>
      </c>
      <c r="J85" s="201">
        <v>20252522</v>
      </c>
      <c r="K85" s="202">
        <v>24544997.640000001</v>
      </c>
      <c r="L85" s="203"/>
      <c r="M85" s="194" t="s">
        <v>510</v>
      </c>
    </row>
    <row r="86" spans="2:13">
      <c r="B86" s="211"/>
      <c r="C86" s="197" t="s">
        <v>336</v>
      </c>
      <c r="D86" s="198">
        <v>100000</v>
      </c>
      <c r="E86" s="198" t="s">
        <v>1096</v>
      </c>
      <c r="F86" s="195">
        <v>5776738.0899999999</v>
      </c>
      <c r="G86" s="199"/>
      <c r="H86" s="199">
        <v>5776738.0899999999</v>
      </c>
      <c r="I86" s="200">
        <v>1</v>
      </c>
      <c r="J86" s="201">
        <v>5776738.0899999999</v>
      </c>
      <c r="K86" s="202">
        <v>7279045.0499999998</v>
      </c>
      <c r="L86" s="203"/>
      <c r="M86" s="194" t="s">
        <v>604</v>
      </c>
    </row>
    <row r="87" spans="2:13">
      <c r="B87" s="211"/>
      <c r="C87" s="197" t="s">
        <v>326</v>
      </c>
      <c r="D87" s="198">
        <v>100000</v>
      </c>
      <c r="E87" s="198" t="s">
        <v>1097</v>
      </c>
      <c r="F87" s="195">
        <v>100297843.83</v>
      </c>
      <c r="G87" s="199"/>
      <c r="H87" s="199">
        <v>100297843.83</v>
      </c>
      <c r="I87" s="200">
        <v>1</v>
      </c>
      <c r="J87" s="201">
        <v>100297843.83</v>
      </c>
      <c r="K87" s="202">
        <v>150985782.12</v>
      </c>
      <c r="L87" s="203"/>
      <c r="M87" s="194" t="s">
        <v>594</v>
      </c>
    </row>
    <row r="88" spans="2:13">
      <c r="B88" s="211"/>
      <c r="C88" s="197" t="s">
        <v>696</v>
      </c>
      <c r="D88" s="198">
        <v>100000</v>
      </c>
      <c r="E88" s="198" t="s">
        <v>1098</v>
      </c>
      <c r="F88" s="195">
        <v>-113839.92</v>
      </c>
      <c r="G88" s="199"/>
      <c r="H88" s="199">
        <v>-113839.92</v>
      </c>
      <c r="I88" s="200">
        <v>1</v>
      </c>
      <c r="J88" s="201">
        <v>-113839.92</v>
      </c>
      <c r="K88" s="202">
        <v>-158568347.91999999</v>
      </c>
      <c r="L88" s="203"/>
      <c r="M88" s="194" t="s">
        <v>428</v>
      </c>
    </row>
    <row r="89" spans="2:13">
      <c r="B89" s="211"/>
      <c r="C89" s="197" t="s">
        <v>697</v>
      </c>
      <c r="D89" s="198">
        <v>100000</v>
      </c>
      <c r="E89" s="198" t="s">
        <v>1099</v>
      </c>
      <c r="F89" s="195">
        <v>-44609737.079999998</v>
      </c>
      <c r="G89" s="199"/>
      <c r="H89" s="199">
        <v>-44609737.079999998</v>
      </c>
      <c r="I89" s="200">
        <v>1</v>
      </c>
      <c r="J89" s="201">
        <v>-44609737.079999998</v>
      </c>
      <c r="K89" s="202">
        <v>-52699422.200000003</v>
      </c>
      <c r="L89" s="203"/>
      <c r="M89" s="194" t="s">
        <v>425</v>
      </c>
    </row>
    <row r="90" spans="2:13">
      <c r="B90" s="211"/>
      <c r="C90" s="197" t="s">
        <v>698</v>
      </c>
      <c r="D90" s="198">
        <v>100000</v>
      </c>
      <c r="E90" s="198" t="s">
        <v>1100</v>
      </c>
      <c r="F90" s="195">
        <v>0</v>
      </c>
      <c r="G90" s="199"/>
      <c r="H90" s="199">
        <v>0</v>
      </c>
      <c r="I90" s="200">
        <v>1</v>
      </c>
      <c r="J90" s="201">
        <v>0</v>
      </c>
      <c r="K90" s="202">
        <v>-32257609</v>
      </c>
      <c r="L90" s="203"/>
      <c r="M90" s="194" t="s">
        <v>429</v>
      </c>
    </row>
    <row r="91" spans="2:13">
      <c r="B91" s="211"/>
      <c r="C91" s="197" t="s">
        <v>699</v>
      </c>
      <c r="D91" s="198">
        <v>100000</v>
      </c>
      <c r="E91" s="198" t="s">
        <v>1101</v>
      </c>
      <c r="F91" s="195">
        <v>-204787581.1500001</v>
      </c>
      <c r="G91" s="199"/>
      <c r="H91" s="199">
        <v>-204787581.1500001</v>
      </c>
      <c r="I91" s="200">
        <v>1</v>
      </c>
      <c r="J91" s="201">
        <v>-204787581.1500001</v>
      </c>
      <c r="K91" s="202">
        <v>-144647788.01999998</v>
      </c>
      <c r="L91" s="203"/>
      <c r="M91" s="194" t="s">
        <v>426</v>
      </c>
    </row>
    <row r="92" spans="2:13">
      <c r="B92" s="211"/>
      <c r="C92" s="197" t="s">
        <v>270</v>
      </c>
      <c r="D92" s="198">
        <v>100000</v>
      </c>
      <c r="E92" s="198" t="s">
        <v>1102</v>
      </c>
      <c r="F92" s="195">
        <v>2803000940.3700004</v>
      </c>
      <c r="G92" s="199"/>
      <c r="H92" s="199">
        <v>2803000940.3700004</v>
      </c>
      <c r="I92" s="200">
        <v>1</v>
      </c>
      <c r="J92" s="201">
        <v>2803000940.3700004</v>
      </c>
      <c r="K92" s="202">
        <v>3720862566.0600004</v>
      </c>
      <c r="L92" s="203"/>
      <c r="M92" s="194" t="s">
        <v>544</v>
      </c>
    </row>
    <row r="93" spans="2:13">
      <c r="B93" s="211"/>
      <c r="C93" s="197" t="s">
        <v>700</v>
      </c>
      <c r="D93" s="198">
        <v>100000</v>
      </c>
      <c r="E93" s="198" t="s">
        <v>1103</v>
      </c>
      <c r="F93" s="195">
        <v>596950505.80999994</v>
      </c>
      <c r="G93" s="199"/>
      <c r="H93" s="199">
        <v>596950505.80999994</v>
      </c>
      <c r="I93" s="200">
        <v>1</v>
      </c>
      <c r="J93" s="201">
        <v>596950505.80999994</v>
      </c>
      <c r="K93" s="202">
        <v>872202787.21000004</v>
      </c>
      <c r="L93" s="203"/>
      <c r="M93" s="194" t="s">
        <v>548</v>
      </c>
    </row>
    <row r="94" spans="2:13">
      <c r="B94" s="211"/>
      <c r="C94" s="197" t="s">
        <v>337</v>
      </c>
      <c r="D94" s="198">
        <v>100000</v>
      </c>
      <c r="E94" s="198" t="s">
        <v>1104</v>
      </c>
      <c r="F94" s="195">
        <v>5829836.2300000004</v>
      </c>
      <c r="G94" s="199"/>
      <c r="H94" s="199">
        <v>5829836.2300000004</v>
      </c>
      <c r="I94" s="200">
        <v>1</v>
      </c>
      <c r="J94" s="201">
        <v>5829836.2300000004</v>
      </c>
      <c r="K94" s="202">
        <v>9557048.8200000003</v>
      </c>
      <c r="L94" s="203"/>
      <c r="M94" s="194" t="s">
        <v>605</v>
      </c>
    </row>
    <row r="95" spans="2:13">
      <c r="B95" s="211"/>
      <c r="C95" s="197" t="s">
        <v>701</v>
      </c>
      <c r="D95" s="198">
        <v>100000</v>
      </c>
      <c r="E95" s="198" t="s">
        <v>1105</v>
      </c>
      <c r="F95" s="195">
        <v>609928314.20000005</v>
      </c>
      <c r="G95" s="199"/>
      <c r="H95" s="199">
        <v>609928314.20000005</v>
      </c>
      <c r="I95" s="200">
        <v>1</v>
      </c>
      <c r="J95" s="201">
        <v>609928314.20000005</v>
      </c>
      <c r="K95" s="202">
        <v>640531707.45000005</v>
      </c>
      <c r="L95" s="203"/>
      <c r="M95" s="194" t="s">
        <v>476</v>
      </c>
    </row>
    <row r="96" spans="2:13">
      <c r="B96" s="211"/>
      <c r="C96" s="197" t="s">
        <v>702</v>
      </c>
      <c r="D96" s="198">
        <v>100000</v>
      </c>
      <c r="E96" s="198" t="s">
        <v>1106</v>
      </c>
      <c r="F96" s="195">
        <v>-14368817</v>
      </c>
      <c r="G96" s="199"/>
      <c r="H96" s="199">
        <v>-14368817</v>
      </c>
      <c r="I96" s="200">
        <v>1</v>
      </c>
      <c r="J96" s="201">
        <v>-14368817</v>
      </c>
      <c r="K96" s="202">
        <v>-14400268</v>
      </c>
      <c r="L96" s="203"/>
      <c r="M96" s="194" t="s">
        <v>540</v>
      </c>
    </row>
    <row r="97" spans="2:13">
      <c r="B97" s="211"/>
      <c r="C97" s="197" t="s">
        <v>328</v>
      </c>
      <c r="D97" s="198">
        <v>100000</v>
      </c>
      <c r="E97" s="198" t="s">
        <v>1107</v>
      </c>
      <c r="F97" s="195">
        <v>16386235.789999999</v>
      </c>
      <c r="G97" s="199"/>
      <c r="H97" s="199">
        <v>16386235.789999999</v>
      </c>
      <c r="I97" s="200">
        <v>1</v>
      </c>
      <c r="J97" s="201">
        <v>16386235.789999999</v>
      </c>
      <c r="K97" s="202">
        <v>23599520.010000002</v>
      </c>
      <c r="L97" s="203"/>
      <c r="M97" s="194" t="s">
        <v>596</v>
      </c>
    </row>
    <row r="98" spans="2:13">
      <c r="B98" s="211"/>
      <c r="C98" s="197" t="s">
        <v>330</v>
      </c>
      <c r="D98" s="198">
        <v>100000</v>
      </c>
      <c r="E98" s="198" t="s">
        <v>1108</v>
      </c>
      <c r="F98" s="195">
        <v>33686571.909999996</v>
      </c>
      <c r="G98" s="199"/>
      <c r="H98" s="199">
        <v>33686571.909999996</v>
      </c>
      <c r="I98" s="200">
        <v>1</v>
      </c>
      <c r="J98" s="201">
        <v>33686571.909999996</v>
      </c>
      <c r="K98" s="202">
        <v>53249560.43</v>
      </c>
      <c r="L98" s="203"/>
      <c r="M98" s="194" t="s">
        <v>598</v>
      </c>
    </row>
    <row r="99" spans="2:13">
      <c r="B99" s="211"/>
      <c r="C99" s="197" t="s">
        <v>329</v>
      </c>
      <c r="D99" s="198">
        <v>100000</v>
      </c>
      <c r="E99" s="198" t="s">
        <v>1109</v>
      </c>
      <c r="F99" s="195">
        <v>26631048.460000001</v>
      </c>
      <c r="G99" s="199"/>
      <c r="H99" s="199">
        <v>26631048.460000001</v>
      </c>
      <c r="I99" s="200">
        <v>1</v>
      </c>
      <c r="J99" s="201">
        <v>26631048.460000001</v>
      </c>
      <c r="K99" s="202">
        <v>23214606.23</v>
      </c>
      <c r="L99" s="203"/>
      <c r="M99" s="194" t="s">
        <v>597</v>
      </c>
    </row>
    <row r="100" spans="2:13">
      <c r="B100" s="211"/>
      <c r="C100" s="197" t="s">
        <v>331</v>
      </c>
      <c r="D100" s="198">
        <v>100000</v>
      </c>
      <c r="E100" s="198" t="s">
        <v>1110</v>
      </c>
      <c r="F100" s="195">
        <v>13859356.08</v>
      </c>
      <c r="G100" s="199"/>
      <c r="H100" s="199">
        <v>13859356.08</v>
      </c>
      <c r="I100" s="200">
        <v>1</v>
      </c>
      <c r="J100" s="201">
        <v>13859356.08</v>
      </c>
      <c r="K100" s="202">
        <v>27652379.129999999</v>
      </c>
      <c r="L100" s="203"/>
      <c r="M100" s="194" t="s">
        <v>599</v>
      </c>
    </row>
    <row r="101" spans="2:13">
      <c r="B101" s="211"/>
      <c r="C101" s="197" t="s">
        <v>344</v>
      </c>
      <c r="D101" s="198">
        <v>100000</v>
      </c>
      <c r="E101" s="198" t="s">
        <v>1111</v>
      </c>
      <c r="F101" s="195">
        <v>38069873.939999998</v>
      </c>
      <c r="G101" s="199"/>
      <c r="H101" s="199">
        <v>38069873.939999998</v>
      </c>
      <c r="I101" s="200">
        <v>1</v>
      </c>
      <c r="J101" s="201">
        <v>38069873.939999998</v>
      </c>
      <c r="K101" s="202">
        <v>49226741.859999999</v>
      </c>
      <c r="L101" s="203"/>
      <c r="M101" s="194" t="s">
        <v>611</v>
      </c>
    </row>
    <row r="102" spans="2:13">
      <c r="B102" s="211"/>
      <c r="C102" s="197" t="s">
        <v>350</v>
      </c>
      <c r="D102" s="198">
        <v>100000</v>
      </c>
      <c r="E102" s="198" t="s">
        <v>1112</v>
      </c>
      <c r="F102" s="195">
        <v>413141</v>
      </c>
      <c r="G102" s="199"/>
      <c r="H102" s="199">
        <v>413141</v>
      </c>
      <c r="I102" s="200">
        <v>1</v>
      </c>
      <c r="J102" s="201">
        <v>413141</v>
      </c>
      <c r="K102" s="202">
        <v>1718550</v>
      </c>
      <c r="L102" s="203"/>
      <c r="M102" s="194" t="s">
        <v>617</v>
      </c>
    </row>
    <row r="103" spans="2:13">
      <c r="B103" s="211"/>
      <c r="C103" s="197" t="s">
        <v>283</v>
      </c>
      <c r="D103" s="198">
        <v>100000</v>
      </c>
      <c r="E103" s="198" t="s">
        <v>1113</v>
      </c>
      <c r="F103" s="195">
        <v>608393629.22000003</v>
      </c>
      <c r="G103" s="199"/>
      <c r="H103" s="199">
        <v>608393629.22000003</v>
      </c>
      <c r="I103" s="200">
        <v>1</v>
      </c>
      <c r="J103" s="201">
        <v>608393629.22000003</v>
      </c>
      <c r="K103" s="202">
        <v>771089951.38</v>
      </c>
      <c r="L103" s="203"/>
      <c r="M103" s="194" t="s">
        <v>555</v>
      </c>
    </row>
    <row r="104" spans="2:13">
      <c r="B104" s="211"/>
      <c r="C104" s="197" t="s">
        <v>703</v>
      </c>
      <c r="D104" s="198">
        <v>100000</v>
      </c>
      <c r="E104" s="198" t="s">
        <v>1114</v>
      </c>
      <c r="F104" s="195">
        <v>-6286068932.8000002</v>
      </c>
      <c r="G104" s="199"/>
      <c r="H104" s="199">
        <v>-6286068932.8000002</v>
      </c>
      <c r="I104" s="200">
        <v>1</v>
      </c>
      <c r="J104" s="201">
        <v>-6286068932.8000002</v>
      </c>
      <c r="K104" s="202">
        <v>-8002050232.3900003</v>
      </c>
      <c r="L104" s="203"/>
      <c r="M104" s="194" t="s">
        <v>528</v>
      </c>
    </row>
    <row r="105" spans="2:13">
      <c r="B105" s="211"/>
      <c r="C105" s="197" t="s">
        <v>250</v>
      </c>
      <c r="D105" s="198">
        <v>100000</v>
      </c>
      <c r="E105" s="198" t="s">
        <v>1115</v>
      </c>
      <c r="F105" s="195">
        <v>-82124971.159999996</v>
      </c>
      <c r="G105" s="199"/>
      <c r="H105" s="199">
        <v>-82124971.159999996</v>
      </c>
      <c r="I105" s="200">
        <v>1</v>
      </c>
      <c r="J105" s="201">
        <v>-82124971.159999996</v>
      </c>
      <c r="K105" s="202">
        <v>-94066723.299999997</v>
      </c>
      <c r="L105" s="203"/>
      <c r="M105" s="194" t="s">
        <v>529</v>
      </c>
    </row>
    <row r="106" spans="2:13">
      <c r="B106" s="211"/>
      <c r="C106" s="197" t="s">
        <v>704</v>
      </c>
      <c r="D106" s="198">
        <v>100000</v>
      </c>
      <c r="E106" s="198" t="s">
        <v>1116</v>
      </c>
      <c r="F106" s="195">
        <v>-409374055.60000002</v>
      </c>
      <c r="G106" s="199"/>
      <c r="H106" s="199">
        <v>-409374055.60000002</v>
      </c>
      <c r="I106" s="200">
        <v>1</v>
      </c>
      <c r="J106" s="201">
        <v>-409374055.60000002</v>
      </c>
      <c r="K106" s="202">
        <v>-409374055.60000002</v>
      </c>
      <c r="L106" s="203"/>
      <c r="M106" s="194" t="s">
        <v>374</v>
      </c>
    </row>
    <row r="107" spans="2:13">
      <c r="B107" s="211"/>
      <c r="C107" s="197" t="s">
        <v>316</v>
      </c>
      <c r="D107" s="198">
        <v>100000</v>
      </c>
      <c r="E107" s="198" t="s">
        <v>1117</v>
      </c>
      <c r="F107" s="195">
        <v>0</v>
      </c>
      <c r="G107" s="199"/>
      <c r="H107" s="199">
        <v>0</v>
      </c>
      <c r="I107" s="200">
        <v>1</v>
      </c>
      <c r="J107" s="201">
        <v>0</v>
      </c>
      <c r="K107" s="202">
        <v>1007631.36</v>
      </c>
      <c r="L107" s="203"/>
      <c r="M107" s="194" t="s">
        <v>584</v>
      </c>
    </row>
    <row r="108" spans="2:13">
      <c r="B108" s="211"/>
      <c r="C108" s="197" t="s">
        <v>206</v>
      </c>
      <c r="D108" s="198">
        <v>100000</v>
      </c>
      <c r="E108" s="198" t="s">
        <v>1118</v>
      </c>
      <c r="F108" s="195">
        <v>12879447</v>
      </c>
      <c r="G108" s="261"/>
      <c r="H108" s="199">
        <v>12879447</v>
      </c>
      <c r="I108" s="200">
        <v>1</v>
      </c>
      <c r="J108" s="201">
        <v>12879447</v>
      </c>
      <c r="K108" s="202">
        <v>15356910.989999998</v>
      </c>
      <c r="L108" s="203"/>
      <c r="M108" s="194" t="s">
        <v>516</v>
      </c>
    </row>
    <row r="109" spans="2:13">
      <c r="B109" s="211"/>
      <c r="C109" s="197" t="s">
        <v>705</v>
      </c>
      <c r="D109" s="198">
        <v>100000</v>
      </c>
      <c r="E109" s="198" t="s">
        <v>1119</v>
      </c>
      <c r="F109" s="195">
        <v>-158454508</v>
      </c>
      <c r="G109" s="199"/>
      <c r="H109" s="199">
        <v>-158454508</v>
      </c>
      <c r="I109" s="200">
        <v>1</v>
      </c>
      <c r="J109" s="201">
        <v>-158454508</v>
      </c>
      <c r="K109" s="202">
        <v>-158454508</v>
      </c>
      <c r="L109" s="203"/>
      <c r="M109" s="194" t="s">
        <v>365</v>
      </c>
    </row>
    <row r="110" spans="2:13">
      <c r="B110" s="211"/>
      <c r="C110" s="197" t="s">
        <v>706</v>
      </c>
      <c r="D110" s="198">
        <v>100000</v>
      </c>
      <c r="E110" s="198" t="s">
        <v>1120</v>
      </c>
      <c r="F110" s="195">
        <v>47966586.229999997</v>
      </c>
      <c r="G110" s="199"/>
      <c r="H110" s="199">
        <v>47966586.229999997</v>
      </c>
      <c r="I110" s="200">
        <v>1</v>
      </c>
      <c r="J110" s="201">
        <v>47966586.229999997</v>
      </c>
      <c r="K110" s="202">
        <v>55567531.859999999</v>
      </c>
      <c r="L110" s="203"/>
      <c r="M110" s="194" t="s">
        <v>564</v>
      </c>
    </row>
    <row r="111" spans="2:13">
      <c r="B111" s="211"/>
      <c r="C111" s="197" t="s">
        <v>707</v>
      </c>
      <c r="D111" s="198">
        <v>100000</v>
      </c>
      <c r="E111" s="198" t="s">
        <v>1121</v>
      </c>
      <c r="F111" s="195">
        <v>-6592311.9500000002</v>
      </c>
      <c r="G111" s="199"/>
      <c r="H111" s="199">
        <v>-6592311.9500000002</v>
      </c>
      <c r="I111" s="200">
        <v>1</v>
      </c>
      <c r="J111" s="201">
        <v>-6592311.9500000002</v>
      </c>
      <c r="K111" s="202">
        <v>-3193987.61</v>
      </c>
      <c r="L111" s="203"/>
      <c r="M111" s="194" t="s">
        <v>424</v>
      </c>
    </row>
    <row r="112" spans="2:13">
      <c r="B112" s="211"/>
      <c r="C112" s="197" t="s">
        <v>708</v>
      </c>
      <c r="D112" s="198">
        <v>100000</v>
      </c>
      <c r="E112" s="198" t="s">
        <v>1122</v>
      </c>
      <c r="F112" s="195">
        <v>-5487957</v>
      </c>
      <c r="G112" s="199"/>
      <c r="H112" s="199">
        <v>-5487957</v>
      </c>
      <c r="I112" s="200">
        <v>1</v>
      </c>
      <c r="J112" s="201">
        <v>-5487957</v>
      </c>
      <c r="K112" s="202">
        <v>-5487957</v>
      </c>
      <c r="L112" s="203"/>
      <c r="M112" s="194" t="s">
        <v>372</v>
      </c>
    </row>
    <row r="113" spans="2:13">
      <c r="B113" s="211"/>
      <c r="C113" s="197" t="s">
        <v>709</v>
      </c>
      <c r="D113" s="198">
        <v>100000</v>
      </c>
      <c r="E113" s="198" t="s">
        <v>1123</v>
      </c>
      <c r="F113" s="195">
        <v>12436588.199999999</v>
      </c>
      <c r="G113" s="199"/>
      <c r="H113" s="199">
        <v>12436588.199999999</v>
      </c>
      <c r="I113" s="200">
        <v>1</v>
      </c>
      <c r="J113" s="201">
        <v>12436588.199999999</v>
      </c>
      <c r="K113" s="202">
        <v>11891205.220000001</v>
      </c>
      <c r="L113" s="203"/>
      <c r="M113" s="194" t="s">
        <v>480</v>
      </c>
    </row>
    <row r="114" spans="2:13">
      <c r="B114" s="211"/>
      <c r="C114" s="197" t="s">
        <v>322</v>
      </c>
      <c r="D114" s="198">
        <v>100000</v>
      </c>
      <c r="E114" s="198" t="s">
        <v>1124</v>
      </c>
      <c r="F114" s="195">
        <v>1486509.48</v>
      </c>
      <c r="G114" s="199"/>
      <c r="H114" s="199">
        <v>1486509.48</v>
      </c>
      <c r="I114" s="200">
        <v>1</v>
      </c>
      <c r="J114" s="201">
        <v>1486509.48</v>
      </c>
      <c r="K114" s="202">
        <v>3071494.97</v>
      </c>
      <c r="L114" s="203"/>
      <c r="M114" s="194" t="s">
        <v>590</v>
      </c>
    </row>
    <row r="115" spans="2:13">
      <c r="B115" s="211"/>
      <c r="C115" s="197" t="s">
        <v>710</v>
      </c>
      <c r="D115" s="198">
        <v>100000</v>
      </c>
      <c r="E115" s="198" t="s">
        <v>1125</v>
      </c>
      <c r="F115" s="195">
        <v>-2900846</v>
      </c>
      <c r="G115" s="199"/>
      <c r="H115" s="199">
        <v>-2900846</v>
      </c>
      <c r="I115" s="200">
        <v>1</v>
      </c>
      <c r="J115" s="201">
        <v>-2900846</v>
      </c>
      <c r="K115" s="202">
        <v>0</v>
      </c>
      <c r="L115" s="203"/>
      <c r="M115" s="194" t="s">
        <v>416</v>
      </c>
    </row>
    <row r="116" spans="2:13">
      <c r="B116" s="211"/>
      <c r="C116" s="197" t="s">
        <v>711</v>
      </c>
      <c r="D116" s="198">
        <v>100000</v>
      </c>
      <c r="E116" s="198" t="s">
        <v>1126</v>
      </c>
      <c r="F116" s="195">
        <v>-68497594.079999998</v>
      </c>
      <c r="G116" s="199"/>
      <c r="H116" s="199">
        <v>-68497594.079999998</v>
      </c>
      <c r="I116" s="200">
        <v>1</v>
      </c>
      <c r="J116" s="201">
        <v>-68497594.079999998</v>
      </c>
      <c r="K116" s="202">
        <v>-86857550.5</v>
      </c>
      <c r="L116" s="203"/>
      <c r="M116" s="194" t="s">
        <v>410</v>
      </c>
    </row>
    <row r="117" spans="2:13">
      <c r="B117" s="211"/>
      <c r="C117" s="197" t="s">
        <v>712</v>
      </c>
      <c r="D117" s="198">
        <v>100000</v>
      </c>
      <c r="E117" s="198" t="s">
        <v>1127</v>
      </c>
      <c r="F117" s="195">
        <v>2488893909</v>
      </c>
      <c r="G117" s="199"/>
      <c r="H117" s="199">
        <v>2488893909</v>
      </c>
      <c r="I117" s="200">
        <v>1</v>
      </c>
      <c r="J117" s="201">
        <v>2488893909</v>
      </c>
      <c r="K117" s="202">
        <v>2575045475.4500003</v>
      </c>
      <c r="L117" s="203"/>
      <c r="M117" s="194" t="s">
        <v>357</v>
      </c>
    </row>
    <row r="118" spans="2:13">
      <c r="B118" s="211"/>
      <c r="C118" s="197" t="s">
        <v>713</v>
      </c>
      <c r="D118" s="198">
        <v>100000</v>
      </c>
      <c r="E118" s="198" t="s">
        <v>1065</v>
      </c>
      <c r="F118" s="195">
        <v>0</v>
      </c>
      <c r="G118" s="199"/>
      <c r="H118" s="199">
        <v>0</v>
      </c>
      <c r="I118" s="200">
        <v>1</v>
      </c>
      <c r="J118" s="201">
        <v>0</v>
      </c>
      <c r="K118" s="202">
        <v>0</v>
      </c>
      <c r="L118" s="203"/>
      <c r="M118" s="194" t="s">
        <v>358</v>
      </c>
    </row>
    <row r="119" spans="2:13">
      <c r="B119" s="211"/>
      <c r="C119" s="197" t="s">
        <v>311</v>
      </c>
      <c r="D119" s="198">
        <v>100000</v>
      </c>
      <c r="E119" s="198" t="s">
        <v>1128</v>
      </c>
      <c r="F119" s="195">
        <v>29521569.59</v>
      </c>
      <c r="G119" s="199"/>
      <c r="H119" s="199">
        <v>29521569.59</v>
      </c>
      <c r="I119" s="200">
        <v>1</v>
      </c>
      <c r="J119" s="201">
        <v>29521569.59</v>
      </c>
      <c r="K119" s="202">
        <v>52136668.390000001</v>
      </c>
      <c r="L119" s="203"/>
      <c r="M119" s="194" t="s">
        <v>579</v>
      </c>
    </row>
    <row r="120" spans="2:13">
      <c r="B120" s="211"/>
      <c r="C120" s="197" t="s">
        <v>714</v>
      </c>
      <c r="D120" s="198">
        <v>100000</v>
      </c>
      <c r="E120" s="198" t="s">
        <v>1126</v>
      </c>
      <c r="F120" s="195">
        <v>-757593196.85000014</v>
      </c>
      <c r="G120" s="199"/>
      <c r="H120" s="199">
        <v>-757593196.85000014</v>
      </c>
      <c r="I120" s="200">
        <v>1</v>
      </c>
      <c r="J120" s="201">
        <v>-757593196.85000014</v>
      </c>
      <c r="K120" s="202">
        <v>-585399816.71000004</v>
      </c>
      <c r="L120" s="203"/>
      <c r="M120" s="194" t="s">
        <v>410</v>
      </c>
    </row>
    <row r="121" spans="2:13">
      <c r="B121" s="211"/>
      <c r="C121" s="197" t="s">
        <v>715</v>
      </c>
      <c r="D121" s="198">
        <v>100000</v>
      </c>
      <c r="E121" s="198" t="s">
        <v>1129</v>
      </c>
      <c r="F121" s="195">
        <v>79241162.480000183</v>
      </c>
      <c r="G121" s="199"/>
      <c r="H121" s="199">
        <v>79241162.480000183</v>
      </c>
      <c r="I121" s="200">
        <v>1</v>
      </c>
      <c r="J121" s="201">
        <v>79241162.480000183</v>
      </c>
      <c r="K121" s="202">
        <v>72852469.790000021</v>
      </c>
      <c r="L121" s="203"/>
      <c r="M121" s="194" t="s">
        <v>488</v>
      </c>
    </row>
    <row r="122" spans="2:13">
      <c r="B122" s="211"/>
      <c r="C122" s="197" t="s">
        <v>716</v>
      </c>
      <c r="D122" s="198">
        <v>100000</v>
      </c>
      <c r="E122" s="198" t="s">
        <v>1130</v>
      </c>
      <c r="F122" s="195">
        <v>1470119773.4517508</v>
      </c>
      <c r="G122" s="199"/>
      <c r="H122" s="199">
        <v>1470119773.4517508</v>
      </c>
      <c r="I122" s="200">
        <v>1</v>
      </c>
      <c r="J122" s="201">
        <v>1470119773.4517508</v>
      </c>
      <c r="K122" s="202">
        <v>1590975704.2294412</v>
      </c>
      <c r="L122" s="203"/>
      <c r="M122" s="194" t="s">
        <v>484</v>
      </c>
    </row>
    <row r="123" spans="2:13">
      <c r="B123" s="211"/>
      <c r="C123" s="197" t="s">
        <v>349</v>
      </c>
      <c r="D123" s="198">
        <v>100000</v>
      </c>
      <c r="E123" s="198" t="s">
        <v>1131</v>
      </c>
      <c r="F123" s="195">
        <v>56523538</v>
      </c>
      <c r="G123" s="199"/>
      <c r="H123" s="199">
        <v>56523538</v>
      </c>
      <c r="I123" s="200">
        <v>1</v>
      </c>
      <c r="J123" s="201">
        <v>56523538</v>
      </c>
      <c r="K123" s="202">
        <v>85586951.680000007</v>
      </c>
      <c r="L123" s="203"/>
      <c r="M123" s="194" t="s">
        <v>616</v>
      </c>
    </row>
    <row r="124" spans="2:13">
      <c r="B124" s="211"/>
      <c r="C124" s="197" t="s">
        <v>324</v>
      </c>
      <c r="D124" s="198">
        <v>100000</v>
      </c>
      <c r="E124" s="198" t="s">
        <v>1132</v>
      </c>
      <c r="F124" s="195">
        <v>66759485</v>
      </c>
      <c r="G124" s="199"/>
      <c r="H124" s="199">
        <v>66759485</v>
      </c>
      <c r="I124" s="200">
        <v>1</v>
      </c>
      <c r="J124" s="201">
        <v>66759485</v>
      </c>
      <c r="K124" s="202">
        <v>106846449.92</v>
      </c>
      <c r="L124" s="203"/>
      <c r="M124" s="194" t="s">
        <v>592</v>
      </c>
    </row>
    <row r="125" spans="2:13">
      <c r="B125" s="211"/>
      <c r="C125" s="197" t="s">
        <v>717</v>
      </c>
      <c r="D125" s="198">
        <v>100000</v>
      </c>
      <c r="E125" s="198" t="s">
        <v>1133</v>
      </c>
      <c r="F125" s="195">
        <v>-5332336</v>
      </c>
      <c r="G125" s="199"/>
      <c r="H125" s="199">
        <v>-5332336</v>
      </c>
      <c r="I125" s="200">
        <v>1</v>
      </c>
      <c r="J125" s="201">
        <v>-5332336</v>
      </c>
      <c r="K125" s="202">
        <v>-4691663</v>
      </c>
      <c r="L125" s="203"/>
      <c r="M125" s="194" t="s">
        <v>415</v>
      </c>
    </row>
    <row r="126" spans="2:13">
      <c r="B126" s="211"/>
      <c r="C126" s="197" t="s">
        <v>718</v>
      </c>
      <c r="D126" s="198">
        <v>100000</v>
      </c>
      <c r="E126" s="198" t="s">
        <v>1134</v>
      </c>
      <c r="F126" s="195">
        <v>85553905.909999996</v>
      </c>
      <c r="G126" s="199"/>
      <c r="H126" s="199">
        <v>85553905.909999996</v>
      </c>
      <c r="I126" s="200">
        <v>1</v>
      </c>
      <c r="J126" s="201">
        <v>85553905.909999996</v>
      </c>
      <c r="K126" s="202">
        <v>74877502.310000002</v>
      </c>
      <c r="L126" s="203"/>
      <c r="M126" s="194" t="s">
        <v>506</v>
      </c>
    </row>
    <row r="127" spans="2:13">
      <c r="B127" s="211"/>
      <c r="C127" s="197" t="s">
        <v>719</v>
      </c>
      <c r="D127" s="198">
        <v>100000</v>
      </c>
      <c r="E127" s="198" t="s">
        <v>1135</v>
      </c>
      <c r="F127" s="195">
        <v>984271099.17999995</v>
      </c>
      <c r="G127" s="199"/>
      <c r="H127" s="199">
        <v>984271099.17999995</v>
      </c>
      <c r="I127" s="200">
        <v>1</v>
      </c>
      <c r="J127" s="201">
        <v>984271099.17999995</v>
      </c>
      <c r="K127" s="202">
        <v>707493460.48999989</v>
      </c>
      <c r="L127" s="203"/>
      <c r="M127" s="194" t="s">
        <v>502</v>
      </c>
    </row>
    <row r="128" spans="2:13">
      <c r="B128" s="211"/>
      <c r="C128" s="197" t="s">
        <v>720</v>
      </c>
      <c r="D128" s="198">
        <v>100000</v>
      </c>
      <c r="E128" s="198" t="s">
        <v>1136</v>
      </c>
      <c r="F128" s="195">
        <v>5991032.0899999999</v>
      </c>
      <c r="G128" s="199"/>
      <c r="H128" s="199">
        <v>5991032.0899999999</v>
      </c>
      <c r="I128" s="200">
        <v>1</v>
      </c>
      <c r="J128" s="201">
        <v>5991032.0899999999</v>
      </c>
      <c r="K128" s="202">
        <v>10930955</v>
      </c>
      <c r="L128" s="203"/>
      <c r="M128" s="194" t="s">
        <v>445</v>
      </c>
    </row>
    <row r="129" spans="2:13">
      <c r="B129" s="211"/>
      <c r="C129" s="197" t="s">
        <v>721</v>
      </c>
      <c r="D129" s="198">
        <v>100000</v>
      </c>
      <c r="E129" s="198" t="s">
        <v>1137</v>
      </c>
      <c r="F129" s="195">
        <v>28454165.239999995</v>
      </c>
      <c r="G129" s="199"/>
      <c r="H129" s="199">
        <v>28454165.239999995</v>
      </c>
      <c r="I129" s="200">
        <v>1</v>
      </c>
      <c r="J129" s="201">
        <v>28454165.239999995</v>
      </c>
      <c r="K129" s="202">
        <v>21463879.880000025</v>
      </c>
      <c r="L129" s="203"/>
      <c r="M129" s="194" t="s">
        <v>449</v>
      </c>
    </row>
    <row r="130" spans="2:13">
      <c r="B130" s="211"/>
      <c r="C130" s="197" t="s">
        <v>205</v>
      </c>
      <c r="D130" s="198">
        <v>100000</v>
      </c>
      <c r="E130" s="198" t="s">
        <v>1138</v>
      </c>
      <c r="F130" s="195">
        <v>-1546053.4699999997</v>
      </c>
      <c r="G130" s="199"/>
      <c r="H130" s="199">
        <v>-1546053.4699999997</v>
      </c>
      <c r="I130" s="200">
        <v>1</v>
      </c>
      <c r="J130" s="201">
        <v>-1546053.4699999997</v>
      </c>
      <c r="K130" s="202">
        <v>-1796295.3400000003</v>
      </c>
      <c r="L130" s="203"/>
      <c r="M130" s="194" t="s">
        <v>515</v>
      </c>
    </row>
    <row r="131" spans="2:13">
      <c r="B131" s="211"/>
      <c r="C131" s="197" t="s">
        <v>318</v>
      </c>
      <c r="D131" s="198">
        <v>100000</v>
      </c>
      <c r="E131" s="198" t="s">
        <v>1139</v>
      </c>
      <c r="F131" s="195">
        <v>52743596.82</v>
      </c>
      <c r="G131" s="199"/>
      <c r="H131" s="199">
        <v>52743596.82</v>
      </c>
      <c r="I131" s="200">
        <v>1</v>
      </c>
      <c r="J131" s="201">
        <v>52743596.82</v>
      </c>
      <c r="K131" s="202">
        <v>53498354.539999999</v>
      </c>
      <c r="L131" s="203"/>
      <c r="M131" s="194" t="s">
        <v>586</v>
      </c>
    </row>
    <row r="132" spans="2:13">
      <c r="B132" s="211"/>
      <c r="C132" s="197" t="s">
        <v>722</v>
      </c>
      <c r="D132" s="198">
        <v>100000</v>
      </c>
      <c r="E132" s="198" t="s">
        <v>1140</v>
      </c>
      <c r="F132" s="195">
        <v>159619287</v>
      </c>
      <c r="G132" s="199"/>
      <c r="H132" s="199">
        <v>159619287</v>
      </c>
      <c r="I132" s="200">
        <v>1</v>
      </c>
      <c r="J132" s="201">
        <v>159619287</v>
      </c>
      <c r="K132" s="202">
        <v>116343442.72</v>
      </c>
      <c r="L132" s="203"/>
      <c r="M132" s="194" t="s">
        <v>477</v>
      </c>
    </row>
    <row r="133" spans="2:13">
      <c r="B133" s="211"/>
      <c r="C133" s="197" t="s">
        <v>351</v>
      </c>
      <c r="D133" s="198">
        <v>100000</v>
      </c>
      <c r="E133" s="198" t="s">
        <v>1141</v>
      </c>
      <c r="F133" s="195">
        <v>1110943</v>
      </c>
      <c r="G133" s="199"/>
      <c r="H133" s="199">
        <v>1110943</v>
      </c>
      <c r="I133" s="200">
        <v>1</v>
      </c>
      <c r="J133" s="201">
        <v>1110943</v>
      </c>
      <c r="K133" s="202">
        <v>47138</v>
      </c>
      <c r="L133" s="203"/>
      <c r="M133" s="194" t="s">
        <v>618</v>
      </c>
    </row>
    <row r="134" spans="2:13">
      <c r="B134" s="211"/>
      <c r="C134" s="197" t="s">
        <v>723</v>
      </c>
      <c r="D134" s="198">
        <v>100000</v>
      </c>
      <c r="E134" s="198" t="s">
        <v>1142</v>
      </c>
      <c r="F134" s="195">
        <v>0</v>
      </c>
      <c r="G134" s="199"/>
      <c r="H134" s="199">
        <v>0</v>
      </c>
      <c r="I134" s="200">
        <v>1</v>
      </c>
      <c r="J134" s="201">
        <v>0</v>
      </c>
      <c r="K134" s="202">
        <v>158454508</v>
      </c>
      <c r="L134" s="203"/>
      <c r="M134" s="194" t="s">
        <v>382</v>
      </c>
    </row>
    <row r="135" spans="2:13">
      <c r="B135" s="211"/>
      <c r="C135" s="197" t="s">
        <v>724</v>
      </c>
      <c r="D135" s="198">
        <v>100000</v>
      </c>
      <c r="E135" s="198" t="s">
        <v>1143</v>
      </c>
      <c r="F135" s="260">
        <v>17000000</v>
      </c>
      <c r="G135" s="199"/>
      <c r="H135" s="199">
        <v>17000000</v>
      </c>
      <c r="I135" s="200">
        <v>1</v>
      </c>
      <c r="J135" s="201">
        <v>17000000</v>
      </c>
      <c r="K135" s="202">
        <v>37710000</v>
      </c>
      <c r="L135" s="203"/>
      <c r="M135" s="194" t="s">
        <v>364</v>
      </c>
    </row>
    <row r="136" spans="2:13">
      <c r="B136" s="211"/>
      <c r="C136" s="197" t="s">
        <v>725</v>
      </c>
      <c r="D136" s="198">
        <v>100000</v>
      </c>
      <c r="E136" s="198" t="s">
        <v>1144</v>
      </c>
      <c r="F136" s="260">
        <v>122940000</v>
      </c>
      <c r="G136" s="199"/>
      <c r="H136" s="199">
        <v>122940000</v>
      </c>
      <c r="I136" s="200">
        <v>1</v>
      </c>
      <c r="J136" s="201">
        <v>122940000</v>
      </c>
      <c r="K136" s="202">
        <v>92810360.640000001</v>
      </c>
      <c r="L136" s="203"/>
      <c r="M136" s="194" t="s">
        <v>363</v>
      </c>
    </row>
    <row r="137" spans="2:13">
      <c r="B137" s="211"/>
      <c r="C137" s="197" t="s">
        <v>726</v>
      </c>
      <c r="D137" s="198">
        <v>100000</v>
      </c>
      <c r="E137" s="198" t="s">
        <v>1145</v>
      </c>
      <c r="F137" s="195">
        <v>0</v>
      </c>
      <c r="G137" s="199"/>
      <c r="H137" s="199">
        <v>0</v>
      </c>
      <c r="I137" s="200">
        <v>1</v>
      </c>
      <c r="J137" s="201">
        <v>0</v>
      </c>
      <c r="K137" s="202">
        <v>55600000</v>
      </c>
      <c r="L137" s="203"/>
      <c r="M137" s="194" t="s">
        <v>377</v>
      </c>
    </row>
    <row r="138" spans="2:13">
      <c r="B138" s="211"/>
      <c r="C138" s="197" t="s">
        <v>68</v>
      </c>
      <c r="D138" s="198">
        <v>100000</v>
      </c>
      <c r="E138" s="198" t="s">
        <v>1146</v>
      </c>
      <c r="F138" s="195">
        <v>-10077035</v>
      </c>
      <c r="G138" s="199"/>
      <c r="H138" s="199">
        <v>-10077035</v>
      </c>
      <c r="I138" s="200">
        <v>1</v>
      </c>
      <c r="J138" s="201">
        <v>-10077035</v>
      </c>
      <c r="K138" s="202">
        <v>23845084</v>
      </c>
      <c r="L138" s="203"/>
      <c r="M138" s="194" t="s">
        <v>383</v>
      </c>
    </row>
    <row r="139" spans="2:13">
      <c r="B139" s="211"/>
      <c r="C139" s="197" t="s">
        <v>727</v>
      </c>
      <c r="D139" s="198">
        <v>100000</v>
      </c>
      <c r="E139" s="198" t="s">
        <v>1023</v>
      </c>
      <c r="F139" s="195">
        <v>0</v>
      </c>
      <c r="G139" s="199"/>
      <c r="H139" s="199">
        <v>0</v>
      </c>
      <c r="I139" s="200">
        <v>1</v>
      </c>
      <c r="J139" s="201">
        <v>0</v>
      </c>
      <c r="K139" s="202">
        <v>0</v>
      </c>
      <c r="L139" s="203"/>
      <c r="M139" s="194" t="s">
        <v>641</v>
      </c>
    </row>
    <row r="140" spans="2:13">
      <c r="B140" s="211"/>
      <c r="C140" s="197" t="s">
        <v>264</v>
      </c>
      <c r="D140" s="198">
        <v>100000</v>
      </c>
      <c r="E140" s="198" t="s">
        <v>1147</v>
      </c>
      <c r="F140" s="195">
        <v>-271999.75</v>
      </c>
      <c r="G140" s="199"/>
      <c r="H140" s="199">
        <v>-271999.75</v>
      </c>
      <c r="I140" s="200">
        <v>1</v>
      </c>
      <c r="J140" s="201">
        <v>-271999.75</v>
      </c>
      <c r="K140" s="202">
        <v>-7532699.9000000004</v>
      </c>
      <c r="L140" s="203"/>
      <c r="M140" s="194" t="s">
        <v>539</v>
      </c>
    </row>
    <row r="141" spans="2:13">
      <c r="B141" s="211"/>
      <c r="C141" s="197" t="s">
        <v>728</v>
      </c>
      <c r="D141" s="198">
        <v>100000</v>
      </c>
      <c r="E141" s="198" t="s">
        <v>1148</v>
      </c>
      <c r="F141" s="195">
        <v>0</v>
      </c>
      <c r="G141" s="199"/>
      <c r="H141" s="199">
        <v>0</v>
      </c>
      <c r="I141" s="200">
        <v>1</v>
      </c>
      <c r="J141" s="201">
        <v>0</v>
      </c>
      <c r="K141" s="202">
        <v>0</v>
      </c>
      <c r="L141" s="203"/>
      <c r="M141" s="194" t="s">
        <v>728</v>
      </c>
    </row>
    <row r="142" spans="2:13">
      <c r="B142" s="211"/>
      <c r="C142" s="197" t="s">
        <v>729</v>
      </c>
      <c r="D142" s="198">
        <v>100000</v>
      </c>
      <c r="E142" s="198" t="s">
        <v>1149</v>
      </c>
      <c r="F142" s="195">
        <v>-1537000</v>
      </c>
      <c r="G142" s="199"/>
      <c r="H142" s="199">
        <v>-1537000</v>
      </c>
      <c r="I142" s="200">
        <v>1</v>
      </c>
      <c r="J142" s="201">
        <v>-1537000</v>
      </c>
      <c r="K142" s="202">
        <v>-1537000</v>
      </c>
      <c r="L142" s="203"/>
      <c r="M142" s="194" t="s">
        <v>422</v>
      </c>
    </row>
    <row r="143" spans="2:13">
      <c r="B143" s="211"/>
      <c r="C143" s="197" t="s">
        <v>730</v>
      </c>
      <c r="D143" s="198">
        <v>100000</v>
      </c>
      <c r="E143" s="198" t="s">
        <v>1150</v>
      </c>
      <c r="F143" s="195">
        <v>6475350</v>
      </c>
      <c r="G143" s="199"/>
      <c r="H143" s="199">
        <v>6475350</v>
      </c>
      <c r="I143" s="200">
        <v>1</v>
      </c>
      <c r="J143" s="201">
        <v>6475350</v>
      </c>
      <c r="K143" s="202">
        <v>7081953.2400000002</v>
      </c>
      <c r="L143" s="203"/>
      <c r="M143" s="194" t="s">
        <v>482</v>
      </c>
    </row>
    <row r="144" spans="2:13">
      <c r="B144" s="211"/>
      <c r="C144" s="197" t="s">
        <v>731</v>
      </c>
      <c r="D144" s="198">
        <v>100000</v>
      </c>
      <c r="E144" s="198" t="s">
        <v>1151</v>
      </c>
      <c r="F144" s="195">
        <v>19202492</v>
      </c>
      <c r="G144" s="199"/>
      <c r="H144" s="199">
        <v>19202492</v>
      </c>
      <c r="I144" s="200">
        <v>1</v>
      </c>
      <c r="J144" s="201">
        <v>19202492</v>
      </c>
      <c r="K144" s="202">
        <v>25564895</v>
      </c>
      <c r="L144" s="203"/>
      <c r="M144" s="194" t="s">
        <v>479</v>
      </c>
    </row>
    <row r="145" spans="1:13">
      <c r="B145" s="211"/>
      <c r="C145" s="197" t="s">
        <v>732</v>
      </c>
      <c r="D145" s="198">
        <v>100000</v>
      </c>
      <c r="E145" s="198" t="s">
        <v>1152</v>
      </c>
      <c r="F145" s="195">
        <v>98041996.700000003</v>
      </c>
      <c r="G145" s="199"/>
      <c r="H145" s="199">
        <v>98041996.700000003</v>
      </c>
      <c r="I145" s="200">
        <v>1</v>
      </c>
      <c r="J145" s="201">
        <v>98041996.700000003</v>
      </c>
      <c r="K145" s="202">
        <v>5941878</v>
      </c>
      <c r="L145" s="203"/>
      <c r="M145" s="194" t="s">
        <v>500</v>
      </c>
    </row>
    <row r="146" spans="1:13">
      <c r="B146" s="211"/>
      <c r="C146" s="197" t="s">
        <v>733</v>
      </c>
      <c r="D146" s="198">
        <v>100000</v>
      </c>
      <c r="E146" s="198" t="s">
        <v>1153</v>
      </c>
      <c r="F146" s="195">
        <v>-2174649</v>
      </c>
      <c r="G146" s="199"/>
      <c r="H146" s="199">
        <v>-2174649</v>
      </c>
      <c r="I146" s="200">
        <v>1</v>
      </c>
      <c r="J146" s="201">
        <v>-2174649</v>
      </c>
      <c r="K146" s="202">
        <v>-2320548</v>
      </c>
      <c r="L146" s="203"/>
      <c r="M146" s="194" t="s">
        <v>413</v>
      </c>
    </row>
    <row r="147" spans="1:13">
      <c r="B147" s="211"/>
      <c r="C147" s="197" t="s">
        <v>734</v>
      </c>
      <c r="D147" s="198">
        <v>100000</v>
      </c>
      <c r="E147" s="198" t="s">
        <v>1154</v>
      </c>
      <c r="F147" s="195">
        <v>0</v>
      </c>
      <c r="G147" s="199"/>
      <c r="H147" s="199">
        <v>0</v>
      </c>
      <c r="I147" s="200">
        <v>1</v>
      </c>
      <c r="J147" s="201">
        <v>0</v>
      </c>
      <c r="K147" s="201">
        <v>0</v>
      </c>
      <c r="L147" s="215"/>
      <c r="M147" s="194" t="s">
        <v>535</v>
      </c>
    </row>
    <row r="148" spans="1:13">
      <c r="B148" s="211"/>
      <c r="C148" s="197" t="s">
        <v>735</v>
      </c>
      <c r="D148" s="198">
        <v>100000</v>
      </c>
      <c r="E148" s="198" t="s">
        <v>1155</v>
      </c>
      <c r="F148" s="195">
        <v>-180000000</v>
      </c>
      <c r="G148" s="199"/>
      <c r="H148" s="199">
        <v>-180000000</v>
      </c>
      <c r="I148" s="200">
        <v>1</v>
      </c>
      <c r="J148" s="201">
        <v>-180000000</v>
      </c>
      <c r="K148" s="201">
        <v>-40000000</v>
      </c>
      <c r="L148" s="215"/>
      <c r="M148" s="194" t="s">
        <v>423</v>
      </c>
    </row>
    <row r="149" spans="1:13">
      <c r="B149" s="211"/>
      <c r="C149" s="197" t="s">
        <v>736</v>
      </c>
      <c r="D149" s="198">
        <v>100000</v>
      </c>
      <c r="E149" s="198" t="s">
        <v>1156</v>
      </c>
      <c r="F149" s="195">
        <v>38923000</v>
      </c>
      <c r="G149" s="199"/>
      <c r="H149" s="199">
        <v>38923000</v>
      </c>
      <c r="I149" s="200">
        <v>1</v>
      </c>
      <c r="J149" s="201">
        <v>38923000</v>
      </c>
      <c r="K149" s="201">
        <v>38923000</v>
      </c>
      <c r="L149" s="215"/>
      <c r="M149" s="194" t="s">
        <v>507</v>
      </c>
    </row>
    <row r="150" spans="1:13">
      <c r="B150" s="211"/>
      <c r="C150" s="197"/>
      <c r="D150" s="198">
        <v>100000</v>
      </c>
      <c r="E150" s="198" t="s">
        <v>1157</v>
      </c>
      <c r="F150" s="195"/>
      <c r="G150" s="199"/>
      <c r="H150" s="199">
        <v>0</v>
      </c>
      <c r="I150" s="200">
        <v>1</v>
      </c>
      <c r="J150" s="201">
        <v>0</v>
      </c>
      <c r="K150" s="201"/>
      <c r="L150" s="215"/>
      <c r="M150" s="194"/>
    </row>
    <row r="151" spans="1:13">
      <c r="B151" s="211"/>
      <c r="C151" s="197"/>
      <c r="D151" s="198">
        <v>100000</v>
      </c>
      <c r="E151" s="198" t="s">
        <v>1157</v>
      </c>
      <c r="F151" s="195"/>
      <c r="G151" s="199"/>
      <c r="H151" s="199">
        <v>0</v>
      </c>
      <c r="I151" s="200">
        <v>1</v>
      </c>
      <c r="J151" s="201">
        <v>0</v>
      </c>
      <c r="K151" s="201"/>
      <c r="L151" s="215"/>
      <c r="M151" s="194"/>
    </row>
    <row r="152" spans="1:13">
      <c r="B152" s="211"/>
      <c r="C152" s="197"/>
      <c r="D152" s="198">
        <v>100000</v>
      </c>
      <c r="E152" s="198" t="s">
        <v>1157</v>
      </c>
      <c r="F152" s="195"/>
      <c r="G152" s="199"/>
      <c r="H152" s="199">
        <v>0</v>
      </c>
      <c r="I152" s="200">
        <v>1</v>
      </c>
      <c r="J152" s="201">
        <v>0</v>
      </c>
      <c r="K152" s="201"/>
      <c r="L152" s="215"/>
      <c r="M152" s="194"/>
    </row>
    <row r="153" spans="1:13">
      <c r="B153" s="211"/>
      <c r="C153" s="262"/>
      <c r="D153" s="262"/>
      <c r="E153" s="262"/>
      <c r="F153" s="263">
        <v>0</v>
      </c>
      <c r="G153" s="264"/>
      <c r="H153" s="265">
        <v>0</v>
      </c>
      <c r="I153" s="264"/>
      <c r="J153" s="263">
        <v>0</v>
      </c>
      <c r="K153" s="263">
        <v>0</v>
      </c>
      <c r="L153" s="246"/>
      <c r="M153" s="194"/>
    </row>
    <row r="154" spans="1:13">
      <c r="B154" s="211"/>
      <c r="C154" s="208"/>
      <c r="D154" s="208"/>
      <c r="E154" s="208"/>
      <c r="F154" s="244"/>
      <c r="G154" s="244"/>
      <c r="H154" s="244"/>
      <c r="I154" s="244"/>
      <c r="J154" s="245"/>
      <c r="K154" s="245"/>
      <c r="L154" s="246"/>
      <c r="M154" s="194"/>
    </row>
    <row r="155" spans="1:13" ht="13.5" thickBot="1">
      <c r="B155" s="266"/>
      <c r="C155" s="267"/>
      <c r="D155" s="267"/>
      <c r="E155" s="267"/>
      <c r="F155" s="268"/>
      <c r="G155" s="268"/>
      <c r="H155" s="268"/>
      <c r="I155" s="268"/>
      <c r="J155" s="269"/>
      <c r="K155" s="269"/>
      <c r="L155" s="270"/>
      <c r="M155" s="194"/>
    </row>
    <row r="156" spans="1:13" ht="14.25" thickTop="1" thickBot="1">
      <c r="L156" s="225"/>
    </row>
    <row r="157" spans="1:13" ht="13.5" thickTop="1">
      <c r="B157" s="238"/>
      <c r="C157" s="239"/>
      <c r="D157" s="239"/>
      <c r="E157" s="239"/>
      <c r="F157" s="240"/>
      <c r="G157" s="240"/>
      <c r="H157" s="240"/>
      <c r="I157" s="240"/>
      <c r="J157" s="241"/>
      <c r="K157" s="241"/>
      <c r="L157" s="271"/>
      <c r="M157" s="194"/>
    </row>
    <row r="158" spans="1:13">
      <c r="B158" s="211"/>
      <c r="C158" s="208" t="s">
        <v>632</v>
      </c>
      <c r="D158" s="208"/>
      <c r="E158" s="208"/>
      <c r="F158" s="243">
        <v>100001</v>
      </c>
      <c r="G158" s="243"/>
      <c r="H158" s="244"/>
      <c r="I158" s="244"/>
      <c r="J158" s="245"/>
      <c r="K158" s="245">
        <v>100001</v>
      </c>
      <c r="L158" s="215"/>
      <c r="M158" s="194"/>
    </row>
    <row r="159" spans="1:13" s="209" customFormat="1">
      <c r="A159" s="272"/>
      <c r="B159" s="273"/>
      <c r="C159" s="274" t="s">
        <v>2</v>
      </c>
      <c r="D159" s="274"/>
      <c r="E159" s="274"/>
      <c r="F159" s="275" t="s">
        <v>760</v>
      </c>
      <c r="G159" s="275"/>
      <c r="H159" s="276"/>
      <c r="I159" s="276"/>
      <c r="J159" s="277"/>
      <c r="K159" s="278" t="s">
        <v>760</v>
      </c>
      <c r="L159" s="279"/>
    </row>
    <row r="160" spans="1:13">
      <c r="A160" s="237">
        <v>100001</v>
      </c>
      <c r="B160" s="211"/>
      <c r="C160" s="208" t="s">
        <v>634</v>
      </c>
      <c r="D160" s="208"/>
      <c r="E160" s="208"/>
      <c r="F160" s="253" t="s">
        <v>1000</v>
      </c>
      <c r="G160" s="253"/>
      <c r="H160" s="244"/>
      <c r="I160" s="244"/>
      <c r="J160" s="245"/>
      <c r="K160" s="245" t="s">
        <v>1000</v>
      </c>
      <c r="L160" s="215"/>
      <c r="M160" s="194"/>
    </row>
    <row r="161" spans="2:13">
      <c r="B161" s="211"/>
      <c r="C161" s="208"/>
      <c r="D161" s="208"/>
      <c r="E161" s="208"/>
      <c r="F161" s="254">
        <v>0</v>
      </c>
      <c r="G161" s="244"/>
      <c r="H161" s="244"/>
      <c r="J161" s="255" t="s">
        <v>2833</v>
      </c>
      <c r="K161" s="255" t="s">
        <v>1021</v>
      </c>
      <c r="L161" s="215"/>
      <c r="M161" s="194"/>
    </row>
    <row r="162" spans="2:13" ht="25.5">
      <c r="B162" s="211"/>
      <c r="C162" s="256" t="s">
        <v>3</v>
      </c>
      <c r="D162" s="256" t="s">
        <v>1</v>
      </c>
      <c r="E162" s="256" t="s">
        <v>635</v>
      </c>
      <c r="F162" s="257" t="s">
        <v>2468</v>
      </c>
      <c r="G162" s="257" t="s">
        <v>636</v>
      </c>
      <c r="H162" s="257" t="s">
        <v>2468</v>
      </c>
      <c r="I162" s="257" t="s">
        <v>637</v>
      </c>
      <c r="J162" s="259" t="s">
        <v>638</v>
      </c>
      <c r="K162" s="259" t="s">
        <v>638</v>
      </c>
      <c r="L162" s="203"/>
      <c r="M162" s="194"/>
    </row>
    <row r="163" spans="2:13">
      <c r="B163" s="211"/>
      <c r="C163" s="197" t="s">
        <v>1158</v>
      </c>
      <c r="D163" s="198">
        <v>100001</v>
      </c>
      <c r="E163" s="198" t="s">
        <v>1159</v>
      </c>
      <c r="F163" s="195">
        <v>-7433500</v>
      </c>
      <c r="G163" s="199"/>
      <c r="H163" s="199">
        <v>-7433500</v>
      </c>
      <c r="I163" s="200">
        <v>1</v>
      </c>
      <c r="J163" s="201">
        <v>-7433500</v>
      </c>
      <c r="K163" s="206">
        <v>-7433500</v>
      </c>
      <c r="L163" s="215"/>
      <c r="M163" s="194" t="s">
        <v>365</v>
      </c>
    </row>
    <row r="164" spans="2:13">
      <c r="B164" s="211"/>
      <c r="C164" s="197" t="s">
        <v>1160</v>
      </c>
      <c r="D164" s="198">
        <v>100001</v>
      </c>
      <c r="E164" s="198" t="s">
        <v>1161</v>
      </c>
      <c r="F164" s="195">
        <v>-5505041</v>
      </c>
      <c r="G164" s="199"/>
      <c r="H164" s="199">
        <v>-5505041</v>
      </c>
      <c r="I164" s="200">
        <v>1</v>
      </c>
      <c r="J164" s="201">
        <v>-5505041</v>
      </c>
      <c r="K164" s="206">
        <v>-5980292.5071349749</v>
      </c>
      <c r="L164" s="215"/>
      <c r="M164" s="194" t="s">
        <v>370</v>
      </c>
    </row>
    <row r="165" spans="2:13">
      <c r="B165" s="211"/>
      <c r="C165" s="197" t="s">
        <v>1162</v>
      </c>
      <c r="D165" s="198">
        <v>100001</v>
      </c>
      <c r="E165" s="198" t="s">
        <v>1163</v>
      </c>
      <c r="F165" s="195">
        <v>-2000</v>
      </c>
      <c r="G165" s="199"/>
      <c r="H165" s="199">
        <v>-2000</v>
      </c>
      <c r="I165" s="200">
        <v>1</v>
      </c>
      <c r="J165" s="201">
        <v>-2000</v>
      </c>
      <c r="K165" s="206">
        <v>-2000</v>
      </c>
      <c r="L165" s="215"/>
      <c r="M165" s="194" t="s">
        <v>368</v>
      </c>
    </row>
    <row r="166" spans="2:13">
      <c r="B166" s="211"/>
      <c r="C166" s="197" t="s">
        <v>1164</v>
      </c>
      <c r="D166" s="198">
        <v>100001</v>
      </c>
      <c r="E166" s="198" t="s">
        <v>1165</v>
      </c>
      <c r="F166" s="195">
        <v>-65180000</v>
      </c>
      <c r="G166" s="199"/>
      <c r="H166" s="199">
        <v>-65180000</v>
      </c>
      <c r="I166" s="200">
        <v>1</v>
      </c>
      <c r="J166" s="201">
        <v>-65180000</v>
      </c>
      <c r="K166" s="206">
        <v>-65180000</v>
      </c>
      <c r="L166" s="215"/>
      <c r="M166" s="194" t="s">
        <v>374</v>
      </c>
    </row>
    <row r="167" spans="2:13">
      <c r="B167" s="211"/>
      <c r="C167" s="197" t="s">
        <v>1166</v>
      </c>
      <c r="D167" s="198">
        <v>100001</v>
      </c>
      <c r="E167" s="198" t="s">
        <v>1167</v>
      </c>
      <c r="F167" s="195">
        <v>-343673</v>
      </c>
      <c r="G167" s="199"/>
      <c r="H167" s="199">
        <v>-343673</v>
      </c>
      <c r="I167" s="200">
        <v>1</v>
      </c>
      <c r="J167" s="201">
        <v>-343673</v>
      </c>
      <c r="K167" s="206">
        <v>-343673</v>
      </c>
      <c r="L167" s="215"/>
      <c r="M167" s="194" t="s">
        <v>376</v>
      </c>
    </row>
    <row r="168" spans="2:13">
      <c r="B168" s="211"/>
      <c r="C168" s="197" t="s">
        <v>1168</v>
      </c>
      <c r="D168" s="198">
        <v>100001</v>
      </c>
      <c r="E168" s="198" t="s">
        <v>1169</v>
      </c>
      <c r="F168" s="195">
        <v>-1585147.03</v>
      </c>
      <c r="G168" s="199"/>
      <c r="H168" s="199">
        <v>-1585147.03</v>
      </c>
      <c r="I168" s="200">
        <v>1</v>
      </c>
      <c r="J168" s="201">
        <v>-1585147.03</v>
      </c>
      <c r="K168" s="206">
        <v>-1361531.03</v>
      </c>
      <c r="L168" s="215"/>
      <c r="M168" s="194" t="s">
        <v>380</v>
      </c>
    </row>
    <row r="169" spans="2:13">
      <c r="B169" s="211"/>
      <c r="C169" s="197" t="s">
        <v>1170</v>
      </c>
      <c r="D169" s="198">
        <v>100001</v>
      </c>
      <c r="E169" s="198" t="s">
        <v>1171</v>
      </c>
      <c r="F169" s="195">
        <v>-24317</v>
      </c>
      <c r="G169" s="199"/>
      <c r="H169" s="199">
        <v>-24317</v>
      </c>
      <c r="I169" s="200">
        <v>1</v>
      </c>
      <c r="J169" s="201">
        <v>-24317</v>
      </c>
      <c r="K169" s="206">
        <v>-39317</v>
      </c>
      <c r="L169" s="215"/>
      <c r="M169" s="194" t="s">
        <v>410</v>
      </c>
    </row>
    <row r="170" spans="2:13">
      <c r="B170" s="211"/>
      <c r="C170" s="197" t="s">
        <v>699</v>
      </c>
      <c r="D170" s="198">
        <v>100001</v>
      </c>
      <c r="E170" s="198" t="s">
        <v>1172</v>
      </c>
      <c r="F170" s="195">
        <v>-81190</v>
      </c>
      <c r="G170" s="199"/>
      <c r="H170" s="199">
        <v>-81190</v>
      </c>
      <c r="I170" s="200">
        <v>1</v>
      </c>
      <c r="J170" s="201">
        <v>-81190</v>
      </c>
      <c r="K170" s="206">
        <v>-85000</v>
      </c>
      <c r="L170" s="215"/>
      <c r="M170" s="194" t="s">
        <v>426</v>
      </c>
    </row>
    <row r="171" spans="2:13">
      <c r="B171" s="211"/>
      <c r="C171" s="197" t="s">
        <v>1173</v>
      </c>
      <c r="D171" s="198">
        <v>100001</v>
      </c>
      <c r="E171" s="198" t="s">
        <v>1174</v>
      </c>
      <c r="F171" s="195">
        <v>-2500000</v>
      </c>
      <c r="G171" s="199"/>
      <c r="H171" s="199">
        <v>-2500000</v>
      </c>
      <c r="I171" s="200">
        <v>1</v>
      </c>
      <c r="J171" s="201">
        <v>-2500000</v>
      </c>
      <c r="K171" s="206">
        <v>-2500000</v>
      </c>
      <c r="L171" s="215"/>
      <c r="M171" s="194" t="s">
        <v>422</v>
      </c>
    </row>
    <row r="172" spans="2:13">
      <c r="B172" s="211"/>
      <c r="C172" s="197" t="s">
        <v>1175</v>
      </c>
      <c r="D172" s="198">
        <v>100001</v>
      </c>
      <c r="E172" s="198" t="s">
        <v>1176</v>
      </c>
      <c r="F172" s="195">
        <v>73267071</v>
      </c>
      <c r="G172" s="199"/>
      <c r="H172" s="199">
        <v>73267071</v>
      </c>
      <c r="I172" s="200">
        <v>1</v>
      </c>
      <c r="J172" s="201">
        <v>73267071</v>
      </c>
      <c r="K172" s="206">
        <v>73267071</v>
      </c>
      <c r="L172" s="215"/>
      <c r="M172" s="194" t="s">
        <v>357</v>
      </c>
    </row>
    <row r="173" spans="2:13">
      <c r="B173" s="211"/>
      <c r="C173" s="197" t="s">
        <v>1177</v>
      </c>
      <c r="D173" s="198">
        <v>100001</v>
      </c>
      <c r="E173" s="198" t="s">
        <v>1176</v>
      </c>
      <c r="F173" s="195">
        <v>201402</v>
      </c>
      <c r="G173" s="199"/>
      <c r="H173" s="199">
        <v>201402</v>
      </c>
      <c r="I173" s="200">
        <v>1</v>
      </c>
      <c r="J173" s="201">
        <v>201402</v>
      </c>
      <c r="K173" s="206">
        <v>201402</v>
      </c>
      <c r="L173" s="215"/>
      <c r="M173" s="194" t="s">
        <v>357</v>
      </c>
    </row>
    <row r="174" spans="2:13">
      <c r="B174" s="211"/>
      <c r="C174" s="197" t="s">
        <v>1178</v>
      </c>
      <c r="D174" s="198">
        <v>100001</v>
      </c>
      <c r="E174" s="198" t="s">
        <v>1176</v>
      </c>
      <c r="F174" s="195">
        <v>-124755</v>
      </c>
      <c r="G174" s="199"/>
      <c r="H174" s="199">
        <v>-124755</v>
      </c>
      <c r="I174" s="200">
        <v>1</v>
      </c>
      <c r="J174" s="201">
        <v>-124755</v>
      </c>
      <c r="K174" s="206">
        <v>-118076</v>
      </c>
      <c r="L174" s="215"/>
      <c r="M174" s="194" t="s">
        <v>357</v>
      </c>
    </row>
    <row r="175" spans="2:13">
      <c r="B175" s="211"/>
      <c r="C175" s="197" t="s">
        <v>1179</v>
      </c>
      <c r="D175" s="198">
        <v>100001</v>
      </c>
      <c r="E175" s="198" t="s">
        <v>1176</v>
      </c>
      <c r="F175" s="195">
        <v>17726064</v>
      </c>
      <c r="G175" s="199"/>
      <c r="H175" s="199">
        <v>17726064</v>
      </c>
      <c r="I175" s="200">
        <v>1</v>
      </c>
      <c r="J175" s="201">
        <v>17726064</v>
      </c>
      <c r="K175" s="206">
        <v>17726064</v>
      </c>
      <c r="L175" s="215"/>
      <c r="M175" s="194" t="s">
        <v>357</v>
      </c>
    </row>
    <row r="176" spans="2:13">
      <c r="B176" s="211"/>
      <c r="C176" s="197" t="s">
        <v>1180</v>
      </c>
      <c r="D176" s="198">
        <v>100001</v>
      </c>
      <c r="E176" s="198" t="s">
        <v>1176</v>
      </c>
      <c r="F176" s="195">
        <v>-12297140</v>
      </c>
      <c r="G176" s="199"/>
      <c r="H176" s="199">
        <v>-12297140</v>
      </c>
      <c r="I176" s="200">
        <v>1</v>
      </c>
      <c r="J176" s="201">
        <v>-12297140</v>
      </c>
      <c r="K176" s="206">
        <v>-11821888.492865024</v>
      </c>
      <c r="L176" s="215"/>
      <c r="M176" s="194" t="s">
        <v>357</v>
      </c>
    </row>
    <row r="177" spans="2:13">
      <c r="B177" s="211"/>
      <c r="C177" s="197" t="s">
        <v>1181</v>
      </c>
      <c r="D177" s="198">
        <v>100001</v>
      </c>
      <c r="E177" s="198" t="s">
        <v>1176</v>
      </c>
      <c r="F177" s="195"/>
      <c r="G177" s="199"/>
      <c r="H177" s="199">
        <v>0</v>
      </c>
      <c r="I177" s="200">
        <v>1</v>
      </c>
      <c r="J177" s="201">
        <v>0</v>
      </c>
      <c r="K177" s="206"/>
      <c r="L177" s="215"/>
      <c r="M177" s="194" t="s">
        <v>357</v>
      </c>
    </row>
    <row r="178" spans="2:13">
      <c r="B178" s="211"/>
      <c r="C178" s="197" t="s">
        <v>1182</v>
      </c>
      <c r="D178" s="198">
        <v>100001</v>
      </c>
      <c r="E178" s="198" t="s">
        <v>1176</v>
      </c>
      <c r="F178" s="195">
        <v>15643</v>
      </c>
      <c r="G178" s="199"/>
      <c r="H178" s="199">
        <v>15643</v>
      </c>
      <c r="I178" s="200">
        <v>1</v>
      </c>
      <c r="J178" s="201">
        <v>15643</v>
      </c>
      <c r="K178" s="206">
        <v>15643</v>
      </c>
      <c r="L178" s="215"/>
      <c r="M178" s="194" t="s">
        <v>357</v>
      </c>
    </row>
    <row r="179" spans="2:13">
      <c r="B179" s="211"/>
      <c r="C179" s="197" t="s">
        <v>1183</v>
      </c>
      <c r="D179" s="198">
        <v>100001</v>
      </c>
      <c r="E179" s="198" t="s">
        <v>1176</v>
      </c>
      <c r="F179" s="195">
        <v>-15643</v>
      </c>
      <c r="G179" s="199"/>
      <c r="H179" s="199">
        <v>-15643</v>
      </c>
      <c r="I179" s="200">
        <v>1</v>
      </c>
      <c r="J179" s="201">
        <v>-15643</v>
      </c>
      <c r="K179" s="206">
        <v>-15643</v>
      </c>
      <c r="L179" s="215"/>
      <c r="M179" s="194" t="s">
        <v>357</v>
      </c>
    </row>
    <row r="180" spans="2:13">
      <c r="B180" s="211"/>
      <c r="C180" s="197" t="s">
        <v>1184</v>
      </c>
      <c r="D180" s="198">
        <v>100001</v>
      </c>
      <c r="E180" s="198" t="s">
        <v>1185</v>
      </c>
      <c r="F180" s="195">
        <v>105300</v>
      </c>
      <c r="G180" s="199"/>
      <c r="H180" s="199">
        <v>105300</v>
      </c>
      <c r="I180" s="200">
        <v>1</v>
      </c>
      <c r="J180" s="201">
        <v>105300</v>
      </c>
      <c r="K180" s="206">
        <v>105300</v>
      </c>
      <c r="L180" s="215"/>
      <c r="M180" s="194" t="s">
        <v>434</v>
      </c>
    </row>
    <row r="181" spans="2:13">
      <c r="B181" s="211"/>
      <c r="C181" s="197" t="s">
        <v>1186</v>
      </c>
      <c r="D181" s="198">
        <v>100001</v>
      </c>
      <c r="E181" s="198" t="s">
        <v>1187</v>
      </c>
      <c r="F181" s="195">
        <v>269454</v>
      </c>
      <c r="G181" s="199"/>
      <c r="H181" s="199">
        <v>269454</v>
      </c>
      <c r="I181" s="200">
        <v>1</v>
      </c>
      <c r="J181" s="201">
        <v>269454</v>
      </c>
      <c r="K181" s="206">
        <v>269454</v>
      </c>
      <c r="L181" s="215"/>
      <c r="M181" s="194" t="s">
        <v>496</v>
      </c>
    </row>
    <row r="182" spans="2:13">
      <c r="B182" s="211"/>
      <c r="C182" s="197" t="s">
        <v>1188</v>
      </c>
      <c r="D182" s="198">
        <v>100001</v>
      </c>
      <c r="E182" s="198" t="s">
        <v>1189</v>
      </c>
      <c r="F182" s="195">
        <v>49</v>
      </c>
      <c r="G182" s="199"/>
      <c r="H182" s="199">
        <v>49</v>
      </c>
      <c r="I182" s="200">
        <v>1</v>
      </c>
      <c r="J182" s="201">
        <v>49</v>
      </c>
      <c r="K182" s="206">
        <v>49</v>
      </c>
      <c r="L182" s="215"/>
      <c r="M182" s="194" t="s">
        <v>494</v>
      </c>
    </row>
    <row r="183" spans="2:13">
      <c r="B183" s="211"/>
      <c r="C183" s="197" t="s">
        <v>1190</v>
      </c>
      <c r="D183" s="198">
        <v>100001</v>
      </c>
      <c r="E183" s="198" t="s">
        <v>1191</v>
      </c>
      <c r="F183" s="195">
        <v>3589224.03</v>
      </c>
      <c r="G183" s="199"/>
      <c r="H183" s="199">
        <v>3589224.03</v>
      </c>
      <c r="I183" s="200">
        <v>1</v>
      </c>
      <c r="J183" s="201">
        <v>3589224.03</v>
      </c>
      <c r="K183" s="206">
        <v>3435081.0300000003</v>
      </c>
      <c r="L183" s="215"/>
      <c r="M183" s="194" t="s">
        <v>506</v>
      </c>
    </row>
    <row r="184" spans="2:13">
      <c r="B184" s="211"/>
      <c r="C184" s="197" t="s">
        <v>1192</v>
      </c>
      <c r="D184" s="198">
        <v>100001</v>
      </c>
      <c r="E184" s="198" t="s">
        <v>1193</v>
      </c>
      <c r="F184" s="195">
        <v>55000</v>
      </c>
      <c r="G184" s="199"/>
      <c r="H184" s="199">
        <v>55000</v>
      </c>
      <c r="I184" s="200">
        <v>1</v>
      </c>
      <c r="J184" s="201">
        <v>55000</v>
      </c>
      <c r="K184" s="206">
        <v>55000</v>
      </c>
      <c r="L184" s="215"/>
      <c r="M184" s="194" t="s">
        <v>512</v>
      </c>
    </row>
    <row r="185" spans="2:13">
      <c r="B185" s="211"/>
      <c r="C185" s="197" t="s">
        <v>1194</v>
      </c>
      <c r="D185" s="198">
        <v>100001</v>
      </c>
      <c r="E185" s="198" t="s">
        <v>1193</v>
      </c>
      <c r="F185" s="195">
        <v>29473</v>
      </c>
      <c r="G185" s="199"/>
      <c r="H185" s="199">
        <v>29473</v>
      </c>
      <c r="I185" s="200">
        <v>1</v>
      </c>
      <c r="J185" s="201">
        <v>29473</v>
      </c>
      <c r="K185" s="206">
        <v>29473</v>
      </c>
      <c r="L185" s="215"/>
      <c r="M185" s="194" t="s">
        <v>512</v>
      </c>
    </row>
    <row r="186" spans="2:13">
      <c r="B186" s="211"/>
      <c r="C186" s="197" t="s">
        <v>1195</v>
      </c>
      <c r="D186" s="198">
        <v>100001</v>
      </c>
      <c r="E186" s="198" t="s">
        <v>1196</v>
      </c>
      <c r="F186" s="195">
        <v>-412500</v>
      </c>
      <c r="G186" s="199"/>
      <c r="H186" s="199">
        <v>-412500</v>
      </c>
      <c r="I186" s="200">
        <v>1</v>
      </c>
      <c r="J186" s="201">
        <v>-412500</v>
      </c>
      <c r="K186" s="206">
        <v>-550000</v>
      </c>
      <c r="L186" s="215"/>
      <c r="M186" s="194" t="s">
        <v>540</v>
      </c>
    </row>
    <row r="187" spans="2:13">
      <c r="B187" s="211"/>
      <c r="C187" s="197" t="s">
        <v>1197</v>
      </c>
      <c r="D187" s="198">
        <v>100001</v>
      </c>
      <c r="E187" s="198" t="s">
        <v>1198</v>
      </c>
      <c r="F187" s="195"/>
      <c r="G187" s="199"/>
      <c r="H187" s="199">
        <v>0</v>
      </c>
      <c r="I187" s="200">
        <v>1</v>
      </c>
      <c r="J187" s="201">
        <v>0</v>
      </c>
      <c r="K187" s="206">
        <v>22472</v>
      </c>
      <c r="L187" s="215"/>
      <c r="M187" s="194" t="s">
        <v>571</v>
      </c>
    </row>
    <row r="188" spans="2:13">
      <c r="B188" s="211"/>
      <c r="C188" s="197" t="s">
        <v>1199</v>
      </c>
      <c r="D188" s="198">
        <v>100001</v>
      </c>
      <c r="E188" s="198" t="s">
        <v>1200</v>
      </c>
      <c r="F188" s="195">
        <v>500</v>
      </c>
      <c r="G188" s="199"/>
      <c r="H188" s="199">
        <v>500</v>
      </c>
      <c r="I188" s="200">
        <v>1</v>
      </c>
      <c r="J188" s="201">
        <v>500</v>
      </c>
      <c r="K188" s="206">
        <v>3500</v>
      </c>
      <c r="L188" s="215"/>
      <c r="M188" s="194" t="s">
        <v>619</v>
      </c>
    </row>
    <row r="189" spans="2:13">
      <c r="B189" s="211"/>
      <c r="C189" s="197" t="s">
        <v>1201</v>
      </c>
      <c r="D189" s="198">
        <v>100001</v>
      </c>
      <c r="E189" s="198" t="s">
        <v>1202</v>
      </c>
      <c r="F189" s="195"/>
      <c r="G189" s="199"/>
      <c r="H189" s="199">
        <v>0</v>
      </c>
      <c r="I189" s="200">
        <v>1</v>
      </c>
      <c r="J189" s="201">
        <v>0</v>
      </c>
      <c r="K189" s="206">
        <v>16500</v>
      </c>
      <c r="L189" s="215"/>
      <c r="M189" s="194" t="s">
        <v>594</v>
      </c>
    </row>
    <row r="190" spans="2:13">
      <c r="B190" s="211"/>
      <c r="C190" s="197" t="s">
        <v>1203</v>
      </c>
      <c r="D190" s="198">
        <v>100001</v>
      </c>
      <c r="E190" s="198" t="s">
        <v>1204</v>
      </c>
      <c r="F190" s="195">
        <v>6679</v>
      </c>
      <c r="G190" s="199"/>
      <c r="H190" s="199">
        <v>6679</v>
      </c>
      <c r="I190" s="200">
        <v>1</v>
      </c>
      <c r="J190" s="201">
        <v>6679</v>
      </c>
      <c r="K190" s="206">
        <v>10378</v>
      </c>
      <c r="L190" s="215"/>
      <c r="M190" s="194" t="s">
        <v>362</v>
      </c>
    </row>
    <row r="191" spans="2:13">
      <c r="B191" s="211"/>
      <c r="C191" s="197" t="s">
        <v>2796</v>
      </c>
      <c r="D191" s="198">
        <v>100001</v>
      </c>
      <c r="E191" s="198" t="s">
        <v>2834</v>
      </c>
      <c r="F191" s="195">
        <v>57529</v>
      </c>
      <c r="G191" s="199"/>
      <c r="H191" s="199">
        <v>57529</v>
      </c>
      <c r="I191" s="200">
        <v>1</v>
      </c>
      <c r="J191" s="201">
        <v>57529</v>
      </c>
      <c r="K191" s="206">
        <v>0</v>
      </c>
      <c r="L191" s="215"/>
      <c r="M191" s="194" t="s">
        <v>510</v>
      </c>
    </row>
    <row r="192" spans="2:13">
      <c r="B192" s="211"/>
      <c r="C192" s="197" t="s">
        <v>1205</v>
      </c>
      <c r="D192" s="198">
        <v>100001</v>
      </c>
      <c r="E192" s="198" t="s">
        <v>1206</v>
      </c>
      <c r="F192" s="195">
        <v>6852</v>
      </c>
      <c r="G192" s="199"/>
      <c r="H192" s="199">
        <v>6852</v>
      </c>
      <c r="I192" s="200">
        <v>1</v>
      </c>
      <c r="J192" s="201">
        <v>6852</v>
      </c>
      <c r="K192" s="206">
        <v>6852</v>
      </c>
      <c r="L192" s="215"/>
      <c r="M192" s="194" t="s">
        <v>597</v>
      </c>
    </row>
    <row r="193" spans="1:13">
      <c r="B193" s="211"/>
      <c r="C193" s="197" t="s">
        <v>725</v>
      </c>
      <c r="D193" s="198">
        <v>100001</v>
      </c>
      <c r="E193" s="198" t="s">
        <v>1207</v>
      </c>
      <c r="F193" s="195"/>
      <c r="G193" s="199"/>
      <c r="H193" s="199">
        <v>0</v>
      </c>
      <c r="I193" s="200">
        <v>1</v>
      </c>
      <c r="J193" s="201">
        <v>0</v>
      </c>
      <c r="K193" s="206">
        <v>85000</v>
      </c>
      <c r="L193" s="215"/>
      <c r="M193" s="194" t="s">
        <v>363</v>
      </c>
    </row>
    <row r="194" spans="1:13">
      <c r="B194" s="211"/>
      <c r="C194" s="197" t="s">
        <v>1208</v>
      </c>
      <c r="D194" s="198">
        <v>100001</v>
      </c>
      <c r="E194" s="198" t="s">
        <v>1209</v>
      </c>
      <c r="F194" s="195">
        <v>174666</v>
      </c>
      <c r="G194" s="199"/>
      <c r="H194" s="199">
        <v>174666</v>
      </c>
      <c r="I194" s="200">
        <v>1</v>
      </c>
      <c r="J194" s="201">
        <v>174666</v>
      </c>
      <c r="K194" s="206">
        <v>181682</v>
      </c>
      <c r="L194" s="215"/>
      <c r="M194" s="194" t="s">
        <v>605</v>
      </c>
    </row>
    <row r="195" spans="1:13">
      <c r="B195" s="211"/>
      <c r="C195" s="197"/>
      <c r="D195" s="198">
        <v>100001</v>
      </c>
      <c r="E195" s="198" t="s">
        <v>1210</v>
      </c>
      <c r="F195" s="195"/>
      <c r="G195" s="199"/>
      <c r="H195" s="199">
        <v>0</v>
      </c>
      <c r="I195" s="200">
        <v>1</v>
      </c>
      <c r="J195" s="201">
        <v>0</v>
      </c>
      <c r="K195" s="206"/>
      <c r="L195" s="215"/>
      <c r="M195" s="194"/>
    </row>
    <row r="196" spans="1:13">
      <c r="B196" s="211"/>
      <c r="C196" s="197"/>
      <c r="D196" s="198">
        <v>100001</v>
      </c>
      <c r="E196" s="198"/>
      <c r="F196" s="195"/>
      <c r="G196" s="199"/>
      <c r="H196" s="199"/>
      <c r="I196" s="200"/>
      <c r="J196" s="201"/>
      <c r="K196" s="206"/>
      <c r="L196" s="215"/>
      <c r="M196" s="194"/>
    </row>
    <row r="197" spans="1:13">
      <c r="B197" s="211"/>
      <c r="C197" s="262"/>
      <c r="D197" s="262"/>
      <c r="E197" s="262"/>
      <c r="F197" s="263">
        <v>0</v>
      </c>
      <c r="G197" s="264"/>
      <c r="H197" s="263">
        <v>0</v>
      </c>
      <c r="I197" s="264"/>
      <c r="J197" s="263">
        <v>0</v>
      </c>
      <c r="K197" s="263">
        <v>0</v>
      </c>
      <c r="L197" s="246"/>
      <c r="M197" s="194"/>
    </row>
    <row r="198" spans="1:13">
      <c r="B198" s="211"/>
      <c r="C198" s="208"/>
      <c r="D198" s="208"/>
      <c r="E198" s="208"/>
      <c r="F198" s="244"/>
      <c r="G198" s="244"/>
      <c r="H198" s="244"/>
      <c r="I198" s="244"/>
      <c r="J198" s="245"/>
      <c r="K198" s="245"/>
      <c r="L198" s="215"/>
      <c r="M198" s="194"/>
    </row>
    <row r="199" spans="1:13" ht="13.5" thickBot="1">
      <c r="B199" s="266"/>
      <c r="C199" s="267"/>
      <c r="D199" s="267"/>
      <c r="E199" s="267"/>
      <c r="F199" s="268"/>
      <c r="G199" s="268"/>
      <c r="H199" s="268"/>
      <c r="I199" s="268"/>
      <c r="J199" s="269"/>
      <c r="K199" s="269"/>
      <c r="L199" s="280"/>
      <c r="M199" s="194"/>
    </row>
    <row r="200" spans="1:13" ht="14.25" thickTop="1" thickBot="1">
      <c r="L200" s="225"/>
    </row>
    <row r="201" spans="1:13" ht="13.5" thickTop="1">
      <c r="B201" s="238"/>
      <c r="C201" s="239"/>
      <c r="D201" s="239"/>
      <c r="E201" s="239"/>
      <c r="F201" s="240"/>
      <c r="G201" s="240"/>
      <c r="H201" s="240"/>
      <c r="I201" s="240"/>
      <c r="J201" s="241"/>
      <c r="K201" s="241"/>
      <c r="L201" s="271"/>
      <c r="M201" s="194"/>
    </row>
    <row r="202" spans="1:13">
      <c r="B202" s="211"/>
      <c r="C202" s="208" t="s">
        <v>632</v>
      </c>
      <c r="D202" s="208"/>
      <c r="E202" s="243">
        <v>100002</v>
      </c>
      <c r="F202" s="244"/>
      <c r="G202" s="243">
        <v>100002</v>
      </c>
      <c r="H202" s="244"/>
      <c r="I202" s="243">
        <v>100002</v>
      </c>
      <c r="J202" s="245"/>
      <c r="K202" s="245">
        <v>100002</v>
      </c>
      <c r="L202" s="215"/>
      <c r="M202" s="194"/>
    </row>
    <row r="203" spans="1:13" s="210" customFormat="1">
      <c r="A203" s="196"/>
      <c r="B203" s="247"/>
      <c r="C203" s="248" t="s">
        <v>2</v>
      </c>
      <c r="D203" s="248"/>
      <c r="E203" s="193" t="s">
        <v>761</v>
      </c>
      <c r="F203" s="249"/>
      <c r="G203" s="193" t="s">
        <v>761</v>
      </c>
      <c r="H203" s="249"/>
      <c r="I203" s="193" t="s">
        <v>761</v>
      </c>
      <c r="J203" s="250"/>
      <c r="K203" s="251" t="s">
        <v>761</v>
      </c>
      <c r="L203" s="281"/>
    </row>
    <row r="204" spans="1:13">
      <c r="A204" s="237">
        <v>100002</v>
      </c>
      <c r="B204" s="211"/>
      <c r="C204" s="208" t="s">
        <v>634</v>
      </c>
      <c r="D204" s="208"/>
      <c r="E204" s="253" t="s">
        <v>1000</v>
      </c>
      <c r="F204" s="244"/>
      <c r="G204" s="253" t="s">
        <v>1000</v>
      </c>
      <c r="H204" s="244"/>
      <c r="I204" s="253" t="s">
        <v>1000</v>
      </c>
      <c r="J204" s="245"/>
      <c r="K204" s="245" t="s">
        <v>1000</v>
      </c>
      <c r="L204" s="215"/>
      <c r="M204" s="194"/>
    </row>
    <row r="205" spans="1:13">
      <c r="B205" s="211"/>
      <c r="C205" s="208"/>
      <c r="D205" s="208"/>
      <c r="E205" s="208"/>
      <c r="F205" s="254">
        <v>0</v>
      </c>
      <c r="G205" s="244"/>
      <c r="H205" s="244"/>
      <c r="I205" s="244"/>
      <c r="J205" s="255" t="s">
        <v>2833</v>
      </c>
      <c r="K205" s="255" t="s">
        <v>1021</v>
      </c>
      <c r="L205" s="215"/>
      <c r="M205" s="194"/>
    </row>
    <row r="206" spans="1:13" ht="25.5">
      <c r="B206" s="211"/>
      <c r="C206" s="256" t="s">
        <v>3</v>
      </c>
      <c r="D206" s="256" t="s">
        <v>1</v>
      </c>
      <c r="E206" s="256" t="s">
        <v>635</v>
      </c>
      <c r="F206" s="257" t="s">
        <v>2468</v>
      </c>
      <c r="G206" s="257" t="s">
        <v>636</v>
      </c>
      <c r="H206" s="257" t="s">
        <v>2468</v>
      </c>
      <c r="I206" s="282" t="s">
        <v>637</v>
      </c>
      <c r="J206" s="259" t="s">
        <v>638</v>
      </c>
      <c r="K206" s="259" t="s">
        <v>638</v>
      </c>
      <c r="L206" s="203"/>
      <c r="M206" s="194"/>
    </row>
    <row r="207" spans="1:13">
      <c r="B207" s="211"/>
      <c r="C207" s="197" t="s">
        <v>1158</v>
      </c>
      <c r="D207" s="198">
        <v>100002</v>
      </c>
      <c r="E207" s="198" t="s">
        <v>1211</v>
      </c>
      <c r="F207" s="195">
        <v>-900000</v>
      </c>
      <c r="G207" s="199"/>
      <c r="H207" s="199">
        <v>-900000</v>
      </c>
      <c r="I207" s="195">
        <v>1</v>
      </c>
      <c r="J207" s="201">
        <v>-900000</v>
      </c>
      <c r="K207" s="206">
        <v>-900000</v>
      </c>
      <c r="L207" s="203"/>
      <c r="M207" s="194" t="s">
        <v>365</v>
      </c>
    </row>
    <row r="208" spans="1:13">
      <c r="B208" s="211"/>
      <c r="C208" s="197" t="s">
        <v>1164</v>
      </c>
      <c r="D208" s="198">
        <v>100002</v>
      </c>
      <c r="E208" s="198" t="s">
        <v>1212</v>
      </c>
      <c r="F208" s="195">
        <v>-180000000</v>
      </c>
      <c r="G208" s="199"/>
      <c r="H208" s="199">
        <v>-180000000</v>
      </c>
      <c r="I208" s="195">
        <v>1</v>
      </c>
      <c r="J208" s="201">
        <v>-180000000</v>
      </c>
      <c r="K208" s="206">
        <v>-180000000</v>
      </c>
      <c r="L208" s="203"/>
      <c r="M208" s="194" t="s">
        <v>374</v>
      </c>
    </row>
    <row r="209" spans="2:13">
      <c r="B209" s="211"/>
      <c r="C209" s="197" t="s">
        <v>1166</v>
      </c>
      <c r="D209" s="198">
        <v>100002</v>
      </c>
      <c r="E209" s="198" t="s">
        <v>1213</v>
      </c>
      <c r="F209" s="195">
        <v>-19479468</v>
      </c>
      <c r="G209" s="199"/>
      <c r="H209" s="199">
        <v>-19479468</v>
      </c>
      <c r="I209" s="195">
        <v>1</v>
      </c>
      <c r="J209" s="201">
        <v>-19479468</v>
      </c>
      <c r="K209" s="206">
        <v>-9867390</v>
      </c>
      <c r="L209" s="203"/>
      <c r="M209" s="194" t="s">
        <v>376</v>
      </c>
    </row>
    <row r="210" spans="2:13">
      <c r="B210" s="211"/>
      <c r="C210" s="197" t="s">
        <v>1214</v>
      </c>
      <c r="D210" s="198">
        <v>100002</v>
      </c>
      <c r="E210" s="198" t="s">
        <v>1215</v>
      </c>
      <c r="F210" s="195">
        <v>-453033576.29999983</v>
      </c>
      <c r="G210" s="199"/>
      <c r="H210" s="199">
        <v>-453033576.29999983</v>
      </c>
      <c r="I210" s="195">
        <v>1</v>
      </c>
      <c r="J210" s="201">
        <v>-453033576.29999983</v>
      </c>
      <c r="K210" s="206">
        <v>-426101905.86999995</v>
      </c>
      <c r="L210" s="203"/>
      <c r="M210" s="194" t="s">
        <v>380</v>
      </c>
    </row>
    <row r="211" spans="2:13">
      <c r="B211" s="211"/>
      <c r="C211" s="197" t="s">
        <v>1216</v>
      </c>
      <c r="D211" s="198">
        <v>100002</v>
      </c>
      <c r="E211" s="198" t="s">
        <v>1217</v>
      </c>
      <c r="F211" s="195">
        <v>-22350429.48</v>
      </c>
      <c r="G211" s="199"/>
      <c r="H211" s="199">
        <v>-22350429.48</v>
      </c>
      <c r="I211" s="195">
        <v>1</v>
      </c>
      <c r="J211" s="201">
        <v>-22350429.48</v>
      </c>
      <c r="K211" s="206">
        <v>-20367559</v>
      </c>
      <c r="L211" s="203"/>
      <c r="M211" s="194" t="s">
        <v>394</v>
      </c>
    </row>
    <row r="212" spans="2:13">
      <c r="B212" s="211"/>
      <c r="C212" s="197" t="s">
        <v>1218</v>
      </c>
      <c r="D212" s="198">
        <v>100002</v>
      </c>
      <c r="E212" s="198" t="s">
        <v>1219</v>
      </c>
      <c r="F212" s="195"/>
      <c r="G212" s="199"/>
      <c r="H212" s="199">
        <v>0</v>
      </c>
      <c r="I212" s="195">
        <v>1</v>
      </c>
      <c r="J212" s="201">
        <v>0</v>
      </c>
      <c r="K212" s="206"/>
      <c r="L212" s="203"/>
      <c r="M212" s="194" t="s">
        <v>401</v>
      </c>
    </row>
    <row r="213" spans="2:13">
      <c r="B213" s="211"/>
      <c r="C213" s="197" t="s">
        <v>1220</v>
      </c>
      <c r="D213" s="198">
        <v>100002</v>
      </c>
      <c r="E213" s="198" t="s">
        <v>1221</v>
      </c>
      <c r="F213" s="195"/>
      <c r="G213" s="199"/>
      <c r="H213" s="199">
        <v>0</v>
      </c>
      <c r="I213" s="195">
        <v>1</v>
      </c>
      <c r="J213" s="201">
        <v>0</v>
      </c>
      <c r="K213" s="206"/>
      <c r="L213" s="203"/>
      <c r="M213" s="194" t="s">
        <v>1222</v>
      </c>
    </row>
    <row r="214" spans="2:13">
      <c r="B214" s="211"/>
      <c r="C214" s="197" t="s">
        <v>1223</v>
      </c>
      <c r="D214" s="198">
        <v>100002</v>
      </c>
      <c r="E214" s="198" t="s">
        <v>1224</v>
      </c>
      <c r="F214" s="195">
        <v>-111860145.81999999</v>
      </c>
      <c r="G214" s="199"/>
      <c r="H214" s="199">
        <v>-111860145.81999999</v>
      </c>
      <c r="I214" s="195">
        <v>1</v>
      </c>
      <c r="J214" s="201">
        <v>-111860145.81999999</v>
      </c>
      <c r="K214" s="206">
        <v>-113537435</v>
      </c>
      <c r="L214" s="203"/>
      <c r="M214" s="194" t="s">
        <v>410</v>
      </c>
    </row>
    <row r="215" spans="2:13">
      <c r="B215" s="211"/>
      <c r="C215" s="197" t="s">
        <v>1225</v>
      </c>
      <c r="D215" s="198">
        <v>100002</v>
      </c>
      <c r="E215" s="198" t="s">
        <v>1226</v>
      </c>
      <c r="F215" s="195">
        <v>-29525807</v>
      </c>
      <c r="G215" s="199"/>
      <c r="H215" s="199">
        <v>-29525807</v>
      </c>
      <c r="I215" s="195">
        <v>1</v>
      </c>
      <c r="J215" s="201">
        <v>-29525807</v>
      </c>
      <c r="K215" s="206">
        <v>-31572127</v>
      </c>
      <c r="L215" s="203"/>
      <c r="M215" s="194" t="s">
        <v>408</v>
      </c>
    </row>
    <row r="216" spans="2:13">
      <c r="B216" s="211"/>
      <c r="C216" s="197" t="s">
        <v>1227</v>
      </c>
      <c r="D216" s="198">
        <v>100002</v>
      </c>
      <c r="E216" s="198" t="s">
        <v>1228</v>
      </c>
      <c r="F216" s="195">
        <v>-22374342.619999997</v>
      </c>
      <c r="G216" s="199"/>
      <c r="H216" s="199">
        <v>-22374342.619999997</v>
      </c>
      <c r="I216" s="195">
        <v>1</v>
      </c>
      <c r="J216" s="201">
        <v>-22374342.619999997</v>
      </c>
      <c r="K216" s="206">
        <v>-25797424.519999996</v>
      </c>
      <c r="L216" s="203"/>
      <c r="M216" s="194" t="s">
        <v>409</v>
      </c>
    </row>
    <row r="217" spans="2:13">
      <c r="B217" s="211"/>
      <c r="C217" s="197" t="s">
        <v>1229</v>
      </c>
      <c r="D217" s="198">
        <v>100002</v>
      </c>
      <c r="E217" s="198" t="s">
        <v>1230</v>
      </c>
      <c r="F217" s="195">
        <v>-16280965.699999997</v>
      </c>
      <c r="G217" s="199"/>
      <c r="H217" s="199">
        <v>-16280965.699999997</v>
      </c>
      <c r="I217" s="195">
        <v>1</v>
      </c>
      <c r="J217" s="201">
        <v>-16280965.699999997</v>
      </c>
      <c r="K217" s="206">
        <v>-14567420.309999997</v>
      </c>
      <c r="L217" s="203"/>
      <c r="M217" s="194" t="s">
        <v>419</v>
      </c>
    </row>
    <row r="218" spans="2:13">
      <c r="B218" s="211"/>
      <c r="C218" s="197" t="s">
        <v>1231</v>
      </c>
      <c r="D218" s="198">
        <v>100002</v>
      </c>
      <c r="E218" s="198" t="s">
        <v>1232</v>
      </c>
      <c r="F218" s="195">
        <v>-6242717.3099999996</v>
      </c>
      <c r="G218" s="199"/>
      <c r="H218" s="199">
        <v>-6242717.3099999996</v>
      </c>
      <c r="I218" s="195">
        <v>1</v>
      </c>
      <c r="J218" s="201">
        <v>-6242717.3099999996</v>
      </c>
      <c r="K218" s="206">
        <v>-6580717.3099999996</v>
      </c>
      <c r="L218" s="203"/>
      <c r="M218" s="194" t="s">
        <v>418</v>
      </c>
    </row>
    <row r="219" spans="2:13">
      <c r="B219" s="211"/>
      <c r="C219" s="197" t="s">
        <v>1233</v>
      </c>
      <c r="D219" s="198">
        <v>100002</v>
      </c>
      <c r="E219" s="198" t="s">
        <v>1234</v>
      </c>
      <c r="F219" s="195">
        <v>-21293675.149999999</v>
      </c>
      <c r="G219" s="199"/>
      <c r="H219" s="199">
        <v>-21293675.149999999</v>
      </c>
      <c r="I219" s="195">
        <v>1</v>
      </c>
      <c r="J219" s="201">
        <v>-21293675.149999999</v>
      </c>
      <c r="K219" s="206">
        <v>-23875741.73</v>
      </c>
      <c r="L219" s="203"/>
      <c r="M219" s="194" t="s">
        <v>421</v>
      </c>
    </row>
    <row r="220" spans="2:13">
      <c r="B220" s="211"/>
      <c r="C220" s="197" t="s">
        <v>1235</v>
      </c>
      <c r="D220" s="198">
        <v>100002</v>
      </c>
      <c r="E220" s="198" t="s">
        <v>1236</v>
      </c>
      <c r="F220" s="195">
        <v>-1076425.3</v>
      </c>
      <c r="G220" s="199"/>
      <c r="H220" s="199">
        <v>-1076425.3</v>
      </c>
      <c r="I220" s="195">
        <v>1</v>
      </c>
      <c r="J220" s="201">
        <v>-1076425.3</v>
      </c>
      <c r="K220" s="206">
        <v>-1758833.3</v>
      </c>
      <c r="L220" s="203"/>
      <c r="M220" s="194" t="s">
        <v>424</v>
      </c>
    </row>
    <row r="221" spans="2:13">
      <c r="B221" s="211"/>
      <c r="C221" s="197" t="s">
        <v>1237</v>
      </c>
      <c r="D221" s="198">
        <v>100002</v>
      </c>
      <c r="E221" s="198" t="s">
        <v>1238</v>
      </c>
      <c r="F221" s="195">
        <v>-10910022.57</v>
      </c>
      <c r="G221" s="199"/>
      <c r="H221" s="199">
        <v>-10910022.57</v>
      </c>
      <c r="I221" s="195">
        <v>1</v>
      </c>
      <c r="J221" s="201">
        <v>-10910022.57</v>
      </c>
      <c r="K221" s="206">
        <v>-11538747.57</v>
      </c>
      <c r="L221" s="203"/>
      <c r="M221" s="194" t="s">
        <v>425</v>
      </c>
    </row>
    <row r="222" spans="2:13">
      <c r="B222" s="211"/>
      <c r="C222" s="197" t="s">
        <v>1239</v>
      </c>
      <c r="D222" s="198">
        <v>100002</v>
      </c>
      <c r="E222" s="198" t="s">
        <v>1240</v>
      </c>
      <c r="F222" s="195">
        <v>-20926096.98</v>
      </c>
      <c r="G222" s="199"/>
      <c r="H222" s="199">
        <v>-20926096.98</v>
      </c>
      <c r="I222" s="195">
        <v>1</v>
      </c>
      <c r="J222" s="201">
        <v>-20926096.98</v>
      </c>
      <c r="K222" s="206">
        <v>-22976427</v>
      </c>
      <c r="L222" s="203"/>
      <c r="M222" s="194" t="s">
        <v>426</v>
      </c>
    </row>
    <row r="223" spans="2:13">
      <c r="B223" s="211"/>
      <c r="C223" s="197" t="s">
        <v>1241</v>
      </c>
      <c r="D223" s="198">
        <v>100002</v>
      </c>
      <c r="E223" s="198" t="s">
        <v>1242</v>
      </c>
      <c r="F223" s="195"/>
      <c r="G223" s="199"/>
      <c r="H223" s="199">
        <v>0</v>
      </c>
      <c r="I223" s="195">
        <v>1</v>
      </c>
      <c r="J223" s="201">
        <v>0</v>
      </c>
      <c r="K223" s="206"/>
      <c r="L223" s="203"/>
      <c r="M223" s="194" t="s">
        <v>428</v>
      </c>
    </row>
    <row r="224" spans="2:13">
      <c r="B224" s="211"/>
      <c r="C224" s="197" t="s">
        <v>2797</v>
      </c>
      <c r="D224" s="198">
        <v>100002</v>
      </c>
      <c r="E224" s="198" t="s">
        <v>1243</v>
      </c>
      <c r="F224" s="195">
        <v>0</v>
      </c>
      <c r="G224" s="199"/>
      <c r="H224" s="199">
        <v>0</v>
      </c>
      <c r="I224" s="195">
        <v>1</v>
      </c>
      <c r="J224" s="201">
        <v>0</v>
      </c>
      <c r="K224" s="206">
        <v>0</v>
      </c>
      <c r="L224" s="203"/>
      <c r="M224" s="194" t="s">
        <v>429</v>
      </c>
    </row>
    <row r="225" spans="2:13">
      <c r="B225" s="211"/>
      <c r="C225" s="197" t="s">
        <v>1244</v>
      </c>
      <c r="D225" s="198">
        <v>100002</v>
      </c>
      <c r="E225" s="198" t="s">
        <v>1236</v>
      </c>
      <c r="F225" s="195">
        <v>-13703905.199999999</v>
      </c>
      <c r="G225" s="199"/>
      <c r="H225" s="199">
        <v>-13703905.199999999</v>
      </c>
      <c r="I225" s="195">
        <v>1</v>
      </c>
      <c r="J225" s="201">
        <v>-13703905.199999999</v>
      </c>
      <c r="K225" s="206">
        <v>-11137418.789999999</v>
      </c>
      <c r="L225" s="203"/>
      <c r="M225" s="194" t="s">
        <v>424</v>
      </c>
    </row>
    <row r="226" spans="2:13">
      <c r="B226" s="211"/>
      <c r="C226" s="197" t="s">
        <v>1245</v>
      </c>
      <c r="D226" s="198">
        <v>100002</v>
      </c>
      <c r="E226" s="198" t="s">
        <v>1246</v>
      </c>
      <c r="F226" s="195"/>
      <c r="G226" s="199"/>
      <c r="H226" s="199">
        <v>0</v>
      </c>
      <c r="I226" s="195">
        <v>1</v>
      </c>
      <c r="J226" s="201">
        <v>0</v>
      </c>
      <c r="K226" s="206"/>
      <c r="L226" s="203"/>
      <c r="M226" s="194" t="s">
        <v>432</v>
      </c>
    </row>
    <row r="227" spans="2:13">
      <c r="B227" s="211"/>
      <c r="C227" s="197" t="s">
        <v>1247</v>
      </c>
      <c r="D227" s="198">
        <v>100002</v>
      </c>
      <c r="E227" s="198" t="s">
        <v>1248</v>
      </c>
      <c r="F227" s="195">
        <v>2912490.69</v>
      </c>
      <c r="G227" s="199"/>
      <c r="H227" s="199">
        <v>2912490.69</v>
      </c>
      <c r="I227" s="195">
        <v>1</v>
      </c>
      <c r="J227" s="201">
        <v>2912490.69</v>
      </c>
      <c r="K227" s="206">
        <v>2738138.59</v>
      </c>
      <c r="L227" s="203"/>
      <c r="M227" s="194" t="s">
        <v>359</v>
      </c>
    </row>
    <row r="228" spans="2:13">
      <c r="B228" s="211"/>
      <c r="C228" s="197" t="s">
        <v>1249</v>
      </c>
      <c r="D228" s="198">
        <v>100002</v>
      </c>
      <c r="E228" s="198" t="s">
        <v>1248</v>
      </c>
      <c r="F228" s="195">
        <v>15323224.129999999</v>
      </c>
      <c r="G228" s="199"/>
      <c r="H228" s="199">
        <v>15323224.129999999</v>
      </c>
      <c r="I228" s="195">
        <v>1</v>
      </c>
      <c r="J228" s="201">
        <v>15323224.129999999</v>
      </c>
      <c r="K228" s="206">
        <v>35510862.350000001</v>
      </c>
      <c r="L228" s="203"/>
      <c r="M228" s="194" t="s">
        <v>359</v>
      </c>
    </row>
    <row r="229" spans="2:13">
      <c r="B229" s="211"/>
      <c r="C229" s="197" t="s">
        <v>1250</v>
      </c>
      <c r="D229" s="198">
        <v>100002</v>
      </c>
      <c r="E229" s="198" t="s">
        <v>1248</v>
      </c>
      <c r="F229" s="195">
        <v>67441</v>
      </c>
      <c r="G229" s="199"/>
      <c r="H229" s="199">
        <v>67441</v>
      </c>
      <c r="I229" s="195">
        <v>1</v>
      </c>
      <c r="J229" s="201">
        <v>67441</v>
      </c>
      <c r="K229" s="206">
        <v>93315.65</v>
      </c>
      <c r="L229" s="203"/>
      <c r="M229" s="194" t="s">
        <v>359</v>
      </c>
    </row>
    <row r="230" spans="2:13">
      <c r="B230" s="211"/>
      <c r="C230" s="197" t="s">
        <v>1251</v>
      </c>
      <c r="D230" s="198">
        <v>100002</v>
      </c>
      <c r="E230" s="198" t="s">
        <v>1252</v>
      </c>
      <c r="F230" s="195"/>
      <c r="G230" s="199"/>
      <c r="H230" s="199">
        <v>0</v>
      </c>
      <c r="I230" s="195">
        <v>1</v>
      </c>
      <c r="J230" s="201">
        <v>0</v>
      </c>
      <c r="K230" s="206"/>
      <c r="L230" s="203"/>
      <c r="M230" s="194" t="s">
        <v>445</v>
      </c>
    </row>
    <row r="231" spans="2:13">
      <c r="B231" s="211"/>
      <c r="C231" s="197" t="s">
        <v>1253</v>
      </c>
      <c r="D231" s="198">
        <v>100002</v>
      </c>
      <c r="E231" s="198" t="s">
        <v>1254</v>
      </c>
      <c r="F231" s="195">
        <v>3984502</v>
      </c>
      <c r="G231" s="199"/>
      <c r="H231" s="199">
        <v>3984502</v>
      </c>
      <c r="I231" s="195">
        <v>1</v>
      </c>
      <c r="J231" s="201">
        <v>3984502</v>
      </c>
      <c r="K231" s="206">
        <v>2700830</v>
      </c>
      <c r="L231" s="203"/>
      <c r="M231" s="194" t="s">
        <v>449</v>
      </c>
    </row>
    <row r="232" spans="2:13">
      <c r="B232" s="211"/>
      <c r="C232" s="197" t="s">
        <v>1255</v>
      </c>
      <c r="D232" s="198">
        <v>100002</v>
      </c>
      <c r="E232" s="198" t="s">
        <v>1256</v>
      </c>
      <c r="F232" s="195">
        <v>1702348.9540603531</v>
      </c>
      <c r="G232" s="199"/>
      <c r="H232" s="199">
        <v>1702348.9540603531</v>
      </c>
      <c r="I232" s="195">
        <v>1</v>
      </c>
      <c r="J232" s="201">
        <v>1702348.9540603531</v>
      </c>
      <c r="K232" s="206">
        <v>1577598.7460901584</v>
      </c>
      <c r="L232" s="203"/>
      <c r="M232" s="194" t="s">
        <v>459</v>
      </c>
    </row>
    <row r="233" spans="2:13">
      <c r="B233" s="211"/>
      <c r="C233" s="197" t="s">
        <v>1257</v>
      </c>
      <c r="D233" s="198">
        <v>100002</v>
      </c>
      <c r="E233" s="198" t="s">
        <v>1258</v>
      </c>
      <c r="F233" s="195">
        <v>59629409.619999997</v>
      </c>
      <c r="G233" s="199"/>
      <c r="H233" s="199">
        <v>59629409.619999997</v>
      </c>
      <c r="I233" s="195">
        <v>1</v>
      </c>
      <c r="J233" s="201">
        <v>59629409.619999997</v>
      </c>
      <c r="K233" s="206">
        <v>40185718</v>
      </c>
      <c r="L233" s="203"/>
      <c r="M233" s="194" t="s">
        <v>476</v>
      </c>
    </row>
    <row r="234" spans="2:13">
      <c r="B234" s="211"/>
      <c r="C234" s="197" t="s">
        <v>1259</v>
      </c>
      <c r="D234" s="198">
        <v>100002</v>
      </c>
      <c r="E234" s="198" t="s">
        <v>1260</v>
      </c>
      <c r="F234" s="195">
        <v>11192286</v>
      </c>
      <c r="G234" s="199"/>
      <c r="H234" s="199">
        <v>11192286</v>
      </c>
      <c r="I234" s="195">
        <v>1</v>
      </c>
      <c r="J234" s="201">
        <v>11192286</v>
      </c>
      <c r="K234" s="206">
        <v>7130057</v>
      </c>
      <c r="L234" s="203"/>
      <c r="M234" s="194" t="s">
        <v>477</v>
      </c>
    </row>
    <row r="235" spans="2:13">
      <c r="B235" s="211"/>
      <c r="C235" s="197" t="s">
        <v>1261</v>
      </c>
      <c r="D235" s="198">
        <v>100002</v>
      </c>
      <c r="E235" s="198" t="s">
        <v>1262</v>
      </c>
      <c r="F235" s="195">
        <v>4792414</v>
      </c>
      <c r="G235" s="199"/>
      <c r="H235" s="199">
        <v>4792414</v>
      </c>
      <c r="I235" s="195">
        <v>1</v>
      </c>
      <c r="J235" s="201">
        <v>4792414</v>
      </c>
      <c r="K235" s="206">
        <v>3296396</v>
      </c>
      <c r="L235" s="203"/>
      <c r="M235" s="194" t="s">
        <v>478</v>
      </c>
    </row>
    <row r="236" spans="2:13">
      <c r="B236" s="211"/>
      <c r="C236" s="197" t="s">
        <v>1263</v>
      </c>
      <c r="D236" s="198">
        <v>100002</v>
      </c>
      <c r="E236" s="198" t="s">
        <v>1264</v>
      </c>
      <c r="F236" s="195">
        <v>52202494</v>
      </c>
      <c r="G236" s="199"/>
      <c r="H236" s="199">
        <v>52202494</v>
      </c>
      <c r="I236" s="195">
        <v>1</v>
      </c>
      <c r="J236" s="201">
        <v>52202494</v>
      </c>
      <c r="K236" s="206">
        <v>54206028</v>
      </c>
      <c r="L236" s="203"/>
      <c r="M236" s="194" t="s">
        <v>479</v>
      </c>
    </row>
    <row r="237" spans="2:13">
      <c r="B237" s="211"/>
      <c r="C237" s="197" t="s">
        <v>1265</v>
      </c>
      <c r="D237" s="198">
        <v>100002</v>
      </c>
      <c r="E237" s="198" t="s">
        <v>1266</v>
      </c>
      <c r="F237" s="195">
        <v>290946.20999999996</v>
      </c>
      <c r="G237" s="199"/>
      <c r="H237" s="199">
        <v>290946.20999999996</v>
      </c>
      <c r="I237" s="195">
        <v>1</v>
      </c>
      <c r="J237" s="201">
        <v>290946.20999999996</v>
      </c>
      <c r="K237" s="206">
        <v>236648.20999999996</v>
      </c>
      <c r="L237" s="203"/>
      <c r="M237" s="194" t="s">
        <v>480</v>
      </c>
    </row>
    <row r="238" spans="2:13">
      <c r="B238" s="211"/>
      <c r="C238" s="197" t="s">
        <v>1267</v>
      </c>
      <c r="D238" s="198">
        <v>100002</v>
      </c>
      <c r="E238" s="198" t="s">
        <v>1268</v>
      </c>
      <c r="F238" s="195">
        <v>2082283.6</v>
      </c>
      <c r="G238" s="199"/>
      <c r="H238" s="199">
        <v>2082283.6</v>
      </c>
      <c r="I238" s="195">
        <v>1</v>
      </c>
      <c r="J238" s="201">
        <v>2082283.6</v>
      </c>
      <c r="K238" s="206">
        <v>2088185</v>
      </c>
      <c r="L238" s="203"/>
      <c r="M238" s="194" t="s">
        <v>481</v>
      </c>
    </row>
    <row r="239" spans="2:13">
      <c r="B239" s="211"/>
      <c r="C239" s="197" t="s">
        <v>1269</v>
      </c>
      <c r="D239" s="198">
        <v>100002</v>
      </c>
      <c r="E239" s="198" t="s">
        <v>1270</v>
      </c>
      <c r="F239" s="195">
        <v>757133.73</v>
      </c>
      <c r="G239" s="199"/>
      <c r="H239" s="199">
        <v>757133.73</v>
      </c>
      <c r="I239" s="195">
        <v>1</v>
      </c>
      <c r="J239" s="201">
        <v>757133.73</v>
      </c>
      <c r="K239" s="206">
        <v>644555.73</v>
      </c>
      <c r="L239" s="203"/>
      <c r="M239" s="194" t="s">
        <v>482</v>
      </c>
    </row>
    <row r="240" spans="2:13">
      <c r="B240" s="211"/>
      <c r="C240" s="197" t="s">
        <v>1271</v>
      </c>
      <c r="D240" s="198">
        <v>100002</v>
      </c>
      <c r="E240" s="198" t="s">
        <v>1272</v>
      </c>
      <c r="F240" s="195">
        <v>15450724.23</v>
      </c>
      <c r="G240" s="199"/>
      <c r="H240" s="199">
        <v>15450724.23</v>
      </c>
      <c r="I240" s="195">
        <v>1</v>
      </c>
      <c r="J240" s="201">
        <v>15450724.23</v>
      </c>
      <c r="K240" s="206">
        <v>16792315.610000003</v>
      </c>
      <c r="L240" s="203"/>
      <c r="M240" s="194" t="s">
        <v>488</v>
      </c>
    </row>
    <row r="241" spans="2:13">
      <c r="B241" s="211"/>
      <c r="C241" s="197" t="s">
        <v>1273</v>
      </c>
      <c r="D241" s="198">
        <v>100002</v>
      </c>
      <c r="E241" s="198" t="s">
        <v>1274</v>
      </c>
      <c r="F241" s="195">
        <v>164397591.30000001</v>
      </c>
      <c r="G241" s="199"/>
      <c r="H241" s="199">
        <v>164397591.30000001</v>
      </c>
      <c r="I241" s="195">
        <v>1</v>
      </c>
      <c r="J241" s="201">
        <v>164397591.30000001</v>
      </c>
      <c r="K241" s="206">
        <v>151822355.91</v>
      </c>
      <c r="L241" s="203"/>
      <c r="M241" s="194" t="s">
        <v>484</v>
      </c>
    </row>
    <row r="242" spans="2:13">
      <c r="B242" s="211"/>
      <c r="C242" s="197" t="s">
        <v>1275</v>
      </c>
      <c r="D242" s="198">
        <v>100002</v>
      </c>
      <c r="E242" s="198" t="s">
        <v>1276</v>
      </c>
      <c r="F242" s="195">
        <v>89707378.120000005</v>
      </c>
      <c r="G242" s="199"/>
      <c r="H242" s="199">
        <v>89707378.120000005</v>
      </c>
      <c r="I242" s="195">
        <v>1</v>
      </c>
      <c r="J242" s="201">
        <v>89707378.120000005</v>
      </c>
      <c r="K242" s="206">
        <v>78986773.689999998</v>
      </c>
      <c r="L242" s="203"/>
      <c r="M242" s="194" t="s">
        <v>496</v>
      </c>
    </row>
    <row r="243" spans="2:13">
      <c r="B243" s="211"/>
      <c r="C243" s="197" t="s">
        <v>1277</v>
      </c>
      <c r="D243" s="198">
        <v>100002</v>
      </c>
      <c r="E243" s="198" t="s">
        <v>1278</v>
      </c>
      <c r="F243" s="195">
        <v>131231594.98</v>
      </c>
      <c r="G243" s="199"/>
      <c r="H243" s="199">
        <v>131231594.98</v>
      </c>
      <c r="I243" s="195">
        <v>1</v>
      </c>
      <c r="J243" s="201">
        <v>131231594.98</v>
      </c>
      <c r="K243" s="206">
        <v>315531274.98000002</v>
      </c>
      <c r="L243" s="203"/>
      <c r="M243" s="194" t="s">
        <v>497</v>
      </c>
    </row>
    <row r="244" spans="2:13">
      <c r="B244" s="211"/>
      <c r="C244" s="197" t="s">
        <v>1279</v>
      </c>
      <c r="D244" s="198">
        <v>100002</v>
      </c>
      <c r="E244" s="198" t="s">
        <v>1280</v>
      </c>
      <c r="F244" s="195"/>
      <c r="G244" s="199"/>
      <c r="H244" s="199">
        <v>0</v>
      </c>
      <c r="I244" s="195">
        <v>1</v>
      </c>
      <c r="J244" s="201">
        <v>0</v>
      </c>
      <c r="K244" s="206"/>
      <c r="L244" s="203"/>
      <c r="M244" s="194" t="s">
        <v>498</v>
      </c>
    </row>
    <row r="245" spans="2:13">
      <c r="B245" s="211"/>
      <c r="C245" s="197" t="s">
        <v>1281</v>
      </c>
      <c r="D245" s="198">
        <v>100002</v>
      </c>
      <c r="E245" s="198" t="s">
        <v>1282</v>
      </c>
      <c r="F245" s="195">
        <v>183356</v>
      </c>
      <c r="G245" s="199"/>
      <c r="H245" s="199">
        <v>183356</v>
      </c>
      <c r="I245" s="195">
        <v>1</v>
      </c>
      <c r="J245" s="201">
        <v>183356</v>
      </c>
      <c r="K245" s="206">
        <v>129821.1</v>
      </c>
      <c r="L245" s="203"/>
      <c r="M245" s="194" t="s">
        <v>494</v>
      </c>
    </row>
    <row r="246" spans="2:13">
      <c r="B246" s="211"/>
      <c r="C246" s="197" t="s">
        <v>1283</v>
      </c>
      <c r="D246" s="198">
        <v>100002</v>
      </c>
      <c r="E246" s="198" t="s">
        <v>1284</v>
      </c>
      <c r="F246" s="195">
        <v>14619054.699999999</v>
      </c>
      <c r="G246" s="199"/>
      <c r="H246" s="199">
        <v>14619054.699999999</v>
      </c>
      <c r="I246" s="195">
        <v>1</v>
      </c>
      <c r="J246" s="201">
        <v>14619054.699999999</v>
      </c>
      <c r="K246" s="206">
        <v>11366134.43</v>
      </c>
      <c r="L246" s="203"/>
      <c r="M246" s="194" t="s">
        <v>514</v>
      </c>
    </row>
    <row r="247" spans="2:13">
      <c r="B247" s="211"/>
      <c r="C247" s="197" t="s">
        <v>1285</v>
      </c>
      <c r="D247" s="198">
        <v>100002</v>
      </c>
      <c r="E247" s="198" t="s">
        <v>1286</v>
      </c>
      <c r="F247" s="195">
        <v>3215468.445939647</v>
      </c>
      <c r="G247" s="199"/>
      <c r="H247" s="199">
        <v>3215468.445939647</v>
      </c>
      <c r="I247" s="195">
        <v>1</v>
      </c>
      <c r="J247" s="201">
        <v>3215468.445939647</v>
      </c>
      <c r="K247" s="206">
        <v>3010757.2939098417</v>
      </c>
      <c r="L247" s="203"/>
      <c r="M247" s="194" t="s">
        <v>508</v>
      </c>
    </row>
    <row r="248" spans="2:13">
      <c r="B248" s="211"/>
      <c r="C248" s="197" t="s">
        <v>1287</v>
      </c>
      <c r="D248" s="198">
        <v>100002</v>
      </c>
      <c r="E248" s="198" t="s">
        <v>1288</v>
      </c>
      <c r="F248" s="195">
        <v>198151850</v>
      </c>
      <c r="G248" s="199"/>
      <c r="H248" s="199">
        <v>198151850</v>
      </c>
      <c r="I248" s="195">
        <v>1</v>
      </c>
      <c r="J248" s="201">
        <v>198151850</v>
      </c>
      <c r="K248" s="206">
        <v>58151850</v>
      </c>
      <c r="L248" s="203"/>
      <c r="M248" s="194" t="s">
        <v>506</v>
      </c>
    </row>
    <row r="249" spans="2:13">
      <c r="B249" s="211"/>
      <c r="C249" s="197" t="s">
        <v>1289</v>
      </c>
      <c r="D249" s="198">
        <v>100002</v>
      </c>
      <c r="E249" s="198" t="s">
        <v>1290</v>
      </c>
      <c r="F249" s="195">
        <v>0</v>
      </c>
      <c r="G249" s="199"/>
      <c r="H249" s="199">
        <v>0</v>
      </c>
      <c r="I249" s="195">
        <v>1</v>
      </c>
      <c r="J249" s="201">
        <v>0</v>
      </c>
      <c r="K249" s="206">
        <v>732945.42</v>
      </c>
      <c r="L249" s="203"/>
      <c r="M249" s="194" t="s">
        <v>511</v>
      </c>
    </row>
    <row r="250" spans="2:13">
      <c r="B250" s="211"/>
      <c r="C250" s="197" t="s">
        <v>1291</v>
      </c>
      <c r="D250" s="198">
        <v>100002</v>
      </c>
      <c r="E250" s="198" t="s">
        <v>1290</v>
      </c>
      <c r="F250" s="195">
        <v>649272.04999999993</v>
      </c>
      <c r="G250" s="199"/>
      <c r="H250" s="199">
        <v>649272.04999999993</v>
      </c>
      <c r="I250" s="195">
        <v>1</v>
      </c>
      <c r="J250" s="201">
        <v>649272.04999999993</v>
      </c>
      <c r="K250" s="206">
        <v>745769.88</v>
      </c>
      <c r="L250" s="203"/>
      <c r="M250" s="194" t="s">
        <v>511</v>
      </c>
    </row>
    <row r="251" spans="2:13">
      <c r="B251" s="211"/>
      <c r="C251" s="197" t="s">
        <v>1292</v>
      </c>
      <c r="D251" s="198">
        <v>100002</v>
      </c>
      <c r="E251" s="198" t="s">
        <v>1293</v>
      </c>
      <c r="F251" s="195">
        <v>12598714.720000001</v>
      </c>
      <c r="G251" s="199"/>
      <c r="H251" s="199">
        <v>12598714.720000001</v>
      </c>
      <c r="I251" s="195">
        <v>1</v>
      </c>
      <c r="J251" s="201">
        <v>12598714.720000001</v>
      </c>
      <c r="K251" s="206">
        <v>15362780.4</v>
      </c>
      <c r="L251" s="203"/>
      <c r="M251" s="194" t="s">
        <v>526</v>
      </c>
    </row>
    <row r="252" spans="2:13">
      <c r="B252" s="211"/>
      <c r="C252" s="197" t="s">
        <v>1294</v>
      </c>
      <c r="D252" s="198">
        <v>100002</v>
      </c>
      <c r="E252" s="198" t="s">
        <v>1295</v>
      </c>
      <c r="F252" s="195">
        <v>18875.04</v>
      </c>
      <c r="G252" s="199"/>
      <c r="H252" s="199">
        <v>18875.04</v>
      </c>
      <c r="I252" s="195">
        <v>1</v>
      </c>
      <c r="J252" s="201">
        <v>18875.04</v>
      </c>
      <c r="K252" s="206">
        <v>1318714</v>
      </c>
      <c r="L252" s="203"/>
      <c r="M252" s="194" t="s">
        <v>525</v>
      </c>
    </row>
    <row r="253" spans="2:13">
      <c r="B253" s="211"/>
      <c r="C253" s="197" t="s">
        <v>1296</v>
      </c>
      <c r="D253" s="198">
        <v>100002</v>
      </c>
      <c r="E253" s="198" t="s">
        <v>1297</v>
      </c>
      <c r="F253" s="195">
        <v>26957758.020000007</v>
      </c>
      <c r="G253" s="199"/>
      <c r="H253" s="199">
        <v>26957758.020000007</v>
      </c>
      <c r="I253" s="195">
        <v>1</v>
      </c>
      <c r="J253" s="201">
        <v>26957758.020000007</v>
      </c>
      <c r="K253" s="206">
        <v>29755157.859999999</v>
      </c>
      <c r="L253" s="203"/>
      <c r="M253" s="194" t="s">
        <v>512</v>
      </c>
    </row>
    <row r="254" spans="2:13">
      <c r="B254" s="211"/>
      <c r="C254" s="197" t="s">
        <v>1298</v>
      </c>
      <c r="D254" s="198">
        <v>100002</v>
      </c>
      <c r="E254" s="198" t="s">
        <v>1299</v>
      </c>
      <c r="F254" s="195">
        <v>1953780.66</v>
      </c>
      <c r="G254" s="199"/>
      <c r="H254" s="199">
        <v>1953780.66</v>
      </c>
      <c r="I254" s="195">
        <v>1</v>
      </c>
      <c r="J254" s="201">
        <v>1953780.66</v>
      </c>
      <c r="K254" s="206">
        <v>397090.72</v>
      </c>
      <c r="L254" s="203"/>
      <c r="M254" s="194" t="s">
        <v>510</v>
      </c>
    </row>
    <row r="255" spans="2:13">
      <c r="B255" s="211"/>
      <c r="C255" s="197" t="s">
        <v>1300</v>
      </c>
      <c r="D255" s="198">
        <v>100002</v>
      </c>
      <c r="E255" s="198" t="s">
        <v>1301</v>
      </c>
      <c r="F255" s="195">
        <v>16791882.859999999</v>
      </c>
      <c r="G255" s="199"/>
      <c r="H255" s="199">
        <v>16791882.859999999</v>
      </c>
      <c r="I255" s="195">
        <v>1</v>
      </c>
      <c r="J255" s="201">
        <v>16791882.859999999</v>
      </c>
      <c r="K255" s="206">
        <v>14770530.859999999</v>
      </c>
      <c r="L255" s="203"/>
      <c r="M255" s="194" t="s">
        <v>515</v>
      </c>
    </row>
    <row r="256" spans="2:13">
      <c r="B256" s="211"/>
      <c r="C256" s="197" t="s">
        <v>1302</v>
      </c>
      <c r="D256" s="198">
        <v>100002</v>
      </c>
      <c r="E256" s="198" t="s">
        <v>1303</v>
      </c>
      <c r="F256" s="195">
        <v>0</v>
      </c>
      <c r="G256" s="199"/>
      <c r="H256" s="199">
        <v>0</v>
      </c>
      <c r="I256" s="195">
        <v>1</v>
      </c>
      <c r="J256" s="201">
        <v>0</v>
      </c>
      <c r="K256" s="206">
        <v>0</v>
      </c>
      <c r="L256" s="203"/>
      <c r="M256" s="194" t="s">
        <v>527</v>
      </c>
    </row>
    <row r="257" spans="2:13">
      <c r="B257" s="211"/>
      <c r="C257" s="197" t="s">
        <v>1304</v>
      </c>
      <c r="D257" s="198">
        <v>100002</v>
      </c>
      <c r="E257" s="198" t="s">
        <v>1305</v>
      </c>
      <c r="F257" s="195">
        <v>-1097462261.8599999</v>
      </c>
      <c r="G257" s="199"/>
      <c r="H257" s="199">
        <v>-1097462261.8599999</v>
      </c>
      <c r="I257" s="195">
        <v>1</v>
      </c>
      <c r="J257" s="201">
        <v>-1097462261.8599999</v>
      </c>
      <c r="K257" s="206">
        <v>-1386607812.6199999</v>
      </c>
      <c r="L257" s="203"/>
      <c r="M257" s="194" t="s">
        <v>528</v>
      </c>
    </row>
    <row r="258" spans="2:13">
      <c r="B258" s="211"/>
      <c r="C258" s="197" t="s">
        <v>1306</v>
      </c>
      <c r="D258" s="198">
        <v>100002</v>
      </c>
      <c r="E258" s="198" t="s">
        <v>1307</v>
      </c>
      <c r="F258" s="195">
        <v>-30306140.219999999</v>
      </c>
      <c r="G258" s="199"/>
      <c r="H258" s="199">
        <v>-30306140.219999999</v>
      </c>
      <c r="I258" s="195">
        <v>1</v>
      </c>
      <c r="J258" s="201">
        <v>-30306140.219999999</v>
      </c>
      <c r="K258" s="206">
        <v>-35318879</v>
      </c>
      <c r="L258" s="203"/>
      <c r="M258" s="194" t="s">
        <v>529</v>
      </c>
    </row>
    <row r="259" spans="2:13">
      <c r="B259" s="211"/>
      <c r="C259" s="197" t="s">
        <v>1308</v>
      </c>
      <c r="D259" s="198">
        <v>100002</v>
      </c>
      <c r="E259" s="198" t="s">
        <v>1309</v>
      </c>
      <c r="F259" s="195">
        <v>0</v>
      </c>
      <c r="G259" s="199"/>
      <c r="H259" s="199">
        <v>0</v>
      </c>
      <c r="I259" s="195">
        <v>1</v>
      </c>
      <c r="J259" s="201">
        <v>0</v>
      </c>
      <c r="K259" s="206">
        <v>0</v>
      </c>
      <c r="L259" s="203"/>
      <c r="M259" s="194" t="s">
        <v>539</v>
      </c>
    </row>
    <row r="260" spans="2:13">
      <c r="B260" s="211"/>
      <c r="C260" s="197" t="s">
        <v>1310</v>
      </c>
      <c r="D260" s="198">
        <v>100002</v>
      </c>
      <c r="E260" s="198" t="s">
        <v>1311</v>
      </c>
      <c r="F260" s="195">
        <v>-1439625</v>
      </c>
      <c r="G260" s="199"/>
      <c r="H260" s="199">
        <v>-1439625</v>
      </c>
      <c r="I260" s="195">
        <v>1</v>
      </c>
      <c r="J260" s="201">
        <v>-1439625</v>
      </c>
      <c r="K260" s="206">
        <v>-373297</v>
      </c>
      <c r="L260" s="203"/>
      <c r="M260" s="194" t="s">
        <v>530</v>
      </c>
    </row>
    <row r="261" spans="2:13">
      <c r="B261" s="211"/>
      <c r="C261" s="197" t="s">
        <v>1312</v>
      </c>
      <c r="D261" s="198">
        <v>100002</v>
      </c>
      <c r="E261" s="198" t="s">
        <v>1313</v>
      </c>
      <c r="F261" s="195">
        <v>72111827.219999999</v>
      </c>
      <c r="G261" s="199"/>
      <c r="H261" s="199">
        <v>72111827.219999999</v>
      </c>
      <c r="I261" s="195">
        <v>1</v>
      </c>
      <c r="J261" s="201">
        <v>72111827.219999999</v>
      </c>
      <c r="K261" s="206">
        <v>84285275.689999998</v>
      </c>
      <c r="L261" s="203"/>
      <c r="M261" s="194" t="s">
        <v>361</v>
      </c>
    </row>
    <row r="262" spans="2:13">
      <c r="B262" s="211"/>
      <c r="C262" s="197" t="s">
        <v>1314</v>
      </c>
      <c r="D262" s="198">
        <v>100002</v>
      </c>
      <c r="E262" s="198" t="s">
        <v>1315</v>
      </c>
      <c r="F262" s="195">
        <v>-22559317.690000001</v>
      </c>
      <c r="G262" s="199"/>
      <c r="H262" s="199">
        <v>-22559317.690000001</v>
      </c>
      <c r="I262" s="195">
        <v>1</v>
      </c>
      <c r="J262" s="201">
        <v>-22559317.690000001</v>
      </c>
      <c r="K262" s="206">
        <v>-27346805.690000001</v>
      </c>
      <c r="L262" s="203"/>
      <c r="M262" s="194" t="s">
        <v>532</v>
      </c>
    </row>
    <row r="263" spans="2:13">
      <c r="B263" s="211"/>
      <c r="C263" s="197" t="s">
        <v>1316</v>
      </c>
      <c r="D263" s="198">
        <v>100002</v>
      </c>
      <c r="E263" s="198" t="s">
        <v>1317</v>
      </c>
      <c r="F263" s="195">
        <v>-1541313.68</v>
      </c>
      <c r="G263" s="199"/>
      <c r="H263" s="199">
        <v>-1541313.68</v>
      </c>
      <c r="I263" s="195">
        <v>1</v>
      </c>
      <c r="J263" s="201">
        <v>-1541313.68</v>
      </c>
      <c r="K263" s="206">
        <v>-1053664.07</v>
      </c>
      <c r="L263" s="203"/>
      <c r="M263" s="194" t="s">
        <v>538</v>
      </c>
    </row>
    <row r="264" spans="2:13">
      <c r="B264" s="211"/>
      <c r="C264" s="197" t="s">
        <v>1318</v>
      </c>
      <c r="D264" s="198">
        <v>100002</v>
      </c>
      <c r="E264" s="198" t="s">
        <v>1319</v>
      </c>
      <c r="F264" s="195"/>
      <c r="G264" s="199"/>
      <c r="H264" s="199">
        <v>0</v>
      </c>
      <c r="I264" s="195">
        <v>1</v>
      </c>
      <c r="J264" s="201">
        <v>0</v>
      </c>
      <c r="K264" s="206"/>
      <c r="L264" s="203"/>
      <c r="M264" s="194" t="s">
        <v>531</v>
      </c>
    </row>
    <row r="265" spans="2:13">
      <c r="B265" s="211"/>
      <c r="C265" s="197" t="s">
        <v>1320</v>
      </c>
      <c r="D265" s="198">
        <v>100002</v>
      </c>
      <c r="E265" s="198" t="s">
        <v>1321</v>
      </c>
      <c r="F265" s="195">
        <v>490470330.38999999</v>
      </c>
      <c r="G265" s="199"/>
      <c r="H265" s="199">
        <v>490470330.38999999</v>
      </c>
      <c r="I265" s="195">
        <v>1</v>
      </c>
      <c r="J265" s="201">
        <v>490470330.38999999</v>
      </c>
      <c r="K265" s="206">
        <v>610823930.21999991</v>
      </c>
      <c r="L265" s="203"/>
      <c r="M265" s="194" t="s">
        <v>544</v>
      </c>
    </row>
    <row r="266" spans="2:13">
      <c r="B266" s="211"/>
      <c r="C266" s="197" t="s">
        <v>1257</v>
      </c>
      <c r="D266" s="198">
        <v>100002</v>
      </c>
      <c r="E266" s="198" t="s">
        <v>1322</v>
      </c>
      <c r="F266" s="195">
        <v>-53938525</v>
      </c>
      <c r="G266" s="199"/>
      <c r="H266" s="199">
        <v>-53938525</v>
      </c>
      <c r="I266" s="195">
        <v>1</v>
      </c>
      <c r="J266" s="201">
        <v>-53938525</v>
      </c>
      <c r="K266" s="206">
        <v>-39623220</v>
      </c>
      <c r="L266" s="203"/>
      <c r="M266" s="194" t="s">
        <v>547</v>
      </c>
    </row>
    <row r="267" spans="2:13">
      <c r="B267" s="211"/>
      <c r="C267" s="197" t="s">
        <v>1323</v>
      </c>
      <c r="D267" s="198">
        <v>100002</v>
      </c>
      <c r="E267" s="198" t="s">
        <v>1324</v>
      </c>
      <c r="F267" s="195">
        <v>39623220</v>
      </c>
      <c r="G267" s="199"/>
      <c r="H267" s="199">
        <v>39623220</v>
      </c>
      <c r="I267" s="195">
        <v>1</v>
      </c>
      <c r="J267" s="201">
        <v>39623220</v>
      </c>
      <c r="K267" s="206">
        <v>41849517.490000002</v>
      </c>
      <c r="L267" s="203"/>
      <c r="M267" s="194" t="s">
        <v>543</v>
      </c>
    </row>
    <row r="268" spans="2:13">
      <c r="B268" s="211"/>
      <c r="C268" s="197" t="s">
        <v>1325</v>
      </c>
      <c r="D268" s="198">
        <v>100002</v>
      </c>
      <c r="E268" s="198" t="s">
        <v>1326</v>
      </c>
      <c r="F268" s="195">
        <v>176665796.41999999</v>
      </c>
      <c r="G268" s="199"/>
      <c r="H268" s="199">
        <v>176665796.41999999</v>
      </c>
      <c r="I268" s="195">
        <v>1</v>
      </c>
      <c r="J268" s="201">
        <v>176665796.41999999</v>
      </c>
      <c r="K268" s="206">
        <v>217921043.46000001</v>
      </c>
      <c r="L268" s="203"/>
      <c r="M268" s="194" t="s">
        <v>548</v>
      </c>
    </row>
    <row r="269" spans="2:13">
      <c r="B269" s="211"/>
      <c r="C269" s="197" t="s">
        <v>1327</v>
      </c>
      <c r="D269" s="198">
        <v>100002</v>
      </c>
      <c r="E269" s="198" t="s">
        <v>1328</v>
      </c>
      <c r="F269" s="195">
        <v>7130057</v>
      </c>
      <c r="G269" s="199"/>
      <c r="H269" s="199">
        <v>7130057</v>
      </c>
      <c r="I269" s="195">
        <v>1</v>
      </c>
      <c r="J269" s="201">
        <v>7130057</v>
      </c>
      <c r="K269" s="206">
        <v>6834050.4100000001</v>
      </c>
      <c r="L269" s="203"/>
      <c r="M269" s="194" t="s">
        <v>550</v>
      </c>
    </row>
    <row r="270" spans="2:13">
      <c r="B270" s="211"/>
      <c r="C270" s="197" t="s">
        <v>1329</v>
      </c>
      <c r="D270" s="198">
        <v>100002</v>
      </c>
      <c r="E270" s="198" t="s">
        <v>1330</v>
      </c>
      <c r="F270" s="195">
        <v>32371590</v>
      </c>
      <c r="G270" s="199"/>
      <c r="H270" s="199">
        <v>32371590</v>
      </c>
      <c r="I270" s="195">
        <v>1</v>
      </c>
      <c r="J270" s="201">
        <v>32371590</v>
      </c>
      <c r="K270" s="206">
        <v>32371590</v>
      </c>
      <c r="L270" s="203"/>
      <c r="M270" s="194" t="s">
        <v>551</v>
      </c>
    </row>
    <row r="271" spans="2:13">
      <c r="B271" s="211"/>
      <c r="C271" s="197" t="s">
        <v>1331</v>
      </c>
      <c r="D271" s="198">
        <v>100002</v>
      </c>
      <c r="E271" s="198" t="s">
        <v>1332</v>
      </c>
      <c r="F271" s="195">
        <v>25130834</v>
      </c>
      <c r="G271" s="199"/>
      <c r="H271" s="199">
        <v>25130834</v>
      </c>
      <c r="I271" s="195">
        <v>1</v>
      </c>
      <c r="J271" s="201">
        <v>25130834</v>
      </c>
      <c r="K271" s="206">
        <v>28788472.280000001</v>
      </c>
      <c r="L271" s="203"/>
      <c r="M271" s="194" t="s">
        <v>549</v>
      </c>
    </row>
    <row r="272" spans="2:13">
      <c r="B272" s="211"/>
      <c r="C272" s="197" t="s">
        <v>1259</v>
      </c>
      <c r="D272" s="198">
        <v>100002</v>
      </c>
      <c r="E272" s="198" t="s">
        <v>1333</v>
      </c>
      <c r="F272" s="195">
        <v>-11192286</v>
      </c>
      <c r="G272" s="199"/>
      <c r="H272" s="199">
        <v>-11192286</v>
      </c>
      <c r="I272" s="195">
        <v>1</v>
      </c>
      <c r="J272" s="201">
        <v>-11192286</v>
      </c>
      <c r="K272" s="206">
        <v>-7130057.0300000003</v>
      </c>
      <c r="L272" s="203"/>
      <c r="M272" s="194" t="s">
        <v>553</v>
      </c>
    </row>
    <row r="273" spans="2:13">
      <c r="B273" s="211"/>
      <c r="C273" s="197" t="s">
        <v>1261</v>
      </c>
      <c r="D273" s="198">
        <v>100002</v>
      </c>
      <c r="E273" s="198" t="s">
        <v>1334</v>
      </c>
      <c r="F273" s="195">
        <v>-4792414</v>
      </c>
      <c r="G273" s="199"/>
      <c r="H273" s="199">
        <v>-4792414</v>
      </c>
      <c r="I273" s="195">
        <v>1</v>
      </c>
      <c r="J273" s="201">
        <v>-4792414</v>
      </c>
      <c r="K273" s="206">
        <v>-3296396.1199999973</v>
      </c>
      <c r="L273" s="203"/>
      <c r="M273" s="194" t="s">
        <v>552</v>
      </c>
    </row>
    <row r="274" spans="2:13">
      <c r="B274" s="211"/>
      <c r="C274" s="197" t="s">
        <v>1335</v>
      </c>
      <c r="D274" s="198">
        <v>100002</v>
      </c>
      <c r="E274" s="198" t="s">
        <v>1336</v>
      </c>
      <c r="F274" s="195">
        <v>-52202494</v>
      </c>
      <c r="G274" s="199"/>
      <c r="H274" s="199">
        <v>-52202494</v>
      </c>
      <c r="I274" s="195">
        <v>1</v>
      </c>
      <c r="J274" s="201">
        <v>-52202494</v>
      </c>
      <c r="K274" s="206">
        <v>-54206028</v>
      </c>
      <c r="L274" s="203"/>
      <c r="M274" s="194" t="s">
        <v>554</v>
      </c>
    </row>
    <row r="275" spans="2:13">
      <c r="B275" s="211"/>
      <c r="C275" s="197" t="s">
        <v>1337</v>
      </c>
      <c r="D275" s="198">
        <v>100002</v>
      </c>
      <c r="E275" s="198" t="s">
        <v>1338</v>
      </c>
      <c r="F275" s="195">
        <v>117297142.08</v>
      </c>
      <c r="G275" s="199"/>
      <c r="H275" s="199">
        <v>117297142.08</v>
      </c>
      <c r="I275" s="195">
        <v>1</v>
      </c>
      <c r="J275" s="201">
        <v>117297142.08</v>
      </c>
      <c r="K275" s="206">
        <v>134282062.94</v>
      </c>
      <c r="L275" s="203"/>
      <c r="M275" s="194" t="s">
        <v>555</v>
      </c>
    </row>
    <row r="276" spans="2:13">
      <c r="B276" s="211"/>
      <c r="C276" s="197" t="s">
        <v>1339</v>
      </c>
      <c r="D276" s="198">
        <v>100002</v>
      </c>
      <c r="E276" s="198" t="s">
        <v>1340</v>
      </c>
      <c r="F276" s="195">
        <v>2537093.02</v>
      </c>
      <c r="G276" s="199"/>
      <c r="H276" s="199">
        <v>2537093.02</v>
      </c>
      <c r="I276" s="195">
        <v>1</v>
      </c>
      <c r="J276" s="201">
        <v>2537093.02</v>
      </c>
      <c r="K276" s="206">
        <v>2782240.99</v>
      </c>
      <c r="L276" s="203"/>
      <c r="M276" s="194" t="s">
        <v>561</v>
      </c>
    </row>
    <row r="277" spans="2:13">
      <c r="B277" s="211"/>
      <c r="C277" s="197" t="s">
        <v>1341</v>
      </c>
      <c r="D277" s="198">
        <v>100002</v>
      </c>
      <c r="E277" s="198" t="s">
        <v>1342</v>
      </c>
      <c r="F277" s="195">
        <v>12794295</v>
      </c>
      <c r="G277" s="199"/>
      <c r="H277" s="199">
        <v>12794295</v>
      </c>
      <c r="I277" s="195">
        <v>1</v>
      </c>
      <c r="J277" s="201">
        <v>12794295</v>
      </c>
      <c r="K277" s="206">
        <v>21477138</v>
      </c>
      <c r="L277" s="203"/>
      <c r="M277" s="194" t="s">
        <v>557</v>
      </c>
    </row>
    <row r="278" spans="2:13">
      <c r="B278" s="211"/>
      <c r="C278" s="197" t="s">
        <v>1343</v>
      </c>
      <c r="D278" s="198">
        <v>100002</v>
      </c>
      <c r="E278" s="198" t="s">
        <v>1344</v>
      </c>
      <c r="F278" s="195">
        <v>7831737.5800000001</v>
      </c>
      <c r="G278" s="199"/>
      <c r="H278" s="199">
        <v>7831737.5800000001</v>
      </c>
      <c r="I278" s="195">
        <v>1</v>
      </c>
      <c r="J278" s="201">
        <v>7831737.5800000001</v>
      </c>
      <c r="K278" s="206">
        <v>9611362.9399999995</v>
      </c>
      <c r="L278" s="203"/>
      <c r="M278" s="194" t="s">
        <v>558</v>
      </c>
    </row>
    <row r="279" spans="2:13">
      <c r="B279" s="211"/>
      <c r="C279" s="197" t="s">
        <v>1345</v>
      </c>
      <c r="D279" s="198">
        <v>100002</v>
      </c>
      <c r="E279" s="198" t="s">
        <v>1346</v>
      </c>
      <c r="F279" s="195">
        <v>8540377.4600000009</v>
      </c>
      <c r="G279" s="199"/>
      <c r="H279" s="199">
        <v>8540377.4600000009</v>
      </c>
      <c r="I279" s="195">
        <v>1</v>
      </c>
      <c r="J279" s="201">
        <v>8540377.4600000009</v>
      </c>
      <c r="K279" s="206">
        <v>10743531.369999999</v>
      </c>
      <c r="L279" s="203"/>
      <c r="M279" s="194" t="s">
        <v>564</v>
      </c>
    </row>
    <row r="280" spans="2:13">
      <c r="B280" s="211"/>
      <c r="C280" s="197" t="s">
        <v>1347</v>
      </c>
      <c r="D280" s="198">
        <v>100002</v>
      </c>
      <c r="E280" s="198" t="s">
        <v>1348</v>
      </c>
      <c r="F280" s="195">
        <v>4325007</v>
      </c>
      <c r="G280" s="199"/>
      <c r="H280" s="199">
        <v>4325007</v>
      </c>
      <c r="I280" s="195">
        <v>1</v>
      </c>
      <c r="J280" s="201">
        <v>4325007</v>
      </c>
      <c r="K280" s="206">
        <v>5269806</v>
      </c>
      <c r="L280" s="203"/>
      <c r="M280" s="194" t="s">
        <v>556</v>
      </c>
    </row>
    <row r="281" spans="2:13">
      <c r="B281" s="211"/>
      <c r="C281" s="197" t="s">
        <v>1349</v>
      </c>
      <c r="D281" s="198">
        <v>100002</v>
      </c>
      <c r="E281" s="198" t="s">
        <v>1350</v>
      </c>
      <c r="F281" s="195">
        <v>19484415.120000001</v>
      </c>
      <c r="G281" s="199"/>
      <c r="H281" s="199">
        <v>19484415.120000001</v>
      </c>
      <c r="I281" s="195">
        <v>1</v>
      </c>
      <c r="J281" s="201">
        <v>19484415.120000001</v>
      </c>
      <c r="K281" s="206">
        <v>25668695.82</v>
      </c>
      <c r="L281" s="203"/>
      <c r="M281" s="194" t="s">
        <v>613</v>
      </c>
    </row>
    <row r="282" spans="2:13">
      <c r="B282" s="211"/>
      <c r="C282" s="197" t="s">
        <v>1351</v>
      </c>
      <c r="D282" s="198">
        <v>100002</v>
      </c>
      <c r="E282" s="198" t="s">
        <v>1352</v>
      </c>
      <c r="F282" s="195">
        <v>4963028.16</v>
      </c>
      <c r="G282" s="199"/>
      <c r="H282" s="199">
        <v>4963028.16</v>
      </c>
      <c r="I282" s="195">
        <v>1</v>
      </c>
      <c r="J282" s="201">
        <v>4963028.16</v>
      </c>
      <c r="K282" s="206">
        <v>5975140.2199999997</v>
      </c>
      <c r="L282" s="203"/>
      <c r="M282" s="194" t="s">
        <v>578</v>
      </c>
    </row>
    <row r="283" spans="2:13">
      <c r="B283" s="211"/>
      <c r="C283" s="197" t="s">
        <v>1353</v>
      </c>
      <c r="D283" s="198">
        <v>100002</v>
      </c>
      <c r="E283" s="198" t="s">
        <v>1354</v>
      </c>
      <c r="F283" s="195">
        <v>3897395.09</v>
      </c>
      <c r="G283" s="199"/>
      <c r="H283" s="199">
        <v>3897395.09</v>
      </c>
      <c r="I283" s="195">
        <v>1</v>
      </c>
      <c r="J283" s="201">
        <v>3897395.09</v>
      </c>
      <c r="K283" s="206">
        <v>5633146.3099999996</v>
      </c>
      <c r="L283" s="203"/>
      <c r="M283" s="194" t="s">
        <v>579</v>
      </c>
    </row>
    <row r="284" spans="2:13">
      <c r="B284" s="211"/>
      <c r="C284" s="197" t="s">
        <v>1355</v>
      </c>
      <c r="D284" s="198">
        <v>100002</v>
      </c>
      <c r="E284" s="198" t="s">
        <v>1356</v>
      </c>
      <c r="F284" s="195">
        <v>22215755.600000001</v>
      </c>
      <c r="G284" s="199"/>
      <c r="H284" s="199">
        <v>22215755.600000001</v>
      </c>
      <c r="I284" s="195">
        <v>1</v>
      </c>
      <c r="J284" s="201">
        <v>22215755.600000001</v>
      </c>
      <c r="K284" s="206">
        <v>23194900.530000001</v>
      </c>
      <c r="L284" s="203"/>
      <c r="M284" s="194" t="s">
        <v>608</v>
      </c>
    </row>
    <row r="285" spans="2:13">
      <c r="B285" s="211"/>
      <c r="C285" s="197" t="s">
        <v>1357</v>
      </c>
      <c r="D285" s="198">
        <v>100002</v>
      </c>
      <c r="E285" s="198" t="s">
        <v>1358</v>
      </c>
      <c r="F285" s="195">
        <v>6502205.4199999999</v>
      </c>
      <c r="G285" s="199"/>
      <c r="H285" s="199">
        <v>6502205.4199999999</v>
      </c>
      <c r="I285" s="195">
        <v>1</v>
      </c>
      <c r="J285" s="201">
        <v>6502205.4199999999</v>
      </c>
      <c r="K285" s="206">
        <v>7449632.5499999998</v>
      </c>
      <c r="L285" s="203"/>
      <c r="M285" s="194" t="s">
        <v>595</v>
      </c>
    </row>
    <row r="286" spans="2:13">
      <c r="B286" s="211"/>
      <c r="C286" s="197" t="s">
        <v>1359</v>
      </c>
      <c r="D286" s="198">
        <v>100002</v>
      </c>
      <c r="E286" s="198" t="s">
        <v>1360</v>
      </c>
      <c r="F286" s="195">
        <v>7336788.6600000001</v>
      </c>
      <c r="G286" s="199"/>
      <c r="H286" s="199">
        <v>7336788.6600000001</v>
      </c>
      <c r="I286" s="195">
        <v>1</v>
      </c>
      <c r="J286" s="201">
        <v>7336788.6600000001</v>
      </c>
      <c r="K286" s="206">
        <v>10225781.85</v>
      </c>
      <c r="L286" s="203"/>
      <c r="M286" s="194" t="s">
        <v>616</v>
      </c>
    </row>
    <row r="287" spans="2:13">
      <c r="B287" s="211"/>
      <c r="C287" s="197" t="s">
        <v>1361</v>
      </c>
      <c r="D287" s="198">
        <v>100002</v>
      </c>
      <c r="E287" s="198" t="s">
        <v>1362</v>
      </c>
      <c r="F287" s="195">
        <v>2357214.8199999998</v>
      </c>
      <c r="G287" s="199"/>
      <c r="H287" s="199">
        <v>2357214.8199999998</v>
      </c>
      <c r="I287" s="195">
        <v>1</v>
      </c>
      <c r="J287" s="201">
        <v>2357214.8199999998</v>
      </c>
      <c r="K287" s="206">
        <v>2859603.1</v>
      </c>
      <c r="L287" s="203"/>
      <c r="M287" s="194" t="s">
        <v>593</v>
      </c>
    </row>
    <row r="288" spans="2:13">
      <c r="B288" s="211"/>
      <c r="C288" s="197" t="s">
        <v>1363</v>
      </c>
      <c r="D288" s="198">
        <v>100002</v>
      </c>
      <c r="E288" s="198" t="s">
        <v>1364</v>
      </c>
      <c r="F288" s="195">
        <v>26372198.23</v>
      </c>
      <c r="G288" s="199"/>
      <c r="H288" s="199">
        <v>26372198.23</v>
      </c>
      <c r="I288" s="195">
        <v>1</v>
      </c>
      <c r="J288" s="201">
        <v>26372198.23</v>
      </c>
      <c r="K288" s="206">
        <v>33342451.23</v>
      </c>
      <c r="L288" s="203"/>
      <c r="M288" s="194" t="s">
        <v>592</v>
      </c>
    </row>
    <row r="289" spans="2:13">
      <c r="B289" s="211"/>
      <c r="C289" s="197" t="s">
        <v>1365</v>
      </c>
      <c r="D289" s="198">
        <v>100002</v>
      </c>
      <c r="E289" s="198" t="s">
        <v>1366</v>
      </c>
      <c r="F289" s="195">
        <v>632670.52</v>
      </c>
      <c r="G289" s="199"/>
      <c r="H289" s="199">
        <v>632670.52</v>
      </c>
      <c r="I289" s="195">
        <v>1</v>
      </c>
      <c r="J289" s="201">
        <v>632670.52</v>
      </c>
      <c r="K289" s="206">
        <v>879581.25</v>
      </c>
      <c r="L289" s="203"/>
      <c r="M289" s="194" t="s">
        <v>603</v>
      </c>
    </row>
    <row r="290" spans="2:13">
      <c r="B290" s="211"/>
      <c r="C290" s="197" t="s">
        <v>1367</v>
      </c>
      <c r="D290" s="198">
        <v>100002</v>
      </c>
      <c r="E290" s="198" t="s">
        <v>1368</v>
      </c>
      <c r="F290" s="195">
        <v>6183749.46</v>
      </c>
      <c r="G290" s="199"/>
      <c r="H290" s="199">
        <v>6183749.46</v>
      </c>
      <c r="I290" s="195">
        <v>1</v>
      </c>
      <c r="J290" s="201">
        <v>6183749.46</v>
      </c>
      <c r="K290" s="206">
        <v>1872494.25</v>
      </c>
      <c r="L290" s="203"/>
      <c r="M290" s="194" t="s">
        <v>614</v>
      </c>
    </row>
    <row r="291" spans="2:13">
      <c r="B291" s="211"/>
      <c r="C291" s="197" t="s">
        <v>1369</v>
      </c>
      <c r="D291" s="198">
        <v>100002</v>
      </c>
      <c r="E291" s="198" t="s">
        <v>1370</v>
      </c>
      <c r="F291" s="195">
        <v>2060342.98</v>
      </c>
      <c r="G291" s="199"/>
      <c r="H291" s="199">
        <v>2060342.98</v>
      </c>
      <c r="I291" s="195">
        <v>1</v>
      </c>
      <c r="J291" s="201">
        <v>2060342.98</v>
      </c>
      <c r="K291" s="206">
        <v>1486302.32</v>
      </c>
      <c r="L291" s="203"/>
      <c r="M291" s="194" t="s">
        <v>598</v>
      </c>
    </row>
    <row r="292" spans="2:13">
      <c r="B292" s="211"/>
      <c r="C292" s="197" t="s">
        <v>1371</v>
      </c>
      <c r="D292" s="198">
        <v>100002</v>
      </c>
      <c r="E292" s="198" t="s">
        <v>1372</v>
      </c>
      <c r="F292" s="195">
        <v>1432483.36</v>
      </c>
      <c r="G292" s="199"/>
      <c r="H292" s="199">
        <v>1432483.36</v>
      </c>
      <c r="I292" s="195">
        <v>1</v>
      </c>
      <c r="J292" s="201">
        <v>1432483.36</v>
      </c>
      <c r="K292" s="206">
        <v>2076419.73</v>
      </c>
      <c r="L292" s="203"/>
      <c r="M292" s="194" t="s">
        <v>597</v>
      </c>
    </row>
    <row r="293" spans="2:13">
      <c r="B293" s="211"/>
      <c r="C293" s="197" t="s">
        <v>1373</v>
      </c>
      <c r="D293" s="198">
        <v>100002</v>
      </c>
      <c r="E293" s="198" t="s">
        <v>1374</v>
      </c>
      <c r="F293" s="195">
        <v>1577921.81</v>
      </c>
      <c r="G293" s="199"/>
      <c r="H293" s="199">
        <v>1577921.81</v>
      </c>
      <c r="I293" s="195">
        <v>1</v>
      </c>
      <c r="J293" s="201">
        <v>1577921.81</v>
      </c>
      <c r="K293" s="206">
        <v>2063493.45</v>
      </c>
      <c r="L293" s="203"/>
      <c r="M293" s="194" t="s">
        <v>599</v>
      </c>
    </row>
    <row r="294" spans="2:13">
      <c r="B294" s="211"/>
      <c r="C294" s="197" t="s">
        <v>1375</v>
      </c>
      <c r="D294" s="198">
        <v>100002</v>
      </c>
      <c r="E294" s="198" t="s">
        <v>1376</v>
      </c>
      <c r="F294" s="195">
        <v>1788197.42</v>
      </c>
      <c r="G294" s="199"/>
      <c r="H294" s="199">
        <v>1788197.42</v>
      </c>
      <c r="I294" s="195">
        <v>1</v>
      </c>
      <c r="J294" s="201">
        <v>1788197.42</v>
      </c>
      <c r="K294" s="206">
        <v>1626306.9</v>
      </c>
      <c r="L294" s="203"/>
      <c r="M294" s="194" t="s">
        <v>604</v>
      </c>
    </row>
    <row r="295" spans="2:13">
      <c r="B295" s="211"/>
      <c r="C295" s="197" t="s">
        <v>1377</v>
      </c>
      <c r="D295" s="198">
        <v>100002</v>
      </c>
      <c r="E295" s="198" t="s">
        <v>1378</v>
      </c>
      <c r="F295" s="195">
        <v>4179400.47</v>
      </c>
      <c r="G295" s="199"/>
      <c r="H295" s="199">
        <v>4179400.47</v>
      </c>
      <c r="I295" s="195">
        <v>1</v>
      </c>
      <c r="J295" s="201">
        <v>4179400.47</v>
      </c>
      <c r="K295" s="206">
        <v>9893310.2899999991</v>
      </c>
      <c r="L295" s="203"/>
      <c r="M295" s="194" t="s">
        <v>611</v>
      </c>
    </row>
    <row r="296" spans="2:13">
      <c r="B296" s="211"/>
      <c r="C296" s="197" t="s">
        <v>1379</v>
      </c>
      <c r="D296" s="198">
        <v>100002</v>
      </c>
      <c r="E296" s="198" t="s">
        <v>1380</v>
      </c>
      <c r="F296" s="195">
        <v>643886.25</v>
      </c>
      <c r="G296" s="199"/>
      <c r="H296" s="199">
        <v>643886.25</v>
      </c>
      <c r="I296" s="195">
        <v>1</v>
      </c>
      <c r="J296" s="201">
        <v>643886.25</v>
      </c>
      <c r="K296" s="206">
        <v>-119763</v>
      </c>
      <c r="L296" s="203"/>
      <c r="M296" s="194" t="s">
        <v>602</v>
      </c>
    </row>
    <row r="297" spans="2:13">
      <c r="B297" s="211"/>
      <c r="C297" s="197" t="s">
        <v>1381</v>
      </c>
      <c r="D297" s="198">
        <v>100002</v>
      </c>
      <c r="E297" s="198" t="s">
        <v>1382</v>
      </c>
      <c r="F297" s="195">
        <v>19918950.18</v>
      </c>
      <c r="G297" s="199"/>
      <c r="H297" s="199">
        <v>19918950.18</v>
      </c>
      <c r="I297" s="195">
        <v>1</v>
      </c>
      <c r="J297" s="201">
        <v>19918950.18</v>
      </c>
      <c r="K297" s="206">
        <v>22907351.399999999</v>
      </c>
      <c r="L297" s="203"/>
      <c r="M297" s="194" t="s">
        <v>600</v>
      </c>
    </row>
    <row r="298" spans="2:13">
      <c r="B298" s="211"/>
      <c r="C298" s="197" t="s">
        <v>1383</v>
      </c>
      <c r="D298" s="198">
        <v>100002</v>
      </c>
      <c r="E298" s="198" t="s">
        <v>1384</v>
      </c>
      <c r="F298" s="195">
        <v>147597.44</v>
      </c>
      <c r="G298" s="199"/>
      <c r="H298" s="199">
        <v>147597.44</v>
      </c>
      <c r="I298" s="195">
        <v>1</v>
      </c>
      <c r="J298" s="201">
        <v>147597.44</v>
      </c>
      <c r="K298" s="206">
        <v>106029.38</v>
      </c>
      <c r="L298" s="203"/>
      <c r="M298" s="194" t="s">
        <v>606</v>
      </c>
    </row>
    <row r="299" spans="2:13">
      <c r="B299" s="211"/>
      <c r="C299" s="197" t="s">
        <v>1385</v>
      </c>
      <c r="D299" s="198">
        <v>100002</v>
      </c>
      <c r="E299" s="198" t="s">
        <v>1386</v>
      </c>
      <c r="F299" s="195">
        <v>175163.25</v>
      </c>
      <c r="G299" s="199"/>
      <c r="H299" s="199">
        <v>175163.25</v>
      </c>
      <c r="I299" s="195">
        <v>1</v>
      </c>
      <c r="J299" s="201">
        <v>175163.25</v>
      </c>
      <c r="K299" s="206">
        <v>174105.94</v>
      </c>
      <c r="L299" s="203"/>
      <c r="M299" s="194" t="s">
        <v>605</v>
      </c>
    </row>
    <row r="300" spans="2:13">
      <c r="B300" s="211"/>
      <c r="C300" s="197" t="s">
        <v>1387</v>
      </c>
      <c r="D300" s="198">
        <v>100002</v>
      </c>
      <c r="E300" s="198" t="s">
        <v>1388</v>
      </c>
      <c r="F300" s="195">
        <v>337500</v>
      </c>
      <c r="G300" s="199"/>
      <c r="H300" s="199">
        <v>337500</v>
      </c>
      <c r="I300" s="195">
        <v>1</v>
      </c>
      <c r="J300" s="201">
        <v>337500</v>
      </c>
      <c r="K300" s="206">
        <v>425500</v>
      </c>
      <c r="L300" s="203"/>
      <c r="M300" s="194" t="s">
        <v>571</v>
      </c>
    </row>
    <row r="301" spans="2:13">
      <c r="B301" s="211"/>
      <c r="C301" s="197" t="s">
        <v>1389</v>
      </c>
      <c r="D301" s="198">
        <v>100002</v>
      </c>
      <c r="E301" s="198" t="s">
        <v>1390</v>
      </c>
      <c r="F301" s="195">
        <v>31500</v>
      </c>
      <c r="G301" s="199"/>
      <c r="H301" s="199">
        <v>31500</v>
      </c>
      <c r="I301" s="195">
        <v>1</v>
      </c>
      <c r="J301" s="201">
        <v>31500</v>
      </c>
      <c r="K301" s="206">
        <v>24499.82</v>
      </c>
      <c r="L301" s="203"/>
      <c r="M301" s="194" t="s">
        <v>575</v>
      </c>
    </row>
    <row r="302" spans="2:13">
      <c r="B302" s="211"/>
      <c r="C302" s="197" t="s">
        <v>1391</v>
      </c>
      <c r="D302" s="198">
        <v>100002</v>
      </c>
      <c r="E302" s="198" t="s">
        <v>1392</v>
      </c>
      <c r="F302" s="195">
        <v>14189668.18</v>
      </c>
      <c r="G302" s="199"/>
      <c r="H302" s="199">
        <v>14189668.18</v>
      </c>
      <c r="I302" s="195">
        <v>1</v>
      </c>
      <c r="J302" s="201">
        <v>14189668.18</v>
      </c>
      <c r="K302" s="206">
        <v>16190236.710000001</v>
      </c>
      <c r="L302" s="203"/>
      <c r="M302" s="194" t="s">
        <v>619</v>
      </c>
    </row>
    <row r="303" spans="2:13">
      <c r="B303" s="211"/>
      <c r="C303" s="197" t="s">
        <v>1393</v>
      </c>
      <c r="D303" s="198">
        <v>100002</v>
      </c>
      <c r="E303" s="198" t="s">
        <v>1394</v>
      </c>
      <c r="F303" s="195">
        <v>91164</v>
      </c>
      <c r="G303" s="199"/>
      <c r="H303" s="199">
        <v>91164</v>
      </c>
      <c r="I303" s="195">
        <v>1</v>
      </c>
      <c r="J303" s="201">
        <v>91164</v>
      </c>
      <c r="K303" s="206">
        <v>125394.52</v>
      </c>
      <c r="L303" s="203"/>
      <c r="M303" s="194" t="s">
        <v>590</v>
      </c>
    </row>
    <row r="304" spans="2:13">
      <c r="B304" s="211"/>
      <c r="C304" s="197" t="s">
        <v>1395</v>
      </c>
      <c r="D304" s="198">
        <v>100002</v>
      </c>
      <c r="E304" s="198" t="s">
        <v>1396</v>
      </c>
      <c r="F304" s="195"/>
      <c r="G304" s="199"/>
      <c r="H304" s="199">
        <v>0</v>
      </c>
      <c r="I304" s="195">
        <v>1</v>
      </c>
      <c r="J304" s="201">
        <v>0</v>
      </c>
      <c r="K304" s="206"/>
      <c r="L304" s="203"/>
      <c r="M304" s="194" t="s">
        <v>609</v>
      </c>
    </row>
    <row r="305" spans="2:13">
      <c r="B305" s="211"/>
      <c r="C305" s="197" t="s">
        <v>342</v>
      </c>
      <c r="D305" s="198">
        <v>100002</v>
      </c>
      <c r="E305" s="198" t="s">
        <v>1397</v>
      </c>
      <c r="F305" s="195">
        <v>1920000</v>
      </c>
      <c r="G305" s="199"/>
      <c r="H305" s="199">
        <v>1920000</v>
      </c>
      <c r="I305" s="195">
        <v>1</v>
      </c>
      <c r="J305" s="201">
        <v>1920000</v>
      </c>
      <c r="K305" s="206">
        <v>3150000</v>
      </c>
      <c r="L305" s="203"/>
      <c r="M305" s="194" t="s">
        <v>1398</v>
      </c>
    </row>
    <row r="306" spans="2:13">
      <c r="B306" s="211"/>
      <c r="C306" s="197" t="s">
        <v>1399</v>
      </c>
      <c r="D306" s="198">
        <v>100002</v>
      </c>
      <c r="E306" s="198" t="s">
        <v>1400</v>
      </c>
      <c r="F306" s="195">
        <v>5692217.2300000004</v>
      </c>
      <c r="G306" s="199"/>
      <c r="H306" s="199">
        <v>5692217.2300000004</v>
      </c>
      <c r="I306" s="195">
        <v>1</v>
      </c>
      <c r="J306" s="201">
        <v>5692217.2300000004</v>
      </c>
      <c r="K306" s="206">
        <v>5315424.84</v>
      </c>
      <c r="L306" s="203"/>
      <c r="M306" s="194" t="s">
        <v>596</v>
      </c>
    </row>
    <row r="307" spans="2:13">
      <c r="B307" s="211"/>
      <c r="C307" s="197" t="s">
        <v>1401</v>
      </c>
      <c r="D307" s="198">
        <v>100002</v>
      </c>
      <c r="E307" s="198" t="s">
        <v>1402</v>
      </c>
      <c r="F307" s="195">
        <v>14137930.6</v>
      </c>
      <c r="G307" s="199"/>
      <c r="H307" s="199">
        <v>14137930.6</v>
      </c>
      <c r="I307" s="195">
        <v>1</v>
      </c>
      <c r="J307" s="201">
        <v>14137930.6</v>
      </c>
      <c r="K307" s="206">
        <v>18198612.809999999</v>
      </c>
      <c r="L307" s="203"/>
      <c r="M307" s="194" t="s">
        <v>594</v>
      </c>
    </row>
    <row r="308" spans="2:13">
      <c r="B308" s="211"/>
      <c r="C308" s="197" t="s">
        <v>1403</v>
      </c>
      <c r="D308" s="198">
        <v>100002</v>
      </c>
      <c r="E308" s="198" t="s">
        <v>1404</v>
      </c>
      <c r="F308" s="195">
        <v>105000</v>
      </c>
      <c r="G308" s="199"/>
      <c r="H308" s="199">
        <v>105000</v>
      </c>
      <c r="I308" s="195">
        <v>1</v>
      </c>
      <c r="J308" s="201">
        <v>105000</v>
      </c>
      <c r="K308" s="206">
        <v>75000</v>
      </c>
      <c r="L308" s="203"/>
      <c r="M308" s="194" t="s">
        <v>610</v>
      </c>
    </row>
    <row r="309" spans="2:13">
      <c r="B309" s="211"/>
      <c r="C309" s="197" t="s">
        <v>1405</v>
      </c>
      <c r="D309" s="198">
        <v>100002</v>
      </c>
      <c r="E309" s="198" t="s">
        <v>1406</v>
      </c>
      <c r="F309" s="195">
        <v>697411.91</v>
      </c>
      <c r="G309" s="199"/>
      <c r="H309" s="199">
        <v>697411.91</v>
      </c>
      <c r="I309" s="195">
        <v>1</v>
      </c>
      <c r="J309" s="201">
        <v>697411.91</v>
      </c>
      <c r="K309" s="206">
        <v>440172.3</v>
      </c>
      <c r="L309" s="203"/>
      <c r="M309" s="194" t="s">
        <v>587</v>
      </c>
    </row>
    <row r="310" spans="2:13">
      <c r="B310" s="211"/>
      <c r="C310" s="197" t="s">
        <v>1407</v>
      </c>
      <c r="D310" s="198">
        <v>100002</v>
      </c>
      <c r="E310" s="198" t="s">
        <v>1408</v>
      </c>
      <c r="F310" s="195">
        <v>1079659.3700000001</v>
      </c>
      <c r="G310" s="199"/>
      <c r="H310" s="199">
        <v>1079659.3700000001</v>
      </c>
      <c r="I310" s="195">
        <v>1</v>
      </c>
      <c r="J310" s="201">
        <v>1079659.3700000001</v>
      </c>
      <c r="K310" s="206">
        <v>1755412.46</v>
      </c>
      <c r="L310" s="203"/>
      <c r="M310" s="194" t="s">
        <v>620</v>
      </c>
    </row>
    <row r="311" spans="2:13">
      <c r="B311" s="211"/>
      <c r="C311" s="197" t="s">
        <v>1409</v>
      </c>
      <c r="D311" s="198">
        <v>100002</v>
      </c>
      <c r="E311" s="198" t="s">
        <v>1410</v>
      </c>
      <c r="F311" s="195">
        <v>2641811.200000003</v>
      </c>
      <c r="G311" s="199"/>
      <c r="H311" s="199">
        <v>2641811.200000003</v>
      </c>
      <c r="I311" s="195">
        <v>1</v>
      </c>
      <c r="J311" s="201">
        <v>2641811.200000003</v>
      </c>
      <c r="K311" s="206">
        <v>3035649.5100000054</v>
      </c>
      <c r="L311" s="203"/>
      <c r="M311" s="194" t="s">
        <v>581</v>
      </c>
    </row>
    <row r="312" spans="2:13">
      <c r="B312" s="211"/>
      <c r="C312" s="197" t="s">
        <v>1411</v>
      </c>
      <c r="D312" s="198">
        <v>100002</v>
      </c>
      <c r="E312" s="198" t="s">
        <v>1412</v>
      </c>
      <c r="F312" s="195">
        <v>1490748.73</v>
      </c>
      <c r="G312" s="199"/>
      <c r="H312" s="199">
        <v>1490748.73</v>
      </c>
      <c r="I312" s="195">
        <v>1</v>
      </c>
      <c r="J312" s="201">
        <v>1490748.73</v>
      </c>
      <c r="K312" s="206">
        <v>1552366.02</v>
      </c>
      <c r="L312" s="203"/>
      <c r="M312" s="194" t="s">
        <v>607</v>
      </c>
    </row>
    <row r="313" spans="2:13">
      <c r="B313" s="211"/>
      <c r="C313" s="197" t="s">
        <v>1413</v>
      </c>
      <c r="D313" s="198">
        <v>100002</v>
      </c>
      <c r="E313" s="198" t="s">
        <v>1414</v>
      </c>
      <c r="F313" s="195">
        <v>20926096.98</v>
      </c>
      <c r="G313" s="199"/>
      <c r="H313" s="199">
        <v>20926096.98</v>
      </c>
      <c r="I313" s="195">
        <v>1</v>
      </c>
      <c r="J313" s="201">
        <v>20926096.98</v>
      </c>
      <c r="K313" s="206">
        <v>22976427</v>
      </c>
      <c r="L313" s="203"/>
      <c r="M313" s="194" t="s">
        <v>363</v>
      </c>
    </row>
    <row r="314" spans="2:13">
      <c r="B314" s="211"/>
      <c r="C314" s="197" t="s">
        <v>1415</v>
      </c>
      <c r="D314" s="198">
        <v>100002</v>
      </c>
      <c r="E314" s="198" t="s">
        <v>1416</v>
      </c>
      <c r="F314" s="195">
        <v>1982870.48</v>
      </c>
      <c r="G314" s="199"/>
      <c r="H314" s="199">
        <v>1982870.48</v>
      </c>
      <c r="I314" s="195">
        <v>1</v>
      </c>
      <c r="J314" s="201">
        <v>1982870.48</v>
      </c>
      <c r="K314" s="206">
        <v>6679251</v>
      </c>
      <c r="L314" s="203"/>
      <c r="M314" s="194" t="s">
        <v>364</v>
      </c>
    </row>
    <row r="315" spans="2:13">
      <c r="B315" s="211"/>
      <c r="C315" s="197" t="s">
        <v>1203</v>
      </c>
      <c r="D315" s="198">
        <v>100002</v>
      </c>
      <c r="E315" s="198" t="s">
        <v>1417</v>
      </c>
      <c r="F315" s="195">
        <v>12200892</v>
      </c>
      <c r="G315" s="199"/>
      <c r="H315" s="199">
        <v>12200892</v>
      </c>
      <c r="I315" s="195">
        <v>1</v>
      </c>
      <c r="J315" s="201">
        <v>12200892</v>
      </c>
      <c r="K315" s="206">
        <v>14536423.800000001</v>
      </c>
      <c r="L315" s="203"/>
      <c r="M315" s="194" t="s">
        <v>362</v>
      </c>
    </row>
    <row r="316" spans="2:13">
      <c r="B316" s="211"/>
      <c r="C316" s="197" t="s">
        <v>1418</v>
      </c>
      <c r="D316" s="198">
        <v>100002</v>
      </c>
      <c r="E316" s="198" t="s">
        <v>1419</v>
      </c>
      <c r="F316" s="195">
        <v>225604519.56999999</v>
      </c>
      <c r="G316" s="199"/>
      <c r="H316" s="199">
        <v>225604519.56999999</v>
      </c>
      <c r="I316" s="195">
        <v>1</v>
      </c>
      <c r="J316" s="201">
        <v>225604519.56999999</v>
      </c>
      <c r="K316" s="206">
        <v>192516415.34999999</v>
      </c>
      <c r="L316" s="203"/>
      <c r="M316" s="194" t="s">
        <v>357</v>
      </c>
    </row>
    <row r="317" spans="2:13">
      <c r="B317" s="211"/>
      <c r="C317" s="197" t="s">
        <v>1420</v>
      </c>
      <c r="D317" s="198">
        <v>100002</v>
      </c>
      <c r="E317" s="198" t="s">
        <v>1419</v>
      </c>
      <c r="F317" s="195">
        <v>-57299981.949999996</v>
      </c>
      <c r="G317" s="199"/>
      <c r="H317" s="199">
        <v>-57299981.949999996</v>
      </c>
      <c r="I317" s="195">
        <v>1</v>
      </c>
      <c r="J317" s="201">
        <v>-57299981.839999996</v>
      </c>
      <c r="K317" s="206">
        <v>-45099089.949999996</v>
      </c>
      <c r="L317" s="203"/>
      <c r="M317" s="194" t="s">
        <v>357</v>
      </c>
    </row>
    <row r="318" spans="2:13">
      <c r="B318" s="211"/>
      <c r="C318" s="197" t="s">
        <v>1421</v>
      </c>
      <c r="D318" s="198">
        <v>100002</v>
      </c>
      <c r="E318" s="198" t="s">
        <v>1423</v>
      </c>
      <c r="F318" s="195">
        <v>0</v>
      </c>
      <c r="G318" s="199"/>
      <c r="H318" s="199">
        <v>0</v>
      </c>
      <c r="I318" s="195">
        <v>1</v>
      </c>
      <c r="J318" s="201">
        <v>0</v>
      </c>
      <c r="K318" s="206">
        <v>0</v>
      </c>
      <c r="L318" s="203"/>
      <c r="M318" s="194"/>
    </row>
    <row r="319" spans="2:13">
      <c r="B319" s="211"/>
      <c r="C319" s="197" t="s">
        <v>1422</v>
      </c>
      <c r="D319" s="198">
        <v>100002</v>
      </c>
      <c r="E319" s="198" t="s">
        <v>1423</v>
      </c>
      <c r="F319" s="195">
        <v>0</v>
      </c>
      <c r="G319" s="199"/>
      <c r="H319" s="199">
        <v>0</v>
      </c>
      <c r="I319" s="195">
        <v>1</v>
      </c>
      <c r="J319" s="201">
        <v>0</v>
      </c>
      <c r="K319" s="206">
        <v>0</v>
      </c>
      <c r="L319" s="203"/>
      <c r="M319" s="194"/>
    </row>
    <row r="320" spans="2:13">
      <c r="B320" s="211"/>
      <c r="C320" s="197"/>
      <c r="D320" s="198">
        <v>100002</v>
      </c>
      <c r="E320" s="198" t="s">
        <v>1423</v>
      </c>
      <c r="F320" s="195"/>
      <c r="G320" s="199"/>
      <c r="H320" s="199">
        <v>0</v>
      </c>
      <c r="I320" s="195">
        <v>1</v>
      </c>
      <c r="J320" s="201">
        <v>0</v>
      </c>
      <c r="K320" s="206">
        <v>0</v>
      </c>
      <c r="L320" s="203"/>
      <c r="M320" s="194"/>
    </row>
    <row r="321" spans="1:13">
      <c r="B321" s="211"/>
      <c r="C321" s="197"/>
      <c r="D321" s="198">
        <v>100002</v>
      </c>
      <c r="E321" s="198" t="s">
        <v>1423</v>
      </c>
      <c r="F321" s="195"/>
      <c r="G321" s="199"/>
      <c r="H321" s="199"/>
      <c r="I321" s="195"/>
      <c r="J321" s="201"/>
      <c r="K321" s="206"/>
      <c r="L321" s="203"/>
      <c r="M321" s="194"/>
    </row>
    <row r="322" spans="1:13">
      <c r="B322" s="211"/>
      <c r="C322" s="262"/>
      <c r="D322" s="262"/>
      <c r="E322" s="262"/>
      <c r="F322" s="263"/>
      <c r="G322" s="264"/>
      <c r="H322" s="263">
        <v>0</v>
      </c>
      <c r="I322" s="264"/>
      <c r="J322" s="263">
        <v>0</v>
      </c>
      <c r="K322" s="263">
        <v>0</v>
      </c>
      <c r="L322" s="246"/>
      <c r="M322" s="194"/>
    </row>
    <row r="323" spans="1:13">
      <c r="B323" s="211"/>
      <c r="C323" s="208"/>
      <c r="D323" s="208"/>
      <c r="E323" s="208"/>
      <c r="F323" s="244"/>
      <c r="G323" s="244"/>
      <c r="H323" s="244"/>
      <c r="I323" s="244"/>
      <c r="J323" s="245"/>
      <c r="K323" s="245"/>
      <c r="L323" s="215"/>
      <c r="M323" s="194"/>
    </row>
    <row r="324" spans="1:13" ht="13.5" thickBot="1">
      <c r="B324" s="266"/>
      <c r="C324" s="267"/>
      <c r="D324" s="267"/>
      <c r="E324" s="267"/>
      <c r="F324" s="268"/>
      <c r="G324" s="268"/>
      <c r="H324" s="268"/>
      <c r="I324" s="268"/>
      <c r="J324" s="269"/>
      <c r="K324" s="269"/>
      <c r="L324" s="280"/>
      <c r="M324" s="194"/>
    </row>
    <row r="325" spans="1:13" s="284" customFormat="1" ht="14.25" thickTop="1" thickBot="1">
      <c r="A325" s="283"/>
      <c r="F325" s="285"/>
      <c r="G325" s="285"/>
      <c r="H325" s="285"/>
      <c r="I325" s="285"/>
      <c r="J325" s="286"/>
      <c r="K325" s="286"/>
      <c r="M325" s="212"/>
    </row>
    <row r="326" spans="1:13" ht="13.5" thickTop="1">
      <c r="B326" s="238"/>
      <c r="C326" s="239"/>
      <c r="D326" s="239"/>
      <c r="E326" s="239"/>
      <c r="F326" s="240"/>
      <c r="G326" s="240"/>
      <c r="H326" s="240"/>
      <c r="I326" s="240"/>
      <c r="J326" s="241"/>
      <c r="K326" s="241"/>
      <c r="L326" s="271"/>
      <c r="M326" s="194"/>
    </row>
    <row r="327" spans="1:13">
      <c r="B327" s="211"/>
      <c r="C327" s="208" t="s">
        <v>632</v>
      </c>
      <c r="D327" s="208"/>
      <c r="E327" s="208"/>
      <c r="F327" s="244"/>
      <c r="G327" s="243">
        <v>100003</v>
      </c>
      <c r="H327" s="244"/>
      <c r="I327" s="244"/>
      <c r="J327" s="245"/>
      <c r="K327" s="245">
        <v>100003</v>
      </c>
      <c r="L327" s="215"/>
      <c r="M327" s="194"/>
    </row>
    <row r="328" spans="1:13" s="210" customFormat="1">
      <c r="A328" s="196"/>
      <c r="B328" s="247"/>
      <c r="C328" s="248" t="s">
        <v>2</v>
      </c>
      <c r="D328" s="248"/>
      <c r="E328" s="248"/>
      <c r="F328" s="249"/>
      <c r="G328" s="193" t="s">
        <v>762</v>
      </c>
      <c r="H328" s="249"/>
      <c r="I328" s="249"/>
      <c r="J328" s="250"/>
      <c r="K328" s="251" t="s">
        <v>762</v>
      </c>
      <c r="L328" s="281"/>
    </row>
    <row r="329" spans="1:13">
      <c r="A329" s="237">
        <v>100003</v>
      </c>
      <c r="B329" s="211"/>
      <c r="C329" s="208" t="s">
        <v>634</v>
      </c>
      <c r="D329" s="208"/>
      <c r="E329" s="208"/>
      <c r="F329" s="244"/>
      <c r="G329" s="253" t="s">
        <v>1004</v>
      </c>
      <c r="H329" s="244"/>
      <c r="I329" s="244"/>
      <c r="J329" s="245"/>
      <c r="K329" s="245" t="s">
        <v>1004</v>
      </c>
      <c r="L329" s="215"/>
      <c r="M329" s="194"/>
    </row>
    <row r="330" spans="1:13">
      <c r="B330" s="211"/>
      <c r="C330" s="208"/>
      <c r="D330" s="208"/>
      <c r="E330" s="208"/>
      <c r="F330" s="254">
        <v>0</v>
      </c>
      <c r="G330" s="244"/>
      <c r="H330" s="244"/>
      <c r="I330" s="244"/>
      <c r="J330" s="255" t="s">
        <v>2833</v>
      </c>
      <c r="K330" s="255" t="s">
        <v>1021</v>
      </c>
      <c r="L330" s="215"/>
      <c r="M330" s="194"/>
    </row>
    <row r="331" spans="1:13" ht="25.5">
      <c r="B331" s="211"/>
      <c r="C331" s="256" t="s">
        <v>3</v>
      </c>
      <c r="D331" s="256" t="s">
        <v>1</v>
      </c>
      <c r="E331" s="256" t="s">
        <v>635</v>
      </c>
      <c r="F331" s="257" t="s">
        <v>1424</v>
      </c>
      <c r="G331" s="257" t="s">
        <v>636</v>
      </c>
      <c r="H331" s="257" t="s">
        <v>1424</v>
      </c>
      <c r="I331" s="282" t="s">
        <v>637</v>
      </c>
      <c r="J331" s="287" t="s">
        <v>638</v>
      </c>
      <c r="K331" s="259" t="s">
        <v>638</v>
      </c>
      <c r="L331" s="203"/>
      <c r="M331" s="194"/>
    </row>
    <row r="332" spans="1:13">
      <c r="B332" s="211"/>
      <c r="C332" s="197" t="s">
        <v>658</v>
      </c>
      <c r="D332" s="198">
        <v>100003</v>
      </c>
      <c r="E332" s="198" t="s">
        <v>1425</v>
      </c>
      <c r="F332" s="195">
        <v>86.600000000000364</v>
      </c>
      <c r="G332" s="199"/>
      <c r="H332" s="199">
        <v>86.600000000000364</v>
      </c>
      <c r="I332" s="213">
        <v>10.268572132561292</v>
      </c>
      <c r="J332" s="288">
        <v>889.25834667981167</v>
      </c>
      <c r="K332" s="289">
        <v>6257.7541597473255</v>
      </c>
      <c r="L332" s="215"/>
      <c r="M332" s="194" t="s">
        <v>496</v>
      </c>
    </row>
    <row r="333" spans="1:13">
      <c r="B333" s="211"/>
      <c r="C333" s="197" t="s">
        <v>1426</v>
      </c>
      <c r="D333" s="198">
        <v>100003</v>
      </c>
      <c r="E333" s="198" t="s">
        <v>1425</v>
      </c>
      <c r="F333" s="195">
        <v>23307.25</v>
      </c>
      <c r="G333" s="199"/>
      <c r="H333" s="199">
        <v>23307.25</v>
      </c>
      <c r="I333" s="213">
        <v>10.268572132561292</v>
      </c>
      <c r="J333" s="214">
        <v>239332.1778366392</v>
      </c>
      <c r="K333" s="206">
        <v>451406.84122301423</v>
      </c>
      <c r="L333" s="215"/>
      <c r="M333" s="194" t="s">
        <v>496</v>
      </c>
    </row>
    <row r="334" spans="1:13">
      <c r="B334" s="211"/>
      <c r="C334" s="197" t="s">
        <v>1427</v>
      </c>
      <c r="D334" s="198">
        <v>100003</v>
      </c>
      <c r="E334" s="198" t="s">
        <v>1425</v>
      </c>
      <c r="F334" s="195">
        <v>688231.28999999992</v>
      </c>
      <c r="G334" s="199"/>
      <c r="H334" s="199">
        <v>688231.28999999992</v>
      </c>
      <c r="I334" s="213">
        <v>10.268572132561292</v>
      </c>
      <c r="J334" s="214">
        <v>7067152.6452507088</v>
      </c>
      <c r="K334" s="206">
        <v>27427.860297613206</v>
      </c>
      <c r="L334" s="215"/>
      <c r="M334" s="194" t="s">
        <v>496</v>
      </c>
    </row>
    <row r="335" spans="1:13">
      <c r="B335" s="211"/>
      <c r="C335" s="197" t="s">
        <v>1428</v>
      </c>
      <c r="D335" s="198">
        <v>100003</v>
      </c>
      <c r="E335" s="198" t="s">
        <v>1425</v>
      </c>
      <c r="F335" s="195">
        <v>0</v>
      </c>
      <c r="G335" s="199"/>
      <c r="H335" s="199">
        <v>0</v>
      </c>
      <c r="I335" s="213">
        <v>10.268572132561292</v>
      </c>
      <c r="J335" s="214">
        <v>0</v>
      </c>
      <c r="K335" s="206">
        <v>1522320.9924782652</v>
      </c>
      <c r="L335" s="215"/>
      <c r="M335" s="194" t="s">
        <v>496</v>
      </c>
    </row>
    <row r="336" spans="1:13">
      <c r="B336" s="211"/>
      <c r="C336" s="197" t="s">
        <v>1429</v>
      </c>
      <c r="D336" s="198">
        <v>100003</v>
      </c>
      <c r="E336" s="198" t="s">
        <v>1430</v>
      </c>
      <c r="F336" s="195">
        <v>501718.05999999994</v>
      </c>
      <c r="G336" s="199"/>
      <c r="H336" s="199">
        <v>501718.05999999994</v>
      </c>
      <c r="I336" s="213">
        <v>10.268572132561292</v>
      </c>
      <c r="J336" s="214">
        <v>5151928.0893187141</v>
      </c>
      <c r="K336" s="206">
        <v>7068376.114350169</v>
      </c>
      <c r="L336" s="215"/>
      <c r="M336" s="194" t="s">
        <v>488</v>
      </c>
    </row>
    <row r="337" spans="2:13">
      <c r="B337" s="211"/>
      <c r="C337" s="197" t="s">
        <v>1431</v>
      </c>
      <c r="D337" s="198">
        <v>100003</v>
      </c>
      <c r="E337" s="198" t="s">
        <v>1432</v>
      </c>
      <c r="F337" s="195">
        <v>2970551.4</v>
      </c>
      <c r="G337" s="199"/>
      <c r="H337" s="199">
        <v>2970551.4</v>
      </c>
      <c r="I337" s="213">
        <v>10.268572132561292</v>
      </c>
      <c r="J337" s="214">
        <v>30503321.324380931</v>
      </c>
      <c r="K337" s="206">
        <v>6198611.1661213255</v>
      </c>
      <c r="L337" s="215"/>
      <c r="M337" s="194" t="s">
        <v>484</v>
      </c>
    </row>
    <row r="338" spans="2:13">
      <c r="B338" s="211"/>
      <c r="C338" s="197" t="s">
        <v>204</v>
      </c>
      <c r="D338" s="198">
        <v>100003</v>
      </c>
      <c r="E338" s="198" t="s">
        <v>1433</v>
      </c>
      <c r="F338" s="195">
        <v>0</v>
      </c>
      <c r="G338" s="199"/>
      <c r="H338" s="199">
        <v>0</v>
      </c>
      <c r="I338" s="213">
        <v>10.268572132561292</v>
      </c>
      <c r="J338" s="214">
        <v>0</v>
      </c>
      <c r="K338" s="206">
        <v>4710933.9480967736</v>
      </c>
      <c r="L338" s="215"/>
      <c r="M338" s="194" t="s">
        <v>514</v>
      </c>
    </row>
    <row r="339" spans="2:13">
      <c r="B339" s="211"/>
      <c r="C339" s="197" t="s">
        <v>1434</v>
      </c>
      <c r="D339" s="198">
        <v>100003</v>
      </c>
      <c r="E339" s="198" t="s">
        <v>1435</v>
      </c>
      <c r="F339" s="195">
        <v>8800</v>
      </c>
      <c r="G339" s="199"/>
      <c r="H339" s="199">
        <v>8800</v>
      </c>
      <c r="I339" s="213">
        <v>10.268572132561292</v>
      </c>
      <c r="J339" s="214">
        <v>90363.434766539373</v>
      </c>
      <c r="K339" s="206">
        <v>0</v>
      </c>
      <c r="L339" s="215"/>
      <c r="M339" s="194" t="s">
        <v>466</v>
      </c>
    </row>
    <row r="340" spans="2:13">
      <c r="B340" s="211"/>
      <c r="C340" s="197" t="s">
        <v>1436</v>
      </c>
      <c r="D340" s="198">
        <v>100003</v>
      </c>
      <c r="E340" s="198" t="s">
        <v>1437</v>
      </c>
      <c r="F340" s="195">
        <v>0</v>
      </c>
      <c r="G340" s="199"/>
      <c r="H340" s="199">
        <v>0</v>
      </c>
      <c r="I340" s="213">
        <v>10.268572132561292</v>
      </c>
      <c r="J340" s="214">
        <v>0</v>
      </c>
      <c r="K340" s="206">
        <v>25333898.131093092</v>
      </c>
      <c r="L340" s="215"/>
      <c r="M340" s="194" t="s">
        <v>503</v>
      </c>
    </row>
    <row r="341" spans="2:13">
      <c r="B341" s="211"/>
      <c r="C341" s="197" t="s">
        <v>1438</v>
      </c>
      <c r="D341" s="198">
        <v>100003</v>
      </c>
      <c r="E341" s="198" t="s">
        <v>1437</v>
      </c>
      <c r="F341" s="195">
        <v>0</v>
      </c>
      <c r="G341" s="199"/>
      <c r="H341" s="199">
        <v>0</v>
      </c>
      <c r="I341" s="213">
        <v>10.268572132561292</v>
      </c>
      <c r="J341" s="214">
        <v>0</v>
      </c>
      <c r="K341" s="206">
        <v>0</v>
      </c>
      <c r="L341" s="215"/>
      <c r="M341" s="194" t="s">
        <v>503</v>
      </c>
    </row>
    <row r="342" spans="2:13">
      <c r="B342" s="211"/>
      <c r="C342" s="197" t="s">
        <v>1439</v>
      </c>
      <c r="D342" s="198">
        <v>100003</v>
      </c>
      <c r="E342" s="198" t="s">
        <v>1440</v>
      </c>
      <c r="F342" s="195">
        <v>35700</v>
      </c>
      <c r="G342" s="199"/>
      <c r="H342" s="199">
        <v>35700</v>
      </c>
      <c r="I342" s="213">
        <v>10.268572132561292</v>
      </c>
      <c r="J342" s="214">
        <v>366588.02513243817</v>
      </c>
      <c r="K342" s="206">
        <v>362312.3962098271</v>
      </c>
      <c r="L342" s="215"/>
      <c r="M342" s="194" t="s">
        <v>449</v>
      </c>
    </row>
    <row r="343" spans="2:13">
      <c r="B343" s="211"/>
      <c r="C343" s="197" t="s">
        <v>1441</v>
      </c>
      <c r="D343" s="198">
        <v>100003</v>
      </c>
      <c r="E343" s="198" t="s">
        <v>1442</v>
      </c>
      <c r="F343" s="195">
        <v>0</v>
      </c>
      <c r="G343" s="199"/>
      <c r="H343" s="199">
        <v>0</v>
      </c>
      <c r="I343" s="213">
        <v>10.268572132561292</v>
      </c>
      <c r="J343" s="214">
        <v>0</v>
      </c>
      <c r="K343" s="206">
        <v>0</v>
      </c>
      <c r="L343" s="215"/>
      <c r="M343" s="194" t="s">
        <v>522</v>
      </c>
    </row>
    <row r="344" spans="2:13">
      <c r="B344" s="211"/>
      <c r="C344" s="197" t="s">
        <v>1443</v>
      </c>
      <c r="D344" s="198">
        <v>100003</v>
      </c>
      <c r="E344" s="198" t="s">
        <v>1444</v>
      </c>
      <c r="F344" s="195">
        <v>0</v>
      </c>
      <c r="G344" s="199"/>
      <c r="H344" s="199">
        <v>0</v>
      </c>
      <c r="I344" s="213">
        <v>10.268572132561292</v>
      </c>
      <c r="J344" s="214">
        <v>0</v>
      </c>
      <c r="K344" s="206">
        <v>16789216.759805933</v>
      </c>
      <c r="L344" s="215"/>
      <c r="M344" s="194" t="s">
        <v>479</v>
      </c>
    </row>
    <row r="345" spans="2:13">
      <c r="B345" s="211"/>
      <c r="C345" s="197" t="s">
        <v>1445</v>
      </c>
      <c r="D345" s="198">
        <v>100003</v>
      </c>
      <c r="E345" s="198" t="s">
        <v>1444</v>
      </c>
      <c r="F345" s="195">
        <v>0</v>
      </c>
      <c r="G345" s="199"/>
      <c r="H345" s="199">
        <v>0</v>
      </c>
      <c r="I345" s="213">
        <v>10.268572132561292</v>
      </c>
      <c r="J345" s="214">
        <v>0</v>
      </c>
      <c r="K345" s="206">
        <v>0</v>
      </c>
      <c r="L345" s="215"/>
      <c r="M345" s="194" t="s">
        <v>479</v>
      </c>
    </row>
    <row r="346" spans="2:13">
      <c r="B346" s="211"/>
      <c r="C346" s="197" t="s">
        <v>1446</v>
      </c>
      <c r="D346" s="198">
        <v>100003</v>
      </c>
      <c r="E346" s="198" t="s">
        <v>1447</v>
      </c>
      <c r="F346" s="195">
        <v>0</v>
      </c>
      <c r="G346" s="199"/>
      <c r="H346" s="199">
        <v>0</v>
      </c>
      <c r="I346" s="213">
        <v>10.268572132561292</v>
      </c>
      <c r="J346" s="214">
        <v>0</v>
      </c>
      <c r="K346" s="206">
        <v>201453.81133795707</v>
      </c>
      <c r="L346" s="215"/>
      <c r="M346" s="194" t="s">
        <v>510</v>
      </c>
    </row>
    <row r="347" spans="2:13">
      <c r="B347" s="211"/>
      <c r="C347" s="197" t="s">
        <v>1448</v>
      </c>
      <c r="D347" s="198">
        <v>100003</v>
      </c>
      <c r="E347" s="198" t="s">
        <v>1447</v>
      </c>
      <c r="F347" s="195">
        <v>0</v>
      </c>
      <c r="G347" s="199"/>
      <c r="H347" s="199">
        <v>0</v>
      </c>
      <c r="I347" s="213">
        <v>10.268572132561292</v>
      </c>
      <c r="J347" s="214">
        <v>0</v>
      </c>
      <c r="K347" s="206">
        <v>0</v>
      </c>
      <c r="L347" s="215"/>
      <c r="M347" s="194" t="s">
        <v>510</v>
      </c>
    </row>
    <row r="348" spans="2:13">
      <c r="B348" s="211"/>
      <c r="C348" s="197" t="s">
        <v>1449</v>
      </c>
      <c r="D348" s="198">
        <v>100003</v>
      </c>
      <c r="E348" s="198" t="s">
        <v>1450</v>
      </c>
      <c r="F348" s="195">
        <v>0</v>
      </c>
      <c r="G348" s="199"/>
      <c r="H348" s="199">
        <v>0</v>
      </c>
      <c r="I348" s="213">
        <v>10.268572132561292</v>
      </c>
      <c r="J348" s="214">
        <v>0</v>
      </c>
      <c r="K348" s="206">
        <v>2698213.1815180229</v>
      </c>
      <c r="L348" s="215"/>
      <c r="M348" s="194" t="s">
        <v>357</v>
      </c>
    </row>
    <row r="349" spans="2:13">
      <c r="B349" s="211"/>
      <c r="C349" s="197" t="s">
        <v>1451</v>
      </c>
      <c r="D349" s="198">
        <v>100003</v>
      </c>
      <c r="E349" s="198" t="s">
        <v>1450</v>
      </c>
      <c r="F349" s="195">
        <v>0</v>
      </c>
      <c r="G349" s="199"/>
      <c r="H349" s="199">
        <v>0</v>
      </c>
      <c r="I349" s="213">
        <v>10.268572132561292</v>
      </c>
      <c r="J349" s="214">
        <v>0</v>
      </c>
      <c r="K349" s="206">
        <v>-2231615.4035752662</v>
      </c>
      <c r="L349" s="215"/>
      <c r="M349" s="194" t="s">
        <v>357</v>
      </c>
    </row>
    <row r="350" spans="2:13">
      <c r="B350" s="211"/>
      <c r="C350" s="197" t="s">
        <v>1452</v>
      </c>
      <c r="D350" s="198">
        <v>100003</v>
      </c>
      <c r="E350" s="198" t="s">
        <v>1447</v>
      </c>
      <c r="F350" s="195">
        <v>0</v>
      </c>
      <c r="G350" s="199"/>
      <c r="H350" s="199">
        <v>0</v>
      </c>
      <c r="I350" s="213">
        <v>10.268572132561292</v>
      </c>
      <c r="J350" s="214">
        <v>0</v>
      </c>
      <c r="K350" s="206">
        <v>0</v>
      </c>
      <c r="L350" s="215"/>
      <c r="M350" s="194" t="s">
        <v>510</v>
      </c>
    </row>
    <row r="351" spans="2:13">
      <c r="B351" s="211"/>
      <c r="C351" s="197" t="s">
        <v>1453</v>
      </c>
      <c r="D351" s="198">
        <v>100003</v>
      </c>
      <c r="E351" s="198" t="s">
        <v>1454</v>
      </c>
      <c r="F351" s="195">
        <v>-10460221.680000002</v>
      </c>
      <c r="G351" s="199"/>
      <c r="H351" s="199">
        <v>-10460221.680000002</v>
      </c>
      <c r="I351" s="213">
        <v>10.268572132561292</v>
      </c>
      <c r="J351" s="214">
        <v>-107411540.84366149</v>
      </c>
      <c r="K351" s="206">
        <v>-79076365.174693123</v>
      </c>
      <c r="L351" s="215"/>
      <c r="M351" s="194" t="s">
        <v>410</v>
      </c>
    </row>
    <row r="352" spans="2:13">
      <c r="B352" s="211"/>
      <c r="C352" s="197" t="s">
        <v>1455</v>
      </c>
      <c r="D352" s="198">
        <v>100003</v>
      </c>
      <c r="E352" s="198" t="s">
        <v>1454</v>
      </c>
      <c r="F352" s="195">
        <v>-5454544.9399999995</v>
      </c>
      <c r="G352" s="199"/>
      <c r="H352" s="199">
        <v>-5454544.9399999995</v>
      </c>
      <c r="I352" s="213">
        <v>10.268572132561292</v>
      </c>
      <c r="J352" s="214">
        <v>-56010388.166687198</v>
      </c>
      <c r="K352" s="206">
        <v>-55357121.777187325</v>
      </c>
      <c r="L352" s="215"/>
      <c r="M352" s="194" t="s">
        <v>410</v>
      </c>
    </row>
    <row r="353" spans="2:13">
      <c r="B353" s="211"/>
      <c r="C353" s="197" t="s">
        <v>1456</v>
      </c>
      <c r="D353" s="198">
        <v>100003</v>
      </c>
      <c r="E353" s="198" t="s">
        <v>1454</v>
      </c>
      <c r="F353" s="195">
        <v>-217148.46999999986</v>
      </c>
      <c r="G353" s="199"/>
      <c r="H353" s="199">
        <v>-217148.46999999986</v>
      </c>
      <c r="I353" s="213">
        <v>10.268572132561292</v>
      </c>
      <c r="J353" s="214">
        <v>-2229804.7276703203</v>
      </c>
      <c r="K353" s="206">
        <v>-5130732.8385529621</v>
      </c>
      <c r="L353" s="215"/>
      <c r="M353" s="194" t="s">
        <v>410</v>
      </c>
    </row>
    <row r="354" spans="2:13">
      <c r="B354" s="211"/>
      <c r="C354" s="197" t="s">
        <v>1457</v>
      </c>
      <c r="D354" s="198">
        <v>100003</v>
      </c>
      <c r="E354" s="198" t="s">
        <v>1458</v>
      </c>
      <c r="F354" s="195">
        <v>-1400.0000000004657</v>
      </c>
      <c r="G354" s="199"/>
      <c r="H354" s="199">
        <v>-1400.0000000004657</v>
      </c>
      <c r="I354" s="213">
        <v>10.268572132561292</v>
      </c>
      <c r="J354" s="214">
        <v>-14376.000985590592</v>
      </c>
      <c r="K354" s="206">
        <v>-37856427.902445383</v>
      </c>
      <c r="L354" s="215"/>
      <c r="M354" s="194" t="s">
        <v>419</v>
      </c>
    </row>
    <row r="355" spans="2:13">
      <c r="B355" s="211"/>
      <c r="C355" s="197" t="s">
        <v>1459</v>
      </c>
      <c r="D355" s="198">
        <v>100003</v>
      </c>
      <c r="E355" s="198" t="s">
        <v>1460</v>
      </c>
      <c r="F355" s="195">
        <v>0</v>
      </c>
      <c r="G355" s="199"/>
      <c r="H355" s="199">
        <v>0</v>
      </c>
      <c r="I355" s="213">
        <v>10.268572132561292</v>
      </c>
      <c r="J355" s="214">
        <v>0</v>
      </c>
      <c r="K355" s="206">
        <v>0</v>
      </c>
      <c r="L355" s="215"/>
      <c r="M355" s="194" t="s">
        <v>421</v>
      </c>
    </row>
    <row r="356" spans="2:13">
      <c r="B356" s="211"/>
      <c r="C356" s="197" t="s">
        <v>1461</v>
      </c>
      <c r="D356" s="198">
        <v>100003</v>
      </c>
      <c r="E356" s="198" t="s">
        <v>2835</v>
      </c>
      <c r="F356" s="195">
        <v>553739.3200000017</v>
      </c>
      <c r="G356" s="199"/>
      <c r="H356" s="199">
        <v>553739.3200000017</v>
      </c>
      <c r="I356" s="213">
        <v>10.268572132561292</v>
      </c>
      <c r="J356" s="214">
        <v>5686112.1500554569</v>
      </c>
      <c r="K356" s="206">
        <v>2092323.1342515887</v>
      </c>
      <c r="L356" s="215"/>
      <c r="M356" s="194" t="s">
        <v>515</v>
      </c>
    </row>
    <row r="357" spans="2:13">
      <c r="B357" s="211"/>
      <c r="C357" s="197" t="s">
        <v>1463</v>
      </c>
      <c r="D357" s="198">
        <v>100003</v>
      </c>
      <c r="E357" s="198" t="s">
        <v>1462</v>
      </c>
      <c r="F357" s="195">
        <v>0</v>
      </c>
      <c r="G357" s="199"/>
      <c r="H357" s="199">
        <v>0</v>
      </c>
      <c r="I357" s="213">
        <v>10.268572132561292</v>
      </c>
      <c r="J357" s="214">
        <v>0</v>
      </c>
      <c r="K357" s="206">
        <v>-6.4952362345864847</v>
      </c>
      <c r="L357" s="215"/>
      <c r="M357" s="194" t="s">
        <v>424</v>
      </c>
    </row>
    <row r="358" spans="2:13">
      <c r="B358" s="211"/>
      <c r="C358" s="197" t="s">
        <v>1464</v>
      </c>
      <c r="D358" s="198">
        <v>100003</v>
      </c>
      <c r="E358" s="198" t="s">
        <v>1465</v>
      </c>
      <c r="F358" s="195">
        <v>-35800.71</v>
      </c>
      <c r="G358" s="199"/>
      <c r="H358" s="199">
        <v>-35800.71</v>
      </c>
      <c r="I358" s="213">
        <v>10.268572132561292</v>
      </c>
      <c r="J358" s="214">
        <v>-367622.1730319084</v>
      </c>
      <c r="K358" s="206">
        <v>-281728.94340138714</v>
      </c>
      <c r="L358" s="215"/>
      <c r="M358" s="194" t="s">
        <v>420</v>
      </c>
    </row>
    <row r="359" spans="2:13">
      <c r="B359" s="211"/>
      <c r="C359" s="197" t="s">
        <v>1466</v>
      </c>
      <c r="D359" s="198">
        <v>100003</v>
      </c>
      <c r="E359" s="198" t="s">
        <v>1460</v>
      </c>
      <c r="F359" s="195">
        <v>-15940</v>
      </c>
      <c r="G359" s="199"/>
      <c r="H359" s="199">
        <v>-15940</v>
      </c>
      <c r="I359" s="213">
        <v>10.268572132561292</v>
      </c>
      <c r="J359" s="214">
        <v>-163681.03979302701</v>
      </c>
      <c r="K359" s="206">
        <v>-237729.7057080525</v>
      </c>
      <c r="L359" s="215"/>
      <c r="M359" s="194" t="s">
        <v>421</v>
      </c>
    </row>
    <row r="360" spans="2:13">
      <c r="B360" s="211"/>
      <c r="C360" s="197" t="s">
        <v>1467</v>
      </c>
      <c r="D360" s="198">
        <v>100003</v>
      </c>
      <c r="E360" s="198" t="s">
        <v>2836</v>
      </c>
      <c r="F360" s="195">
        <v>0</v>
      </c>
      <c r="G360" s="199"/>
      <c r="H360" s="199">
        <v>0</v>
      </c>
      <c r="I360" s="213">
        <v>10.268572132561292</v>
      </c>
      <c r="J360" s="214">
        <v>0</v>
      </c>
      <c r="K360" s="206">
        <v>1952923.6935300059</v>
      </c>
      <c r="L360" s="215"/>
      <c r="M360" s="194" t="s">
        <v>453</v>
      </c>
    </row>
    <row r="361" spans="2:13">
      <c r="B361" s="211"/>
      <c r="C361" s="197" t="s">
        <v>1468</v>
      </c>
      <c r="D361" s="198">
        <v>100003</v>
      </c>
      <c r="E361" s="198" t="s">
        <v>1454</v>
      </c>
      <c r="F361" s="195">
        <v>-88481.939999999988</v>
      </c>
      <c r="G361" s="199"/>
      <c r="H361" s="199">
        <v>-88481.939999999988</v>
      </c>
      <c r="I361" s="213">
        <v>10.268572132561292</v>
      </c>
      <c r="J361" s="214">
        <v>-908583.18331896025</v>
      </c>
      <c r="K361" s="206">
        <v>-885635.20343850728</v>
      </c>
      <c r="L361" s="215"/>
      <c r="M361" s="194" t="s">
        <v>410</v>
      </c>
    </row>
    <row r="362" spans="2:13">
      <c r="B362" s="211"/>
      <c r="C362" s="197" t="s">
        <v>1469</v>
      </c>
      <c r="D362" s="198">
        <v>100003</v>
      </c>
      <c r="E362" s="198" t="s">
        <v>1454</v>
      </c>
      <c r="F362" s="195">
        <v>-30000.15</v>
      </c>
      <c r="G362" s="199"/>
      <c r="H362" s="199">
        <v>-30000.15</v>
      </c>
      <c r="I362" s="213">
        <v>10.268572132561292</v>
      </c>
      <c r="J362" s="214">
        <v>-308058.70426265866</v>
      </c>
      <c r="K362" s="206">
        <v>-1230824.4316368727</v>
      </c>
      <c r="L362" s="215"/>
      <c r="M362" s="194" t="s">
        <v>410</v>
      </c>
    </row>
    <row r="363" spans="2:13">
      <c r="B363" s="211"/>
      <c r="C363" s="197" t="s">
        <v>1470</v>
      </c>
      <c r="D363" s="198">
        <v>100003</v>
      </c>
      <c r="E363" s="198" t="s">
        <v>1454</v>
      </c>
      <c r="F363" s="195">
        <v>-30073.689999999991</v>
      </c>
      <c r="G363" s="199"/>
      <c r="H363" s="199">
        <v>-30073.689999999991</v>
      </c>
      <c r="I363" s="213">
        <v>10.268572132561292</v>
      </c>
      <c r="J363" s="214">
        <v>-308813.85505728715</v>
      </c>
      <c r="K363" s="206">
        <v>-341462.99236104323</v>
      </c>
      <c r="L363" s="215"/>
      <c r="M363" s="194" t="s">
        <v>410</v>
      </c>
    </row>
    <row r="364" spans="2:13">
      <c r="B364" s="211"/>
      <c r="C364" s="197" t="s">
        <v>1471</v>
      </c>
      <c r="D364" s="198">
        <v>100003</v>
      </c>
      <c r="E364" s="198" t="s">
        <v>1472</v>
      </c>
      <c r="F364" s="195">
        <v>-4094349.01</v>
      </c>
      <c r="G364" s="199"/>
      <c r="H364" s="199">
        <v>-4094349.01</v>
      </c>
      <c r="I364" s="213">
        <v>7.005931328751088</v>
      </c>
      <c r="J364" s="214">
        <v>-28684728</v>
      </c>
      <c r="K364" s="206">
        <v>-28684728</v>
      </c>
      <c r="L364" s="215"/>
      <c r="M364" s="194" t="s">
        <v>365</v>
      </c>
    </row>
    <row r="365" spans="2:13">
      <c r="B365" s="211"/>
      <c r="C365" s="197" t="s">
        <v>1473</v>
      </c>
      <c r="D365" s="198">
        <v>100003</v>
      </c>
      <c r="E365" s="198" t="s">
        <v>1474</v>
      </c>
      <c r="F365" s="195">
        <v>15249746.052068001</v>
      </c>
      <c r="G365" s="199"/>
      <c r="H365" s="199">
        <v>15249746.052068001</v>
      </c>
      <c r="I365" s="213">
        <v>8.5875641220878443</v>
      </c>
      <c r="J365" s="214">
        <v>130958172.06768991</v>
      </c>
      <c r="K365" s="206">
        <v>127074132.28873527</v>
      </c>
      <c r="L365" s="215"/>
      <c r="M365" s="194" t="s">
        <v>380</v>
      </c>
    </row>
    <row r="366" spans="2:13">
      <c r="B366" s="211"/>
      <c r="C366" s="197" t="s">
        <v>1475</v>
      </c>
      <c r="D366" s="198">
        <v>100003</v>
      </c>
      <c r="E366" s="198" t="s">
        <v>1476</v>
      </c>
      <c r="F366" s="195">
        <v>-4254000.5199999996</v>
      </c>
      <c r="G366" s="199"/>
      <c r="H366" s="199">
        <v>-4254000.5199999996</v>
      </c>
      <c r="I366" s="213">
        <v>10.368938957069433</v>
      </c>
      <c r="J366" s="214">
        <v>-44109471.715221621</v>
      </c>
      <c r="K366" s="206">
        <v>-34397896.98320654</v>
      </c>
      <c r="L366" s="215"/>
      <c r="M366" s="194" t="s">
        <v>528</v>
      </c>
    </row>
    <row r="367" spans="2:13">
      <c r="B367" s="211"/>
      <c r="C367" s="197" t="s">
        <v>1477</v>
      </c>
      <c r="D367" s="198">
        <v>100003</v>
      </c>
      <c r="E367" s="198" t="s">
        <v>1478</v>
      </c>
      <c r="F367" s="195">
        <v>-245.83999999999997</v>
      </c>
      <c r="G367" s="199"/>
      <c r="H367" s="199">
        <v>-245.83999999999997</v>
      </c>
      <c r="I367" s="213">
        <v>10.368938957069433</v>
      </c>
      <c r="J367" s="214">
        <v>-2549.0999532059491</v>
      </c>
      <c r="K367" s="206">
        <v>-6718.5168092652475</v>
      </c>
      <c r="L367" s="215"/>
      <c r="M367" s="194" t="s">
        <v>531</v>
      </c>
    </row>
    <row r="368" spans="2:13">
      <c r="B368" s="211"/>
      <c r="C368" s="197" t="s">
        <v>1479</v>
      </c>
      <c r="D368" s="198">
        <v>100003</v>
      </c>
      <c r="E368" s="198" t="s">
        <v>1480</v>
      </c>
      <c r="F368" s="195">
        <v>190.17999999999995</v>
      </c>
      <c r="G368" s="199"/>
      <c r="H368" s="199">
        <v>190.17999999999995</v>
      </c>
      <c r="I368" s="213">
        <v>10.368938957069433</v>
      </c>
      <c r="J368" s="214">
        <v>1971.9648108554643</v>
      </c>
      <c r="K368" s="206">
        <v>-55127.064071605826</v>
      </c>
      <c r="L368" s="215"/>
      <c r="M368" s="194" t="s">
        <v>530</v>
      </c>
    </row>
    <row r="369" spans="2:13">
      <c r="B369" s="211"/>
      <c r="C369" s="197" t="s">
        <v>1481</v>
      </c>
      <c r="D369" s="198">
        <v>100003</v>
      </c>
      <c r="E369" s="198" t="s">
        <v>1482</v>
      </c>
      <c r="F369" s="195">
        <v>0</v>
      </c>
      <c r="G369" s="199"/>
      <c r="H369" s="199">
        <v>0</v>
      </c>
      <c r="I369" s="213">
        <v>10.368938957069433</v>
      </c>
      <c r="J369" s="214">
        <v>0</v>
      </c>
      <c r="K369" s="206">
        <v>0</v>
      </c>
      <c r="L369" s="215"/>
      <c r="M369" s="194" t="s">
        <v>555</v>
      </c>
    </row>
    <row r="370" spans="2:13">
      <c r="B370" s="211"/>
      <c r="C370" s="197" t="s">
        <v>1483</v>
      </c>
      <c r="D370" s="198">
        <v>100003</v>
      </c>
      <c r="E370" s="198" t="s">
        <v>1484</v>
      </c>
      <c r="F370" s="195">
        <v>13176</v>
      </c>
      <c r="G370" s="199"/>
      <c r="H370" s="199">
        <v>13176</v>
      </c>
      <c r="I370" s="213">
        <v>10.368938957069433</v>
      </c>
      <c r="J370" s="214">
        <v>136621.13969834684</v>
      </c>
      <c r="K370" s="206">
        <v>819291.22978753364</v>
      </c>
      <c r="L370" s="215"/>
      <c r="M370" s="194" t="s">
        <v>564</v>
      </c>
    </row>
    <row r="371" spans="2:13">
      <c r="B371" s="211"/>
      <c r="C371" s="197" t="s">
        <v>1485</v>
      </c>
      <c r="D371" s="198">
        <v>100003</v>
      </c>
      <c r="E371" s="198" t="s">
        <v>1486</v>
      </c>
      <c r="F371" s="195">
        <v>26069.67</v>
      </c>
      <c r="G371" s="199"/>
      <c r="H371" s="199">
        <v>26069.67</v>
      </c>
      <c r="I371" s="213">
        <v>10.368938957069433</v>
      </c>
      <c r="J371" s="214">
        <v>270314.81686094427</v>
      </c>
      <c r="K371" s="206">
        <v>484910.67611607036</v>
      </c>
      <c r="L371" s="215"/>
      <c r="M371" s="194" t="s">
        <v>362</v>
      </c>
    </row>
    <row r="372" spans="2:13">
      <c r="B372" s="211"/>
      <c r="C372" s="197" t="s">
        <v>1487</v>
      </c>
      <c r="D372" s="198">
        <v>100003</v>
      </c>
      <c r="E372" s="198" t="s">
        <v>1488</v>
      </c>
      <c r="F372" s="195">
        <v>11615.54</v>
      </c>
      <c r="G372" s="199"/>
      <c r="H372" s="199">
        <v>11615.54</v>
      </c>
      <c r="I372" s="213">
        <v>10.368938957069433</v>
      </c>
      <c r="J372" s="214">
        <v>120440.82521339829</v>
      </c>
      <c r="K372" s="206">
        <v>204460.77110673685</v>
      </c>
      <c r="L372" s="215"/>
      <c r="M372" s="194" t="s">
        <v>600</v>
      </c>
    </row>
    <row r="373" spans="2:13">
      <c r="B373" s="211"/>
      <c r="C373" s="197" t="s">
        <v>1489</v>
      </c>
      <c r="D373" s="198">
        <v>100003</v>
      </c>
      <c r="E373" s="198" t="s">
        <v>1490</v>
      </c>
      <c r="F373" s="195">
        <v>13454.490000000002</v>
      </c>
      <c r="G373" s="199"/>
      <c r="H373" s="199">
        <v>13454.490000000002</v>
      </c>
      <c r="I373" s="213">
        <v>10.368938957069433</v>
      </c>
      <c r="J373" s="214">
        <v>139508.78550850114</v>
      </c>
      <c r="K373" s="206">
        <v>189513.05857795844</v>
      </c>
      <c r="L373" s="215"/>
      <c r="M373" s="194" t="s">
        <v>595</v>
      </c>
    </row>
    <row r="374" spans="2:13">
      <c r="B374" s="211"/>
      <c r="C374" s="197" t="s">
        <v>1491</v>
      </c>
      <c r="D374" s="198">
        <v>100003</v>
      </c>
      <c r="E374" s="198" t="s">
        <v>1492</v>
      </c>
      <c r="F374" s="195">
        <v>39011.419999999991</v>
      </c>
      <c r="G374" s="199"/>
      <c r="H374" s="199">
        <v>39011.419999999991</v>
      </c>
      <c r="I374" s="213">
        <v>10.368938957069433</v>
      </c>
      <c r="J374" s="214">
        <v>404507.03260859754</v>
      </c>
      <c r="K374" s="206">
        <v>914242.69021337689</v>
      </c>
      <c r="L374" s="215"/>
      <c r="M374" s="194" t="s">
        <v>619</v>
      </c>
    </row>
    <row r="375" spans="2:13">
      <c r="B375" s="211"/>
      <c r="C375" s="197" t="s">
        <v>1493</v>
      </c>
      <c r="D375" s="198">
        <v>100003</v>
      </c>
      <c r="E375" s="198" t="s">
        <v>1494</v>
      </c>
      <c r="F375" s="195"/>
      <c r="G375" s="199"/>
      <c r="H375" s="199">
        <v>0</v>
      </c>
      <c r="I375" s="213">
        <v>10.368938957069433</v>
      </c>
      <c r="J375" s="214">
        <v>0</v>
      </c>
      <c r="K375" s="206">
        <v>87524.130319216696</v>
      </c>
      <c r="L375" s="215"/>
      <c r="M375" s="194" t="s">
        <v>597</v>
      </c>
    </row>
    <row r="376" spans="2:13">
      <c r="B376" s="211"/>
      <c r="C376" s="197" t="s">
        <v>1495</v>
      </c>
      <c r="D376" s="198">
        <v>100003</v>
      </c>
      <c r="E376" s="198" t="s">
        <v>1496</v>
      </c>
      <c r="F376" s="195">
        <v>0</v>
      </c>
      <c r="G376" s="199"/>
      <c r="H376" s="199">
        <v>0</v>
      </c>
      <c r="I376" s="213">
        <v>10.368938957069433</v>
      </c>
      <c r="J376" s="214">
        <v>0</v>
      </c>
      <c r="K376" s="206">
        <v>0</v>
      </c>
      <c r="L376" s="215"/>
      <c r="M376" s="194" t="s">
        <v>598</v>
      </c>
    </row>
    <row r="377" spans="2:13">
      <c r="B377" s="211"/>
      <c r="C377" s="197" t="s">
        <v>1497</v>
      </c>
      <c r="D377" s="198">
        <v>100003</v>
      </c>
      <c r="E377" s="198" t="s">
        <v>1498</v>
      </c>
      <c r="F377" s="195">
        <v>1200</v>
      </c>
      <c r="G377" s="199"/>
      <c r="H377" s="199">
        <v>1200</v>
      </c>
      <c r="I377" s="213">
        <v>10.368938957069433</v>
      </c>
      <c r="J377" s="214">
        <v>12442.726748483321</v>
      </c>
      <c r="K377" s="206">
        <v>13962.834055239218</v>
      </c>
      <c r="L377" s="215"/>
      <c r="M377" s="194" t="s">
        <v>599</v>
      </c>
    </row>
    <row r="378" spans="2:13">
      <c r="B378" s="211"/>
      <c r="C378" s="197" t="s">
        <v>328</v>
      </c>
      <c r="D378" s="198">
        <v>100003</v>
      </c>
      <c r="E378" s="198" t="s">
        <v>1499</v>
      </c>
      <c r="F378" s="195">
        <v>180650</v>
      </c>
      <c r="G378" s="199"/>
      <c r="H378" s="199">
        <v>180650</v>
      </c>
      <c r="I378" s="213">
        <v>10.368938957069433</v>
      </c>
      <c r="J378" s="214">
        <v>1873148.822594593</v>
      </c>
      <c r="K378" s="206">
        <v>2375676.4799699872</v>
      </c>
      <c r="L378" s="215"/>
      <c r="M378" s="194" t="s">
        <v>596</v>
      </c>
    </row>
    <row r="379" spans="2:13">
      <c r="B379" s="211"/>
      <c r="C379" s="197" t="s">
        <v>1500</v>
      </c>
      <c r="D379" s="198">
        <v>100003</v>
      </c>
      <c r="E379" s="198" t="s">
        <v>1501</v>
      </c>
      <c r="F379" s="195">
        <v>900</v>
      </c>
      <c r="G379" s="199"/>
      <c r="H379" s="199">
        <v>900</v>
      </c>
      <c r="I379" s="213">
        <v>10.368938957069433</v>
      </c>
      <c r="J379" s="214">
        <v>9332.0450613624907</v>
      </c>
      <c r="K379" s="206">
        <v>100920.97092257389</v>
      </c>
      <c r="L379" s="215"/>
      <c r="M379" s="194" t="s">
        <v>605</v>
      </c>
    </row>
    <row r="380" spans="2:13">
      <c r="B380" s="211"/>
      <c r="C380" s="197" t="s">
        <v>1502</v>
      </c>
      <c r="D380" s="198">
        <v>100003</v>
      </c>
      <c r="E380" s="198" t="s">
        <v>1503</v>
      </c>
      <c r="F380" s="195">
        <v>29487.230000000003</v>
      </c>
      <c r="G380" s="199"/>
      <c r="H380" s="199">
        <v>29487.230000000003</v>
      </c>
      <c r="I380" s="213">
        <v>10.368938957069433</v>
      </c>
      <c r="J380" s="214">
        <v>305751.28788306657</v>
      </c>
      <c r="K380" s="206">
        <v>456494.71306119516</v>
      </c>
      <c r="L380" s="215"/>
      <c r="M380" s="194" t="s">
        <v>593</v>
      </c>
    </row>
    <row r="381" spans="2:13">
      <c r="B381" s="211"/>
      <c r="C381" s="197" t="s">
        <v>1504</v>
      </c>
      <c r="D381" s="198">
        <v>100003</v>
      </c>
      <c r="E381" s="198" t="s">
        <v>1505</v>
      </c>
      <c r="F381" s="195">
        <v>161935.46</v>
      </c>
      <c r="G381" s="199"/>
      <c r="H381" s="199">
        <v>161935.46</v>
      </c>
      <c r="I381" s="213">
        <v>10.368938957069433</v>
      </c>
      <c r="J381" s="214">
        <v>1679098.8997249589</v>
      </c>
      <c r="K381" s="206">
        <v>2917008.5748745846</v>
      </c>
      <c r="L381" s="215"/>
      <c r="M381" s="194" t="s">
        <v>592</v>
      </c>
    </row>
    <row r="382" spans="2:13">
      <c r="B382" s="211"/>
      <c r="C382" s="197" t="s">
        <v>1506</v>
      </c>
      <c r="D382" s="198">
        <v>100003</v>
      </c>
      <c r="E382" s="198" t="s">
        <v>1507</v>
      </c>
      <c r="F382" s="195">
        <v>0</v>
      </c>
      <c r="G382" s="199"/>
      <c r="H382" s="199">
        <v>0</v>
      </c>
      <c r="I382" s="213">
        <v>10.368938957069433</v>
      </c>
      <c r="J382" s="214">
        <v>0</v>
      </c>
      <c r="K382" s="206">
        <v>0</v>
      </c>
      <c r="L382" s="215"/>
      <c r="M382" s="194" t="s">
        <v>580</v>
      </c>
    </row>
    <row r="383" spans="2:13">
      <c r="B383" s="211"/>
      <c r="C383" s="197" t="s">
        <v>1508</v>
      </c>
      <c r="D383" s="198">
        <v>100003</v>
      </c>
      <c r="E383" s="198" t="s">
        <v>1509</v>
      </c>
      <c r="F383" s="195">
        <v>4858</v>
      </c>
      <c r="G383" s="199"/>
      <c r="H383" s="199">
        <v>4858</v>
      </c>
      <c r="I383" s="213">
        <v>10.368938957069433</v>
      </c>
      <c r="J383" s="214">
        <v>50372.30545344331</v>
      </c>
      <c r="K383" s="206">
        <v>318770.00546317687</v>
      </c>
      <c r="L383" s="215"/>
      <c r="M383" s="194" t="s">
        <v>615</v>
      </c>
    </row>
    <row r="384" spans="2:13">
      <c r="B384" s="211"/>
      <c r="C384" s="197" t="s">
        <v>1510</v>
      </c>
      <c r="D384" s="198">
        <v>100003</v>
      </c>
      <c r="E384" s="198" t="s">
        <v>1511</v>
      </c>
      <c r="F384" s="195">
        <v>0</v>
      </c>
      <c r="G384" s="199"/>
      <c r="H384" s="199">
        <v>0</v>
      </c>
      <c r="I384" s="213">
        <v>10.368938957069433</v>
      </c>
      <c r="J384" s="214">
        <v>0</v>
      </c>
      <c r="K384" s="206">
        <v>0</v>
      </c>
      <c r="L384" s="215"/>
      <c r="M384" s="194" t="s">
        <v>594</v>
      </c>
    </row>
    <row r="385" spans="2:13">
      <c r="B385" s="211"/>
      <c r="C385" s="197" t="s">
        <v>1512</v>
      </c>
      <c r="D385" s="198">
        <v>100003</v>
      </c>
      <c r="E385" s="198" t="s">
        <v>1511</v>
      </c>
      <c r="F385" s="195">
        <v>0</v>
      </c>
      <c r="G385" s="199"/>
      <c r="H385" s="199">
        <v>0</v>
      </c>
      <c r="I385" s="213">
        <v>10.368938957069433</v>
      </c>
      <c r="J385" s="214">
        <v>0</v>
      </c>
      <c r="K385" s="206">
        <v>0</v>
      </c>
      <c r="L385" s="215"/>
      <c r="M385" s="194" t="s">
        <v>594</v>
      </c>
    </row>
    <row r="386" spans="2:13">
      <c r="B386" s="211"/>
      <c r="C386" s="197" t="s">
        <v>1513</v>
      </c>
      <c r="D386" s="198">
        <v>100003</v>
      </c>
      <c r="E386" s="198" t="s">
        <v>1514</v>
      </c>
      <c r="F386" s="195">
        <v>15841.5</v>
      </c>
      <c r="G386" s="199"/>
      <c r="H386" s="199">
        <v>15841.5</v>
      </c>
      <c r="I386" s="213">
        <v>10.368938957069433</v>
      </c>
      <c r="J386" s="214">
        <v>164259.54648841542</v>
      </c>
      <c r="K386" s="206">
        <v>44974.587695512426</v>
      </c>
      <c r="L386" s="215"/>
      <c r="M386" s="194" t="s">
        <v>571</v>
      </c>
    </row>
    <row r="387" spans="2:13">
      <c r="B387" s="211"/>
      <c r="C387" s="197" t="s">
        <v>1515</v>
      </c>
      <c r="D387" s="198">
        <v>100003</v>
      </c>
      <c r="E387" s="198" t="s">
        <v>1492</v>
      </c>
      <c r="F387" s="195">
        <v>0</v>
      </c>
      <c r="G387" s="199"/>
      <c r="H387" s="199">
        <v>0</v>
      </c>
      <c r="I387" s="213">
        <v>10.368938957069433</v>
      </c>
      <c r="J387" s="214">
        <v>0</v>
      </c>
      <c r="K387" s="206">
        <v>132847.38992799423</v>
      </c>
      <c r="L387" s="215"/>
      <c r="M387" s="194" t="s">
        <v>619</v>
      </c>
    </row>
    <row r="388" spans="2:13">
      <c r="B388" s="211"/>
      <c r="C388" s="197" t="s">
        <v>1516</v>
      </c>
      <c r="D388" s="198">
        <v>100003</v>
      </c>
      <c r="E388" s="198" t="s">
        <v>1488</v>
      </c>
      <c r="F388" s="195">
        <v>14901.74</v>
      </c>
      <c r="G388" s="199"/>
      <c r="H388" s="199">
        <v>14901.74</v>
      </c>
      <c r="I388" s="213">
        <v>10.368938957069433</v>
      </c>
      <c r="J388" s="214">
        <v>154515.23241411985</v>
      </c>
      <c r="K388" s="206">
        <v>241499.68180148304</v>
      </c>
      <c r="L388" s="215"/>
      <c r="M388" s="194" t="s">
        <v>600</v>
      </c>
    </row>
    <row r="389" spans="2:13">
      <c r="B389" s="211"/>
      <c r="C389" s="197" t="s">
        <v>347</v>
      </c>
      <c r="D389" s="198">
        <v>100003</v>
      </c>
      <c r="E389" s="198" t="s">
        <v>1517</v>
      </c>
      <c r="F389" s="195">
        <v>-1249.6999999999998</v>
      </c>
      <c r="G389" s="199"/>
      <c r="H389" s="199">
        <v>-1249.6999999999998</v>
      </c>
      <c r="I389" s="213">
        <v>10.368938957069433</v>
      </c>
      <c r="J389" s="214">
        <v>-12958.06301464967</v>
      </c>
      <c r="K389" s="206">
        <v>420713.95344935503</v>
      </c>
      <c r="L389" s="215"/>
      <c r="M389" s="194" t="s">
        <v>614</v>
      </c>
    </row>
    <row r="390" spans="2:13">
      <c r="B390" s="211"/>
      <c r="C390" s="197" t="s">
        <v>1518</v>
      </c>
      <c r="D390" s="198">
        <v>100003</v>
      </c>
      <c r="E390" s="198" t="s">
        <v>1519</v>
      </c>
      <c r="F390" s="195">
        <v>-42397.430000000008</v>
      </c>
      <c r="G390" s="199"/>
      <c r="H390" s="199">
        <v>-42397.430000000008</v>
      </c>
      <c r="I390" s="213">
        <v>10.368938957069433</v>
      </c>
      <c r="J390" s="214">
        <v>-439616.36360662436</v>
      </c>
      <c r="K390" s="206">
        <v>2421222.247312888</v>
      </c>
      <c r="L390" s="215"/>
      <c r="M390" s="194" t="s">
        <v>616</v>
      </c>
    </row>
    <row r="391" spans="2:13">
      <c r="B391" s="211"/>
      <c r="C391" s="197" t="s">
        <v>1520</v>
      </c>
      <c r="D391" s="198">
        <v>100003</v>
      </c>
      <c r="E391" s="198" t="s">
        <v>1521</v>
      </c>
      <c r="F391" s="195">
        <v>21500</v>
      </c>
      <c r="G391" s="199"/>
      <c r="H391" s="199">
        <v>21500</v>
      </c>
      <c r="I391" s="213">
        <v>10.368938957069433</v>
      </c>
      <c r="J391" s="214">
        <v>222932.18757699282</v>
      </c>
      <c r="K391" s="206">
        <v>641688.06972057838</v>
      </c>
      <c r="L391" s="215"/>
      <c r="M391" s="194" t="s">
        <v>608</v>
      </c>
    </row>
    <row r="392" spans="2:13">
      <c r="B392" s="211"/>
      <c r="C392" s="197" t="s">
        <v>1522</v>
      </c>
      <c r="D392" s="198">
        <v>100003</v>
      </c>
      <c r="E392" s="198" t="s">
        <v>1523</v>
      </c>
      <c r="F392" s="195">
        <v>323535.80000000005</v>
      </c>
      <c r="G392" s="199"/>
      <c r="H392" s="199">
        <v>323535.80000000005</v>
      </c>
      <c r="I392" s="213">
        <v>10.368938957069433</v>
      </c>
      <c r="J392" s="214">
        <v>3354722.9606266255</v>
      </c>
      <c r="K392" s="206">
        <v>-108683.98682861135</v>
      </c>
      <c r="L392" s="215"/>
      <c r="M392" s="194" t="s">
        <v>620</v>
      </c>
    </row>
    <row r="393" spans="2:13">
      <c r="B393" s="211"/>
      <c r="C393" s="197" t="s">
        <v>1524</v>
      </c>
      <c r="D393" s="198">
        <v>100003</v>
      </c>
      <c r="E393" s="198" t="s">
        <v>1525</v>
      </c>
      <c r="F393" s="195">
        <v>1167.1999999999998</v>
      </c>
      <c r="G393" s="199"/>
      <c r="H393" s="199">
        <v>1167.1999999999998</v>
      </c>
      <c r="I393" s="213">
        <v>10.368938957069433</v>
      </c>
      <c r="J393" s="214">
        <v>12102.62555069144</v>
      </c>
      <c r="K393" s="206">
        <v>35651.802865887126</v>
      </c>
      <c r="L393" s="215"/>
      <c r="M393" s="194" t="s">
        <v>607</v>
      </c>
    </row>
    <row r="394" spans="2:13">
      <c r="B394" s="211"/>
      <c r="C394" s="197" t="s">
        <v>1526</v>
      </c>
      <c r="D394" s="198">
        <v>100003</v>
      </c>
      <c r="E394" s="198" t="s">
        <v>1527</v>
      </c>
      <c r="F394" s="195">
        <v>0</v>
      </c>
      <c r="G394" s="199"/>
      <c r="H394" s="199">
        <v>0</v>
      </c>
      <c r="I394" s="213">
        <v>10.368938957069433</v>
      </c>
      <c r="J394" s="214">
        <v>0</v>
      </c>
      <c r="K394" s="206">
        <v>0</v>
      </c>
      <c r="L394" s="215"/>
      <c r="M394" s="194" t="s">
        <v>602</v>
      </c>
    </row>
    <row r="395" spans="2:13">
      <c r="B395" s="211"/>
      <c r="C395" s="197" t="s">
        <v>1528</v>
      </c>
      <c r="D395" s="198">
        <v>100003</v>
      </c>
      <c r="E395" s="198" t="s">
        <v>1529</v>
      </c>
      <c r="F395" s="195">
        <v>1654304.53</v>
      </c>
      <c r="G395" s="199"/>
      <c r="H395" s="199">
        <v>1654304.53</v>
      </c>
      <c r="I395" s="213">
        <v>10.148806616521746</v>
      </c>
      <c r="J395" s="214">
        <v>16789216.759805899</v>
      </c>
      <c r="K395" s="206">
        <v>469182.70243523573</v>
      </c>
      <c r="L395" s="215"/>
      <c r="M395" s="194" t="s">
        <v>549</v>
      </c>
    </row>
    <row r="396" spans="2:13">
      <c r="B396" s="211"/>
      <c r="C396" s="197" t="s">
        <v>1530</v>
      </c>
      <c r="D396" s="198">
        <v>100003</v>
      </c>
      <c r="E396" s="198" t="s">
        <v>1531</v>
      </c>
      <c r="F396" s="195">
        <v>2180175.0099999998</v>
      </c>
      <c r="G396" s="199"/>
      <c r="H396" s="199">
        <v>2180175.0099999998</v>
      </c>
      <c r="I396" s="213">
        <v>10.535974137232223</v>
      </c>
      <c r="J396" s="214">
        <v>22970267.520000003</v>
      </c>
      <c r="K396" s="206">
        <v>41951126.520000003</v>
      </c>
      <c r="L396" s="215"/>
      <c r="M396" s="194" t="s">
        <v>548</v>
      </c>
    </row>
    <row r="397" spans="2:13">
      <c r="B397" s="211"/>
      <c r="C397" s="197" t="s">
        <v>1532</v>
      </c>
      <c r="D397" s="198">
        <v>100003</v>
      </c>
      <c r="E397" s="198" t="s">
        <v>1533</v>
      </c>
      <c r="F397" s="195"/>
      <c r="G397" s="199"/>
      <c r="H397" s="199">
        <v>0</v>
      </c>
      <c r="I397" s="213"/>
      <c r="J397" s="214">
        <v>0</v>
      </c>
      <c r="K397" s="206">
        <v>-16789216.759805933</v>
      </c>
      <c r="L397" s="215"/>
      <c r="M397" s="194" t="s">
        <v>552</v>
      </c>
    </row>
    <row r="398" spans="2:13">
      <c r="B398" s="211"/>
      <c r="C398" s="197" t="s">
        <v>1534</v>
      </c>
      <c r="D398" s="198">
        <v>100003</v>
      </c>
      <c r="E398" s="198" t="s">
        <v>1535</v>
      </c>
      <c r="F398" s="195"/>
      <c r="G398" s="199"/>
      <c r="H398" s="199">
        <v>0</v>
      </c>
      <c r="I398" s="213"/>
      <c r="J398" s="214">
        <v>1296274</v>
      </c>
      <c r="K398" s="206">
        <v>4228170</v>
      </c>
      <c r="L398" s="215"/>
      <c r="M398" s="194" t="s">
        <v>379</v>
      </c>
    </row>
    <row r="399" spans="2:13">
      <c r="B399" s="211"/>
      <c r="C399" s="197" t="s">
        <v>1536</v>
      </c>
      <c r="D399" s="198">
        <v>100003</v>
      </c>
      <c r="E399" s="198" t="s">
        <v>1537</v>
      </c>
      <c r="F399" s="195"/>
      <c r="G399" s="199"/>
      <c r="H399" s="199">
        <v>0</v>
      </c>
      <c r="I399" s="213"/>
      <c r="J399" s="214">
        <v>10940531.279999999</v>
      </c>
      <c r="K399" s="206">
        <v>6712361.0199999996</v>
      </c>
      <c r="L399" s="215"/>
      <c r="M399" s="194" t="s">
        <v>378</v>
      </c>
    </row>
    <row r="400" spans="2:13">
      <c r="B400" s="211"/>
      <c r="C400" s="197"/>
      <c r="D400" s="198">
        <v>100003</v>
      </c>
      <c r="E400" s="198" t="s">
        <v>1538</v>
      </c>
      <c r="F400" s="195"/>
      <c r="G400" s="199"/>
      <c r="H400" s="199">
        <v>0</v>
      </c>
      <c r="I400" s="213"/>
      <c r="J400" s="214">
        <v>0</v>
      </c>
      <c r="K400" s="214">
        <v>0</v>
      </c>
      <c r="L400" s="215"/>
      <c r="M400" s="194"/>
    </row>
    <row r="401" spans="1:13">
      <c r="B401" s="211"/>
      <c r="C401" s="197"/>
      <c r="D401" s="198">
        <v>100003</v>
      </c>
      <c r="E401" s="198" t="s">
        <v>1538</v>
      </c>
      <c r="F401" s="195"/>
      <c r="G401" s="199"/>
      <c r="H401" s="199">
        <v>0</v>
      </c>
      <c r="I401" s="213"/>
      <c r="J401" s="214">
        <v>0</v>
      </c>
      <c r="K401" s="214">
        <v>0</v>
      </c>
      <c r="L401" s="215"/>
      <c r="M401" s="194"/>
    </row>
    <row r="402" spans="1:13">
      <c r="B402" s="211"/>
      <c r="C402" s="197"/>
      <c r="D402" s="198">
        <v>100003</v>
      </c>
      <c r="E402" s="198" t="s">
        <v>1538</v>
      </c>
      <c r="F402" s="195"/>
      <c r="G402" s="199"/>
      <c r="H402" s="199">
        <v>0</v>
      </c>
      <c r="I402" s="213"/>
      <c r="J402" s="214">
        <v>0</v>
      </c>
      <c r="K402" s="214">
        <v>0</v>
      </c>
      <c r="L402" s="215"/>
      <c r="M402" s="194"/>
    </row>
    <row r="403" spans="1:13">
      <c r="B403" s="211"/>
      <c r="C403" s="197"/>
      <c r="D403" s="198">
        <v>100003</v>
      </c>
      <c r="E403" s="198" t="s">
        <v>1538</v>
      </c>
      <c r="F403" s="195"/>
      <c r="G403" s="199"/>
      <c r="H403" s="199">
        <v>0</v>
      </c>
      <c r="I403" s="213"/>
      <c r="J403" s="214">
        <v>0</v>
      </c>
      <c r="K403" s="214">
        <v>0</v>
      </c>
      <c r="L403" s="215"/>
      <c r="M403" s="194"/>
    </row>
    <row r="404" spans="1:13">
      <c r="B404" s="211"/>
      <c r="C404" s="197"/>
      <c r="D404" s="198">
        <v>100003</v>
      </c>
      <c r="E404" s="198" t="s">
        <v>1538</v>
      </c>
      <c r="F404" s="195"/>
      <c r="G404" s="199"/>
      <c r="H404" s="199">
        <v>0</v>
      </c>
      <c r="I404" s="213"/>
      <c r="J404" s="214">
        <v>0</v>
      </c>
      <c r="K404" s="214">
        <v>0</v>
      </c>
      <c r="L404" s="215"/>
      <c r="M404" s="194"/>
    </row>
    <row r="405" spans="1:13">
      <c r="B405" s="211"/>
      <c r="C405" s="197"/>
      <c r="D405" s="198">
        <v>100003</v>
      </c>
      <c r="E405" s="198" t="s">
        <v>1538</v>
      </c>
      <c r="F405" s="290"/>
      <c r="G405" s="199"/>
      <c r="H405" s="199">
        <v>0</v>
      </c>
      <c r="I405" s="213"/>
      <c r="J405" s="214">
        <v>0</v>
      </c>
      <c r="K405" s="214">
        <v>0</v>
      </c>
      <c r="L405" s="215"/>
      <c r="M405" s="194"/>
    </row>
    <row r="406" spans="1:13">
      <c r="B406" s="211"/>
      <c r="C406" s="262"/>
      <c r="D406" s="262"/>
      <c r="E406" s="262"/>
      <c r="F406" s="265">
        <v>0</v>
      </c>
      <c r="G406" s="264"/>
      <c r="H406" s="265">
        <v>0</v>
      </c>
      <c r="I406" s="264"/>
      <c r="J406" s="291">
        <v>0</v>
      </c>
      <c r="K406" s="291">
        <v>0</v>
      </c>
      <c r="L406" s="215"/>
      <c r="M406" s="194"/>
    </row>
    <row r="407" spans="1:13">
      <c r="B407" s="211"/>
      <c r="C407" s="208"/>
      <c r="D407" s="208"/>
      <c r="E407" s="208"/>
      <c r="F407" s="244"/>
      <c r="G407" s="244"/>
      <c r="H407" s="244"/>
      <c r="I407" s="244"/>
      <c r="J407" s="245"/>
      <c r="K407" s="245"/>
      <c r="L407" s="215"/>
      <c r="M407" s="194"/>
    </row>
    <row r="408" spans="1:13" ht="13.5" thickBot="1">
      <c r="B408" s="266"/>
      <c r="C408" s="267"/>
      <c r="D408" s="267"/>
      <c r="E408" s="267"/>
      <c r="F408" s="268"/>
      <c r="G408" s="268"/>
      <c r="H408" s="268"/>
      <c r="I408" s="268"/>
      <c r="J408" s="269"/>
      <c r="K408" s="269"/>
      <c r="L408" s="280"/>
      <c r="M408" s="194"/>
    </row>
    <row r="409" spans="1:13" s="284" customFormat="1" ht="14.25" thickTop="1" thickBot="1">
      <c r="A409" s="283"/>
      <c r="F409" s="285"/>
      <c r="G409" s="285"/>
      <c r="H409" s="285"/>
      <c r="I409" s="285"/>
      <c r="J409" s="286"/>
      <c r="K409" s="286"/>
      <c r="M409" s="212"/>
    </row>
    <row r="410" spans="1:13" ht="13.5" thickTop="1">
      <c r="B410" s="238"/>
      <c r="C410" s="239"/>
      <c r="D410" s="239"/>
      <c r="E410" s="239"/>
      <c r="F410" s="240"/>
      <c r="G410" s="240"/>
      <c r="H410" s="240"/>
      <c r="I410" s="240"/>
      <c r="J410" s="241"/>
      <c r="K410" s="241"/>
      <c r="L410" s="271"/>
      <c r="M410" s="194"/>
    </row>
    <row r="411" spans="1:13">
      <c r="B411" s="211"/>
      <c r="C411" s="208" t="s">
        <v>632</v>
      </c>
      <c r="D411" s="208"/>
      <c r="E411" s="243">
        <v>100004</v>
      </c>
      <c r="F411" s="244"/>
      <c r="G411" s="244"/>
      <c r="H411" s="243">
        <v>100004</v>
      </c>
      <c r="I411" s="244"/>
      <c r="J411" s="245"/>
      <c r="K411" s="245">
        <v>100004</v>
      </c>
      <c r="L411" s="215"/>
      <c r="M411" s="194"/>
    </row>
    <row r="412" spans="1:13" s="210" customFormat="1">
      <c r="A412" s="196"/>
      <c r="B412" s="247"/>
      <c r="C412" s="248" t="s">
        <v>2</v>
      </c>
      <c r="D412" s="248"/>
      <c r="E412" s="193" t="s">
        <v>763</v>
      </c>
      <c r="F412" s="249"/>
      <c r="G412" s="249"/>
      <c r="H412" s="193" t="s">
        <v>763</v>
      </c>
      <c r="I412" s="249"/>
      <c r="J412" s="250"/>
      <c r="K412" s="251" t="s">
        <v>763</v>
      </c>
      <c r="L412" s="281"/>
    </row>
    <row r="413" spans="1:13">
      <c r="A413" s="237">
        <v>100004</v>
      </c>
      <c r="B413" s="211"/>
      <c r="C413" s="208" t="s">
        <v>634</v>
      </c>
      <c r="D413" s="208"/>
      <c r="E413" s="253" t="s">
        <v>1004</v>
      </c>
      <c r="F413" s="244"/>
      <c r="G413" s="244"/>
      <c r="H413" s="253" t="s">
        <v>1004</v>
      </c>
      <c r="I413" s="244"/>
      <c r="J413" s="245"/>
      <c r="K413" s="245" t="s">
        <v>1004</v>
      </c>
      <c r="L413" s="215"/>
      <c r="M413" s="194"/>
    </row>
    <row r="414" spans="1:13">
      <c r="B414" s="211"/>
      <c r="C414" s="208"/>
      <c r="D414" s="208"/>
      <c r="E414" s="208"/>
      <c r="F414" s="254">
        <v>-6.5192580223083496E-9</v>
      </c>
      <c r="G414" s="244"/>
      <c r="H414" s="244"/>
      <c r="I414" s="244"/>
      <c r="J414" s="255" t="s">
        <v>2833</v>
      </c>
      <c r="K414" s="255" t="s">
        <v>1021</v>
      </c>
      <c r="L414" s="215"/>
      <c r="M414" s="194"/>
    </row>
    <row r="415" spans="1:13" ht="25.5">
      <c r="B415" s="211"/>
      <c r="C415" s="256" t="s">
        <v>3</v>
      </c>
      <c r="D415" s="256" t="s">
        <v>1</v>
      </c>
      <c r="E415" s="256" t="s">
        <v>635</v>
      </c>
      <c r="F415" s="257" t="s">
        <v>1424</v>
      </c>
      <c r="G415" s="257" t="s">
        <v>636</v>
      </c>
      <c r="H415" s="257" t="s">
        <v>1424</v>
      </c>
      <c r="I415" s="282" t="s">
        <v>637</v>
      </c>
      <c r="J415" s="259" t="s">
        <v>638</v>
      </c>
      <c r="K415" s="259" t="s">
        <v>638</v>
      </c>
      <c r="L415" s="203"/>
      <c r="M415" s="194"/>
    </row>
    <row r="416" spans="1:13">
      <c r="B416" s="211"/>
      <c r="C416" s="197" t="s">
        <v>658</v>
      </c>
      <c r="D416" s="198">
        <v>100004</v>
      </c>
      <c r="E416" s="198" t="s">
        <v>1539</v>
      </c>
      <c r="F416" s="199">
        <v>7494.2500000000036</v>
      </c>
      <c r="G416" s="199"/>
      <c r="H416" s="199">
        <v>7494.2500000000036</v>
      </c>
      <c r="I416" s="216">
        <v>10.268572132561292</v>
      </c>
      <c r="J416" s="201">
        <v>76955.246704447505</v>
      </c>
      <c r="K416" s="202">
        <v>52463.951339910782</v>
      </c>
      <c r="L416" s="203"/>
      <c r="M416" s="194" t="s">
        <v>496</v>
      </c>
    </row>
    <row r="417" spans="2:13">
      <c r="B417" s="211"/>
      <c r="C417" s="197" t="s">
        <v>1426</v>
      </c>
      <c r="D417" s="198">
        <v>100004</v>
      </c>
      <c r="E417" s="198" t="s">
        <v>1539</v>
      </c>
      <c r="F417" s="199">
        <v>78205.920000000042</v>
      </c>
      <c r="G417" s="199"/>
      <c r="H417" s="199">
        <v>78205.920000000042</v>
      </c>
      <c r="I417" s="216">
        <v>10.268572132561292</v>
      </c>
      <c r="J417" s="201">
        <v>803063.13071331824</v>
      </c>
      <c r="K417" s="202">
        <v>270230.85294519388</v>
      </c>
      <c r="L417" s="203"/>
      <c r="M417" s="194" t="s">
        <v>496</v>
      </c>
    </row>
    <row r="418" spans="2:13">
      <c r="B418" s="211"/>
      <c r="C418" s="197" t="s">
        <v>1540</v>
      </c>
      <c r="D418" s="198">
        <v>100004</v>
      </c>
      <c r="E418" s="198" t="s">
        <v>1539</v>
      </c>
      <c r="F418" s="199">
        <v>602.50999999990222</v>
      </c>
      <c r="G418" s="199"/>
      <c r="H418" s="199">
        <v>602.50999999990222</v>
      </c>
      <c r="I418" s="216">
        <v>10.268572132561292</v>
      </c>
      <c r="J418" s="201">
        <v>6186.9173955884999</v>
      </c>
      <c r="K418" s="202">
        <v>5081.2030086929599</v>
      </c>
      <c r="L418" s="203"/>
      <c r="M418" s="194" t="s">
        <v>496</v>
      </c>
    </row>
    <row r="419" spans="2:13">
      <c r="B419" s="211"/>
      <c r="C419" s="197" t="s">
        <v>1541</v>
      </c>
      <c r="D419" s="198">
        <v>100004</v>
      </c>
      <c r="E419" s="198" t="s">
        <v>1539</v>
      </c>
      <c r="F419" s="199">
        <v>1345.8199999994977</v>
      </c>
      <c r="G419" s="199"/>
      <c r="H419" s="199">
        <v>1345.8199999994977</v>
      </c>
      <c r="I419" s="216">
        <v>10.268572132561292</v>
      </c>
      <c r="J419" s="201">
        <v>13819.64974743848</v>
      </c>
      <c r="K419" s="202">
        <v>8657.5409722863424</v>
      </c>
      <c r="L419" s="203"/>
      <c r="M419" s="194" t="s">
        <v>496</v>
      </c>
    </row>
    <row r="420" spans="2:13">
      <c r="B420" s="211"/>
      <c r="C420" s="197" t="s">
        <v>1542</v>
      </c>
      <c r="D420" s="198">
        <v>100004</v>
      </c>
      <c r="E420" s="198" t="s">
        <v>1539</v>
      </c>
      <c r="F420" s="199">
        <v>91643.38999999949</v>
      </c>
      <c r="G420" s="199"/>
      <c r="H420" s="199">
        <v>91643.38999999949</v>
      </c>
      <c r="I420" s="216">
        <v>10.268572132561292</v>
      </c>
      <c r="J420" s="201">
        <v>941046.76068744098</v>
      </c>
      <c r="K420" s="202">
        <v>366666.74168864085</v>
      </c>
      <c r="L420" s="203"/>
      <c r="M420" s="194" t="s">
        <v>496</v>
      </c>
    </row>
    <row r="421" spans="2:13">
      <c r="B421" s="211"/>
      <c r="C421" s="197" t="s">
        <v>1543</v>
      </c>
      <c r="D421" s="198">
        <v>100004</v>
      </c>
      <c r="E421" s="198" t="s">
        <v>1539</v>
      </c>
      <c r="F421" s="199">
        <v>0</v>
      </c>
      <c r="G421" s="199"/>
      <c r="H421" s="199">
        <v>0</v>
      </c>
      <c r="I421" s="216">
        <v>10.268572132561292</v>
      </c>
      <c r="J421" s="201">
        <v>0</v>
      </c>
      <c r="K421" s="202">
        <v>0</v>
      </c>
      <c r="L421" s="203"/>
      <c r="M421" s="194" t="s">
        <v>496</v>
      </c>
    </row>
    <row r="422" spans="2:13">
      <c r="B422" s="211"/>
      <c r="C422" s="197" t="s">
        <v>1544</v>
      </c>
      <c r="D422" s="198">
        <v>100004</v>
      </c>
      <c r="E422" s="198" t="s">
        <v>1539</v>
      </c>
      <c r="F422" s="199">
        <v>21.560000000291037</v>
      </c>
      <c r="G422" s="199"/>
      <c r="H422" s="199">
        <v>21.560000000291037</v>
      </c>
      <c r="I422" s="216">
        <v>10.268572132561292</v>
      </c>
      <c r="J422" s="201">
        <v>221.39041518101001</v>
      </c>
      <c r="K422" s="202">
        <v>0</v>
      </c>
      <c r="L422" s="203"/>
      <c r="M422" s="194" t="s">
        <v>496</v>
      </c>
    </row>
    <row r="423" spans="2:13">
      <c r="B423" s="211"/>
      <c r="C423" s="197" t="s">
        <v>1545</v>
      </c>
      <c r="D423" s="198">
        <v>100004</v>
      </c>
      <c r="E423" s="198" t="s">
        <v>1539</v>
      </c>
      <c r="F423" s="199">
        <v>0</v>
      </c>
      <c r="G423" s="199"/>
      <c r="H423" s="199">
        <v>0</v>
      </c>
      <c r="I423" s="216">
        <v>10.268572132561292</v>
      </c>
      <c r="J423" s="201">
        <v>0</v>
      </c>
      <c r="K423" s="202">
        <v>0</v>
      </c>
      <c r="L423" s="203"/>
      <c r="M423" s="194" t="s">
        <v>496</v>
      </c>
    </row>
    <row r="424" spans="2:13">
      <c r="B424" s="211"/>
      <c r="C424" s="197" t="s">
        <v>1546</v>
      </c>
      <c r="D424" s="198">
        <v>100004</v>
      </c>
      <c r="E424" s="198" t="s">
        <v>1539</v>
      </c>
      <c r="F424" s="199">
        <v>0</v>
      </c>
      <c r="G424" s="199"/>
      <c r="H424" s="199">
        <v>0</v>
      </c>
      <c r="I424" s="216">
        <v>10.268572132561292</v>
      </c>
      <c r="J424" s="201">
        <v>0</v>
      </c>
      <c r="K424" s="202">
        <v>2844142.6688808557</v>
      </c>
      <c r="L424" s="203"/>
      <c r="M424" s="194" t="s">
        <v>496</v>
      </c>
    </row>
    <row r="425" spans="2:13">
      <c r="B425" s="211"/>
      <c r="C425" s="197" t="s">
        <v>1547</v>
      </c>
      <c r="D425" s="198">
        <v>100004</v>
      </c>
      <c r="E425" s="198" t="s">
        <v>1539</v>
      </c>
      <c r="F425" s="199">
        <v>1533.7199999998675</v>
      </c>
      <c r="G425" s="199"/>
      <c r="H425" s="199">
        <v>1533.7199999998675</v>
      </c>
      <c r="I425" s="216">
        <v>10.268572132561292</v>
      </c>
      <c r="J425" s="201">
        <v>15749.114451150544</v>
      </c>
      <c r="K425" s="202">
        <v>23497.531959231961</v>
      </c>
      <c r="L425" s="203"/>
      <c r="M425" s="194" t="s">
        <v>496</v>
      </c>
    </row>
    <row r="426" spans="2:13">
      <c r="B426" s="211"/>
      <c r="C426" s="197" t="s">
        <v>1548</v>
      </c>
      <c r="D426" s="198">
        <v>100004</v>
      </c>
      <c r="E426" s="198" t="s">
        <v>1539</v>
      </c>
      <c r="F426" s="199">
        <v>1.1499999999999999</v>
      </c>
      <c r="G426" s="199"/>
      <c r="H426" s="199">
        <v>1.1499999999999999</v>
      </c>
      <c r="I426" s="216">
        <v>10.268572132561292</v>
      </c>
      <c r="J426" s="201">
        <v>11.808857952445486</v>
      </c>
      <c r="K426" s="202">
        <v>11.671127609000029</v>
      </c>
      <c r="L426" s="203"/>
      <c r="M426" s="194" t="s">
        <v>496</v>
      </c>
    </row>
    <row r="427" spans="2:13">
      <c r="B427" s="211"/>
      <c r="C427" s="197" t="s">
        <v>1549</v>
      </c>
      <c r="D427" s="198">
        <v>100004</v>
      </c>
      <c r="E427" s="198" t="s">
        <v>1539</v>
      </c>
      <c r="F427" s="199">
        <v>0</v>
      </c>
      <c r="G427" s="199"/>
      <c r="H427" s="199">
        <v>0</v>
      </c>
      <c r="I427" s="216">
        <v>10.268572132561292</v>
      </c>
      <c r="J427" s="201">
        <v>0</v>
      </c>
      <c r="K427" s="202">
        <v>0</v>
      </c>
      <c r="L427" s="203"/>
      <c r="M427" s="194" t="s">
        <v>496</v>
      </c>
    </row>
    <row r="428" spans="2:13">
      <c r="B428" s="211"/>
      <c r="C428" s="197" t="s">
        <v>1550</v>
      </c>
      <c r="D428" s="198">
        <v>100004</v>
      </c>
      <c r="E428" s="198" t="s">
        <v>1539</v>
      </c>
      <c r="F428" s="199">
        <v>-9.9999998498248033E-3</v>
      </c>
      <c r="G428" s="199"/>
      <c r="H428" s="199">
        <v>-9.9999998498248033E-3</v>
      </c>
      <c r="I428" s="216">
        <v>10.268572132561292</v>
      </c>
      <c r="J428" s="201">
        <v>-0.10268571978352808</v>
      </c>
      <c r="K428" s="202">
        <v>0</v>
      </c>
      <c r="L428" s="203"/>
      <c r="M428" s="194" t="s">
        <v>496</v>
      </c>
    </row>
    <row r="429" spans="2:13">
      <c r="B429" s="211"/>
      <c r="C429" s="197" t="s">
        <v>1551</v>
      </c>
      <c r="D429" s="198">
        <v>100004</v>
      </c>
      <c r="E429" s="198" t="s">
        <v>1539</v>
      </c>
      <c r="F429" s="199">
        <v>120000</v>
      </c>
      <c r="G429" s="199"/>
      <c r="H429" s="199">
        <v>120000</v>
      </c>
      <c r="I429" s="216">
        <v>10.268572132561292</v>
      </c>
      <c r="J429" s="201">
        <v>1232228.655907355</v>
      </c>
      <c r="K429" s="202">
        <v>7104164.6315652356</v>
      </c>
      <c r="L429" s="203"/>
      <c r="M429" s="194" t="s">
        <v>496</v>
      </c>
    </row>
    <row r="430" spans="2:13">
      <c r="B430" s="211"/>
      <c r="C430" s="197" t="s">
        <v>1428</v>
      </c>
      <c r="D430" s="198">
        <v>100004</v>
      </c>
      <c r="E430" s="198" t="s">
        <v>1552</v>
      </c>
      <c r="F430" s="199"/>
      <c r="G430" s="199"/>
      <c r="H430" s="199">
        <v>0</v>
      </c>
      <c r="I430" s="216">
        <v>10.268572132561292</v>
      </c>
      <c r="J430" s="201">
        <v>0</v>
      </c>
      <c r="K430" s="202">
        <v>0</v>
      </c>
      <c r="L430" s="203"/>
      <c r="M430" s="194"/>
    </row>
    <row r="431" spans="2:13">
      <c r="B431" s="211"/>
      <c r="C431" s="197" t="s">
        <v>1553</v>
      </c>
      <c r="D431" s="198">
        <v>100004</v>
      </c>
      <c r="E431" s="198" t="s">
        <v>1554</v>
      </c>
      <c r="F431" s="199">
        <v>2133249.5225</v>
      </c>
      <c r="G431" s="199"/>
      <c r="H431" s="199">
        <v>2133249.5225</v>
      </c>
      <c r="I431" s="216">
        <v>10.268572132561292</v>
      </c>
      <c r="J431" s="201">
        <v>21905426.598543182</v>
      </c>
      <c r="K431" s="202">
        <v>20666879.819895148</v>
      </c>
      <c r="L431" s="203"/>
      <c r="M431" s="194" t="s">
        <v>488</v>
      </c>
    </row>
    <row r="432" spans="2:13">
      <c r="B432" s="211"/>
      <c r="C432" s="197" t="s">
        <v>1555</v>
      </c>
      <c r="D432" s="198">
        <v>100004</v>
      </c>
      <c r="E432" s="198" t="s">
        <v>1556</v>
      </c>
      <c r="F432" s="199">
        <v>6399748.5674999999</v>
      </c>
      <c r="G432" s="199"/>
      <c r="H432" s="199">
        <v>6399748.5674999999</v>
      </c>
      <c r="I432" s="216">
        <v>10.268572132561292</v>
      </c>
      <c r="J432" s="201">
        <v>65716279.795629553</v>
      </c>
      <c r="K432" s="202">
        <v>62000639.459685437</v>
      </c>
      <c r="L432" s="203"/>
      <c r="M432" s="194" t="s">
        <v>484</v>
      </c>
    </row>
    <row r="433" spans="2:13">
      <c r="B433" s="211"/>
      <c r="C433" s="197" t="s">
        <v>1557</v>
      </c>
      <c r="D433" s="198">
        <v>100004</v>
      </c>
      <c r="E433" s="198" t="s">
        <v>1558</v>
      </c>
      <c r="F433" s="199">
        <v>152555.73000000048</v>
      </c>
      <c r="G433" s="195"/>
      <c r="H433" s="199">
        <v>152555.73000000048</v>
      </c>
      <c r="I433" s="216">
        <v>10.268572132561292</v>
      </c>
      <c r="J433" s="201">
        <v>1566529.5177405495</v>
      </c>
      <c r="K433" s="202">
        <v>27302290.331203803</v>
      </c>
      <c r="L433" s="203"/>
      <c r="M433" s="194" t="s">
        <v>514</v>
      </c>
    </row>
    <row r="434" spans="2:13">
      <c r="B434" s="211"/>
      <c r="C434" s="197" t="s">
        <v>1559</v>
      </c>
      <c r="D434" s="198">
        <v>100004</v>
      </c>
      <c r="E434" s="198" t="s">
        <v>1552</v>
      </c>
      <c r="F434" s="199">
        <v>0</v>
      </c>
      <c r="G434" s="199"/>
      <c r="H434" s="199">
        <v>0</v>
      </c>
      <c r="I434" s="216">
        <v>10.268572132561292</v>
      </c>
      <c r="J434" s="201">
        <v>0</v>
      </c>
      <c r="K434" s="202">
        <v>0</v>
      </c>
      <c r="L434" s="203"/>
      <c r="M434" s="194"/>
    </row>
    <row r="435" spans="2:13">
      <c r="B435" s="211"/>
      <c r="C435" s="197" t="s">
        <v>1560</v>
      </c>
      <c r="D435" s="198">
        <v>100004</v>
      </c>
      <c r="E435" s="198" t="s">
        <v>1561</v>
      </c>
      <c r="F435" s="199">
        <v>4587.9999999999964</v>
      </c>
      <c r="G435" s="199"/>
      <c r="H435" s="199">
        <v>4587.9999999999964</v>
      </c>
      <c r="I435" s="216">
        <v>10.268572132561292</v>
      </c>
      <c r="J435" s="201">
        <v>47112.208944191174</v>
      </c>
      <c r="K435" s="202">
        <v>20297.613233043496</v>
      </c>
      <c r="L435" s="203"/>
      <c r="M435" s="194" t="s">
        <v>466</v>
      </c>
    </row>
    <row r="436" spans="2:13">
      <c r="B436" s="211"/>
      <c r="C436" s="197" t="s">
        <v>1562</v>
      </c>
      <c r="D436" s="198">
        <v>100004</v>
      </c>
      <c r="E436" s="198" t="s">
        <v>1563</v>
      </c>
      <c r="F436" s="199">
        <v>0</v>
      </c>
      <c r="G436" s="199"/>
      <c r="H436" s="199">
        <v>0</v>
      </c>
      <c r="I436" s="216">
        <v>10.268572132561292</v>
      </c>
      <c r="J436" s="201">
        <v>0</v>
      </c>
      <c r="K436" s="202">
        <v>-121643.59610562988</v>
      </c>
      <c r="L436" s="203"/>
      <c r="M436" s="194" t="s">
        <v>501</v>
      </c>
    </row>
    <row r="437" spans="2:13">
      <c r="B437" s="211"/>
      <c r="C437" s="197" t="s">
        <v>1564</v>
      </c>
      <c r="D437" s="198">
        <v>100004</v>
      </c>
      <c r="E437" s="198" t="s">
        <v>1563</v>
      </c>
      <c r="F437" s="177">
        <v>0</v>
      </c>
      <c r="G437" s="199"/>
      <c r="H437" s="199">
        <v>0</v>
      </c>
      <c r="I437" s="216">
        <v>10.268572132561292</v>
      </c>
      <c r="J437" s="201">
        <v>0</v>
      </c>
      <c r="K437" s="202">
        <v>0</v>
      </c>
      <c r="L437" s="203"/>
      <c r="M437" s="194" t="s">
        <v>501</v>
      </c>
    </row>
    <row r="438" spans="2:13">
      <c r="B438" s="211"/>
      <c r="C438" s="197" t="s">
        <v>1565</v>
      </c>
      <c r="D438" s="198">
        <v>100004</v>
      </c>
      <c r="E438" s="198" t="s">
        <v>1566</v>
      </c>
      <c r="F438" s="199"/>
      <c r="G438" s="199"/>
      <c r="H438" s="199">
        <v>0</v>
      </c>
      <c r="I438" s="216">
        <v>10.268572132561292</v>
      </c>
      <c r="J438" s="201">
        <v>0</v>
      </c>
      <c r="K438" s="202">
        <v>0</v>
      </c>
      <c r="L438" s="203"/>
      <c r="M438" s="194" t="s">
        <v>518</v>
      </c>
    </row>
    <row r="439" spans="2:13">
      <c r="B439" s="211"/>
      <c r="C439" s="197" t="s">
        <v>1567</v>
      </c>
      <c r="D439" s="198">
        <v>100004</v>
      </c>
      <c r="E439" s="198" t="s">
        <v>1568</v>
      </c>
      <c r="F439" s="199">
        <v>34073.999999999993</v>
      </c>
      <c r="G439" s="199"/>
      <c r="H439" s="199">
        <v>34073.999999999993</v>
      </c>
      <c r="I439" s="216">
        <v>10.268572132561292</v>
      </c>
      <c r="J439" s="201">
        <v>349891.3268448934</v>
      </c>
      <c r="K439" s="202">
        <v>598779.59037478408</v>
      </c>
      <c r="L439" s="203"/>
      <c r="M439" s="194" t="s">
        <v>449</v>
      </c>
    </row>
    <row r="440" spans="2:13">
      <c r="B440" s="211"/>
      <c r="C440" s="197" t="s">
        <v>1569</v>
      </c>
      <c r="D440" s="198">
        <v>100004</v>
      </c>
      <c r="E440" s="198" t="s">
        <v>1570</v>
      </c>
      <c r="F440" s="199">
        <v>18000</v>
      </c>
      <c r="G440" s="199"/>
      <c r="H440" s="199">
        <v>18000</v>
      </c>
      <c r="I440" s="216">
        <v>10.268572132561292</v>
      </c>
      <c r="J440" s="201">
        <v>184834.29838610327</v>
      </c>
      <c r="K440" s="202">
        <v>304464.19849565299</v>
      </c>
      <c r="L440" s="203"/>
      <c r="M440" s="194" t="s">
        <v>522</v>
      </c>
    </row>
    <row r="441" spans="2:13">
      <c r="B441" s="211"/>
      <c r="C441" s="197" t="s">
        <v>1443</v>
      </c>
      <c r="D441" s="198">
        <v>100004</v>
      </c>
      <c r="E441" s="198" t="s">
        <v>1571</v>
      </c>
      <c r="F441" s="199">
        <v>2775762.9590000003</v>
      </c>
      <c r="G441" s="199"/>
      <c r="H441" s="199">
        <v>2775762.9590000003</v>
      </c>
      <c r="I441" s="216">
        <v>10.268572132561292</v>
      </c>
      <c r="J441" s="201">
        <v>28503122.167383276</v>
      </c>
      <c r="K441" s="202">
        <v>51247789.487972386</v>
      </c>
      <c r="L441" s="203"/>
      <c r="M441" s="194" t="s">
        <v>476</v>
      </c>
    </row>
    <row r="442" spans="2:13">
      <c r="B442" s="211"/>
      <c r="C442" s="197" t="s">
        <v>1445</v>
      </c>
      <c r="D442" s="198">
        <v>100004</v>
      </c>
      <c r="E442" s="198" t="s">
        <v>1572</v>
      </c>
      <c r="F442" s="199">
        <v>1727848.0400000005</v>
      </c>
      <c r="G442" s="199"/>
      <c r="H442" s="199">
        <v>1727848.0400000005</v>
      </c>
      <c r="I442" s="216">
        <v>10.268572132561292</v>
      </c>
      <c r="J442" s="201">
        <v>17742532.232844654</v>
      </c>
      <c r="K442" s="202">
        <v>28648528.006564416</v>
      </c>
      <c r="L442" s="203"/>
      <c r="M442" s="194" t="s">
        <v>478</v>
      </c>
    </row>
    <row r="443" spans="2:13">
      <c r="B443" s="211"/>
      <c r="C443" s="197" t="s">
        <v>1573</v>
      </c>
      <c r="D443" s="198">
        <v>100004</v>
      </c>
      <c r="E443" s="198" t="s">
        <v>1552</v>
      </c>
      <c r="F443" s="199">
        <v>0</v>
      </c>
      <c r="G443" s="199"/>
      <c r="H443" s="199">
        <v>0</v>
      </c>
      <c r="I443" s="216">
        <v>10.268572132561292</v>
      </c>
      <c r="J443" s="201">
        <v>0</v>
      </c>
      <c r="K443" s="202">
        <v>0</v>
      </c>
      <c r="L443" s="203"/>
      <c r="M443" s="194"/>
    </row>
    <row r="444" spans="2:13">
      <c r="B444" s="211"/>
      <c r="C444" s="197" t="s">
        <v>1446</v>
      </c>
      <c r="D444" s="198">
        <v>100004</v>
      </c>
      <c r="E444" s="198" t="s">
        <v>1574</v>
      </c>
      <c r="F444" s="199">
        <v>124422.85999999987</v>
      </c>
      <c r="G444" s="199"/>
      <c r="H444" s="199">
        <v>124422.85999999987</v>
      </c>
      <c r="I444" s="216">
        <v>10.268572132561292</v>
      </c>
      <c r="J444" s="201">
        <v>1277645.1128495738</v>
      </c>
      <c r="K444" s="202">
        <v>2031586.3831982012</v>
      </c>
      <c r="L444" s="203"/>
      <c r="M444" s="194" t="s">
        <v>510</v>
      </c>
    </row>
    <row r="445" spans="2:13">
      <c r="B445" s="211"/>
      <c r="C445" s="197" t="s">
        <v>1575</v>
      </c>
      <c r="D445" s="198">
        <v>100004</v>
      </c>
      <c r="E445" s="198" t="s">
        <v>1574</v>
      </c>
      <c r="F445" s="199">
        <v>-2.1827852025868566E-13</v>
      </c>
      <c r="G445" s="199"/>
      <c r="H445" s="199">
        <v>-2.1827852025868566E-13</v>
      </c>
      <c r="I445" s="216">
        <v>10.268572132561292</v>
      </c>
      <c r="J445" s="201">
        <v>-2.241408730265055E-12</v>
      </c>
      <c r="K445" s="206">
        <v>-2.2152664906459291E-12</v>
      </c>
      <c r="L445" s="203"/>
      <c r="M445" s="194" t="s">
        <v>510</v>
      </c>
    </row>
    <row r="446" spans="2:13">
      <c r="B446" s="211"/>
      <c r="C446" s="197" t="s">
        <v>1576</v>
      </c>
      <c r="D446" s="198">
        <v>100004</v>
      </c>
      <c r="E446" s="198" t="s">
        <v>1574</v>
      </c>
      <c r="F446" s="199">
        <v>11500.07</v>
      </c>
      <c r="G446" s="199"/>
      <c r="H446" s="199">
        <v>11500.07</v>
      </c>
      <c r="I446" s="216">
        <v>10.268572132561292</v>
      </c>
      <c r="J446" s="201">
        <v>118089.29832450414</v>
      </c>
      <c r="K446" s="206">
        <v>294138.49817980523</v>
      </c>
      <c r="L446" s="203"/>
      <c r="M446" s="194" t="s">
        <v>510</v>
      </c>
    </row>
    <row r="447" spans="2:13">
      <c r="B447" s="211"/>
      <c r="C447" s="197" t="s">
        <v>1449</v>
      </c>
      <c r="D447" s="198">
        <v>100004</v>
      </c>
      <c r="E447" s="198" t="s">
        <v>1577</v>
      </c>
      <c r="F447" s="199">
        <v>1598354.3400000003</v>
      </c>
      <c r="G447" s="199"/>
      <c r="H447" s="199">
        <v>1598354.3400000003</v>
      </c>
      <c r="I447" s="216">
        <v>10.268572132561292</v>
      </c>
      <c r="J447" s="201">
        <v>16412816.833682401</v>
      </c>
      <c r="K447" s="206">
        <v>15985608.879893197</v>
      </c>
      <c r="L447" s="203"/>
      <c r="M447" s="194" t="s">
        <v>357</v>
      </c>
    </row>
    <row r="448" spans="2:13">
      <c r="B448" s="211"/>
      <c r="C448" s="197" t="s">
        <v>1451</v>
      </c>
      <c r="D448" s="198">
        <v>100004</v>
      </c>
      <c r="E448" s="198" t="s">
        <v>1577</v>
      </c>
      <c r="F448" s="199">
        <v>-1321221.9100000004</v>
      </c>
      <c r="G448" s="199"/>
      <c r="H448" s="199">
        <v>-1321221.9100000004</v>
      </c>
      <c r="I448" s="216">
        <v>10.268572132561292</v>
      </c>
      <c r="J448" s="201">
        <v>-13567062.485955408</v>
      </c>
      <c r="K448" s="202">
        <v>-12204637.077893915</v>
      </c>
      <c r="L448" s="203"/>
      <c r="M448" s="194" t="s">
        <v>357</v>
      </c>
    </row>
    <row r="449" spans="2:13">
      <c r="B449" s="211"/>
      <c r="C449" s="197" t="s">
        <v>1578</v>
      </c>
      <c r="D449" s="198">
        <v>100004</v>
      </c>
      <c r="E449" s="198" t="s">
        <v>1579</v>
      </c>
      <c r="F449" s="199">
        <v>257076.91999999998</v>
      </c>
      <c r="G449" s="199"/>
      <c r="H449" s="199">
        <v>257076.91999999998</v>
      </c>
      <c r="I449" s="216">
        <v>10.268572132561292</v>
      </c>
      <c r="J449" s="201">
        <v>2639812.8966366886</v>
      </c>
      <c r="K449" s="202">
        <v>1986216.8536355048</v>
      </c>
      <c r="L449" s="203"/>
      <c r="M449" s="194" t="s">
        <v>358</v>
      </c>
    </row>
    <row r="450" spans="2:13">
      <c r="B450" s="211"/>
      <c r="C450" s="197" t="s">
        <v>1580</v>
      </c>
      <c r="D450" s="198">
        <v>100004</v>
      </c>
      <c r="E450" s="198" t="s">
        <v>1579</v>
      </c>
      <c r="F450" s="199">
        <v>-195709.4</v>
      </c>
      <c r="G450" s="199"/>
      <c r="H450" s="199">
        <v>-195709.4</v>
      </c>
      <c r="I450" s="216">
        <v>10.268572132561292</v>
      </c>
      <c r="J450" s="201">
        <v>-2009656.0909202909</v>
      </c>
      <c r="K450" s="202">
        <v>-1842547.0995539057</v>
      </c>
      <c r="L450" s="203"/>
      <c r="M450" s="194" t="s">
        <v>358</v>
      </c>
    </row>
    <row r="451" spans="2:13">
      <c r="B451" s="211"/>
      <c r="C451" s="197" t="s">
        <v>1581</v>
      </c>
      <c r="D451" s="198">
        <v>100004</v>
      </c>
      <c r="E451" s="198" t="s">
        <v>1582</v>
      </c>
      <c r="F451" s="199">
        <v>0</v>
      </c>
      <c r="G451" s="199"/>
      <c r="H451" s="199">
        <v>0</v>
      </c>
      <c r="I451" s="216">
        <v>10.268572132561292</v>
      </c>
      <c r="J451" s="201">
        <v>0</v>
      </c>
      <c r="K451" s="202">
        <v>0</v>
      </c>
      <c r="L451" s="203"/>
      <c r="M451" s="194" t="s">
        <v>405</v>
      </c>
    </row>
    <row r="452" spans="2:13">
      <c r="B452" s="211"/>
      <c r="C452" s="197" t="s">
        <v>1583</v>
      </c>
      <c r="D452" s="198">
        <v>100004</v>
      </c>
      <c r="E452" s="198" t="s">
        <v>1584</v>
      </c>
      <c r="F452" s="199">
        <v>-4545520</v>
      </c>
      <c r="G452" s="199"/>
      <c r="H452" s="199">
        <v>-4545520</v>
      </c>
      <c r="I452" s="216">
        <v>10.268572132561292</v>
      </c>
      <c r="J452" s="201">
        <v>-46676000.000000007</v>
      </c>
      <c r="K452" s="202">
        <v>-9315082.1529745031</v>
      </c>
      <c r="L452" s="203"/>
      <c r="M452" s="194" t="s">
        <v>391</v>
      </c>
    </row>
    <row r="453" spans="2:13">
      <c r="B453" s="211"/>
      <c r="C453" s="197" t="s">
        <v>1585</v>
      </c>
      <c r="D453" s="198">
        <v>100004</v>
      </c>
      <c r="E453" s="198" t="s">
        <v>1586</v>
      </c>
      <c r="F453" s="199">
        <v>-10648895.219999999</v>
      </c>
      <c r="G453" s="199"/>
      <c r="H453" s="199">
        <v>-10648895.219999999</v>
      </c>
      <c r="I453" s="216">
        <v>10.268572132561292</v>
      </c>
      <c r="J453" s="201">
        <v>-109348948.69865714</v>
      </c>
      <c r="K453" s="202">
        <v>-101824176.27101688</v>
      </c>
      <c r="L453" s="203"/>
      <c r="M453" s="194" t="s">
        <v>403</v>
      </c>
    </row>
    <row r="454" spans="2:13">
      <c r="B454" s="211"/>
      <c r="C454" s="197" t="s">
        <v>1453</v>
      </c>
      <c r="D454" s="198">
        <v>100004</v>
      </c>
      <c r="E454" s="198" t="s">
        <v>1587</v>
      </c>
      <c r="F454" s="199">
        <v>-1059670.4740000002</v>
      </c>
      <c r="G454" s="199"/>
      <c r="H454" s="199">
        <v>-1059670.4740000002</v>
      </c>
      <c r="I454" s="216">
        <v>10.268572132561292</v>
      </c>
      <c r="J454" s="201">
        <v>-10881302.699014418</v>
      </c>
      <c r="K454" s="202">
        <v>-22281182.263032787</v>
      </c>
      <c r="L454" s="203"/>
      <c r="M454" s="194" t="s">
        <v>410</v>
      </c>
    </row>
    <row r="455" spans="2:13">
      <c r="B455" s="211"/>
      <c r="C455" s="197" t="s">
        <v>1455</v>
      </c>
      <c r="D455" s="198">
        <v>100004</v>
      </c>
      <c r="E455" s="198" t="s">
        <v>1587</v>
      </c>
      <c r="F455" s="199">
        <v>-1175438.3500000001</v>
      </c>
      <c r="G455" s="199"/>
      <c r="H455" s="199">
        <v>-1175438.3500000001</v>
      </c>
      <c r="I455" s="216">
        <v>10.268572132561292</v>
      </c>
      <c r="J455" s="201">
        <v>-12070073.484353827</v>
      </c>
      <c r="K455" s="202">
        <v>-19331078.685041837</v>
      </c>
      <c r="L455" s="203"/>
      <c r="M455" s="194" t="s">
        <v>410</v>
      </c>
    </row>
    <row r="456" spans="2:13">
      <c r="B456" s="211"/>
      <c r="C456" s="197" t="s">
        <v>1456</v>
      </c>
      <c r="D456" s="198">
        <v>100004</v>
      </c>
      <c r="E456" s="198" t="s">
        <v>1587</v>
      </c>
      <c r="F456" s="199">
        <v>-900168.75400000066</v>
      </c>
      <c r="G456" s="199"/>
      <c r="H456" s="199">
        <v>-900168.75400000066</v>
      </c>
      <c r="I456" s="216">
        <v>10.268572132561292</v>
      </c>
      <c r="J456" s="201">
        <v>-9243447.7819268275</v>
      </c>
      <c r="K456" s="202">
        <v>-10085000.196526332</v>
      </c>
      <c r="L456" s="203"/>
      <c r="M456" s="194" t="s">
        <v>410</v>
      </c>
    </row>
    <row r="457" spans="2:13">
      <c r="B457" s="211"/>
      <c r="C457" s="197" t="s">
        <v>1588</v>
      </c>
      <c r="D457" s="198">
        <v>100004</v>
      </c>
      <c r="E457" s="198" t="s">
        <v>1589</v>
      </c>
      <c r="F457" s="199">
        <v>-380355.94999999995</v>
      </c>
      <c r="G457" s="199"/>
      <c r="H457" s="199">
        <v>-380355.94999999995</v>
      </c>
      <c r="I457" s="216">
        <v>10.268572132561292</v>
      </c>
      <c r="J457" s="201">
        <v>-3905712.5086238757</v>
      </c>
      <c r="K457" s="202">
        <v>-6607423.0711862203</v>
      </c>
      <c r="L457" s="203"/>
      <c r="M457" s="194" t="s">
        <v>419</v>
      </c>
    </row>
    <row r="458" spans="2:13">
      <c r="B458" s="211"/>
      <c r="C458" s="197" t="s">
        <v>1590</v>
      </c>
      <c r="D458" s="198">
        <v>100004</v>
      </c>
      <c r="E458" s="198" t="s">
        <v>1591</v>
      </c>
      <c r="F458" s="199">
        <v>0</v>
      </c>
      <c r="G458" s="199"/>
      <c r="H458" s="199">
        <v>0</v>
      </c>
      <c r="I458" s="216">
        <v>10.268572132561292</v>
      </c>
      <c r="J458" s="201">
        <v>0</v>
      </c>
      <c r="K458" s="202">
        <v>0</v>
      </c>
      <c r="L458" s="203"/>
      <c r="M458" s="194" t="s">
        <v>421</v>
      </c>
    </row>
    <row r="459" spans="2:13">
      <c r="B459" s="211"/>
      <c r="C459" s="197" t="s">
        <v>1592</v>
      </c>
      <c r="D459" s="198">
        <v>100004</v>
      </c>
      <c r="E459" s="198" t="s">
        <v>1593</v>
      </c>
      <c r="F459" s="199">
        <v>3.0000000340805855E-2</v>
      </c>
      <c r="G459" s="199"/>
      <c r="H459" s="199">
        <v>3.0000000340805855E-2</v>
      </c>
      <c r="I459" s="216">
        <v>10.268572132561292</v>
      </c>
      <c r="J459" s="201">
        <v>0.30805716747642825</v>
      </c>
      <c r="K459" s="202">
        <v>2694147.1636351789</v>
      </c>
      <c r="L459" s="203"/>
      <c r="M459" s="194" t="s">
        <v>511</v>
      </c>
    </row>
    <row r="460" spans="2:13">
      <c r="B460" s="211"/>
      <c r="C460" s="197" t="s">
        <v>1594</v>
      </c>
      <c r="D460" s="198">
        <v>100004</v>
      </c>
      <c r="E460" s="198" t="s">
        <v>1595</v>
      </c>
      <c r="F460" s="199">
        <v>-14599.280000000002</v>
      </c>
      <c r="G460" s="199"/>
      <c r="H460" s="199">
        <v>-14599.280000000002</v>
      </c>
      <c r="I460" s="216">
        <v>10.268572132561292</v>
      </c>
      <c r="J460" s="201">
        <v>-149913.75976345944</v>
      </c>
      <c r="K460" s="202">
        <v>-65103.985516590168</v>
      </c>
      <c r="L460" s="203"/>
      <c r="M460" s="194" t="s">
        <v>424</v>
      </c>
    </row>
    <row r="461" spans="2:13">
      <c r="B461" s="211"/>
      <c r="C461" s="197" t="s">
        <v>1596</v>
      </c>
      <c r="D461" s="198">
        <v>100004</v>
      </c>
      <c r="E461" s="198" t="s">
        <v>1595</v>
      </c>
      <c r="F461" s="199">
        <v>0</v>
      </c>
      <c r="G461" s="199"/>
      <c r="H461" s="199">
        <v>0</v>
      </c>
      <c r="I461" s="216">
        <v>10.268572132561292</v>
      </c>
      <c r="J461" s="201">
        <v>0</v>
      </c>
      <c r="K461" s="202">
        <v>0</v>
      </c>
      <c r="L461" s="203"/>
      <c r="M461" s="194" t="s">
        <v>424</v>
      </c>
    </row>
    <row r="462" spans="2:13">
      <c r="B462" s="211"/>
      <c r="C462" s="197" t="s">
        <v>1597</v>
      </c>
      <c r="D462" s="198">
        <v>100004</v>
      </c>
      <c r="E462" s="198" t="s">
        <v>1593</v>
      </c>
      <c r="F462" s="199">
        <v>0</v>
      </c>
      <c r="G462" s="199"/>
      <c r="H462" s="199">
        <v>0</v>
      </c>
      <c r="I462" s="216">
        <v>10.268572132561292</v>
      </c>
      <c r="J462" s="201">
        <v>0</v>
      </c>
      <c r="K462" s="202">
        <v>-948555.267259288</v>
      </c>
      <c r="L462" s="203"/>
      <c r="M462" s="194" t="s">
        <v>511</v>
      </c>
    </row>
    <row r="463" spans="2:13">
      <c r="B463" s="211"/>
      <c r="C463" s="197" t="s">
        <v>1598</v>
      </c>
      <c r="D463" s="198">
        <v>100004</v>
      </c>
      <c r="E463" s="198" t="s">
        <v>1593</v>
      </c>
      <c r="F463" s="199">
        <v>-35276.569999999992</v>
      </c>
      <c r="G463" s="199"/>
      <c r="H463" s="199">
        <v>-35276.569999999992</v>
      </c>
      <c r="I463" s="216">
        <v>10.268572132561292</v>
      </c>
      <c r="J463" s="201">
        <v>-362240.00363434764</v>
      </c>
      <c r="K463" s="202">
        <v>960327.17251799011</v>
      </c>
      <c r="L463" s="203"/>
      <c r="M463" s="194" t="s">
        <v>511</v>
      </c>
    </row>
    <row r="464" spans="2:13">
      <c r="B464" s="211"/>
      <c r="C464" s="197" t="s">
        <v>1599</v>
      </c>
      <c r="D464" s="198">
        <v>100004</v>
      </c>
      <c r="E464" s="198" t="s">
        <v>1600</v>
      </c>
      <c r="F464" s="199">
        <v>-96325.17</v>
      </c>
      <c r="G464" s="199"/>
      <c r="H464" s="199">
        <v>-96325.17</v>
      </c>
      <c r="I464" s="216">
        <v>10.268572132561292</v>
      </c>
      <c r="J464" s="201">
        <v>-989121.95632622903</v>
      </c>
      <c r="K464" s="202">
        <v>-850580.00752824696</v>
      </c>
      <c r="L464" s="203"/>
      <c r="M464" s="194" t="s">
        <v>425</v>
      </c>
    </row>
    <row r="465" spans="2:13">
      <c r="B465" s="211"/>
      <c r="C465" s="197" t="s">
        <v>1601</v>
      </c>
      <c r="D465" s="198">
        <v>100004</v>
      </c>
      <c r="E465" s="198" t="s">
        <v>1602</v>
      </c>
      <c r="F465" s="199">
        <v>-316544.41000000003</v>
      </c>
      <c r="G465" s="199"/>
      <c r="H465" s="199">
        <v>-316544.41000000003</v>
      </c>
      <c r="I465" s="216">
        <v>10.268572132561292</v>
      </c>
      <c r="J465" s="201">
        <v>-3250459.1072440566</v>
      </c>
      <c r="K465" s="202">
        <v>-10255703.793637456</v>
      </c>
      <c r="L465" s="203"/>
      <c r="M465" s="194" t="s">
        <v>420</v>
      </c>
    </row>
    <row r="466" spans="2:13">
      <c r="B466" s="211"/>
      <c r="C466" s="197" t="s">
        <v>1603</v>
      </c>
      <c r="D466" s="198">
        <v>100004</v>
      </c>
      <c r="E466" s="198" t="s">
        <v>1591</v>
      </c>
      <c r="F466" s="199">
        <v>-739745.84</v>
      </c>
      <c r="G466" s="199"/>
      <c r="H466" s="199">
        <v>-739745.84</v>
      </c>
      <c r="I466" s="216">
        <v>10.268572132561292</v>
      </c>
      <c r="J466" s="201">
        <v>-7596133.5178021444</v>
      </c>
      <c r="K466" s="202">
        <v>2131625.3012666469</v>
      </c>
      <c r="L466" s="203"/>
      <c r="M466" s="194" t="s">
        <v>421</v>
      </c>
    </row>
    <row r="467" spans="2:13">
      <c r="B467" s="211"/>
      <c r="C467" s="197" t="s">
        <v>1604</v>
      </c>
      <c r="D467" s="198">
        <v>100004</v>
      </c>
      <c r="E467" s="198" t="s">
        <v>1605</v>
      </c>
      <c r="F467" s="199">
        <v>0</v>
      </c>
      <c r="G467" s="199"/>
      <c r="H467" s="199">
        <v>0</v>
      </c>
      <c r="I467" s="216">
        <v>10.268572132561292</v>
      </c>
      <c r="J467" s="201">
        <v>0</v>
      </c>
      <c r="K467" s="202">
        <v>-26922002.267226722</v>
      </c>
      <c r="L467" s="203"/>
      <c r="M467" s="194" t="s">
        <v>423</v>
      </c>
    </row>
    <row r="468" spans="2:13">
      <c r="B468" s="211"/>
      <c r="C468" s="197" t="s">
        <v>1606</v>
      </c>
      <c r="D468" s="198">
        <v>100004</v>
      </c>
      <c r="E468" s="198" t="s">
        <v>1602</v>
      </c>
      <c r="F468" s="199">
        <v>0</v>
      </c>
      <c r="G468" s="199"/>
      <c r="H468" s="199">
        <v>0</v>
      </c>
      <c r="I468" s="216">
        <v>10.268572132561292</v>
      </c>
      <c r="J468" s="201">
        <v>0</v>
      </c>
      <c r="K468" s="202">
        <v>0</v>
      </c>
      <c r="L468" s="203"/>
      <c r="M468" s="194" t="s">
        <v>420</v>
      </c>
    </row>
    <row r="469" spans="2:13">
      <c r="B469" s="211"/>
      <c r="C469" s="197" t="s">
        <v>1607</v>
      </c>
      <c r="D469" s="198">
        <v>100004</v>
      </c>
      <c r="E469" s="198" t="s">
        <v>1587</v>
      </c>
      <c r="F469" s="199">
        <v>-211950.00000000003</v>
      </c>
      <c r="G469" s="199"/>
      <c r="H469" s="199">
        <v>-211950.00000000003</v>
      </c>
      <c r="I469" s="216">
        <v>10.268572132561292</v>
      </c>
      <c r="J469" s="201">
        <v>-2176423.8634963664</v>
      </c>
      <c r="K469" s="202">
        <v>-1573065.025560874</v>
      </c>
      <c r="L469" s="203"/>
      <c r="M469" s="194" t="s">
        <v>410</v>
      </c>
    </row>
    <row r="470" spans="2:13">
      <c r="B470" s="211"/>
      <c r="C470" s="197" t="s">
        <v>1608</v>
      </c>
      <c r="D470" s="198">
        <v>100004</v>
      </c>
      <c r="E470" s="198" t="s">
        <v>1587</v>
      </c>
      <c r="F470" s="199">
        <v>-102195.86</v>
      </c>
      <c r="G470" s="199"/>
      <c r="H470" s="199">
        <v>-102195.86</v>
      </c>
      <c r="I470" s="216">
        <v>10.268572132561292</v>
      </c>
      <c r="J470" s="201">
        <v>-1049405.5600591353</v>
      </c>
      <c r="K470" s="202">
        <v>-1116368.7278173941</v>
      </c>
      <c r="L470" s="203"/>
      <c r="M470" s="194" t="s">
        <v>410</v>
      </c>
    </row>
    <row r="471" spans="2:13">
      <c r="B471" s="211"/>
      <c r="C471" s="197" t="s">
        <v>1609</v>
      </c>
      <c r="D471" s="198">
        <v>100004</v>
      </c>
      <c r="E471" s="198" t="s">
        <v>1587</v>
      </c>
      <c r="F471" s="199">
        <v>-33438.859999999993</v>
      </c>
      <c r="G471" s="199"/>
      <c r="H471" s="199">
        <v>-33438.859999999993</v>
      </c>
      <c r="I471" s="216">
        <v>10.268572132561292</v>
      </c>
      <c r="J471" s="201">
        <v>-343369.34594061843</v>
      </c>
      <c r="K471" s="202">
        <v>-501724.52293966326</v>
      </c>
      <c r="L471" s="203"/>
      <c r="M471" s="194" t="s">
        <v>410</v>
      </c>
    </row>
    <row r="472" spans="2:13">
      <c r="B472" s="211"/>
      <c r="C472" s="197" t="s">
        <v>1610</v>
      </c>
      <c r="D472" s="198">
        <v>100004</v>
      </c>
      <c r="E472" s="198" t="s">
        <v>1602</v>
      </c>
      <c r="F472" s="199">
        <v>0</v>
      </c>
      <c r="G472" s="199"/>
      <c r="H472" s="199">
        <v>0</v>
      </c>
      <c r="I472" s="216">
        <v>10.268572132561292</v>
      </c>
      <c r="J472" s="201">
        <v>0</v>
      </c>
      <c r="K472" s="202">
        <v>0</v>
      </c>
      <c r="L472" s="203"/>
      <c r="M472" s="194" t="s">
        <v>420</v>
      </c>
    </row>
    <row r="473" spans="2:13">
      <c r="B473" s="211"/>
      <c r="C473" s="197" t="s">
        <v>1471</v>
      </c>
      <c r="D473" s="198">
        <v>100004</v>
      </c>
      <c r="E473" s="198" t="s">
        <v>1611</v>
      </c>
      <c r="F473" s="199">
        <v>-41255413.520000003</v>
      </c>
      <c r="G473" s="199"/>
      <c r="H473" s="199">
        <v>-41255413.520000003</v>
      </c>
      <c r="I473" s="216">
        <v>8.7911712804472693</v>
      </c>
      <c r="J473" s="201">
        <v>-362683406.5</v>
      </c>
      <c r="K473" s="202">
        <v>-349907406.5</v>
      </c>
      <c r="L473" s="203"/>
      <c r="M473" s="194" t="s">
        <v>365</v>
      </c>
    </row>
    <row r="474" spans="2:13">
      <c r="B474" s="211"/>
      <c r="C474" s="197" t="s">
        <v>1473</v>
      </c>
      <c r="D474" s="198">
        <v>100004</v>
      </c>
      <c r="E474" s="198" t="s">
        <v>1612</v>
      </c>
      <c r="F474" s="199">
        <v>39863535.440000005</v>
      </c>
      <c r="G474" s="199"/>
      <c r="H474" s="199">
        <v>39863535.440000005</v>
      </c>
      <c r="I474" s="216">
        <v>8.8225646287181103</v>
      </c>
      <c r="J474" s="201">
        <v>351698617.74859488</v>
      </c>
      <c r="K474" s="202">
        <v>218866804.35831407</v>
      </c>
      <c r="L474" s="203"/>
      <c r="M474" s="194" t="s">
        <v>380</v>
      </c>
    </row>
    <row r="475" spans="2:13">
      <c r="B475" s="211"/>
      <c r="C475" s="197" t="s">
        <v>1613</v>
      </c>
      <c r="D475" s="198">
        <v>100004</v>
      </c>
      <c r="E475" s="198" t="s">
        <v>1614</v>
      </c>
      <c r="F475" s="199">
        <v>-9149389.7799999993</v>
      </c>
      <c r="G475" s="199"/>
      <c r="H475" s="199">
        <v>-9149389.7799999993</v>
      </c>
      <c r="I475" s="216">
        <v>10.368938957069433</v>
      </c>
      <c r="J475" s="201">
        <v>-94869464.123254925</v>
      </c>
      <c r="K475" s="202">
        <v>-119319761.8516703</v>
      </c>
      <c r="L475" s="203"/>
      <c r="M475" s="194" t="s">
        <v>528</v>
      </c>
    </row>
    <row r="476" spans="2:13">
      <c r="B476" s="211"/>
      <c r="C476" s="197" t="s">
        <v>1615</v>
      </c>
      <c r="D476" s="198">
        <v>100004</v>
      </c>
      <c r="E476" s="198" t="s">
        <v>1616</v>
      </c>
      <c r="F476" s="199">
        <v>-12820.6</v>
      </c>
      <c r="G476" s="199"/>
      <c r="H476" s="199">
        <v>-12820.6</v>
      </c>
      <c r="I476" s="216">
        <v>10.368938957069433</v>
      </c>
      <c r="J476" s="201">
        <v>-132936.01879300439</v>
      </c>
      <c r="K476" s="202">
        <v>-88499.035339859271</v>
      </c>
      <c r="L476" s="203"/>
      <c r="M476" s="194" t="s">
        <v>530</v>
      </c>
    </row>
    <row r="477" spans="2:13">
      <c r="B477" s="211"/>
      <c r="C477" s="197" t="s">
        <v>1477</v>
      </c>
      <c r="D477" s="198">
        <v>100004</v>
      </c>
      <c r="E477" s="198" t="s">
        <v>1617</v>
      </c>
      <c r="F477" s="199">
        <v>-1612.9799999999998</v>
      </c>
      <c r="G477" s="199"/>
      <c r="H477" s="199">
        <v>-1612.9799999999998</v>
      </c>
      <c r="I477" s="216">
        <v>10.368938957069433</v>
      </c>
      <c r="J477" s="201">
        <v>-16724.891158973853</v>
      </c>
      <c r="K477" s="202">
        <v>-18824.593138744549</v>
      </c>
      <c r="L477" s="203"/>
      <c r="M477" s="194" t="s">
        <v>531</v>
      </c>
    </row>
    <row r="478" spans="2:13">
      <c r="B478" s="211"/>
      <c r="C478" s="197" t="s">
        <v>1618</v>
      </c>
      <c r="D478" s="198">
        <v>100004</v>
      </c>
      <c r="E478" s="198" t="s">
        <v>1552</v>
      </c>
      <c r="F478" s="199"/>
      <c r="G478" s="199"/>
      <c r="H478" s="199">
        <v>0</v>
      </c>
      <c r="I478" s="216">
        <v>10.368938957069433</v>
      </c>
      <c r="J478" s="201">
        <v>0</v>
      </c>
      <c r="K478" s="202">
        <v>0</v>
      </c>
      <c r="L478" s="203"/>
      <c r="M478" s="194"/>
    </row>
    <row r="479" spans="2:13">
      <c r="B479" s="211"/>
      <c r="C479" s="197" t="s">
        <v>1481</v>
      </c>
      <c r="D479" s="198">
        <v>100004</v>
      </c>
      <c r="E479" s="198" t="s">
        <v>1619</v>
      </c>
      <c r="F479" s="199">
        <v>6419425.6399999987</v>
      </c>
      <c r="G479" s="199"/>
      <c r="H479" s="199">
        <v>6419425.6399999987</v>
      </c>
      <c r="I479" s="216">
        <v>10.368938957069433</v>
      </c>
      <c r="J479" s="201">
        <v>66562632.600606367</v>
      </c>
      <c r="K479" s="202">
        <v>110555314.25307639</v>
      </c>
      <c r="L479" s="203"/>
      <c r="M479" s="194" t="s">
        <v>555</v>
      </c>
    </row>
    <row r="480" spans="2:13">
      <c r="B480" s="211"/>
      <c r="C480" s="197" t="s">
        <v>1483</v>
      </c>
      <c r="D480" s="198">
        <v>100004</v>
      </c>
      <c r="E480" s="198" t="s">
        <v>1620</v>
      </c>
      <c r="F480" s="199">
        <v>104981.77</v>
      </c>
      <c r="G480" s="199"/>
      <c r="H480" s="199">
        <v>104981.77</v>
      </c>
      <c r="I480" s="216">
        <v>10.368938957069433</v>
      </c>
      <c r="J480" s="201">
        <v>1088549.5647351032</v>
      </c>
      <c r="K480" s="202">
        <v>2257657.8192777149</v>
      </c>
      <c r="L480" s="203"/>
      <c r="M480" s="194" t="s">
        <v>564</v>
      </c>
    </row>
    <row r="481" spans="2:13">
      <c r="B481" s="211"/>
      <c r="C481" s="197" t="s">
        <v>1485</v>
      </c>
      <c r="D481" s="198">
        <v>100004</v>
      </c>
      <c r="E481" s="198" t="s">
        <v>1621</v>
      </c>
      <c r="F481" s="199">
        <v>118653.22</v>
      </c>
      <c r="G481" s="199"/>
      <c r="H481" s="199">
        <v>118653.22</v>
      </c>
      <c r="I481" s="216">
        <v>10.368938957069433</v>
      </c>
      <c r="J481" s="201">
        <v>1230307.99523973</v>
      </c>
      <c r="K481" s="202">
        <v>1920004.2775691743</v>
      </c>
      <c r="L481" s="203"/>
      <c r="M481" s="194" t="s">
        <v>362</v>
      </c>
    </row>
    <row r="482" spans="2:13">
      <c r="B482" s="211"/>
      <c r="C482" s="197" t="s">
        <v>1622</v>
      </c>
      <c r="D482" s="198">
        <v>100004</v>
      </c>
      <c r="E482" s="198" t="s">
        <v>1621</v>
      </c>
      <c r="F482" s="199">
        <v>14154.289999999999</v>
      </c>
      <c r="G482" s="199"/>
      <c r="H482" s="199">
        <v>14154.289999999999</v>
      </c>
      <c r="I482" s="216">
        <v>10.368938957069433</v>
      </c>
      <c r="J482" s="201">
        <v>146764.96899065829</v>
      </c>
      <c r="K482" s="202">
        <v>602421.98725949263</v>
      </c>
      <c r="L482" s="203"/>
      <c r="M482" s="194" t="s">
        <v>362</v>
      </c>
    </row>
    <row r="483" spans="2:13">
      <c r="B483" s="211"/>
      <c r="C483" s="197" t="s">
        <v>1487</v>
      </c>
      <c r="D483" s="198">
        <v>100004</v>
      </c>
      <c r="E483" s="198" t="s">
        <v>1623</v>
      </c>
      <c r="F483" s="199">
        <v>36022.409999999996</v>
      </c>
      <c r="G483" s="199"/>
      <c r="H483" s="199">
        <v>36022.409999999996</v>
      </c>
      <c r="I483" s="216">
        <v>10.368938957069433</v>
      </c>
      <c r="J483" s="201">
        <v>373514.17037652747</v>
      </c>
      <c r="K483" s="202">
        <v>968496.57848388562</v>
      </c>
      <c r="L483" s="203"/>
      <c r="M483" s="194" t="s">
        <v>600</v>
      </c>
    </row>
    <row r="484" spans="2:13">
      <c r="B484" s="211"/>
      <c r="C484" s="197" t="s">
        <v>1489</v>
      </c>
      <c r="D484" s="198">
        <v>100004</v>
      </c>
      <c r="E484" s="198" t="s">
        <v>1624</v>
      </c>
      <c r="F484" s="199">
        <v>96901.41</v>
      </c>
      <c r="G484" s="199"/>
      <c r="H484" s="199">
        <v>96901.41</v>
      </c>
      <c r="I484" s="216">
        <v>10.368938957069433</v>
      </c>
      <c r="J484" s="201">
        <v>1004764.8051439576</v>
      </c>
      <c r="K484" s="202">
        <v>1558415.0473159694</v>
      </c>
      <c r="L484" s="203"/>
      <c r="M484" s="194" t="s">
        <v>595</v>
      </c>
    </row>
    <row r="485" spans="2:13">
      <c r="B485" s="211"/>
      <c r="C485" s="197" t="s">
        <v>1625</v>
      </c>
      <c r="D485" s="198">
        <v>100004</v>
      </c>
      <c r="E485" s="198" t="s">
        <v>1626</v>
      </c>
      <c r="F485" s="199">
        <v>120928.67</v>
      </c>
      <c r="G485" s="199"/>
      <c r="H485" s="199">
        <v>120928.67</v>
      </c>
      <c r="I485" s="216">
        <v>10.368938957069433</v>
      </c>
      <c r="J485" s="201">
        <v>1253901.9973895936</v>
      </c>
      <c r="K485" s="202">
        <v>1753685.6805166055</v>
      </c>
      <c r="L485" s="203"/>
      <c r="M485" s="194" t="s">
        <v>619</v>
      </c>
    </row>
    <row r="486" spans="2:13">
      <c r="B486" s="211"/>
      <c r="C486" s="197" t="s">
        <v>311</v>
      </c>
      <c r="D486" s="198">
        <v>100004</v>
      </c>
      <c r="E486" s="198" t="s">
        <v>1552</v>
      </c>
      <c r="F486" s="199"/>
      <c r="G486" s="199"/>
      <c r="H486" s="199">
        <v>0</v>
      </c>
      <c r="I486" s="216">
        <v>10.368938957069433</v>
      </c>
      <c r="J486" s="201">
        <v>0</v>
      </c>
      <c r="K486" s="201">
        <v>0</v>
      </c>
      <c r="L486" s="215"/>
      <c r="M486" s="194"/>
    </row>
    <row r="487" spans="2:13">
      <c r="B487" s="211"/>
      <c r="C487" s="197" t="s">
        <v>1627</v>
      </c>
      <c r="D487" s="198">
        <v>100004</v>
      </c>
      <c r="E487" s="198" t="s">
        <v>1552</v>
      </c>
      <c r="F487" s="199"/>
      <c r="G487" s="199"/>
      <c r="H487" s="199">
        <v>0</v>
      </c>
      <c r="I487" s="216">
        <v>10.368938957069433</v>
      </c>
      <c r="J487" s="201">
        <v>0</v>
      </c>
      <c r="K487" s="201">
        <v>0</v>
      </c>
      <c r="L487" s="215"/>
      <c r="M487" s="194"/>
    </row>
    <row r="488" spans="2:13">
      <c r="B488" s="211"/>
      <c r="C488" s="197" t="s">
        <v>1628</v>
      </c>
      <c r="D488" s="198">
        <v>100004</v>
      </c>
      <c r="E488" s="198" t="s">
        <v>1629</v>
      </c>
      <c r="F488" s="199">
        <v>10160</v>
      </c>
      <c r="G488" s="199"/>
      <c r="H488" s="199">
        <v>10160</v>
      </c>
      <c r="I488" s="216">
        <v>10.368938957069433</v>
      </c>
      <c r="J488" s="201">
        <v>105348.41980382544</v>
      </c>
      <c r="K488" s="201">
        <v>137332.65116465295</v>
      </c>
      <c r="L488" s="215"/>
      <c r="M488" s="194" t="s">
        <v>597</v>
      </c>
    </row>
    <row r="489" spans="2:13">
      <c r="B489" s="211"/>
      <c r="C489" s="197" t="s">
        <v>1630</v>
      </c>
      <c r="D489" s="198">
        <v>100004</v>
      </c>
      <c r="E489" s="198" t="s">
        <v>1631</v>
      </c>
      <c r="F489" s="199">
        <v>3188.09</v>
      </c>
      <c r="G489" s="199"/>
      <c r="H489" s="199">
        <v>3188.09</v>
      </c>
      <c r="I489" s="216">
        <v>10.368938957069433</v>
      </c>
      <c r="J489" s="201">
        <v>33057.110599643493</v>
      </c>
      <c r="K489" s="201">
        <v>91181.694699986605</v>
      </c>
      <c r="L489" s="215"/>
      <c r="M489" s="194" t="s">
        <v>598</v>
      </c>
    </row>
    <row r="490" spans="2:13">
      <c r="B490" s="211"/>
      <c r="C490" s="197" t="s">
        <v>1632</v>
      </c>
      <c r="D490" s="198">
        <v>100004</v>
      </c>
      <c r="E490" s="198" t="s">
        <v>1552</v>
      </c>
      <c r="F490" s="199"/>
      <c r="G490" s="199"/>
      <c r="H490" s="199">
        <v>0</v>
      </c>
      <c r="I490" s="216">
        <v>10.368938957069433</v>
      </c>
      <c r="J490" s="201">
        <v>0</v>
      </c>
      <c r="K490" s="201">
        <v>0</v>
      </c>
      <c r="L490" s="215"/>
      <c r="M490" s="194"/>
    </row>
    <row r="491" spans="2:13">
      <c r="B491" s="211"/>
      <c r="C491" s="197" t="s">
        <v>1497</v>
      </c>
      <c r="D491" s="198">
        <v>100004</v>
      </c>
      <c r="E491" s="198" t="s">
        <v>1633</v>
      </c>
      <c r="F491" s="199">
        <v>11543</v>
      </c>
      <c r="G491" s="199"/>
      <c r="H491" s="199">
        <v>11543</v>
      </c>
      <c r="I491" s="216">
        <v>10.368938957069433</v>
      </c>
      <c r="J491" s="201">
        <v>119688.66238145246</v>
      </c>
      <c r="K491" s="201">
        <v>36654.633554640197</v>
      </c>
      <c r="L491" s="215"/>
      <c r="M491" s="194" t="s">
        <v>599</v>
      </c>
    </row>
    <row r="492" spans="2:13">
      <c r="B492" s="211"/>
      <c r="C492" s="197" t="s">
        <v>328</v>
      </c>
      <c r="D492" s="198">
        <v>100004</v>
      </c>
      <c r="E492" s="198" t="s">
        <v>1634</v>
      </c>
      <c r="F492" s="199">
        <v>948177.82</v>
      </c>
      <c r="G492" s="199"/>
      <c r="H492" s="199">
        <v>948177.82</v>
      </c>
      <c r="I492" s="216">
        <v>10.368938957069433</v>
      </c>
      <c r="J492" s="201">
        <v>9831597.9360271692</v>
      </c>
      <c r="K492" s="201">
        <v>8015911.0356906913</v>
      </c>
      <c r="L492" s="215"/>
      <c r="M492" s="194" t="s">
        <v>596</v>
      </c>
    </row>
    <row r="493" spans="2:13">
      <c r="B493" s="211"/>
      <c r="C493" s="197" t="s">
        <v>1500</v>
      </c>
      <c r="D493" s="198">
        <v>100004</v>
      </c>
      <c r="E493" s="198" t="s">
        <v>1635</v>
      </c>
      <c r="F493" s="199">
        <v>72611.040000000008</v>
      </c>
      <c r="G493" s="199"/>
      <c r="H493" s="199">
        <v>72611.040000000008</v>
      </c>
      <c r="I493" s="216">
        <v>10.368938957069433</v>
      </c>
      <c r="J493" s="201">
        <v>752899.44136932702</v>
      </c>
      <c r="K493" s="201">
        <v>1107571.9908076902</v>
      </c>
      <c r="L493" s="215"/>
      <c r="M493" s="194" t="s">
        <v>605</v>
      </c>
    </row>
    <row r="494" spans="2:13">
      <c r="B494" s="211"/>
      <c r="C494" s="197" t="s">
        <v>1636</v>
      </c>
      <c r="D494" s="198">
        <v>100004</v>
      </c>
      <c r="E494" s="198" t="s">
        <v>1637</v>
      </c>
      <c r="F494" s="199"/>
      <c r="G494" s="199"/>
      <c r="H494" s="199">
        <v>0</v>
      </c>
      <c r="I494" s="216">
        <v>10.368938957069433</v>
      </c>
      <c r="J494" s="201">
        <v>0</v>
      </c>
      <c r="K494" s="201">
        <v>0</v>
      </c>
      <c r="L494" s="215"/>
      <c r="M494" s="194" t="s">
        <v>604</v>
      </c>
    </row>
    <row r="495" spans="2:13">
      <c r="B495" s="211"/>
      <c r="C495" s="197" t="s">
        <v>1502</v>
      </c>
      <c r="D495" s="198">
        <v>100004</v>
      </c>
      <c r="E495" s="198" t="s">
        <v>1638</v>
      </c>
      <c r="F495" s="199">
        <v>74793.600000000006</v>
      </c>
      <c r="G495" s="199"/>
      <c r="H495" s="199">
        <v>74793.600000000006</v>
      </c>
      <c r="I495" s="216">
        <v>10.368938957069433</v>
      </c>
      <c r="J495" s="201">
        <v>775530.27277946845</v>
      </c>
      <c r="K495" s="201">
        <v>1216255.8985268613</v>
      </c>
      <c r="L495" s="215"/>
      <c r="M495" s="194" t="s">
        <v>593</v>
      </c>
    </row>
    <row r="496" spans="2:13">
      <c r="B496" s="211"/>
      <c r="C496" s="197" t="s">
        <v>1504</v>
      </c>
      <c r="D496" s="198">
        <v>100004</v>
      </c>
      <c r="E496" s="198" t="s">
        <v>1639</v>
      </c>
      <c r="F496" s="199">
        <v>436978.22</v>
      </c>
      <c r="G496" s="199"/>
      <c r="H496" s="199">
        <v>436978.22</v>
      </c>
      <c r="I496" s="216">
        <v>10.368938957069433</v>
      </c>
      <c r="J496" s="201">
        <v>4531000.4887488568</v>
      </c>
      <c r="K496" s="201">
        <v>10638985.098567093</v>
      </c>
      <c r="L496" s="215"/>
      <c r="M496" s="194" t="s">
        <v>592</v>
      </c>
    </row>
    <row r="497" spans="2:13">
      <c r="B497" s="211"/>
      <c r="C497" s="197" t="s">
        <v>1640</v>
      </c>
      <c r="D497" s="198">
        <v>100004</v>
      </c>
      <c r="E497" s="198" t="s">
        <v>1552</v>
      </c>
      <c r="F497" s="199"/>
      <c r="G497" s="199"/>
      <c r="H497" s="199">
        <v>0</v>
      </c>
      <c r="I497" s="216">
        <v>10.368938957069433</v>
      </c>
      <c r="J497" s="201">
        <v>0</v>
      </c>
      <c r="K497" s="201">
        <v>0</v>
      </c>
      <c r="L497" s="215"/>
      <c r="M497" s="194"/>
    </row>
    <row r="498" spans="2:13">
      <c r="B498" s="211"/>
      <c r="C498" s="197" t="s">
        <v>1641</v>
      </c>
      <c r="D498" s="198">
        <v>100004</v>
      </c>
      <c r="E498" s="198" t="s">
        <v>1629</v>
      </c>
      <c r="F498" s="199">
        <v>66150</v>
      </c>
      <c r="G498" s="199"/>
      <c r="H498" s="199">
        <v>66150</v>
      </c>
      <c r="I498" s="216">
        <v>10.368938957069433</v>
      </c>
      <c r="J498" s="201">
        <v>685905.31201014307</v>
      </c>
      <c r="K498" s="201">
        <v>858714.29439721198</v>
      </c>
      <c r="L498" s="215"/>
      <c r="M498" s="194" t="s">
        <v>597</v>
      </c>
    </row>
    <row r="499" spans="2:13">
      <c r="B499" s="211"/>
      <c r="C499" s="197" t="s">
        <v>1506</v>
      </c>
      <c r="D499" s="198">
        <v>100004</v>
      </c>
      <c r="E499" s="198" t="s">
        <v>1642</v>
      </c>
      <c r="F499" s="199">
        <v>940</v>
      </c>
      <c r="G499" s="199"/>
      <c r="H499" s="199">
        <v>940</v>
      </c>
      <c r="I499" s="216">
        <v>10.368938957069433</v>
      </c>
      <c r="J499" s="201">
        <v>9746.8026196452684</v>
      </c>
      <c r="K499" s="201">
        <v>11070.532715225381</v>
      </c>
      <c r="L499" s="215"/>
      <c r="M499" s="194" t="s">
        <v>580</v>
      </c>
    </row>
    <row r="500" spans="2:13">
      <c r="B500" s="211"/>
      <c r="C500" s="197" t="s">
        <v>1508</v>
      </c>
      <c r="D500" s="198">
        <v>100004</v>
      </c>
      <c r="E500" s="198" t="s">
        <v>1643</v>
      </c>
      <c r="F500" s="199">
        <v>16070</v>
      </c>
      <c r="G500" s="199"/>
      <c r="H500" s="199">
        <v>16070</v>
      </c>
      <c r="I500" s="216">
        <v>10.368938957069433</v>
      </c>
      <c r="J500" s="201">
        <v>166628.84904010579</v>
      </c>
      <c r="K500" s="201">
        <v>311897.79774477507</v>
      </c>
      <c r="L500" s="215"/>
      <c r="M500" s="194" t="s">
        <v>615</v>
      </c>
    </row>
    <row r="501" spans="2:13">
      <c r="B501" s="211"/>
      <c r="C501" s="197" t="s">
        <v>1644</v>
      </c>
      <c r="D501" s="198">
        <v>100004</v>
      </c>
      <c r="E501" s="198" t="s">
        <v>1645</v>
      </c>
      <c r="F501" s="199">
        <v>0</v>
      </c>
      <c r="G501" s="199"/>
      <c r="H501" s="199">
        <v>0</v>
      </c>
      <c r="I501" s="216">
        <v>10.368938957069433</v>
      </c>
      <c r="J501" s="201">
        <v>0</v>
      </c>
      <c r="K501" s="201">
        <v>0</v>
      </c>
      <c r="L501" s="215"/>
      <c r="M501" s="194" t="s">
        <v>603</v>
      </c>
    </row>
    <row r="502" spans="2:13">
      <c r="B502" s="211"/>
      <c r="C502" s="197" t="s">
        <v>1646</v>
      </c>
      <c r="D502" s="198">
        <v>100004</v>
      </c>
      <c r="E502" s="198" t="s">
        <v>1647</v>
      </c>
      <c r="F502" s="199"/>
      <c r="G502" s="199"/>
      <c r="H502" s="199">
        <v>0</v>
      </c>
      <c r="I502" s="216">
        <v>10.368938957069433</v>
      </c>
      <c r="J502" s="201">
        <v>0</v>
      </c>
      <c r="K502" s="201">
        <v>0</v>
      </c>
      <c r="L502" s="215"/>
      <c r="M502" s="194" t="s">
        <v>609</v>
      </c>
    </row>
    <row r="503" spans="2:13">
      <c r="B503" s="211"/>
      <c r="C503" s="197" t="s">
        <v>1510</v>
      </c>
      <c r="D503" s="198">
        <v>100004</v>
      </c>
      <c r="E503" s="198" t="s">
        <v>1648</v>
      </c>
      <c r="F503" s="199"/>
      <c r="G503" s="199"/>
      <c r="H503" s="199">
        <v>0</v>
      </c>
      <c r="I503" s="216">
        <v>10.368938957069433</v>
      </c>
      <c r="J503" s="201">
        <v>0</v>
      </c>
      <c r="K503" s="201">
        <v>1251494.8004428293</v>
      </c>
      <c r="L503" s="215"/>
      <c r="M503" s="194" t="s">
        <v>594</v>
      </c>
    </row>
    <row r="504" spans="2:13">
      <c r="B504" s="211"/>
      <c r="C504" s="197" t="s">
        <v>1649</v>
      </c>
      <c r="D504" s="198">
        <v>100004</v>
      </c>
      <c r="E504" s="198" t="s">
        <v>1626</v>
      </c>
      <c r="F504" s="199"/>
      <c r="G504" s="199"/>
      <c r="H504" s="199">
        <v>0</v>
      </c>
      <c r="I504" s="216">
        <v>10.368938957069433</v>
      </c>
      <c r="J504" s="201">
        <v>0</v>
      </c>
      <c r="K504" s="201">
        <v>0</v>
      </c>
      <c r="L504" s="215"/>
      <c r="M504" s="194" t="s">
        <v>619</v>
      </c>
    </row>
    <row r="505" spans="2:13">
      <c r="B505" s="211"/>
      <c r="C505" s="197" t="s">
        <v>1650</v>
      </c>
      <c r="D505" s="198">
        <v>100004</v>
      </c>
      <c r="E505" s="198" t="s">
        <v>1651</v>
      </c>
      <c r="F505" s="199"/>
      <c r="G505" s="199"/>
      <c r="H505" s="199">
        <v>0</v>
      </c>
      <c r="I505" s="216">
        <v>10.368938957069433</v>
      </c>
      <c r="J505" s="201">
        <v>0</v>
      </c>
      <c r="K505" s="201">
        <v>0</v>
      </c>
      <c r="L505" s="215"/>
      <c r="M505" s="194" t="s">
        <v>577</v>
      </c>
    </row>
    <row r="506" spans="2:13">
      <c r="B506" s="211"/>
      <c r="C506" s="197" t="s">
        <v>1652</v>
      </c>
      <c r="D506" s="198">
        <v>100004</v>
      </c>
      <c r="E506" s="198" t="s">
        <v>1648</v>
      </c>
      <c r="F506" s="199">
        <v>96069.01</v>
      </c>
      <c r="G506" s="199"/>
      <c r="H506" s="199">
        <v>96069.01</v>
      </c>
      <c r="I506" s="216">
        <v>10.368938957069433</v>
      </c>
      <c r="J506" s="201">
        <v>996133.70035609289</v>
      </c>
      <c r="K506" s="201">
        <v>615363.93867623596</v>
      </c>
      <c r="L506" s="215"/>
      <c r="M506" s="194" t="s">
        <v>594</v>
      </c>
    </row>
    <row r="507" spans="2:13">
      <c r="B507" s="211"/>
      <c r="C507" s="197" t="s">
        <v>1653</v>
      </c>
      <c r="D507" s="198">
        <v>100004</v>
      </c>
      <c r="E507" s="198" t="s">
        <v>1654</v>
      </c>
      <c r="F507" s="199"/>
      <c r="G507" s="199"/>
      <c r="H507" s="199">
        <v>0</v>
      </c>
      <c r="I507" s="216">
        <v>10.368938957069433</v>
      </c>
      <c r="J507" s="201">
        <v>0</v>
      </c>
      <c r="K507" s="201">
        <v>0</v>
      </c>
      <c r="L507" s="215"/>
      <c r="M507" s="194" t="s">
        <v>571</v>
      </c>
    </row>
    <row r="508" spans="2:13">
      <c r="B508" s="211"/>
      <c r="C508" s="197" t="s">
        <v>1513</v>
      </c>
      <c r="D508" s="198">
        <v>100004</v>
      </c>
      <c r="E508" s="198" t="s">
        <v>1654</v>
      </c>
      <c r="F508" s="199">
        <v>34969.81</v>
      </c>
      <c r="G508" s="199"/>
      <c r="H508" s="199">
        <v>34969.81</v>
      </c>
      <c r="I508" s="216">
        <v>10.368938957069433</v>
      </c>
      <c r="J508" s="201">
        <v>362599.8252303162</v>
      </c>
      <c r="K508" s="201">
        <v>612708.70631157421</v>
      </c>
      <c r="L508" s="215"/>
      <c r="M508" s="194" t="s">
        <v>571</v>
      </c>
    </row>
    <row r="509" spans="2:13">
      <c r="B509" s="211"/>
      <c r="C509" s="197" t="s">
        <v>1655</v>
      </c>
      <c r="D509" s="198">
        <v>100004</v>
      </c>
      <c r="E509" s="198" t="s">
        <v>1648</v>
      </c>
      <c r="F509" s="199">
        <v>0</v>
      </c>
      <c r="G509" s="199"/>
      <c r="H509" s="199">
        <v>0</v>
      </c>
      <c r="I509" s="216">
        <v>10.368938957069433</v>
      </c>
      <c r="J509" s="201">
        <v>0</v>
      </c>
      <c r="K509" s="201">
        <v>0</v>
      </c>
      <c r="L509" s="215"/>
      <c r="M509" s="194" t="s">
        <v>594</v>
      </c>
    </row>
    <row r="510" spans="2:13">
      <c r="B510" s="211"/>
      <c r="C510" s="197" t="s">
        <v>1656</v>
      </c>
      <c r="D510" s="198">
        <v>100004</v>
      </c>
      <c r="E510" s="198" t="s">
        <v>1626</v>
      </c>
      <c r="F510" s="199">
        <v>11551.329999999998</v>
      </c>
      <c r="G510" s="199"/>
      <c r="H510" s="199">
        <v>11551.329999999998</v>
      </c>
      <c r="I510" s="216">
        <v>10.368938957069433</v>
      </c>
      <c r="J510" s="201">
        <v>119775.03564296484</v>
      </c>
      <c r="K510" s="201">
        <v>-292396.20662340912</v>
      </c>
      <c r="L510" s="215"/>
      <c r="M510" s="194" t="s">
        <v>619</v>
      </c>
    </row>
    <row r="511" spans="2:13">
      <c r="B511" s="211"/>
      <c r="C511" s="197" t="s">
        <v>1657</v>
      </c>
      <c r="D511" s="198">
        <v>100004</v>
      </c>
      <c r="E511" s="198" t="s">
        <v>1623</v>
      </c>
      <c r="F511" s="199">
        <v>91205.55</v>
      </c>
      <c r="G511" s="199"/>
      <c r="H511" s="199">
        <v>91205.55</v>
      </c>
      <c r="I511" s="216">
        <v>10.368938957069433</v>
      </c>
      <c r="J511" s="201">
        <v>945704.78049594408</v>
      </c>
      <c r="K511" s="201">
        <v>1716544.0432570244</v>
      </c>
      <c r="L511" s="215"/>
      <c r="M511" s="194" t="s">
        <v>600</v>
      </c>
    </row>
    <row r="512" spans="2:13">
      <c r="B512" s="211"/>
      <c r="C512" s="197" t="s">
        <v>1658</v>
      </c>
      <c r="D512" s="198">
        <v>100004</v>
      </c>
      <c r="E512" s="198" t="s">
        <v>1659</v>
      </c>
      <c r="F512" s="199"/>
      <c r="G512" s="199"/>
      <c r="H512" s="199">
        <v>0</v>
      </c>
      <c r="I512" s="216">
        <v>10.368938957069433</v>
      </c>
      <c r="J512" s="201">
        <v>0</v>
      </c>
      <c r="K512" s="201">
        <v>0</v>
      </c>
      <c r="L512" s="215"/>
      <c r="M512" s="194" t="s">
        <v>611</v>
      </c>
    </row>
    <row r="513" spans="2:13">
      <c r="B513" s="211"/>
      <c r="C513" s="197" t="s">
        <v>1660</v>
      </c>
      <c r="D513" s="198">
        <v>100004</v>
      </c>
      <c r="E513" s="198" t="s">
        <v>1661</v>
      </c>
      <c r="F513" s="199"/>
      <c r="G513" s="199"/>
      <c r="H513" s="199">
        <v>0</v>
      </c>
      <c r="I513" s="216">
        <v>10.368938957069433</v>
      </c>
      <c r="J513" s="201">
        <v>0</v>
      </c>
      <c r="K513" s="201">
        <v>0</v>
      </c>
      <c r="L513" s="215"/>
      <c r="M513" s="194" t="s">
        <v>610</v>
      </c>
    </row>
    <row r="514" spans="2:13">
      <c r="B514" s="211"/>
      <c r="C514" s="197" t="s">
        <v>347</v>
      </c>
      <c r="D514" s="198">
        <v>100004</v>
      </c>
      <c r="E514" s="198" t="s">
        <v>1662</v>
      </c>
      <c r="F514" s="199">
        <v>34704</v>
      </c>
      <c r="G514" s="199"/>
      <c r="H514" s="199">
        <v>34704</v>
      </c>
      <c r="I514" s="216">
        <v>10.368938957069433</v>
      </c>
      <c r="J514" s="201">
        <v>359843.65756613761</v>
      </c>
      <c r="K514" s="201">
        <v>1331841.9343231239</v>
      </c>
      <c r="L514" s="215"/>
      <c r="M514" s="194" t="s">
        <v>614</v>
      </c>
    </row>
    <row r="515" spans="2:13">
      <c r="B515" s="211"/>
      <c r="C515" s="197" t="s">
        <v>1663</v>
      </c>
      <c r="D515" s="198">
        <v>100004</v>
      </c>
      <c r="E515" s="198" t="s">
        <v>1664</v>
      </c>
      <c r="F515" s="199">
        <v>337790.66899999994</v>
      </c>
      <c r="G515" s="199"/>
      <c r="H515" s="199">
        <v>337790.66899999994</v>
      </c>
      <c r="I515" s="216">
        <v>10.368938957069433</v>
      </c>
      <c r="J515" s="201">
        <v>3502530.8271286455</v>
      </c>
      <c r="K515" s="201">
        <v>6397679.4067511335</v>
      </c>
      <c r="L515" s="215"/>
      <c r="M515" s="194" t="s">
        <v>616</v>
      </c>
    </row>
    <row r="516" spans="2:13">
      <c r="B516" s="211"/>
      <c r="C516" s="197" t="s">
        <v>1665</v>
      </c>
      <c r="D516" s="198">
        <v>100004</v>
      </c>
      <c r="E516" s="198" t="s">
        <v>1666</v>
      </c>
      <c r="F516" s="199"/>
      <c r="G516" s="199"/>
      <c r="H516" s="199">
        <v>0</v>
      </c>
      <c r="I516" s="216">
        <v>10.368938957069433</v>
      </c>
      <c r="J516" s="201">
        <v>0</v>
      </c>
      <c r="K516" s="201">
        <v>170486.40328352878</v>
      </c>
      <c r="L516" s="215"/>
      <c r="M516" s="194" t="s">
        <v>613</v>
      </c>
    </row>
    <row r="517" spans="2:13">
      <c r="B517" s="211"/>
      <c r="C517" s="197" t="s">
        <v>1667</v>
      </c>
      <c r="D517" s="198">
        <v>100004</v>
      </c>
      <c r="E517" s="198" t="s">
        <v>1668</v>
      </c>
      <c r="F517" s="199">
        <v>99007.73000000001</v>
      </c>
      <c r="G517" s="199"/>
      <c r="H517" s="199">
        <v>99007.73000000001</v>
      </c>
      <c r="I517" s="216">
        <v>10.368938957069433</v>
      </c>
      <c r="J517" s="201">
        <v>1026605.1086480122</v>
      </c>
      <c r="K517" s="201">
        <v>2630178.5523127667</v>
      </c>
      <c r="L517" s="215"/>
      <c r="M517" s="194" t="s">
        <v>608</v>
      </c>
    </row>
    <row r="518" spans="2:13">
      <c r="B518" s="211"/>
      <c r="C518" s="197" t="s">
        <v>1669</v>
      </c>
      <c r="D518" s="198">
        <v>100004</v>
      </c>
      <c r="E518" s="198" t="s">
        <v>1670</v>
      </c>
      <c r="F518" s="199"/>
      <c r="G518" s="199"/>
      <c r="H518" s="199">
        <v>0</v>
      </c>
      <c r="I518" s="216">
        <v>10.368938957069433</v>
      </c>
      <c r="J518" s="201">
        <v>0</v>
      </c>
      <c r="K518" s="201">
        <v>0</v>
      </c>
      <c r="L518" s="215"/>
      <c r="M518" s="194" t="s">
        <v>617</v>
      </c>
    </row>
    <row r="519" spans="2:13">
      <c r="B519" s="211"/>
      <c r="C519" s="197" t="s">
        <v>1671</v>
      </c>
      <c r="D519" s="198">
        <v>100004</v>
      </c>
      <c r="E519" s="198" t="s">
        <v>1672</v>
      </c>
      <c r="F519" s="199"/>
      <c r="G519" s="199"/>
      <c r="H519" s="199">
        <v>0</v>
      </c>
      <c r="I519" s="216">
        <v>10.368938957069433</v>
      </c>
      <c r="J519" s="201">
        <v>0</v>
      </c>
      <c r="K519" s="201">
        <v>0</v>
      </c>
      <c r="L519" s="215"/>
      <c r="M519" s="194" t="s">
        <v>587</v>
      </c>
    </row>
    <row r="520" spans="2:13">
      <c r="B520" s="211"/>
      <c r="C520" s="197" t="s">
        <v>1673</v>
      </c>
      <c r="D520" s="198">
        <v>100004</v>
      </c>
      <c r="E520" s="198" t="s">
        <v>1672</v>
      </c>
      <c r="F520" s="199"/>
      <c r="G520" s="199"/>
      <c r="H520" s="199">
        <v>0</v>
      </c>
      <c r="I520" s="216">
        <v>10.368938957069433</v>
      </c>
      <c r="J520" s="201">
        <v>0</v>
      </c>
      <c r="K520" s="201">
        <v>0</v>
      </c>
      <c r="L520" s="215"/>
      <c r="M520" s="194" t="s">
        <v>587</v>
      </c>
    </row>
    <row r="521" spans="2:13">
      <c r="B521" s="211"/>
      <c r="C521" s="197" t="s">
        <v>1674</v>
      </c>
      <c r="D521" s="198">
        <v>100004</v>
      </c>
      <c r="E521" s="198" t="s">
        <v>1675</v>
      </c>
      <c r="F521" s="199"/>
      <c r="G521" s="199"/>
      <c r="H521" s="199">
        <v>0</v>
      </c>
      <c r="I521" s="216">
        <v>10.368938957069433</v>
      </c>
      <c r="J521" s="201">
        <v>0</v>
      </c>
      <c r="K521" s="201">
        <v>0</v>
      </c>
      <c r="L521" s="215"/>
      <c r="M521" s="194" t="s">
        <v>618</v>
      </c>
    </row>
    <row r="522" spans="2:13">
      <c r="B522" s="211"/>
      <c r="C522" s="197" t="s">
        <v>1526</v>
      </c>
      <c r="D522" s="198">
        <v>100004</v>
      </c>
      <c r="E522" s="198" t="s">
        <v>1676</v>
      </c>
      <c r="F522" s="199">
        <v>0</v>
      </c>
      <c r="G522" s="199"/>
      <c r="H522" s="199">
        <v>0</v>
      </c>
      <c r="I522" s="216">
        <v>10.368938957069433</v>
      </c>
      <c r="J522" s="201">
        <v>0</v>
      </c>
      <c r="K522" s="201">
        <v>0</v>
      </c>
      <c r="L522" s="215"/>
      <c r="M522" s="194" t="s">
        <v>602</v>
      </c>
    </row>
    <row r="523" spans="2:13">
      <c r="B523" s="211"/>
      <c r="C523" s="197" t="s">
        <v>1677</v>
      </c>
      <c r="D523" s="198">
        <v>100004</v>
      </c>
      <c r="E523" s="198" t="s">
        <v>1676</v>
      </c>
      <c r="F523" s="178"/>
      <c r="G523" s="199"/>
      <c r="H523" s="199">
        <v>0</v>
      </c>
      <c r="I523" s="216">
        <v>10.368938957069433</v>
      </c>
      <c r="J523" s="201">
        <v>0</v>
      </c>
      <c r="K523" s="201">
        <v>0</v>
      </c>
      <c r="L523" s="215"/>
      <c r="M523" s="194" t="s">
        <v>602</v>
      </c>
    </row>
    <row r="524" spans="2:13">
      <c r="B524" s="211"/>
      <c r="C524" s="197" t="s">
        <v>1522</v>
      </c>
      <c r="D524" s="198">
        <v>100004</v>
      </c>
      <c r="E524" s="198" t="s">
        <v>1678</v>
      </c>
      <c r="F524" s="199">
        <v>220936.36000000002</v>
      </c>
      <c r="G524" s="199"/>
      <c r="H524" s="199">
        <v>220936.36000000002</v>
      </c>
      <c r="I524" s="216">
        <v>10.368938957069433</v>
      </c>
      <c r="J524" s="201">
        <v>2290875.6302371169</v>
      </c>
      <c r="K524" s="201">
        <v>388107.74389450258</v>
      </c>
      <c r="L524" s="215"/>
      <c r="M524" s="194" t="s">
        <v>620</v>
      </c>
    </row>
    <row r="525" spans="2:13">
      <c r="B525" s="211"/>
      <c r="C525" s="197" t="s">
        <v>1679</v>
      </c>
      <c r="D525" s="198">
        <v>100004</v>
      </c>
      <c r="E525" s="198" t="s">
        <v>1676</v>
      </c>
      <c r="F525" s="199">
        <v>31590</v>
      </c>
      <c r="G525" s="199"/>
      <c r="H525" s="199">
        <v>31590</v>
      </c>
      <c r="I525" s="216">
        <v>10.368938957069433</v>
      </c>
      <c r="J525" s="201">
        <v>327554.78165382339</v>
      </c>
      <c r="K525" s="201">
        <v>0</v>
      </c>
      <c r="L525" s="215"/>
      <c r="M525" s="194" t="s">
        <v>602</v>
      </c>
    </row>
    <row r="526" spans="2:13">
      <c r="B526" s="211"/>
      <c r="C526" s="197" t="s">
        <v>1524</v>
      </c>
      <c r="D526" s="198">
        <v>100004</v>
      </c>
      <c r="E526" s="198" t="s">
        <v>1680</v>
      </c>
      <c r="F526" s="199">
        <v>75235.91</v>
      </c>
      <c r="G526" s="199"/>
      <c r="H526" s="199">
        <v>75235.91</v>
      </c>
      <c r="I526" s="216">
        <v>10.368938957069433</v>
      </c>
      <c r="J526" s="201">
        <v>780116.55816956982</v>
      </c>
      <c r="K526" s="201">
        <v>1328595.4756707519</v>
      </c>
      <c r="L526" s="215"/>
      <c r="M526" s="194" t="s">
        <v>607</v>
      </c>
    </row>
    <row r="527" spans="2:13" ht="15">
      <c r="B527" s="211"/>
      <c r="C527" s="197" t="s">
        <v>1573</v>
      </c>
      <c r="D527" s="198">
        <v>100004</v>
      </c>
      <c r="E527" s="198" t="s">
        <v>1682</v>
      </c>
      <c r="F527" s="199"/>
      <c r="G527" s="199"/>
      <c r="H527" s="199">
        <v>0</v>
      </c>
      <c r="I527" s="179">
        <v>10.368938957069433</v>
      </c>
      <c r="J527" s="201">
        <v>0</v>
      </c>
      <c r="K527" s="201">
        <v>0</v>
      </c>
      <c r="L527" s="215"/>
      <c r="M527" s="194" t="s">
        <v>1681</v>
      </c>
    </row>
    <row r="528" spans="2:13" ht="15">
      <c r="B528" s="211"/>
      <c r="C528" s="197" t="s">
        <v>1683</v>
      </c>
      <c r="D528" s="198">
        <v>100004</v>
      </c>
      <c r="E528" s="198" t="s">
        <v>1684</v>
      </c>
      <c r="F528" s="199">
        <v>557839.80000000005</v>
      </c>
      <c r="G528" s="199"/>
      <c r="H528" s="199">
        <v>557839.80000000005</v>
      </c>
      <c r="I528" s="179">
        <v>10.368938957069433</v>
      </c>
      <c r="J528" s="201">
        <v>5784206.8340238221</v>
      </c>
      <c r="K528" s="201">
        <v>7599241.0181873199</v>
      </c>
      <c r="L528" s="215"/>
      <c r="M528" s="194" t="s">
        <v>568</v>
      </c>
    </row>
    <row r="529" spans="2:13" ht="15">
      <c r="B529" s="211"/>
      <c r="C529" s="197" t="s">
        <v>1685</v>
      </c>
      <c r="D529" s="198">
        <v>100004</v>
      </c>
      <c r="E529" s="198" t="s">
        <v>1621</v>
      </c>
      <c r="F529" s="199"/>
      <c r="G529" s="199"/>
      <c r="H529" s="199">
        <v>0</v>
      </c>
      <c r="I529" s="179"/>
      <c r="J529" s="201">
        <v>0</v>
      </c>
      <c r="K529" s="201"/>
      <c r="L529" s="215"/>
      <c r="M529" s="194" t="s">
        <v>362</v>
      </c>
    </row>
    <row r="530" spans="2:13" ht="15">
      <c r="B530" s="211"/>
      <c r="C530" s="197" t="s">
        <v>1686</v>
      </c>
      <c r="D530" s="198">
        <v>100004</v>
      </c>
      <c r="E530" s="198" t="s">
        <v>1579</v>
      </c>
      <c r="F530" s="199"/>
      <c r="G530" s="199"/>
      <c r="H530" s="199">
        <v>0</v>
      </c>
      <c r="I530" s="179"/>
      <c r="J530" s="201">
        <v>0</v>
      </c>
      <c r="K530" s="201">
        <v>0</v>
      </c>
      <c r="L530" s="215"/>
      <c r="M530" s="194" t="s">
        <v>358</v>
      </c>
    </row>
    <row r="531" spans="2:13" ht="15">
      <c r="B531" s="211"/>
      <c r="C531" s="197" t="s">
        <v>1687</v>
      </c>
      <c r="D531" s="198">
        <v>100004</v>
      </c>
      <c r="E531" s="198" t="s">
        <v>1688</v>
      </c>
      <c r="F531" s="199">
        <v>5049637.0089999996</v>
      </c>
      <c r="G531" s="199"/>
      <c r="H531" s="199">
        <v>5049637.0089999996</v>
      </c>
      <c r="I531" s="179">
        <v>10.148806616521771</v>
      </c>
      <c r="J531" s="201">
        <v>51247789.487972401</v>
      </c>
      <c r="K531" s="201">
        <v>63059781.1471503</v>
      </c>
      <c r="L531" s="215"/>
      <c r="M531" s="194" t="s">
        <v>543</v>
      </c>
    </row>
    <row r="532" spans="2:13">
      <c r="B532" s="211"/>
      <c r="C532" s="197" t="s">
        <v>1689</v>
      </c>
      <c r="D532" s="198">
        <v>100004</v>
      </c>
      <c r="E532" s="198" t="s">
        <v>1690</v>
      </c>
      <c r="F532" s="199">
        <v>3283275.8089999999</v>
      </c>
      <c r="G532" s="199"/>
      <c r="H532" s="199">
        <v>3283275.8089999999</v>
      </c>
      <c r="I532" s="216">
        <v>10.759090520377184</v>
      </c>
      <c r="J532" s="201">
        <v>35325061.632395625</v>
      </c>
      <c r="K532" s="201">
        <v>88612443.599999994</v>
      </c>
      <c r="L532" s="215"/>
      <c r="M532" s="194" t="s">
        <v>544</v>
      </c>
    </row>
    <row r="533" spans="2:13">
      <c r="B533" s="211"/>
      <c r="C533" s="197" t="s">
        <v>1691</v>
      </c>
      <c r="D533" s="198">
        <v>100004</v>
      </c>
      <c r="E533" s="198" t="s">
        <v>1692</v>
      </c>
      <c r="F533" s="199">
        <v>-2775762.9590000003</v>
      </c>
      <c r="G533" s="199"/>
      <c r="H533" s="199">
        <v>-2775762.9590000003</v>
      </c>
      <c r="I533" s="216">
        <v>10.268572132561292</v>
      </c>
      <c r="J533" s="201">
        <v>-28503122.170000002</v>
      </c>
      <c r="K533" s="201">
        <v>-51247789.487972386</v>
      </c>
      <c r="L533" s="215"/>
      <c r="M533" s="194" t="s">
        <v>547</v>
      </c>
    </row>
    <row r="534" spans="2:13">
      <c r="B534" s="211"/>
      <c r="C534" s="197" t="s">
        <v>1693</v>
      </c>
      <c r="D534" s="198">
        <v>100004</v>
      </c>
      <c r="E534" s="198" t="s">
        <v>1694</v>
      </c>
      <c r="F534" s="199">
        <v>2822846.9709999999</v>
      </c>
      <c r="G534" s="199"/>
      <c r="H534" s="199">
        <v>2822846.9709999999</v>
      </c>
      <c r="I534" s="216">
        <v>10.148806616521757</v>
      </c>
      <c r="J534" s="201">
        <v>28648528.016713198</v>
      </c>
      <c r="K534" s="201">
        <v>14691574.540109601</v>
      </c>
      <c r="L534" s="215"/>
      <c r="M534" s="194" t="s">
        <v>549</v>
      </c>
    </row>
    <row r="535" spans="2:13">
      <c r="B535" s="211"/>
      <c r="C535" s="197" t="s">
        <v>1695</v>
      </c>
      <c r="D535" s="198">
        <v>100004</v>
      </c>
      <c r="E535" s="198" t="s">
        <v>1696</v>
      </c>
      <c r="F535" s="199">
        <v>-1727848.04</v>
      </c>
      <c r="G535" s="199"/>
      <c r="H535" s="199">
        <v>-1727848.04</v>
      </c>
      <c r="I535" s="216">
        <v>10.268572132561292</v>
      </c>
      <c r="J535" s="201">
        <v>-17742532.232844651</v>
      </c>
      <c r="K535" s="201">
        <v>-28648528.016713228</v>
      </c>
      <c r="L535" s="215"/>
      <c r="M535" s="194" t="s">
        <v>552</v>
      </c>
    </row>
    <row r="536" spans="2:13">
      <c r="B536" s="211"/>
      <c r="C536" s="197" t="s">
        <v>1697</v>
      </c>
      <c r="D536" s="198">
        <v>100004</v>
      </c>
      <c r="E536" s="198" t="s">
        <v>1698</v>
      </c>
      <c r="F536" s="199"/>
      <c r="G536" s="199"/>
      <c r="H536" s="199">
        <v>0</v>
      </c>
      <c r="I536" s="216"/>
      <c r="J536" s="201">
        <v>-3493573.196376978</v>
      </c>
      <c r="K536" s="201">
        <v>-2946834.196376978</v>
      </c>
      <c r="L536" s="215"/>
      <c r="M536" s="194" t="s">
        <v>378</v>
      </c>
    </row>
    <row r="537" spans="2:13">
      <c r="B537" s="211"/>
      <c r="C537" s="197" t="s">
        <v>1699</v>
      </c>
      <c r="D537" s="198">
        <v>100004</v>
      </c>
      <c r="E537" s="198" t="s">
        <v>1700</v>
      </c>
      <c r="F537" s="199"/>
      <c r="G537" s="199"/>
      <c r="H537" s="199">
        <v>0</v>
      </c>
      <c r="I537" s="216"/>
      <c r="J537" s="201">
        <v>-580128.18999999994</v>
      </c>
      <c r="K537" s="201">
        <v>-546738.59</v>
      </c>
      <c r="L537" s="215"/>
      <c r="M537" s="194" t="s">
        <v>379</v>
      </c>
    </row>
    <row r="538" spans="2:13">
      <c r="B538" s="211"/>
      <c r="C538" s="197"/>
      <c r="D538" s="198">
        <v>100004</v>
      </c>
      <c r="E538" s="198" t="s">
        <v>1552</v>
      </c>
      <c r="F538" s="199"/>
      <c r="G538" s="199"/>
      <c r="H538" s="199">
        <v>0</v>
      </c>
      <c r="I538" s="216"/>
      <c r="J538" s="201">
        <v>0</v>
      </c>
      <c r="K538" s="201"/>
      <c r="L538" s="215"/>
      <c r="M538" s="194"/>
    </row>
    <row r="539" spans="2:13">
      <c r="B539" s="211"/>
      <c r="C539" s="197"/>
      <c r="D539" s="198">
        <v>100004</v>
      </c>
      <c r="E539" s="198" t="s">
        <v>1552</v>
      </c>
      <c r="F539" s="199"/>
      <c r="G539" s="199"/>
      <c r="H539" s="199">
        <v>0</v>
      </c>
      <c r="I539" s="216"/>
      <c r="J539" s="201">
        <v>0</v>
      </c>
      <c r="K539" s="201"/>
      <c r="L539" s="215"/>
      <c r="M539" s="194"/>
    </row>
    <row r="540" spans="2:13">
      <c r="B540" s="211"/>
      <c r="C540" s="197"/>
      <c r="D540" s="198">
        <v>100004</v>
      </c>
      <c r="E540" s="198" t="s">
        <v>1552</v>
      </c>
      <c r="F540" s="199"/>
      <c r="G540" s="199"/>
      <c r="H540" s="199">
        <v>0</v>
      </c>
      <c r="I540" s="216"/>
      <c r="J540" s="201">
        <v>0</v>
      </c>
      <c r="K540" s="201"/>
      <c r="L540" s="215"/>
      <c r="M540" s="194"/>
    </row>
    <row r="541" spans="2:13">
      <c r="B541" s="211"/>
      <c r="C541" s="197"/>
      <c r="D541" s="198">
        <v>100004</v>
      </c>
      <c r="E541" s="198" t="s">
        <v>1552</v>
      </c>
      <c r="F541" s="199"/>
      <c r="G541" s="199"/>
      <c r="H541" s="199">
        <v>0</v>
      </c>
      <c r="I541" s="216"/>
      <c r="J541" s="201">
        <v>0</v>
      </c>
      <c r="K541" s="201"/>
      <c r="L541" s="215"/>
      <c r="M541" s="194"/>
    </row>
    <row r="542" spans="2:13">
      <c r="B542" s="211"/>
      <c r="C542" s="197"/>
      <c r="D542" s="198">
        <v>100004</v>
      </c>
      <c r="E542" s="198" t="s">
        <v>1552</v>
      </c>
      <c r="F542" s="199"/>
      <c r="G542" s="199"/>
      <c r="H542" s="199">
        <v>0</v>
      </c>
      <c r="I542" s="216"/>
      <c r="J542" s="201">
        <v>0</v>
      </c>
      <c r="K542" s="201"/>
      <c r="L542" s="215"/>
      <c r="M542" s="194"/>
    </row>
    <row r="543" spans="2:13">
      <c r="B543" s="211"/>
      <c r="C543" s="197"/>
      <c r="D543" s="198">
        <v>100004</v>
      </c>
      <c r="E543" s="198"/>
      <c r="F543" s="199"/>
      <c r="G543" s="199"/>
      <c r="H543" s="199"/>
      <c r="I543" s="216"/>
      <c r="J543" s="201"/>
      <c r="K543" s="201"/>
      <c r="L543" s="215"/>
      <c r="M543" s="194"/>
    </row>
    <row r="544" spans="2:13">
      <c r="B544" s="211"/>
      <c r="C544" s="262"/>
      <c r="D544" s="262"/>
      <c r="E544" s="262"/>
      <c r="F544" s="292">
        <v>-6.5192580223083496E-9</v>
      </c>
      <c r="G544" s="265">
        <v>0</v>
      </c>
      <c r="H544" s="292">
        <v>-6.5192580223083496E-9</v>
      </c>
      <c r="I544" s="262"/>
      <c r="J544" s="293">
        <v>0</v>
      </c>
      <c r="K544" s="293">
        <v>0</v>
      </c>
      <c r="L544" s="246"/>
      <c r="M544" s="194"/>
    </row>
    <row r="545" spans="1:13">
      <c r="B545" s="211"/>
      <c r="C545" s="208"/>
      <c r="D545" s="208"/>
      <c r="E545" s="208"/>
      <c r="F545" s="244"/>
      <c r="G545" s="244"/>
      <c r="H545" s="244"/>
      <c r="I545" s="244"/>
      <c r="J545" s="245"/>
      <c r="K545" s="245"/>
      <c r="L545" s="215"/>
      <c r="M545" s="194"/>
    </row>
    <row r="546" spans="1:13" ht="13.5" thickBot="1">
      <c r="B546" s="266"/>
      <c r="C546" s="267"/>
      <c r="D546" s="267"/>
      <c r="E546" s="267"/>
      <c r="F546" s="268"/>
      <c r="G546" s="268"/>
      <c r="H546" s="268"/>
      <c r="I546" s="268"/>
      <c r="J546" s="269"/>
      <c r="K546" s="269"/>
      <c r="L546" s="280"/>
      <c r="M546" s="194"/>
    </row>
    <row r="547" spans="1:13" s="284" customFormat="1" ht="14.25" thickTop="1" thickBot="1">
      <c r="A547" s="283"/>
      <c r="B547" s="294"/>
      <c r="C547" s="295"/>
      <c r="D547" s="295"/>
      <c r="E547" s="295"/>
      <c r="F547" s="296"/>
      <c r="G547" s="296"/>
      <c r="H547" s="296"/>
      <c r="I547" s="296"/>
      <c r="J547" s="297"/>
      <c r="K547" s="297"/>
      <c r="L547" s="298"/>
      <c r="M547" s="212"/>
    </row>
    <row r="548" spans="1:13" s="306" customFormat="1" ht="15">
      <c r="A548" s="299"/>
      <c r="B548" s="300"/>
      <c r="C548" s="301" t="s">
        <v>632</v>
      </c>
      <c r="D548" s="301"/>
      <c r="E548" s="302">
        <v>100005</v>
      </c>
      <c r="F548" s="303"/>
      <c r="G548" s="302"/>
      <c r="H548" s="302">
        <v>100005</v>
      </c>
      <c r="I548" s="302">
        <v>100005</v>
      </c>
      <c r="J548" s="304"/>
      <c r="K548" s="302">
        <v>100005</v>
      </c>
      <c r="L548" s="305"/>
      <c r="M548" s="217"/>
    </row>
    <row r="549" spans="1:13" s="218" customFormat="1" ht="28.5" customHeight="1">
      <c r="A549" s="299"/>
      <c r="B549" s="307"/>
      <c r="C549" s="308" t="s">
        <v>2</v>
      </c>
      <c r="D549" s="308"/>
      <c r="E549" s="309" t="s">
        <v>764</v>
      </c>
      <c r="F549" s="310"/>
      <c r="G549" s="311"/>
      <c r="H549" s="312" t="s">
        <v>764</v>
      </c>
      <c r="I549" s="311" t="s">
        <v>764</v>
      </c>
      <c r="J549" s="311"/>
      <c r="K549" s="311" t="s">
        <v>764</v>
      </c>
      <c r="L549" s="313"/>
    </row>
    <row r="550" spans="1:13" s="306" customFormat="1" ht="21.75" customHeight="1">
      <c r="A550" s="314">
        <v>100005</v>
      </c>
      <c r="B550" s="300"/>
      <c r="C550" s="301" t="s">
        <v>634</v>
      </c>
      <c r="D550" s="301"/>
      <c r="E550" s="304" t="s">
        <v>1006</v>
      </c>
      <c r="F550" s="303"/>
      <c r="G550" s="304"/>
      <c r="H550" s="304" t="s">
        <v>1006</v>
      </c>
      <c r="I550" s="304" t="s">
        <v>1006</v>
      </c>
      <c r="J550" s="304"/>
      <c r="K550" s="304" t="s">
        <v>1006</v>
      </c>
      <c r="L550" s="305"/>
      <c r="M550" s="217"/>
    </row>
    <row r="551" spans="1:13" s="306" customFormat="1" ht="15">
      <c r="A551" s="299"/>
      <c r="B551" s="300"/>
      <c r="C551" s="301"/>
      <c r="D551" s="301"/>
      <c r="E551" s="301"/>
      <c r="F551" s="315">
        <v>0</v>
      </c>
      <c r="G551" s="303"/>
      <c r="H551" s="303"/>
      <c r="I551" s="303"/>
      <c r="J551" s="255" t="s">
        <v>2833</v>
      </c>
      <c r="K551" s="255" t="s">
        <v>1021</v>
      </c>
      <c r="L551" s="305"/>
      <c r="M551" s="217"/>
    </row>
    <row r="552" spans="1:13" s="306" customFormat="1" ht="41.25" customHeight="1">
      <c r="A552" s="299"/>
      <c r="B552" s="300"/>
      <c r="C552" s="316" t="s">
        <v>3</v>
      </c>
      <c r="D552" s="316" t="s">
        <v>1</v>
      </c>
      <c r="E552" s="316" t="s">
        <v>635</v>
      </c>
      <c r="F552" s="317" t="s">
        <v>1701</v>
      </c>
      <c r="G552" s="317" t="s">
        <v>636</v>
      </c>
      <c r="H552" s="317" t="s">
        <v>1701</v>
      </c>
      <c r="I552" s="318" t="s">
        <v>637</v>
      </c>
      <c r="J552" s="317" t="s">
        <v>638</v>
      </c>
      <c r="K552" s="317" t="s">
        <v>638</v>
      </c>
      <c r="L552" s="319"/>
      <c r="M552" s="217"/>
    </row>
    <row r="553" spans="1:13" ht="15">
      <c r="B553" s="211"/>
      <c r="C553" s="219" t="s">
        <v>1702</v>
      </c>
      <c r="D553" s="198">
        <v>100005</v>
      </c>
      <c r="E553" s="198" t="s">
        <v>1703</v>
      </c>
      <c r="F553" s="199">
        <v>75024.070000000007</v>
      </c>
      <c r="G553" s="199"/>
      <c r="H553" s="199">
        <v>75024.070000000007</v>
      </c>
      <c r="I553" s="216">
        <v>17.61</v>
      </c>
      <c r="J553" s="201">
        <v>1321173.8727000002</v>
      </c>
      <c r="K553" s="201">
        <v>1255174.8479999998</v>
      </c>
      <c r="L553" s="215"/>
      <c r="M553" s="217" t="s">
        <v>357</v>
      </c>
    </row>
    <row r="554" spans="1:13" s="205" customFormat="1" ht="15">
      <c r="A554" s="196"/>
      <c r="B554" s="320"/>
      <c r="C554" s="321" t="s">
        <v>1704</v>
      </c>
      <c r="D554" s="322">
        <v>100005</v>
      </c>
      <c r="E554" s="322" t="s">
        <v>1705</v>
      </c>
      <c r="F554" s="323">
        <v>3889713.7299999995</v>
      </c>
      <c r="G554" s="323">
        <v>0</v>
      </c>
      <c r="H554" s="323">
        <v>3889713.7299999995</v>
      </c>
      <c r="I554" s="324">
        <v>17.61</v>
      </c>
      <c r="J554" s="325">
        <v>68497858.785299987</v>
      </c>
      <c r="K554" s="325">
        <v>61876781.219999999</v>
      </c>
      <c r="L554" s="326"/>
      <c r="M554" s="217" t="s">
        <v>479</v>
      </c>
    </row>
    <row r="555" spans="1:13" ht="15">
      <c r="B555" s="211"/>
      <c r="C555" s="219" t="s">
        <v>642</v>
      </c>
      <c r="D555" s="198">
        <v>100005</v>
      </c>
      <c r="E555" s="198" t="s">
        <v>1706</v>
      </c>
      <c r="F555" s="199">
        <v>504101.38</v>
      </c>
      <c r="G555" s="199"/>
      <c r="H555" s="199">
        <v>504101.38</v>
      </c>
      <c r="I555" s="216">
        <v>17.61</v>
      </c>
      <c r="J555" s="201">
        <v>8877225.3017999995</v>
      </c>
      <c r="K555" s="201">
        <v>4829719.303199999</v>
      </c>
      <c r="L555" s="215"/>
      <c r="M555" s="217" t="s">
        <v>496</v>
      </c>
    </row>
    <row r="556" spans="1:13" ht="15">
      <c r="B556" s="211"/>
      <c r="C556" s="219" t="s">
        <v>1707</v>
      </c>
      <c r="D556" s="198">
        <v>100005</v>
      </c>
      <c r="E556" s="198" t="s">
        <v>1708</v>
      </c>
      <c r="F556" s="199">
        <v>70040.95</v>
      </c>
      <c r="G556" s="199"/>
      <c r="H556" s="199">
        <v>70040.95</v>
      </c>
      <c r="I556" s="216">
        <v>17.61</v>
      </c>
      <c r="J556" s="201">
        <v>1233421.1294999998</v>
      </c>
      <c r="K556" s="201">
        <v>871286.59439999994</v>
      </c>
      <c r="L556" s="215"/>
      <c r="M556" s="217" t="s">
        <v>494</v>
      </c>
    </row>
    <row r="557" spans="1:13" ht="15">
      <c r="B557" s="211"/>
      <c r="C557" s="219" t="s">
        <v>1709</v>
      </c>
      <c r="D557" s="198">
        <v>100005</v>
      </c>
      <c r="E557" s="198" t="s">
        <v>1710</v>
      </c>
      <c r="F557" s="199">
        <v>307266.5662</v>
      </c>
      <c r="G557" s="199"/>
      <c r="H557" s="199">
        <v>307266.5662</v>
      </c>
      <c r="I557" s="216">
        <v>17.61</v>
      </c>
      <c r="J557" s="201">
        <v>5410964.2307819994</v>
      </c>
      <c r="K557" s="201">
        <v>12278011</v>
      </c>
      <c r="L557" s="215"/>
      <c r="M557" s="217" t="s">
        <v>488</v>
      </c>
    </row>
    <row r="558" spans="1:13" ht="15">
      <c r="B558" s="211"/>
      <c r="C558" s="219" t="s">
        <v>1711</v>
      </c>
      <c r="D558" s="198">
        <v>100005</v>
      </c>
      <c r="E558" s="198" t="s">
        <v>1712</v>
      </c>
      <c r="F558" s="199">
        <v>7877979.9737999989</v>
      </c>
      <c r="G558" s="199"/>
      <c r="H558" s="199">
        <v>7877979.9737999989</v>
      </c>
      <c r="I558" s="216">
        <v>17.61</v>
      </c>
      <c r="J558" s="201">
        <v>138731227.33861798</v>
      </c>
      <c r="K558" s="201">
        <v>248943799.664</v>
      </c>
      <c r="L558" s="215"/>
      <c r="M558" s="217" t="s">
        <v>484</v>
      </c>
    </row>
    <row r="559" spans="1:13" ht="15">
      <c r="B559" s="211"/>
      <c r="C559" s="219" t="s">
        <v>2798</v>
      </c>
      <c r="D559" s="198">
        <v>100005</v>
      </c>
      <c r="E559" s="198" t="s">
        <v>1712</v>
      </c>
      <c r="F559" s="199">
        <v>484741</v>
      </c>
      <c r="G559" s="199"/>
      <c r="H559" s="199">
        <v>484741</v>
      </c>
      <c r="I559" s="216">
        <v>17.61</v>
      </c>
      <c r="J559" s="201">
        <v>8536289.0099999998</v>
      </c>
      <c r="K559" s="201"/>
      <c r="L559" s="215"/>
      <c r="M559" s="217" t="s">
        <v>484</v>
      </c>
    </row>
    <row r="560" spans="1:13" ht="15">
      <c r="B560" s="211"/>
      <c r="C560" s="219" t="s">
        <v>1713</v>
      </c>
      <c r="D560" s="198">
        <v>100005</v>
      </c>
      <c r="E560" s="198" t="s">
        <v>1714</v>
      </c>
      <c r="F560" s="199">
        <v>-1309109.1100000001</v>
      </c>
      <c r="G560" s="199"/>
      <c r="H560" s="199">
        <v>-1309109.1100000001</v>
      </c>
      <c r="I560" s="216">
        <v>17.61</v>
      </c>
      <c r="J560" s="201">
        <v>-23053411.427100003</v>
      </c>
      <c r="K560" s="201">
        <v>-31408105.927200001</v>
      </c>
      <c r="L560" s="215"/>
      <c r="M560" s="217" t="s">
        <v>419</v>
      </c>
    </row>
    <row r="561" spans="1:13" ht="15">
      <c r="B561" s="211"/>
      <c r="C561" s="219" t="s">
        <v>644</v>
      </c>
      <c r="D561" s="198">
        <v>100005</v>
      </c>
      <c r="E561" s="198" t="s">
        <v>1715</v>
      </c>
      <c r="F561" s="199">
        <v>-0.22</v>
      </c>
      <c r="G561" s="199"/>
      <c r="H561" s="199">
        <v>-0.22</v>
      </c>
      <c r="I561" s="216">
        <v>17.61</v>
      </c>
      <c r="J561" s="201">
        <v>-3.8742000000000001</v>
      </c>
      <c r="K561" s="201">
        <v>865377.0983999999</v>
      </c>
      <c r="L561" s="215"/>
      <c r="M561" s="217" t="s">
        <v>459</v>
      </c>
    </row>
    <row r="562" spans="1:13" ht="15">
      <c r="B562" s="211"/>
      <c r="C562" s="219" t="s">
        <v>647</v>
      </c>
      <c r="D562" s="198">
        <v>100005</v>
      </c>
      <c r="E562" s="198" t="s">
        <v>1716</v>
      </c>
      <c r="F562" s="199">
        <v>127648</v>
      </c>
      <c r="G562" s="199"/>
      <c r="H562" s="199">
        <v>127648</v>
      </c>
      <c r="I562" s="216">
        <v>17.61</v>
      </c>
      <c r="J562" s="201">
        <v>2247881.2799999998</v>
      </c>
      <c r="K562" s="201">
        <v>1781784</v>
      </c>
      <c r="L562" s="215"/>
      <c r="M562" s="217" t="s">
        <v>449</v>
      </c>
    </row>
    <row r="563" spans="1:13" ht="15">
      <c r="B563" s="211"/>
      <c r="C563" s="219" t="s">
        <v>1717</v>
      </c>
      <c r="D563" s="198">
        <v>100005</v>
      </c>
      <c r="E563" s="198" t="s">
        <v>1718</v>
      </c>
      <c r="F563" s="199">
        <v>498375.25</v>
      </c>
      <c r="G563" s="199"/>
      <c r="H563" s="199">
        <v>498375.25</v>
      </c>
      <c r="I563" s="216">
        <v>17.61</v>
      </c>
      <c r="J563" s="201">
        <v>8776388.1524999999</v>
      </c>
      <c r="K563" s="201">
        <v>6124861.4759999998</v>
      </c>
      <c r="L563" s="215"/>
      <c r="M563" s="217" t="s">
        <v>510</v>
      </c>
    </row>
    <row r="564" spans="1:13" ht="15">
      <c r="B564" s="211"/>
      <c r="C564" s="219" t="s">
        <v>1719</v>
      </c>
      <c r="D564" s="198">
        <v>100005</v>
      </c>
      <c r="E564" s="198" t="s">
        <v>1720</v>
      </c>
      <c r="F564" s="199">
        <v>-724065.93</v>
      </c>
      <c r="G564" s="199"/>
      <c r="H564" s="199">
        <v>-724065.93</v>
      </c>
      <c r="I564" s="216">
        <v>17.61</v>
      </c>
      <c r="J564" s="201">
        <v>-12750801.0273</v>
      </c>
      <c r="K564" s="201">
        <v>-9897147.8639999982</v>
      </c>
      <c r="L564" s="215"/>
      <c r="M564" s="217" t="s">
        <v>410</v>
      </c>
    </row>
    <row r="565" spans="1:13" ht="15">
      <c r="B565" s="211"/>
      <c r="C565" s="219" t="s">
        <v>1721</v>
      </c>
      <c r="D565" s="198">
        <v>100005</v>
      </c>
      <c r="E565" s="198" t="s">
        <v>1720</v>
      </c>
      <c r="F565" s="199">
        <v>-1418691.3</v>
      </c>
      <c r="G565" s="199">
        <v>0</v>
      </c>
      <c r="H565" s="199">
        <v>-1418691.3</v>
      </c>
      <c r="I565" s="216">
        <v>17.61</v>
      </c>
      <c r="J565" s="201">
        <v>-24983153.793000001</v>
      </c>
      <c r="K565" s="201">
        <v>-52050785.404800005</v>
      </c>
      <c r="L565" s="215"/>
      <c r="M565" s="217" t="s">
        <v>410</v>
      </c>
    </row>
    <row r="566" spans="1:13" ht="15">
      <c r="B566" s="211"/>
      <c r="C566" s="219" t="s">
        <v>2799</v>
      </c>
      <c r="D566" s="198">
        <v>100005</v>
      </c>
      <c r="E566" s="198" t="s">
        <v>2837</v>
      </c>
      <c r="F566" s="199">
        <v>4778150</v>
      </c>
      <c r="G566" s="199"/>
      <c r="H566" s="199">
        <v>4778150</v>
      </c>
      <c r="I566" s="216">
        <v>17.61</v>
      </c>
      <c r="J566" s="201">
        <v>84143221.5</v>
      </c>
      <c r="K566" s="201">
        <v>-5007553.9607999995</v>
      </c>
      <c r="L566" s="215"/>
      <c r="M566" s="217" t="s">
        <v>514</v>
      </c>
    </row>
    <row r="567" spans="1:13" ht="15">
      <c r="B567" s="211"/>
      <c r="C567" s="219" t="s">
        <v>645</v>
      </c>
      <c r="D567" s="198">
        <v>100005</v>
      </c>
      <c r="E567" s="198" t="s">
        <v>1722</v>
      </c>
      <c r="F567" s="199">
        <v>-417596.29</v>
      </c>
      <c r="G567" s="199"/>
      <c r="H567" s="199">
        <v>-417596.29</v>
      </c>
      <c r="I567" s="216">
        <v>17.61</v>
      </c>
      <c r="J567" s="201">
        <v>-7353870.6668999996</v>
      </c>
      <c r="K567" s="201"/>
      <c r="L567" s="215"/>
      <c r="M567" s="217" t="s">
        <v>425</v>
      </c>
    </row>
    <row r="568" spans="1:13" ht="15">
      <c r="B568" s="211"/>
      <c r="C568" s="219" t="s">
        <v>1723</v>
      </c>
      <c r="D568" s="198">
        <v>100005</v>
      </c>
      <c r="E568" s="198" t="s">
        <v>1724</v>
      </c>
      <c r="F568" s="199">
        <v>-150000</v>
      </c>
      <c r="G568" s="199"/>
      <c r="H568" s="199">
        <v>-150000</v>
      </c>
      <c r="I568" s="216">
        <v>11.85</v>
      </c>
      <c r="J568" s="201">
        <v>-1777500</v>
      </c>
      <c r="K568" s="201">
        <v>-1777500</v>
      </c>
      <c r="L568" s="215"/>
      <c r="M568" s="217" t="s">
        <v>365</v>
      </c>
    </row>
    <row r="569" spans="1:13" ht="15">
      <c r="B569" s="211"/>
      <c r="C569" s="219" t="s">
        <v>646</v>
      </c>
      <c r="D569" s="198">
        <v>100005</v>
      </c>
      <c r="E569" s="198" t="s">
        <v>1725</v>
      </c>
      <c r="F569" s="199">
        <v>-13575061.609999999</v>
      </c>
      <c r="G569" s="199"/>
      <c r="H569" s="199">
        <v>-13575061.609999999</v>
      </c>
      <c r="I569" s="216">
        <v>15.541425964536893</v>
      </c>
      <c r="J569" s="201">
        <v>-210975814.975842</v>
      </c>
      <c r="K569" s="201">
        <v>-156049184.97584164</v>
      </c>
      <c r="L569" s="215"/>
      <c r="M569" s="217" t="s">
        <v>380</v>
      </c>
    </row>
    <row r="570" spans="1:13" ht="15">
      <c r="B570" s="211"/>
      <c r="C570" s="219" t="s">
        <v>1726</v>
      </c>
      <c r="D570" s="198">
        <v>100005</v>
      </c>
      <c r="E570" s="198" t="s">
        <v>1727</v>
      </c>
      <c r="F570" s="199">
        <v>-16695589.720000001</v>
      </c>
      <c r="G570" s="199"/>
      <c r="H570" s="199">
        <v>-16695589.720000001</v>
      </c>
      <c r="I570" s="216">
        <v>17.258888888888887</v>
      </c>
      <c r="J570" s="201">
        <v>-288147327.91195554</v>
      </c>
      <c r="K570" s="201">
        <v>-487043841.80874997</v>
      </c>
      <c r="L570" s="215"/>
      <c r="M570" s="217" t="s">
        <v>528</v>
      </c>
    </row>
    <row r="571" spans="1:13" ht="15">
      <c r="B571" s="211"/>
      <c r="C571" s="219" t="s">
        <v>1728</v>
      </c>
      <c r="D571" s="198">
        <v>100005</v>
      </c>
      <c r="E571" s="198" t="s">
        <v>1729</v>
      </c>
      <c r="F571" s="199">
        <v>-29368.91</v>
      </c>
      <c r="G571" s="199"/>
      <c r="H571" s="199">
        <v>-29368.91</v>
      </c>
      <c r="I571" s="216">
        <v>17.258888888888887</v>
      </c>
      <c r="J571" s="201">
        <v>-506874.75447777769</v>
      </c>
      <c r="K571" s="201">
        <v>-530723.44374999998</v>
      </c>
      <c r="L571" s="215"/>
      <c r="M571" s="217" t="s">
        <v>529</v>
      </c>
    </row>
    <row r="572" spans="1:13" s="205" customFormat="1" ht="15">
      <c r="A572" s="196"/>
      <c r="B572" s="320"/>
      <c r="C572" s="321" t="s">
        <v>1730</v>
      </c>
      <c r="D572" s="322">
        <v>100005</v>
      </c>
      <c r="E572" s="322" t="s">
        <v>1731</v>
      </c>
      <c r="F572" s="323">
        <v>12142943.2213</v>
      </c>
      <c r="G572" s="323"/>
      <c r="H572" s="323">
        <v>12142943.2213</v>
      </c>
      <c r="I572" s="324">
        <v>17.295415023228436</v>
      </c>
      <c r="J572" s="325">
        <v>210017242.61588192</v>
      </c>
      <c r="K572" s="325">
        <v>387991005.72874999</v>
      </c>
      <c r="L572" s="326"/>
      <c r="M572" s="217" t="s">
        <v>548</v>
      </c>
    </row>
    <row r="573" spans="1:13" s="205" customFormat="1" ht="15">
      <c r="A573" s="196"/>
      <c r="B573" s="320"/>
      <c r="C573" s="321" t="s">
        <v>1732</v>
      </c>
      <c r="D573" s="322">
        <v>100005</v>
      </c>
      <c r="E573" s="322" t="s">
        <v>1733</v>
      </c>
      <c r="F573" s="323">
        <v>3531779.75</v>
      </c>
      <c r="G573" s="323"/>
      <c r="H573" s="323">
        <v>3531779.75</v>
      </c>
      <c r="I573" s="324">
        <v>17.52</v>
      </c>
      <c r="J573" s="325">
        <v>61876781.219999999</v>
      </c>
      <c r="K573" s="325">
        <v>38869897.479999997</v>
      </c>
      <c r="L573" s="326"/>
      <c r="M573" s="217" t="s">
        <v>551</v>
      </c>
    </row>
    <row r="574" spans="1:13" s="205" customFormat="1" ht="15">
      <c r="A574" s="196"/>
      <c r="B574" s="320"/>
      <c r="C574" s="321" t="s">
        <v>1704</v>
      </c>
      <c r="D574" s="322">
        <v>100005</v>
      </c>
      <c r="E574" s="322" t="s">
        <v>1734</v>
      </c>
      <c r="F574" s="323">
        <v>-3889713.7312999996</v>
      </c>
      <c r="G574" s="323"/>
      <c r="H574" s="323">
        <v>-3889713.7312999996</v>
      </c>
      <c r="I574" s="324">
        <v>17.61</v>
      </c>
      <c r="J574" s="325">
        <v>-68497858.808192998</v>
      </c>
      <c r="K574" s="325">
        <v>-61876781.219999999</v>
      </c>
      <c r="L574" s="326"/>
      <c r="M574" s="217" t="s">
        <v>554</v>
      </c>
    </row>
    <row r="575" spans="1:13" ht="15">
      <c r="B575" s="211"/>
      <c r="C575" s="219" t="s">
        <v>1735</v>
      </c>
      <c r="D575" s="198">
        <v>100005</v>
      </c>
      <c r="E575" s="198" t="s">
        <v>1736</v>
      </c>
      <c r="F575" s="199">
        <v>1922512.48</v>
      </c>
      <c r="G575" s="199"/>
      <c r="H575" s="199">
        <v>1922512.48</v>
      </c>
      <c r="I575" s="216">
        <v>17.258888888888887</v>
      </c>
      <c r="J575" s="201">
        <v>33180429.279822219</v>
      </c>
      <c r="K575" s="201">
        <v>33378266.088750001</v>
      </c>
      <c r="L575" s="215"/>
      <c r="M575" s="217" t="s">
        <v>555</v>
      </c>
    </row>
    <row r="576" spans="1:13" ht="15">
      <c r="B576" s="211"/>
      <c r="C576" s="219" t="s">
        <v>1737</v>
      </c>
      <c r="D576" s="198">
        <v>100005</v>
      </c>
      <c r="E576" s="198" t="s">
        <v>1738</v>
      </c>
      <c r="F576" s="199">
        <v>266049</v>
      </c>
      <c r="G576" s="199"/>
      <c r="H576" s="199">
        <v>266049</v>
      </c>
      <c r="I576" s="216">
        <v>17.258888888888887</v>
      </c>
      <c r="J576" s="201">
        <v>4591710.13</v>
      </c>
      <c r="K576" s="201">
        <v>4307056.6899999995</v>
      </c>
      <c r="L576" s="215"/>
      <c r="M576" s="217" t="s">
        <v>564</v>
      </c>
    </row>
    <row r="577" spans="2:13" ht="15">
      <c r="B577" s="211"/>
      <c r="C577" s="219" t="s">
        <v>1739</v>
      </c>
      <c r="D577" s="198">
        <v>100005</v>
      </c>
      <c r="E577" s="198" t="s">
        <v>1740</v>
      </c>
      <c r="F577" s="199">
        <v>16663</v>
      </c>
      <c r="G577" s="199"/>
      <c r="H577" s="199">
        <v>16663</v>
      </c>
      <c r="I577" s="216">
        <v>17.258888888888887</v>
      </c>
      <c r="J577" s="201">
        <v>287584.8655555555</v>
      </c>
      <c r="K577" s="201">
        <v>250883.99</v>
      </c>
      <c r="L577" s="215"/>
      <c r="M577" s="217" t="s">
        <v>595</v>
      </c>
    </row>
    <row r="578" spans="2:13" ht="15">
      <c r="B578" s="211"/>
      <c r="C578" s="219" t="s">
        <v>1741</v>
      </c>
      <c r="D578" s="198">
        <v>100005</v>
      </c>
      <c r="E578" s="198" t="s">
        <v>1742</v>
      </c>
      <c r="F578" s="199">
        <v>1011</v>
      </c>
      <c r="G578" s="199"/>
      <c r="H578" s="199">
        <v>1011</v>
      </c>
      <c r="I578" s="216">
        <v>17.258888888888887</v>
      </c>
      <c r="J578" s="201">
        <v>17448.736666666664</v>
      </c>
      <c r="K578" s="201">
        <v>7295.25</v>
      </c>
      <c r="L578" s="215"/>
      <c r="M578" s="217" t="s">
        <v>578</v>
      </c>
    </row>
    <row r="579" spans="2:13" ht="15">
      <c r="B579" s="211"/>
      <c r="C579" s="219" t="s">
        <v>1743</v>
      </c>
      <c r="D579" s="198">
        <v>100005</v>
      </c>
      <c r="E579" s="198" t="s">
        <v>1744</v>
      </c>
      <c r="F579" s="199">
        <v>320871.8</v>
      </c>
      <c r="G579" s="199"/>
      <c r="H579" s="199">
        <v>320871.8</v>
      </c>
      <c r="I579" s="216">
        <v>17.258888888888887</v>
      </c>
      <c r="J579" s="201">
        <v>5537890.7437777771</v>
      </c>
      <c r="K579" s="201">
        <v>2886768.7850000001</v>
      </c>
      <c r="L579" s="215"/>
      <c r="M579" s="217" t="s">
        <v>616</v>
      </c>
    </row>
    <row r="580" spans="2:13" ht="15">
      <c r="B580" s="211"/>
      <c r="C580" s="219" t="s">
        <v>1745</v>
      </c>
      <c r="D580" s="198">
        <v>100005</v>
      </c>
      <c r="E580" s="198" t="s">
        <v>1746</v>
      </c>
      <c r="F580" s="199">
        <v>65720.89</v>
      </c>
      <c r="G580" s="199"/>
      <c r="H580" s="199">
        <v>65720.89</v>
      </c>
      <c r="I580" s="216">
        <v>17.258888888888887</v>
      </c>
      <c r="J580" s="201">
        <v>1134269.5381888887</v>
      </c>
      <c r="K580" s="201">
        <v>1832417.6412500001</v>
      </c>
      <c r="L580" s="215"/>
      <c r="M580" s="217" t="s">
        <v>608</v>
      </c>
    </row>
    <row r="581" spans="2:13" ht="15">
      <c r="B581" s="211"/>
      <c r="C581" s="219" t="s">
        <v>1747</v>
      </c>
      <c r="D581" s="198">
        <v>100005</v>
      </c>
      <c r="E581" s="198" t="s">
        <v>1748</v>
      </c>
      <c r="F581" s="199">
        <v>615430.80000000005</v>
      </c>
      <c r="G581" s="199"/>
      <c r="H581" s="199">
        <v>615430.80000000005</v>
      </c>
      <c r="I581" s="216">
        <v>17.258888888888887</v>
      </c>
      <c r="J581" s="201">
        <v>10621651.796</v>
      </c>
      <c r="K581" s="201">
        <v>12275795.09375</v>
      </c>
      <c r="L581" s="215"/>
      <c r="M581" s="217" t="s">
        <v>596</v>
      </c>
    </row>
    <row r="582" spans="2:13" ht="15">
      <c r="B582" s="211"/>
      <c r="C582" s="219" t="s">
        <v>1749</v>
      </c>
      <c r="D582" s="198">
        <v>100005</v>
      </c>
      <c r="E582" s="198" t="s">
        <v>1750</v>
      </c>
      <c r="F582" s="199">
        <v>2328</v>
      </c>
      <c r="G582" s="199"/>
      <c r="H582" s="199">
        <v>2328</v>
      </c>
      <c r="I582" s="216">
        <v>17.258888888888887</v>
      </c>
      <c r="J582" s="201">
        <v>40178.693333333329</v>
      </c>
      <c r="K582" s="201">
        <v>82936.375</v>
      </c>
      <c r="L582" s="215"/>
      <c r="M582" s="217" t="s">
        <v>605</v>
      </c>
    </row>
    <row r="583" spans="2:13" ht="15">
      <c r="B583" s="211"/>
      <c r="C583" s="219" t="s">
        <v>1751</v>
      </c>
      <c r="D583" s="198">
        <v>100005</v>
      </c>
      <c r="E583" s="198" t="s">
        <v>1752</v>
      </c>
      <c r="F583" s="199">
        <v>74689.81</v>
      </c>
      <c r="G583" s="199"/>
      <c r="H583" s="199">
        <v>74689.81</v>
      </c>
      <c r="I583" s="216">
        <v>17.258888888888887</v>
      </c>
      <c r="J583" s="201">
        <v>1289063.131922222</v>
      </c>
      <c r="K583" s="201">
        <v>1703316.37625</v>
      </c>
      <c r="L583" s="215"/>
      <c r="M583" s="217" t="s">
        <v>593</v>
      </c>
    </row>
    <row r="584" spans="2:13" ht="15">
      <c r="B584" s="211"/>
      <c r="C584" s="219" t="s">
        <v>1753</v>
      </c>
      <c r="D584" s="198">
        <v>100005</v>
      </c>
      <c r="E584" s="198" t="s">
        <v>1754</v>
      </c>
      <c r="F584" s="199">
        <v>202225.58</v>
      </c>
      <c r="G584" s="199"/>
      <c r="H584" s="199">
        <v>202225.58</v>
      </c>
      <c r="I584" s="216">
        <v>17.258888888888887</v>
      </c>
      <c r="J584" s="201">
        <v>3490188.8157111104</v>
      </c>
      <c r="K584" s="201">
        <v>3061085.3587500001</v>
      </c>
      <c r="L584" s="215"/>
      <c r="M584" s="217" t="s">
        <v>592</v>
      </c>
    </row>
    <row r="585" spans="2:13" ht="15">
      <c r="B585" s="211"/>
      <c r="C585" s="219" t="s">
        <v>1755</v>
      </c>
      <c r="D585" s="198">
        <v>100005</v>
      </c>
      <c r="E585" s="198" t="s">
        <v>1756</v>
      </c>
      <c r="F585" s="199">
        <v>400</v>
      </c>
      <c r="G585" s="199"/>
      <c r="H585" s="199">
        <v>400</v>
      </c>
      <c r="I585" s="216">
        <v>17.258888888888887</v>
      </c>
      <c r="J585" s="201">
        <v>6903.5555555555547</v>
      </c>
      <c r="K585" s="201">
        <v>14402.125</v>
      </c>
      <c r="L585" s="215"/>
      <c r="M585" s="217" t="s">
        <v>590</v>
      </c>
    </row>
    <row r="586" spans="2:13" ht="15">
      <c r="B586" s="211"/>
      <c r="C586" s="219" t="s">
        <v>1757</v>
      </c>
      <c r="D586" s="198">
        <v>100005</v>
      </c>
      <c r="E586" s="198" t="s">
        <v>1758</v>
      </c>
      <c r="F586" s="199">
        <v>0</v>
      </c>
      <c r="G586" s="199"/>
      <c r="H586" s="199">
        <v>0</v>
      </c>
      <c r="I586" s="216">
        <v>17.258888888888887</v>
      </c>
      <c r="J586" s="201">
        <v>0</v>
      </c>
      <c r="K586" s="201">
        <v>316812.5</v>
      </c>
      <c r="L586" s="215"/>
      <c r="M586" s="217" t="s">
        <v>571</v>
      </c>
    </row>
    <row r="587" spans="2:13" ht="15">
      <c r="B587" s="211"/>
      <c r="C587" s="219" t="s">
        <v>1759</v>
      </c>
      <c r="D587" s="198">
        <v>100005</v>
      </c>
      <c r="E587" s="198" t="s">
        <v>1760</v>
      </c>
      <c r="F587" s="199">
        <v>12900</v>
      </c>
      <c r="G587" s="199"/>
      <c r="H587" s="199">
        <v>12900</v>
      </c>
      <c r="I587" s="216">
        <v>17.258888888888887</v>
      </c>
      <c r="J587" s="201">
        <v>222639.66666666663</v>
      </c>
      <c r="K587" s="201">
        <v>428125</v>
      </c>
      <c r="L587" s="215"/>
      <c r="M587" s="217" t="s">
        <v>614</v>
      </c>
    </row>
    <row r="588" spans="2:13" ht="15">
      <c r="B588" s="211"/>
      <c r="C588" s="219" t="s">
        <v>1761</v>
      </c>
      <c r="D588" s="198">
        <v>100005</v>
      </c>
      <c r="E588" s="198" t="s">
        <v>1762</v>
      </c>
      <c r="F588" s="199">
        <v>4399.6899999999996</v>
      </c>
      <c r="G588" s="199"/>
      <c r="H588" s="199">
        <v>4399.6899999999996</v>
      </c>
      <c r="I588" s="216">
        <v>17.258888888888887</v>
      </c>
      <c r="J588" s="201">
        <v>75933.760855555534</v>
      </c>
      <c r="K588" s="201">
        <v>79494.25</v>
      </c>
      <c r="L588" s="215"/>
      <c r="M588" s="217" t="s">
        <v>603</v>
      </c>
    </row>
    <row r="589" spans="2:13" ht="15">
      <c r="B589" s="211"/>
      <c r="C589" s="219" t="s">
        <v>1763</v>
      </c>
      <c r="D589" s="198">
        <v>100005</v>
      </c>
      <c r="E589" s="198" t="s">
        <v>1764</v>
      </c>
      <c r="F589" s="199">
        <v>2700</v>
      </c>
      <c r="G589" s="199"/>
      <c r="H589" s="199">
        <v>2700</v>
      </c>
      <c r="I589" s="216">
        <v>17.258888888888887</v>
      </c>
      <c r="J589" s="201">
        <v>46598.999999999993</v>
      </c>
      <c r="K589" s="201">
        <v>59081.25</v>
      </c>
      <c r="L589" s="215"/>
      <c r="M589" s="217" t="s">
        <v>606</v>
      </c>
    </row>
    <row r="590" spans="2:13" ht="15">
      <c r="B590" s="211"/>
      <c r="C590" s="219" t="s">
        <v>1765</v>
      </c>
      <c r="D590" s="198">
        <v>100005</v>
      </c>
      <c r="E590" s="198" t="s">
        <v>1766</v>
      </c>
      <c r="F590" s="199">
        <v>43076.97</v>
      </c>
      <c r="G590" s="199"/>
      <c r="H590" s="199">
        <v>43076.97</v>
      </c>
      <c r="I590" s="216">
        <v>17.258888888888887</v>
      </c>
      <c r="J590" s="201">
        <v>743460.6388999999</v>
      </c>
      <c r="K590" s="201">
        <v>978022.27875000006</v>
      </c>
      <c r="L590" s="215"/>
      <c r="M590" s="217" t="s">
        <v>607</v>
      </c>
    </row>
    <row r="591" spans="2:13" ht="15">
      <c r="B591" s="211"/>
      <c r="C591" s="219" t="s">
        <v>1767</v>
      </c>
      <c r="D591" s="198">
        <v>100005</v>
      </c>
      <c r="E591" s="198" t="s">
        <v>1768</v>
      </c>
      <c r="F591" s="199">
        <v>295</v>
      </c>
      <c r="G591" s="199"/>
      <c r="H591" s="199">
        <v>295</v>
      </c>
      <c r="I591" s="216">
        <v>17.258888888888887</v>
      </c>
      <c r="J591" s="201">
        <v>5091.3722222222214</v>
      </c>
      <c r="K591" s="201">
        <v>68791.125</v>
      </c>
      <c r="L591" s="215"/>
      <c r="M591" s="217" t="s">
        <v>598</v>
      </c>
    </row>
    <row r="592" spans="2:13" ht="15">
      <c r="B592" s="211"/>
      <c r="C592" s="219" t="s">
        <v>1769</v>
      </c>
      <c r="D592" s="198">
        <v>100005</v>
      </c>
      <c r="E592" s="198" t="s">
        <v>1770</v>
      </c>
      <c r="F592" s="199">
        <v>9290</v>
      </c>
      <c r="G592" s="199"/>
      <c r="H592" s="199">
        <v>9290</v>
      </c>
      <c r="I592" s="216">
        <v>17.258888888888887</v>
      </c>
      <c r="J592" s="201">
        <v>160335.07777777777</v>
      </c>
      <c r="K592" s="201">
        <v>279428.625</v>
      </c>
      <c r="L592" s="215"/>
      <c r="M592" s="217" t="s">
        <v>597</v>
      </c>
    </row>
    <row r="593" spans="2:13" ht="15">
      <c r="B593" s="211"/>
      <c r="C593" s="219" t="s">
        <v>1771</v>
      </c>
      <c r="D593" s="198">
        <v>100005</v>
      </c>
      <c r="E593" s="198" t="s">
        <v>1772</v>
      </c>
      <c r="F593" s="199">
        <v>133443.96</v>
      </c>
      <c r="G593" s="199"/>
      <c r="H593" s="199">
        <v>133443.96</v>
      </c>
      <c r="I593" s="216">
        <v>17.258888888888887</v>
      </c>
      <c r="J593" s="201">
        <v>2303094.4785333327</v>
      </c>
      <c r="K593" s="201">
        <v>2571220.11</v>
      </c>
      <c r="L593" s="215"/>
      <c r="M593" s="217" t="s">
        <v>599</v>
      </c>
    </row>
    <row r="594" spans="2:13" ht="15">
      <c r="B594" s="211"/>
      <c r="C594" s="219" t="s">
        <v>1773</v>
      </c>
      <c r="D594" s="198">
        <v>100005</v>
      </c>
      <c r="E594" s="198" t="s">
        <v>1774</v>
      </c>
      <c r="F594" s="199">
        <v>138766.57999999999</v>
      </c>
      <c r="G594" s="199"/>
      <c r="H594" s="199">
        <v>138766.57999999999</v>
      </c>
      <c r="I594" s="216">
        <v>17.258888888888887</v>
      </c>
      <c r="J594" s="201">
        <v>2394956.9857111108</v>
      </c>
      <c r="K594" s="201">
        <v>1821492.91875</v>
      </c>
      <c r="L594" s="215"/>
      <c r="M594" s="217" t="s">
        <v>619</v>
      </c>
    </row>
    <row r="595" spans="2:13" ht="15">
      <c r="B595" s="211"/>
      <c r="C595" s="219" t="s">
        <v>1775</v>
      </c>
      <c r="D595" s="198">
        <v>100005</v>
      </c>
      <c r="E595" s="198" t="s">
        <v>1776</v>
      </c>
      <c r="F595" s="199">
        <v>5197.25</v>
      </c>
      <c r="G595" s="199"/>
      <c r="H595" s="199">
        <v>5197.25</v>
      </c>
      <c r="I595" s="216">
        <v>17.258888888888887</v>
      </c>
      <c r="J595" s="201">
        <v>89698.760277777765</v>
      </c>
      <c r="K595" s="201">
        <v>94521.4375</v>
      </c>
      <c r="L595" s="215"/>
      <c r="M595" s="217" t="s">
        <v>604</v>
      </c>
    </row>
    <row r="596" spans="2:13" ht="15">
      <c r="B596" s="211"/>
      <c r="C596" s="219" t="s">
        <v>1203</v>
      </c>
      <c r="D596" s="198">
        <v>100005</v>
      </c>
      <c r="E596" s="198" t="s">
        <v>1777</v>
      </c>
      <c r="F596" s="199">
        <v>45718.080000000002</v>
      </c>
      <c r="G596" s="199"/>
      <c r="H596" s="199">
        <v>45718.080000000002</v>
      </c>
      <c r="I596" s="216">
        <v>17.258888888888887</v>
      </c>
      <c r="J596" s="201">
        <v>789043.26293333329</v>
      </c>
      <c r="K596" s="201">
        <v>613015.74750000006</v>
      </c>
      <c r="L596" s="215"/>
      <c r="M596" s="217" t="s">
        <v>362</v>
      </c>
    </row>
    <row r="597" spans="2:13" ht="15">
      <c r="B597" s="211"/>
      <c r="C597" s="219" t="s">
        <v>1379</v>
      </c>
      <c r="D597" s="198">
        <v>100005</v>
      </c>
      <c r="E597" s="198" t="s">
        <v>1778</v>
      </c>
      <c r="F597" s="199">
        <v>0</v>
      </c>
      <c r="G597" s="199"/>
      <c r="H597" s="199">
        <v>0</v>
      </c>
      <c r="I597" s="216">
        <v>17.258888888888887</v>
      </c>
      <c r="J597" s="201">
        <v>0</v>
      </c>
      <c r="K597" s="201">
        <v>491830</v>
      </c>
      <c r="L597" s="215"/>
      <c r="M597" s="217" t="s">
        <v>602</v>
      </c>
    </row>
    <row r="598" spans="2:13" ht="15">
      <c r="B598" s="211"/>
      <c r="C598" s="219" t="s">
        <v>1779</v>
      </c>
      <c r="D598" s="198">
        <v>100005</v>
      </c>
      <c r="E598" s="198" t="s">
        <v>1780</v>
      </c>
      <c r="F598" s="199">
        <v>37743.040000000001</v>
      </c>
      <c r="G598" s="199"/>
      <c r="H598" s="199">
        <v>37743.040000000001</v>
      </c>
      <c r="I598" s="216">
        <v>17.258888888888887</v>
      </c>
      <c r="J598" s="201">
        <v>651402.93368888879</v>
      </c>
      <c r="K598" s="201">
        <v>61753.263750000006</v>
      </c>
      <c r="L598" s="215"/>
      <c r="M598" s="217" t="s">
        <v>620</v>
      </c>
    </row>
    <row r="599" spans="2:13" ht="15">
      <c r="B599" s="211"/>
      <c r="C599" s="219" t="s">
        <v>1781</v>
      </c>
      <c r="D599" s="198">
        <v>100005</v>
      </c>
      <c r="E599" s="198" t="s">
        <v>1782</v>
      </c>
      <c r="F599" s="199"/>
      <c r="G599" s="199"/>
      <c r="H599" s="199">
        <v>0</v>
      </c>
      <c r="I599" s="216"/>
      <c r="J599" s="327">
        <v>-1592746.33460524</v>
      </c>
      <c r="K599" s="201">
        <v>-8734489</v>
      </c>
      <c r="L599" s="215"/>
      <c r="M599" s="217" t="s">
        <v>379</v>
      </c>
    </row>
    <row r="600" spans="2:13" ht="15">
      <c r="B600" s="211"/>
      <c r="C600" s="219" t="s">
        <v>1783</v>
      </c>
      <c r="D600" s="198">
        <v>100005</v>
      </c>
      <c r="E600" s="198" t="s">
        <v>1784</v>
      </c>
      <c r="F600" s="199"/>
      <c r="G600" s="199"/>
      <c r="H600" s="199">
        <v>0</v>
      </c>
      <c r="I600" s="216"/>
      <c r="J600" s="327">
        <v>-27709886.0876083</v>
      </c>
      <c r="K600" s="201">
        <v>-18975397.083558399</v>
      </c>
      <c r="L600" s="215"/>
      <c r="M600" s="217" t="s">
        <v>378</v>
      </c>
    </row>
    <row r="601" spans="2:13" ht="15">
      <c r="B601" s="211"/>
      <c r="C601" s="219"/>
      <c r="D601" s="198">
        <v>100005</v>
      </c>
      <c r="E601" s="198" t="s">
        <v>1785</v>
      </c>
      <c r="F601" s="199"/>
      <c r="G601" s="199"/>
      <c r="H601" s="199">
        <v>0</v>
      </c>
      <c r="I601" s="216"/>
      <c r="J601" s="201"/>
      <c r="K601" s="201"/>
      <c r="L601" s="215"/>
      <c r="M601" s="217"/>
    </row>
    <row r="602" spans="2:13" ht="15">
      <c r="B602" s="211"/>
      <c r="C602" s="197"/>
      <c r="D602" s="198">
        <v>100005</v>
      </c>
      <c r="E602" s="198" t="s">
        <v>1785</v>
      </c>
      <c r="F602" s="199"/>
      <c r="G602" s="199"/>
      <c r="H602" s="199">
        <v>0</v>
      </c>
      <c r="I602" s="216"/>
      <c r="J602" s="201">
        <v>0</v>
      </c>
      <c r="K602" s="201"/>
      <c r="L602" s="215"/>
      <c r="M602" s="217"/>
    </row>
    <row r="603" spans="2:13" ht="15">
      <c r="B603" s="211"/>
      <c r="C603" s="197"/>
      <c r="D603" s="198">
        <v>100005</v>
      </c>
      <c r="E603" s="198" t="s">
        <v>1785</v>
      </c>
      <c r="F603" s="199"/>
      <c r="G603" s="199"/>
      <c r="H603" s="199">
        <v>0</v>
      </c>
      <c r="I603" s="216"/>
      <c r="J603" s="201">
        <v>0</v>
      </c>
      <c r="K603" s="201">
        <v>0</v>
      </c>
      <c r="L603" s="215"/>
      <c r="M603" s="217"/>
    </row>
    <row r="604" spans="2:13" ht="15">
      <c r="B604" s="211"/>
      <c r="C604" s="197"/>
      <c r="D604" s="198">
        <v>100005</v>
      </c>
      <c r="E604" s="198" t="s">
        <v>1785</v>
      </c>
      <c r="F604" s="199"/>
      <c r="G604" s="199"/>
      <c r="H604" s="199">
        <v>0</v>
      </c>
      <c r="I604" s="220"/>
      <c r="J604" s="201">
        <v>0</v>
      </c>
      <c r="K604" s="201">
        <v>0</v>
      </c>
      <c r="L604" s="215"/>
      <c r="M604" s="217"/>
    </row>
    <row r="605" spans="2:13">
      <c r="B605" s="211"/>
      <c r="C605" s="197"/>
      <c r="D605" s="198">
        <v>100005</v>
      </c>
      <c r="E605" s="198" t="s">
        <v>1785</v>
      </c>
      <c r="F605" s="199"/>
      <c r="G605" s="199"/>
      <c r="H605" s="199">
        <v>0</v>
      </c>
      <c r="I605" s="216"/>
      <c r="J605" s="201">
        <v>0</v>
      </c>
      <c r="K605" s="201">
        <v>0</v>
      </c>
      <c r="L605" s="215"/>
      <c r="M605" s="194"/>
    </row>
    <row r="606" spans="2:13">
      <c r="B606" s="211"/>
      <c r="C606" s="197"/>
      <c r="D606" s="198">
        <v>100005</v>
      </c>
      <c r="E606" s="198" t="s">
        <v>1785</v>
      </c>
      <c r="F606" s="199"/>
      <c r="G606" s="199"/>
      <c r="H606" s="199">
        <v>0</v>
      </c>
      <c r="I606" s="199"/>
      <c r="J606" s="201"/>
      <c r="K606" s="201"/>
      <c r="L606" s="215"/>
      <c r="M606" s="194"/>
    </row>
    <row r="607" spans="2:13">
      <c r="B607" s="211"/>
      <c r="C607" s="262"/>
      <c r="D607" s="262"/>
      <c r="E607" s="262"/>
      <c r="F607" s="265"/>
      <c r="G607" s="265"/>
      <c r="H607" s="265">
        <v>0</v>
      </c>
      <c r="I607" s="265"/>
      <c r="J607" s="328">
        <v>0</v>
      </c>
      <c r="K607" s="328">
        <v>0</v>
      </c>
      <c r="L607" s="246"/>
      <c r="M607" s="194"/>
    </row>
    <row r="608" spans="2:13">
      <c r="B608" s="211"/>
      <c r="C608" s="208"/>
      <c r="D608" s="208"/>
      <c r="E608" s="208"/>
      <c r="F608" s="244"/>
      <c r="G608" s="244"/>
      <c r="H608" s="244"/>
      <c r="I608" s="244"/>
      <c r="J608" s="245"/>
      <c r="K608" s="245"/>
      <c r="L608" s="215"/>
      <c r="M608" s="194"/>
    </row>
    <row r="609" spans="1:13" ht="13.5" thickBot="1">
      <c r="B609" s="266"/>
      <c r="C609" s="267"/>
      <c r="D609" s="267"/>
      <c r="E609" s="267"/>
      <c r="F609" s="268"/>
      <c r="G609" s="268"/>
      <c r="H609" s="268"/>
      <c r="I609" s="268"/>
      <c r="J609" s="269"/>
      <c r="K609" s="269"/>
      <c r="L609" s="280"/>
      <c r="M609" s="194"/>
    </row>
    <row r="610" spans="1:13" s="284" customFormat="1" ht="14.25" thickTop="1" thickBot="1">
      <c r="A610" s="283"/>
      <c r="F610" s="285"/>
      <c r="G610" s="285"/>
      <c r="H610" s="285"/>
      <c r="I610" s="285"/>
      <c r="J610" s="286"/>
      <c r="K610" s="286"/>
      <c r="M610" s="212"/>
    </row>
    <row r="611" spans="1:13" ht="13.5" thickTop="1">
      <c r="B611" s="238"/>
      <c r="C611" s="239"/>
      <c r="D611" s="239"/>
      <c r="E611" s="239"/>
      <c r="F611" s="240"/>
      <c r="G611" s="240"/>
      <c r="H611" s="240"/>
      <c r="I611" s="240"/>
      <c r="J611" s="241"/>
      <c r="K611" s="241"/>
      <c r="L611" s="271"/>
      <c r="M611" s="194"/>
    </row>
    <row r="612" spans="1:13">
      <c r="B612" s="211"/>
      <c r="C612" s="208" t="s">
        <v>632</v>
      </c>
      <c r="D612" s="208"/>
      <c r="E612" s="208"/>
      <c r="F612" s="244"/>
      <c r="G612" s="243">
        <v>100006</v>
      </c>
      <c r="H612" s="244"/>
      <c r="I612" s="244"/>
      <c r="J612" s="245"/>
      <c r="K612" s="245">
        <v>100006</v>
      </c>
      <c r="L612" s="215"/>
      <c r="M612" s="194"/>
    </row>
    <row r="613" spans="1:13" s="210" customFormat="1">
      <c r="A613" s="196"/>
      <c r="B613" s="247"/>
      <c r="C613" s="248" t="s">
        <v>2</v>
      </c>
      <c r="D613" s="248"/>
      <c r="E613" s="248"/>
      <c r="F613" s="249"/>
      <c r="G613" s="193" t="s">
        <v>765</v>
      </c>
      <c r="H613" s="249"/>
      <c r="I613" s="249"/>
      <c r="J613" s="250"/>
      <c r="K613" s="251" t="s">
        <v>765</v>
      </c>
      <c r="L613" s="281"/>
    </row>
    <row r="614" spans="1:13">
      <c r="A614" s="237">
        <v>100006</v>
      </c>
      <c r="B614" s="211"/>
      <c r="C614" s="208" t="s">
        <v>634</v>
      </c>
      <c r="D614" s="208"/>
      <c r="E614" s="208"/>
      <c r="F614" s="244"/>
      <c r="G614" s="244"/>
      <c r="H614" s="244"/>
      <c r="I614" s="244"/>
      <c r="J614" s="255" t="s">
        <v>2833</v>
      </c>
      <c r="K614" s="245" t="s">
        <v>1008</v>
      </c>
      <c r="L614" s="215"/>
      <c r="M614" s="194"/>
    </row>
    <row r="615" spans="1:13">
      <c r="B615" s="211"/>
      <c r="C615" s="208"/>
      <c r="D615" s="208"/>
      <c r="E615" s="208"/>
      <c r="F615" s="254">
        <v>0</v>
      </c>
      <c r="G615" s="244"/>
      <c r="H615" s="244"/>
      <c r="I615" s="244"/>
      <c r="J615" s="329">
        <v>0</v>
      </c>
      <c r="K615" s="255" t="s">
        <v>1021</v>
      </c>
      <c r="L615" s="215"/>
      <c r="M615" s="194"/>
    </row>
    <row r="616" spans="1:13" ht="25.5">
      <c r="B616" s="211"/>
      <c r="C616" s="256" t="s">
        <v>3</v>
      </c>
      <c r="D616" s="256" t="s">
        <v>1</v>
      </c>
      <c r="E616" s="256" t="s">
        <v>635</v>
      </c>
      <c r="F616" s="257" t="s">
        <v>1786</v>
      </c>
      <c r="G616" s="257" t="s">
        <v>636</v>
      </c>
      <c r="H616" s="257" t="s">
        <v>1786</v>
      </c>
      <c r="I616" s="282" t="s">
        <v>637</v>
      </c>
      <c r="J616" s="259" t="s">
        <v>638</v>
      </c>
      <c r="K616" s="259" t="s">
        <v>638</v>
      </c>
      <c r="L616" s="203"/>
      <c r="M616" s="194"/>
    </row>
    <row r="617" spans="1:13">
      <c r="B617" s="211"/>
      <c r="C617" s="197" t="s">
        <v>1787</v>
      </c>
      <c r="D617" s="198">
        <v>100006</v>
      </c>
      <c r="E617" s="198" t="s">
        <v>1788</v>
      </c>
      <c r="F617" s="199">
        <v>-6221193.9000000004</v>
      </c>
      <c r="G617" s="199"/>
      <c r="H617" s="199">
        <v>-6221193.9000000004</v>
      </c>
      <c r="I617" s="216">
        <v>17.691321169076563</v>
      </c>
      <c r="J617" s="201">
        <v>-110061139.33999999</v>
      </c>
      <c r="K617" s="201"/>
      <c r="L617" s="215"/>
      <c r="M617" s="194" t="s">
        <v>365</v>
      </c>
    </row>
    <row r="618" spans="1:13">
      <c r="B618" s="211"/>
      <c r="C618" s="197" t="s">
        <v>1789</v>
      </c>
      <c r="D618" s="198">
        <v>100006</v>
      </c>
      <c r="E618" s="198" t="s">
        <v>1790</v>
      </c>
      <c r="F618" s="199">
        <v>5563894.3300000019</v>
      </c>
      <c r="G618" s="199"/>
      <c r="H618" s="199">
        <v>5563894.3300000019</v>
      </c>
      <c r="I618" s="216">
        <v>25.546386630144795</v>
      </c>
      <c r="J618" s="201">
        <v>142137395.72345048</v>
      </c>
      <c r="K618" s="201"/>
      <c r="L618" s="215"/>
      <c r="M618" s="194" t="s">
        <v>380</v>
      </c>
    </row>
    <row r="619" spans="1:13">
      <c r="B619" s="211"/>
      <c r="C619" s="197" t="s">
        <v>1791</v>
      </c>
      <c r="D619" s="198">
        <v>100006</v>
      </c>
      <c r="E619" s="198" t="s">
        <v>1792</v>
      </c>
      <c r="F619" s="199">
        <v>-3600000</v>
      </c>
      <c r="G619" s="199"/>
      <c r="H619" s="199">
        <v>-3600000</v>
      </c>
      <c r="I619" s="216">
        <v>16.95</v>
      </c>
      <c r="J619" s="201">
        <v>-61020000</v>
      </c>
      <c r="K619" s="201"/>
      <c r="L619" s="215"/>
      <c r="M619" s="194" t="s">
        <v>403</v>
      </c>
    </row>
    <row r="620" spans="1:13">
      <c r="B620" s="211"/>
      <c r="C620" s="197" t="s">
        <v>2800</v>
      </c>
      <c r="D620" s="198">
        <v>100006</v>
      </c>
      <c r="E620" s="198" t="s">
        <v>2838</v>
      </c>
      <c r="F620" s="199">
        <v>-64946.409999999996</v>
      </c>
      <c r="G620" s="199"/>
      <c r="H620" s="199">
        <v>-64946.409999999996</v>
      </c>
      <c r="I620" s="216">
        <v>16.95</v>
      </c>
      <c r="J620" s="201">
        <v>-1100841.6494999998</v>
      </c>
      <c r="K620" s="201"/>
      <c r="L620" s="215"/>
      <c r="M620" s="194" t="s">
        <v>413</v>
      </c>
    </row>
    <row r="621" spans="1:13">
      <c r="B621" s="211"/>
      <c r="C621" s="197" t="s">
        <v>1793</v>
      </c>
      <c r="D621" s="198">
        <v>100006</v>
      </c>
      <c r="E621" s="198" t="s">
        <v>1794</v>
      </c>
      <c r="F621" s="199">
        <v>-6883.1</v>
      </c>
      <c r="G621" s="199"/>
      <c r="H621" s="199">
        <v>-6883.1</v>
      </c>
      <c r="I621" s="216">
        <v>16.95</v>
      </c>
      <c r="J621" s="201">
        <v>-116668.545</v>
      </c>
      <c r="K621" s="201"/>
      <c r="L621" s="215"/>
      <c r="M621" s="194" t="s">
        <v>405</v>
      </c>
    </row>
    <row r="622" spans="1:13">
      <c r="B622" s="211"/>
      <c r="C622" s="197" t="s">
        <v>1795</v>
      </c>
      <c r="D622" s="198">
        <v>100006</v>
      </c>
      <c r="E622" s="198" t="s">
        <v>1796</v>
      </c>
      <c r="F622" s="199">
        <v>-10981681.619999999</v>
      </c>
      <c r="G622" s="199"/>
      <c r="H622" s="199">
        <v>-10981681.619999999</v>
      </c>
      <c r="I622" s="216">
        <v>16.95</v>
      </c>
      <c r="J622" s="201">
        <v>-186139503.45899999</v>
      </c>
      <c r="K622" s="201"/>
      <c r="L622" s="215"/>
      <c r="M622" s="194" t="s">
        <v>410</v>
      </c>
    </row>
    <row r="623" spans="1:13">
      <c r="B623" s="211"/>
      <c r="C623" s="197" t="s">
        <v>1797</v>
      </c>
      <c r="D623" s="198">
        <v>100006</v>
      </c>
      <c r="E623" s="198" t="s">
        <v>1796</v>
      </c>
      <c r="F623" s="199">
        <v>-316472.4299999997</v>
      </c>
      <c r="G623" s="199"/>
      <c r="H623" s="199">
        <v>-316472.4299999997</v>
      </c>
      <c r="I623" s="216">
        <v>16.95</v>
      </c>
      <c r="J623" s="201">
        <v>-5364207.6884999946</v>
      </c>
      <c r="K623" s="201"/>
      <c r="L623" s="215"/>
      <c r="M623" s="194" t="s">
        <v>410</v>
      </c>
    </row>
    <row r="624" spans="1:13">
      <c r="B624" s="211"/>
      <c r="C624" s="197" t="s">
        <v>119</v>
      </c>
      <c r="D624" s="198">
        <v>100006</v>
      </c>
      <c r="E624" s="198" t="s">
        <v>1798</v>
      </c>
      <c r="F624" s="199">
        <v>-370794.68999999994</v>
      </c>
      <c r="G624" s="199"/>
      <c r="H624" s="199">
        <v>-370794.68999999994</v>
      </c>
      <c r="I624" s="216">
        <v>16.95</v>
      </c>
      <c r="J624" s="201">
        <v>-6284969.9954999983</v>
      </c>
      <c r="K624" s="201"/>
      <c r="L624" s="215"/>
      <c r="M624" s="194" t="s">
        <v>421</v>
      </c>
    </row>
    <row r="625" spans="2:13">
      <c r="B625" s="211"/>
      <c r="C625" s="197" t="s">
        <v>118</v>
      </c>
      <c r="D625" s="198">
        <v>100006</v>
      </c>
      <c r="E625" s="198" t="s">
        <v>1799</v>
      </c>
      <c r="F625" s="199">
        <v>-221780.86000000002</v>
      </c>
      <c r="G625" s="199"/>
      <c r="H625" s="199">
        <v>-221780.86000000002</v>
      </c>
      <c r="I625" s="216">
        <v>16.95</v>
      </c>
      <c r="J625" s="201">
        <v>-3759185.577</v>
      </c>
      <c r="K625" s="201"/>
      <c r="L625" s="215"/>
      <c r="M625" s="194" t="s">
        <v>420</v>
      </c>
    </row>
    <row r="626" spans="2:13">
      <c r="B626" s="211"/>
      <c r="C626" s="197" t="s">
        <v>1800</v>
      </c>
      <c r="D626" s="198">
        <v>100006</v>
      </c>
      <c r="E626" s="198" t="s">
        <v>1801</v>
      </c>
      <c r="F626" s="199">
        <v>5145634.4000000004</v>
      </c>
      <c r="G626" s="199"/>
      <c r="H626" s="199">
        <v>5145634.4000000004</v>
      </c>
      <c r="I626" s="216">
        <v>16.95</v>
      </c>
      <c r="J626" s="201">
        <v>87218503.079999998</v>
      </c>
      <c r="K626" s="201"/>
      <c r="L626" s="215"/>
      <c r="M626" s="194" t="s">
        <v>479</v>
      </c>
    </row>
    <row r="627" spans="2:13">
      <c r="B627" s="211"/>
      <c r="C627" s="197" t="s">
        <v>1802</v>
      </c>
      <c r="D627" s="198">
        <v>100006</v>
      </c>
      <c r="E627" s="198" t="s">
        <v>1803</v>
      </c>
      <c r="F627" s="199">
        <v>5794669.5199999996</v>
      </c>
      <c r="G627" s="199"/>
      <c r="H627" s="199">
        <v>5794669.5199999996</v>
      </c>
      <c r="I627" s="216">
        <v>16.95</v>
      </c>
      <c r="J627" s="201">
        <v>98219648.363999993</v>
      </c>
      <c r="K627" s="201"/>
      <c r="L627" s="215"/>
      <c r="M627" s="194" t="s">
        <v>484</v>
      </c>
    </row>
    <row r="628" spans="2:13">
      <c r="B628" s="211"/>
      <c r="C628" s="197" t="s">
        <v>1804</v>
      </c>
      <c r="D628" s="198">
        <v>100006</v>
      </c>
      <c r="E628" s="198" t="s">
        <v>1805</v>
      </c>
      <c r="F628" s="199">
        <v>308829.40999999997</v>
      </c>
      <c r="G628" s="199"/>
      <c r="H628" s="199">
        <v>308829.40999999997</v>
      </c>
      <c r="I628" s="216">
        <v>16.95</v>
      </c>
      <c r="J628" s="201">
        <v>5234658.499499999</v>
      </c>
      <c r="K628" s="201"/>
      <c r="L628" s="215"/>
      <c r="M628" s="194" t="s">
        <v>488</v>
      </c>
    </row>
    <row r="629" spans="2:13">
      <c r="B629" s="211"/>
      <c r="C629" s="197" t="s">
        <v>1806</v>
      </c>
      <c r="D629" s="198">
        <v>100006</v>
      </c>
      <c r="E629" s="198" t="s">
        <v>1807</v>
      </c>
      <c r="F629" s="199">
        <v>0</v>
      </c>
      <c r="G629" s="199"/>
      <c r="H629" s="199">
        <v>0</v>
      </c>
      <c r="I629" s="216">
        <v>16.95</v>
      </c>
      <c r="J629" s="201">
        <v>0</v>
      </c>
      <c r="K629" s="201"/>
      <c r="L629" s="215"/>
      <c r="M629" s="194" t="s">
        <v>494</v>
      </c>
    </row>
    <row r="630" spans="2:13">
      <c r="B630" s="211"/>
      <c r="C630" s="197" t="s">
        <v>1808</v>
      </c>
      <c r="D630" s="198">
        <v>100006</v>
      </c>
      <c r="E630" s="198" t="s">
        <v>1809</v>
      </c>
      <c r="F630" s="199">
        <v>611644.99</v>
      </c>
      <c r="G630" s="199"/>
      <c r="H630" s="199">
        <v>611644.99</v>
      </c>
      <c r="I630" s="216">
        <v>16.95</v>
      </c>
      <c r="J630" s="201">
        <v>10367382.580499999</v>
      </c>
      <c r="K630" s="201"/>
      <c r="L630" s="215"/>
      <c r="M630" s="194" t="s">
        <v>496</v>
      </c>
    </row>
    <row r="631" spans="2:13">
      <c r="B631" s="211"/>
      <c r="C631" s="197" t="s">
        <v>156</v>
      </c>
      <c r="D631" s="198">
        <v>100006</v>
      </c>
      <c r="E631" s="198" t="s">
        <v>1810</v>
      </c>
      <c r="F631" s="199">
        <v>16967.39</v>
      </c>
      <c r="G631" s="199"/>
      <c r="H631" s="199">
        <v>16967.39</v>
      </c>
      <c r="I631" s="216">
        <v>16.95</v>
      </c>
      <c r="J631" s="201">
        <v>287597.26049999997</v>
      </c>
      <c r="K631" s="201"/>
      <c r="L631" s="215"/>
      <c r="M631" s="194" t="s">
        <v>509</v>
      </c>
    </row>
    <row r="632" spans="2:13">
      <c r="B632" s="211"/>
      <c r="C632" s="197" t="s">
        <v>1811</v>
      </c>
      <c r="D632" s="198">
        <v>100006</v>
      </c>
      <c r="E632" s="198" t="s">
        <v>1812</v>
      </c>
      <c r="F632" s="199">
        <v>-18994.490000000002</v>
      </c>
      <c r="G632" s="199"/>
      <c r="H632" s="199">
        <v>-18994.490000000002</v>
      </c>
      <c r="I632" s="216">
        <v>16.95</v>
      </c>
      <c r="J632" s="201">
        <v>-321956.60550000001</v>
      </c>
      <c r="K632" s="201"/>
      <c r="L632" s="215"/>
      <c r="M632" s="194" t="s">
        <v>511</v>
      </c>
    </row>
    <row r="633" spans="2:13">
      <c r="B633" s="211"/>
      <c r="C633" s="197" t="s">
        <v>1813</v>
      </c>
      <c r="D633" s="198">
        <v>100006</v>
      </c>
      <c r="E633" s="198" t="s">
        <v>1812</v>
      </c>
      <c r="F633" s="199">
        <v>50809.57</v>
      </c>
      <c r="G633" s="199"/>
      <c r="H633" s="199">
        <v>50809.57</v>
      </c>
      <c r="I633" s="216">
        <v>16.95</v>
      </c>
      <c r="J633" s="201">
        <v>861222.21149999998</v>
      </c>
      <c r="K633" s="201"/>
      <c r="L633" s="215"/>
      <c r="M633" s="194" t="s">
        <v>511</v>
      </c>
    </row>
    <row r="634" spans="2:13">
      <c r="B634" s="211"/>
      <c r="C634" s="197" t="s">
        <v>1814</v>
      </c>
      <c r="D634" s="198">
        <v>100006</v>
      </c>
      <c r="E634" s="198" t="s">
        <v>1815</v>
      </c>
      <c r="F634" s="199">
        <v>337.95</v>
      </c>
      <c r="G634" s="199"/>
      <c r="H634" s="199">
        <v>337.95</v>
      </c>
      <c r="I634" s="216">
        <v>16.95</v>
      </c>
      <c r="J634" s="201">
        <v>5728.2524999999996</v>
      </c>
      <c r="K634" s="201"/>
      <c r="L634" s="215"/>
      <c r="M634" s="194" t="s">
        <v>512</v>
      </c>
    </row>
    <row r="635" spans="2:13">
      <c r="B635" s="211"/>
      <c r="C635" s="197" t="s">
        <v>1816</v>
      </c>
      <c r="D635" s="198">
        <v>100006</v>
      </c>
      <c r="E635" s="198" t="s">
        <v>1817</v>
      </c>
      <c r="F635" s="199">
        <v>362045.78</v>
      </c>
      <c r="G635" s="199"/>
      <c r="H635" s="199">
        <v>362045.78</v>
      </c>
      <c r="I635" s="216">
        <v>16.95</v>
      </c>
      <c r="J635" s="201">
        <v>6136675.9709999999</v>
      </c>
      <c r="K635" s="201"/>
      <c r="L635" s="215"/>
      <c r="M635" s="194" t="s">
        <v>514</v>
      </c>
    </row>
    <row r="636" spans="2:13">
      <c r="B636" s="211"/>
      <c r="C636" s="197"/>
      <c r="D636" s="198">
        <v>100006</v>
      </c>
      <c r="E636" s="198" t="s">
        <v>1818</v>
      </c>
      <c r="F636" s="199"/>
      <c r="G636" s="199"/>
      <c r="H636" s="199">
        <v>0</v>
      </c>
      <c r="I636" s="216"/>
      <c r="J636" s="201">
        <v>0</v>
      </c>
      <c r="K636" s="201"/>
      <c r="L636" s="215"/>
      <c r="M636" s="194"/>
    </row>
    <row r="637" spans="2:13">
      <c r="B637" s="211"/>
      <c r="C637" s="197" t="s">
        <v>1819</v>
      </c>
      <c r="D637" s="198">
        <v>100006</v>
      </c>
      <c r="E637" s="198" t="s">
        <v>1820</v>
      </c>
      <c r="F637" s="199">
        <v>0</v>
      </c>
      <c r="G637" s="199"/>
      <c r="H637" s="199">
        <v>0</v>
      </c>
      <c r="I637" s="216">
        <v>16.95</v>
      </c>
      <c r="J637" s="201">
        <v>0</v>
      </c>
      <c r="K637" s="201"/>
      <c r="L637" s="215"/>
      <c r="M637" s="194" t="s">
        <v>358</v>
      </c>
    </row>
    <row r="638" spans="2:13">
      <c r="B638" s="211"/>
      <c r="C638" s="197" t="s">
        <v>1821</v>
      </c>
      <c r="D638" s="198">
        <v>100006</v>
      </c>
      <c r="E638" s="198" t="s">
        <v>1822</v>
      </c>
      <c r="F638" s="199">
        <v>288807.32</v>
      </c>
      <c r="G638" s="199"/>
      <c r="H638" s="199">
        <v>288807.32</v>
      </c>
      <c r="I638" s="216">
        <v>16.95</v>
      </c>
      <c r="J638" s="201">
        <v>4895284.074</v>
      </c>
      <c r="K638" s="201"/>
      <c r="L638" s="215"/>
      <c r="M638" s="194" t="s">
        <v>357</v>
      </c>
    </row>
    <row r="639" spans="2:13">
      <c r="B639" s="211"/>
      <c r="C639" s="197" t="s">
        <v>1823</v>
      </c>
      <c r="D639" s="198">
        <v>100006</v>
      </c>
      <c r="E639" s="198" t="s">
        <v>1822</v>
      </c>
      <c r="F639" s="199">
        <v>254904.48</v>
      </c>
      <c r="G639" s="199"/>
      <c r="H639" s="199">
        <v>254904.48</v>
      </c>
      <c r="I639" s="216">
        <v>16.95</v>
      </c>
      <c r="J639" s="201">
        <v>4320630.9359999998</v>
      </c>
      <c r="K639" s="201"/>
      <c r="L639" s="215"/>
      <c r="M639" s="194" t="s">
        <v>357</v>
      </c>
    </row>
    <row r="640" spans="2:13">
      <c r="B640" s="211"/>
      <c r="C640" s="197" t="s">
        <v>1824</v>
      </c>
      <c r="D640" s="198">
        <v>100006</v>
      </c>
      <c r="E640" s="198" t="s">
        <v>1820</v>
      </c>
      <c r="F640" s="199">
        <v>0</v>
      </c>
      <c r="G640" s="199"/>
      <c r="H640" s="199">
        <v>0</v>
      </c>
      <c r="I640" s="216">
        <v>16.95</v>
      </c>
      <c r="J640" s="201">
        <v>0</v>
      </c>
      <c r="K640" s="201"/>
      <c r="L640" s="215"/>
      <c r="M640" s="194" t="s">
        <v>358</v>
      </c>
    </row>
    <row r="641" spans="2:13">
      <c r="B641" s="211"/>
      <c r="C641" s="197" t="s">
        <v>1825</v>
      </c>
      <c r="D641" s="198">
        <v>100006</v>
      </c>
      <c r="E641" s="198" t="s">
        <v>1822</v>
      </c>
      <c r="F641" s="199">
        <v>135485.82999999996</v>
      </c>
      <c r="G641" s="199"/>
      <c r="H641" s="199">
        <v>135485.82999999996</v>
      </c>
      <c r="I641" s="216">
        <v>16.95</v>
      </c>
      <c r="J641" s="201">
        <v>2296484.8184999991</v>
      </c>
      <c r="K641" s="201"/>
      <c r="L641" s="215"/>
      <c r="M641" s="194" t="s">
        <v>357</v>
      </c>
    </row>
    <row r="642" spans="2:13">
      <c r="B642" s="211"/>
      <c r="C642" s="197" t="s">
        <v>1826</v>
      </c>
      <c r="D642" s="198">
        <v>100006</v>
      </c>
      <c r="E642" s="198" t="s">
        <v>1822</v>
      </c>
      <c r="F642" s="199">
        <v>0</v>
      </c>
      <c r="G642" s="199"/>
      <c r="H642" s="199">
        <v>0</v>
      </c>
      <c r="I642" s="216">
        <v>16.95</v>
      </c>
      <c r="J642" s="201">
        <v>0</v>
      </c>
      <c r="K642" s="201"/>
      <c r="L642" s="215"/>
      <c r="M642" s="194" t="s">
        <v>357</v>
      </c>
    </row>
    <row r="643" spans="2:13">
      <c r="B643" s="211"/>
      <c r="C643" s="197" t="s">
        <v>1827</v>
      </c>
      <c r="D643" s="198">
        <v>100006</v>
      </c>
      <c r="E643" s="198" t="s">
        <v>1820</v>
      </c>
      <c r="F643" s="199">
        <v>0</v>
      </c>
      <c r="G643" s="199"/>
      <c r="H643" s="199">
        <v>0</v>
      </c>
      <c r="I643" s="216">
        <v>16.95</v>
      </c>
      <c r="J643" s="201">
        <v>0</v>
      </c>
      <c r="K643" s="201"/>
      <c r="L643" s="215"/>
      <c r="M643" s="194" t="s">
        <v>358</v>
      </c>
    </row>
    <row r="644" spans="2:13">
      <c r="B644" s="211"/>
      <c r="C644" s="197" t="s">
        <v>1828</v>
      </c>
      <c r="D644" s="198">
        <v>100006</v>
      </c>
      <c r="E644" s="198" t="s">
        <v>1822</v>
      </c>
      <c r="F644" s="199">
        <v>0</v>
      </c>
      <c r="G644" s="199"/>
      <c r="H644" s="199">
        <v>0</v>
      </c>
      <c r="I644" s="216">
        <v>16.95</v>
      </c>
      <c r="J644" s="201">
        <v>0</v>
      </c>
      <c r="K644" s="201"/>
      <c r="L644" s="215"/>
      <c r="M644" s="194" t="s">
        <v>357</v>
      </c>
    </row>
    <row r="645" spans="2:13">
      <c r="B645" s="211"/>
      <c r="C645" s="197" t="s">
        <v>1829</v>
      </c>
      <c r="D645" s="198">
        <v>100006</v>
      </c>
      <c r="E645" s="198" t="s">
        <v>1822</v>
      </c>
      <c r="F645" s="199">
        <v>0</v>
      </c>
      <c r="G645" s="199"/>
      <c r="H645" s="199">
        <v>0</v>
      </c>
      <c r="I645" s="216">
        <v>16.95</v>
      </c>
      <c r="J645" s="201">
        <v>0</v>
      </c>
      <c r="K645" s="201"/>
      <c r="L645" s="215"/>
      <c r="M645" s="194" t="s">
        <v>357</v>
      </c>
    </row>
    <row r="646" spans="2:13">
      <c r="B646" s="211"/>
      <c r="C646" s="197" t="s">
        <v>1830</v>
      </c>
      <c r="D646" s="198">
        <v>100006</v>
      </c>
      <c r="E646" s="198" t="s">
        <v>1820</v>
      </c>
      <c r="F646" s="199">
        <v>0</v>
      </c>
      <c r="G646" s="199"/>
      <c r="H646" s="199">
        <v>0</v>
      </c>
      <c r="I646" s="216">
        <v>16.95</v>
      </c>
      <c r="J646" s="201">
        <v>0</v>
      </c>
      <c r="K646" s="201"/>
      <c r="L646" s="215"/>
      <c r="M646" s="194" t="s">
        <v>358</v>
      </c>
    </row>
    <row r="647" spans="2:13">
      <c r="B647" s="211"/>
      <c r="C647" s="197" t="s">
        <v>1831</v>
      </c>
      <c r="D647" s="198">
        <v>100006</v>
      </c>
      <c r="E647" s="198" t="s">
        <v>1822</v>
      </c>
      <c r="F647" s="199">
        <v>-96696.709999999992</v>
      </c>
      <c r="G647" s="199"/>
      <c r="H647" s="199">
        <v>-96696.709999999992</v>
      </c>
      <c r="I647" s="216">
        <v>16.95</v>
      </c>
      <c r="J647" s="201">
        <v>-1639009.2344999998</v>
      </c>
      <c r="K647" s="201"/>
      <c r="L647" s="215"/>
      <c r="M647" s="194" t="s">
        <v>357</v>
      </c>
    </row>
    <row r="648" spans="2:13">
      <c r="B648" s="211"/>
      <c r="C648" s="197" t="s">
        <v>1832</v>
      </c>
      <c r="D648" s="198">
        <v>100006</v>
      </c>
      <c r="E648" s="198" t="s">
        <v>1822</v>
      </c>
      <c r="F648" s="199">
        <v>-53228.87</v>
      </c>
      <c r="G648" s="199"/>
      <c r="H648" s="199">
        <v>-53228.87</v>
      </c>
      <c r="I648" s="216">
        <v>16.95</v>
      </c>
      <c r="J648" s="201">
        <v>-902229.34649999999</v>
      </c>
      <c r="K648" s="201"/>
      <c r="L648" s="215"/>
      <c r="M648" s="194" t="s">
        <v>357</v>
      </c>
    </row>
    <row r="649" spans="2:13">
      <c r="B649" s="211"/>
      <c r="C649" s="197" t="s">
        <v>1833</v>
      </c>
      <c r="D649" s="198">
        <v>100006</v>
      </c>
      <c r="E649" s="198" t="s">
        <v>1820</v>
      </c>
      <c r="F649" s="199">
        <v>0</v>
      </c>
      <c r="G649" s="199"/>
      <c r="H649" s="199">
        <v>0</v>
      </c>
      <c r="I649" s="216">
        <v>16.95</v>
      </c>
      <c r="J649" s="201">
        <v>0</v>
      </c>
      <c r="K649" s="201"/>
      <c r="L649" s="215"/>
      <c r="M649" s="194" t="s">
        <v>358</v>
      </c>
    </row>
    <row r="650" spans="2:13">
      <c r="B650" s="211"/>
      <c r="C650" s="197" t="s">
        <v>1834</v>
      </c>
      <c r="D650" s="198">
        <v>100006</v>
      </c>
      <c r="E650" s="198" t="s">
        <v>1822</v>
      </c>
      <c r="F650" s="199">
        <v>-41489.370000000003</v>
      </c>
      <c r="G650" s="199"/>
      <c r="H650" s="199">
        <v>-41489.370000000003</v>
      </c>
      <c r="I650" s="216">
        <v>16.95</v>
      </c>
      <c r="J650" s="201">
        <v>-703244.82149999996</v>
      </c>
      <c r="K650" s="201"/>
      <c r="L650" s="215"/>
      <c r="M650" s="194" t="s">
        <v>357</v>
      </c>
    </row>
    <row r="651" spans="2:13">
      <c r="B651" s="211"/>
      <c r="C651" s="197" t="s">
        <v>1835</v>
      </c>
      <c r="D651" s="198">
        <v>100006</v>
      </c>
      <c r="E651" s="198" t="s">
        <v>1822</v>
      </c>
      <c r="F651" s="199">
        <v>-19117.836000000003</v>
      </c>
      <c r="G651" s="199"/>
      <c r="H651" s="199">
        <v>-19117.836000000003</v>
      </c>
      <c r="I651" s="216">
        <v>16.95</v>
      </c>
      <c r="J651" s="201">
        <v>-324047.32020000002</v>
      </c>
      <c r="K651" s="201"/>
      <c r="L651" s="215"/>
      <c r="M651" s="194" t="s">
        <v>357</v>
      </c>
    </row>
    <row r="652" spans="2:13">
      <c r="B652" s="211"/>
      <c r="C652" s="197"/>
      <c r="D652" s="198">
        <v>100006</v>
      </c>
      <c r="E652" s="198" t="s">
        <v>1818</v>
      </c>
      <c r="F652" s="199"/>
      <c r="G652" s="199"/>
      <c r="H652" s="199">
        <v>0</v>
      </c>
      <c r="I652" s="216"/>
      <c r="J652" s="201">
        <v>0</v>
      </c>
      <c r="K652" s="201"/>
      <c r="L652" s="215"/>
      <c r="M652" s="194"/>
    </row>
    <row r="653" spans="2:13">
      <c r="B653" s="211"/>
      <c r="C653" s="197" t="s">
        <v>1836</v>
      </c>
      <c r="D653" s="198">
        <v>100006</v>
      </c>
      <c r="E653" s="198" t="s">
        <v>1837</v>
      </c>
      <c r="F653" s="199">
        <v>-12523715.100000001</v>
      </c>
      <c r="G653" s="199"/>
      <c r="H653" s="199">
        <v>-12523715.100000001</v>
      </c>
      <c r="I653" s="216">
        <v>18.47</v>
      </c>
      <c r="J653" s="201">
        <v>-231313017.89700001</v>
      </c>
      <c r="K653" s="201"/>
      <c r="L653" s="215"/>
      <c r="M653" s="194" t="s">
        <v>528</v>
      </c>
    </row>
    <row r="654" spans="2:13">
      <c r="B654" s="211"/>
      <c r="C654" s="197" t="s">
        <v>1838</v>
      </c>
      <c r="D654" s="198">
        <v>100006</v>
      </c>
      <c r="E654" s="198" t="s">
        <v>1839</v>
      </c>
      <c r="F654" s="199">
        <v>-47056.58</v>
      </c>
      <c r="G654" s="199"/>
      <c r="H654" s="199">
        <v>-47056.58</v>
      </c>
      <c r="I654" s="216">
        <v>18.47</v>
      </c>
      <c r="J654" s="201">
        <v>-869135.03260000004</v>
      </c>
      <c r="K654" s="201"/>
      <c r="L654" s="215"/>
      <c r="M654" s="194" t="s">
        <v>529</v>
      </c>
    </row>
    <row r="655" spans="2:13">
      <c r="B655" s="211"/>
      <c r="C655" s="197" t="s">
        <v>1840</v>
      </c>
      <c r="D655" s="198">
        <v>100006</v>
      </c>
      <c r="E655" s="198" t="s">
        <v>1841</v>
      </c>
      <c r="F655" s="199">
        <v>-5032.6099999999997</v>
      </c>
      <c r="G655" s="199"/>
      <c r="H655" s="199">
        <v>-5032.6099999999997</v>
      </c>
      <c r="I655" s="216">
        <v>18.47</v>
      </c>
      <c r="J655" s="201">
        <v>-92952.306699999986</v>
      </c>
      <c r="K655" s="201"/>
      <c r="L655" s="215"/>
      <c r="M655" s="194" t="s">
        <v>538</v>
      </c>
    </row>
    <row r="656" spans="2:13">
      <c r="B656" s="211"/>
      <c r="C656" s="197" t="s">
        <v>1842</v>
      </c>
      <c r="D656" s="198">
        <v>100006</v>
      </c>
      <c r="E656" s="198" t="s">
        <v>1843</v>
      </c>
      <c r="F656" s="199">
        <v>-93487.170000000013</v>
      </c>
      <c r="G656" s="199"/>
      <c r="H656" s="199">
        <v>-93487.170000000013</v>
      </c>
      <c r="I656" s="216">
        <v>18.47</v>
      </c>
      <c r="J656" s="201">
        <v>-1726708.0299000002</v>
      </c>
      <c r="K656" s="201"/>
      <c r="L656" s="215"/>
      <c r="M656" s="194" t="s">
        <v>532</v>
      </c>
    </row>
    <row r="657" spans="2:13">
      <c r="B657" s="211"/>
      <c r="C657" s="197" t="s">
        <v>1844</v>
      </c>
      <c r="D657" s="198">
        <v>100006</v>
      </c>
      <c r="E657" s="198" t="s">
        <v>1845</v>
      </c>
      <c r="F657" s="199">
        <v>1731993.5300000003</v>
      </c>
      <c r="G657" s="199"/>
      <c r="H657" s="199">
        <v>1731993.5300000003</v>
      </c>
      <c r="I657" s="216">
        <v>18.47</v>
      </c>
      <c r="J657" s="201">
        <v>31989920.499100003</v>
      </c>
      <c r="K657" s="201"/>
      <c r="L657" s="215"/>
      <c r="M657" s="194" t="s">
        <v>555</v>
      </c>
    </row>
    <row r="658" spans="2:13">
      <c r="B658" s="211"/>
      <c r="C658" s="197" t="s">
        <v>1846</v>
      </c>
      <c r="D658" s="198">
        <v>100006</v>
      </c>
      <c r="E658" s="198" t="s">
        <v>1847</v>
      </c>
      <c r="F658" s="199">
        <v>111157.5</v>
      </c>
      <c r="G658" s="199"/>
      <c r="H658" s="199">
        <v>111157.5</v>
      </c>
      <c r="I658" s="216">
        <v>18.47</v>
      </c>
      <c r="J658" s="201">
        <v>2053079.0249999999</v>
      </c>
      <c r="K658" s="201"/>
      <c r="L658" s="215"/>
      <c r="M658" s="194" t="s">
        <v>564</v>
      </c>
    </row>
    <row r="659" spans="2:13">
      <c r="B659" s="211"/>
      <c r="C659" s="197" t="s">
        <v>1848</v>
      </c>
      <c r="D659" s="198">
        <v>100006</v>
      </c>
      <c r="E659" s="198" t="s">
        <v>1849</v>
      </c>
      <c r="F659" s="199">
        <v>210877.86000000002</v>
      </c>
      <c r="G659" s="199"/>
      <c r="H659" s="199">
        <v>210877.86000000002</v>
      </c>
      <c r="I659" s="216">
        <v>18.47</v>
      </c>
      <c r="J659" s="201">
        <v>3894914.0742000001</v>
      </c>
      <c r="K659" s="201"/>
      <c r="L659" s="215"/>
      <c r="M659" s="194" t="s">
        <v>568</v>
      </c>
    </row>
    <row r="660" spans="2:13">
      <c r="B660" s="211"/>
      <c r="C660" s="197" t="s">
        <v>1850</v>
      </c>
      <c r="D660" s="198">
        <v>100006</v>
      </c>
      <c r="E660" s="198" t="s">
        <v>1851</v>
      </c>
      <c r="F660" s="199">
        <v>35460.839999999997</v>
      </c>
      <c r="G660" s="199"/>
      <c r="H660" s="199">
        <v>35460.839999999997</v>
      </c>
      <c r="I660" s="216">
        <v>18.47</v>
      </c>
      <c r="J660" s="201">
        <v>654961.71479999984</v>
      </c>
      <c r="K660" s="201"/>
      <c r="L660" s="215"/>
      <c r="M660" s="194" t="s">
        <v>578</v>
      </c>
    </row>
    <row r="661" spans="2:13">
      <c r="B661" s="211"/>
      <c r="C661" s="197" t="s">
        <v>1852</v>
      </c>
      <c r="D661" s="198">
        <v>100006</v>
      </c>
      <c r="E661" s="198" t="s">
        <v>1853</v>
      </c>
      <c r="F661" s="199">
        <v>3738.2799999999997</v>
      </c>
      <c r="G661" s="199"/>
      <c r="H661" s="199">
        <v>3738.2799999999997</v>
      </c>
      <c r="I661" s="216">
        <v>18.47</v>
      </c>
      <c r="J661" s="201">
        <v>69046.031599999988</v>
      </c>
      <c r="K661" s="201"/>
      <c r="L661" s="215"/>
      <c r="M661" s="194" t="s">
        <v>580</v>
      </c>
    </row>
    <row r="662" spans="2:13">
      <c r="B662" s="211"/>
      <c r="C662" s="197" t="s">
        <v>1854</v>
      </c>
      <c r="D662" s="198">
        <v>100006</v>
      </c>
      <c r="E662" s="198" t="s">
        <v>1855</v>
      </c>
      <c r="F662" s="199">
        <v>151031.62</v>
      </c>
      <c r="G662" s="199"/>
      <c r="H662" s="199">
        <v>151031.62</v>
      </c>
      <c r="I662" s="216">
        <v>18.47</v>
      </c>
      <c r="J662" s="201">
        <v>2789554.0214</v>
      </c>
      <c r="K662" s="201"/>
      <c r="L662" s="215"/>
      <c r="M662" s="194" t="s">
        <v>586</v>
      </c>
    </row>
    <row r="663" spans="2:13">
      <c r="B663" s="211"/>
      <c r="C663" s="197" t="s">
        <v>2801</v>
      </c>
      <c r="D663" s="198">
        <v>100006</v>
      </c>
      <c r="E663" s="198" t="s">
        <v>1855</v>
      </c>
      <c r="F663" s="199">
        <v>-64182.84</v>
      </c>
      <c r="G663" s="199"/>
      <c r="H663" s="199">
        <v>-64182.84</v>
      </c>
      <c r="I663" s="216">
        <v>18.47</v>
      </c>
      <c r="J663" s="201">
        <v>-1185457.0547999998</v>
      </c>
      <c r="K663" s="201"/>
      <c r="L663" s="215"/>
      <c r="M663" s="194" t="s">
        <v>586</v>
      </c>
    </row>
    <row r="664" spans="2:13">
      <c r="B664" s="211"/>
      <c r="C664" s="197" t="s">
        <v>1856</v>
      </c>
      <c r="D664" s="198">
        <v>100006</v>
      </c>
      <c r="E664" s="198" t="s">
        <v>1857</v>
      </c>
      <c r="F664" s="199">
        <v>283789.86</v>
      </c>
      <c r="G664" s="199"/>
      <c r="H664" s="199">
        <v>283789.86</v>
      </c>
      <c r="I664" s="216">
        <v>18.47</v>
      </c>
      <c r="J664" s="201">
        <v>5241598.7141999993</v>
      </c>
      <c r="K664" s="201"/>
      <c r="L664" s="215"/>
      <c r="M664" s="194" t="s">
        <v>592</v>
      </c>
    </row>
    <row r="665" spans="2:13">
      <c r="B665" s="211"/>
      <c r="C665" s="197" t="s">
        <v>1858</v>
      </c>
      <c r="D665" s="198">
        <v>100006</v>
      </c>
      <c r="E665" s="198" t="s">
        <v>1859</v>
      </c>
      <c r="F665" s="199">
        <v>74435.739999999991</v>
      </c>
      <c r="G665" s="199"/>
      <c r="H665" s="199">
        <v>74435.739999999991</v>
      </c>
      <c r="I665" s="216">
        <v>18.47</v>
      </c>
      <c r="J665" s="201">
        <v>1374828.1177999997</v>
      </c>
      <c r="K665" s="201"/>
      <c r="L665" s="215"/>
      <c r="M665" s="194" t="s">
        <v>593</v>
      </c>
    </row>
    <row r="666" spans="2:13">
      <c r="B666" s="211"/>
      <c r="C666" s="197" t="s">
        <v>1860</v>
      </c>
      <c r="D666" s="198">
        <v>100006</v>
      </c>
      <c r="E666" s="198" t="s">
        <v>1861</v>
      </c>
      <c r="F666" s="199">
        <v>511899.68000000005</v>
      </c>
      <c r="G666" s="199"/>
      <c r="H666" s="199">
        <v>511899.68000000005</v>
      </c>
      <c r="I666" s="216">
        <v>18.47</v>
      </c>
      <c r="J666" s="201">
        <v>9454787.0896000005</v>
      </c>
      <c r="K666" s="201"/>
      <c r="L666" s="215"/>
      <c r="M666" s="194" t="s">
        <v>594</v>
      </c>
    </row>
    <row r="667" spans="2:13">
      <c r="B667" s="211"/>
      <c r="C667" s="197" t="s">
        <v>1862</v>
      </c>
      <c r="D667" s="198">
        <v>100006</v>
      </c>
      <c r="E667" s="198" t="s">
        <v>1863</v>
      </c>
      <c r="F667" s="199">
        <v>7476.79</v>
      </c>
      <c r="G667" s="199"/>
      <c r="H667" s="199">
        <v>7476.79</v>
      </c>
      <c r="I667" s="216">
        <v>18.47</v>
      </c>
      <c r="J667" s="201">
        <v>138096.3113</v>
      </c>
      <c r="K667" s="201"/>
      <c r="L667" s="215"/>
      <c r="M667" s="194" t="s">
        <v>595</v>
      </c>
    </row>
    <row r="668" spans="2:13">
      <c r="B668" s="211"/>
      <c r="C668" s="197" t="s">
        <v>1864</v>
      </c>
      <c r="D668" s="198">
        <v>100006</v>
      </c>
      <c r="E668" s="198" t="s">
        <v>1865</v>
      </c>
      <c r="F668" s="199">
        <v>245614.53000000003</v>
      </c>
      <c r="G668" s="199"/>
      <c r="H668" s="199">
        <v>245614.53000000003</v>
      </c>
      <c r="I668" s="216">
        <v>18.47</v>
      </c>
      <c r="J668" s="201">
        <v>4536500.3690999998</v>
      </c>
      <c r="K668" s="201"/>
      <c r="L668" s="215"/>
      <c r="M668" s="194" t="s">
        <v>596</v>
      </c>
    </row>
    <row r="669" spans="2:13">
      <c r="B669" s="211"/>
      <c r="C669" s="197" t="s">
        <v>1866</v>
      </c>
      <c r="D669" s="198">
        <v>100006</v>
      </c>
      <c r="E669" s="198" t="s">
        <v>1867</v>
      </c>
      <c r="F669" s="199">
        <v>11118.18</v>
      </c>
      <c r="G669" s="199"/>
      <c r="H669" s="199">
        <v>11118.18</v>
      </c>
      <c r="I669" s="216">
        <v>18.47</v>
      </c>
      <c r="J669" s="201">
        <v>205352.78459999998</v>
      </c>
      <c r="K669" s="201"/>
      <c r="L669" s="215"/>
      <c r="M669" s="194" t="s">
        <v>598</v>
      </c>
    </row>
    <row r="670" spans="2:13">
      <c r="B670" s="211"/>
      <c r="C670" s="197" t="s">
        <v>1868</v>
      </c>
      <c r="D670" s="198">
        <v>100006</v>
      </c>
      <c r="E670" s="198" t="s">
        <v>1869</v>
      </c>
      <c r="F670" s="199">
        <v>46214.25</v>
      </c>
      <c r="G670" s="199"/>
      <c r="H670" s="199">
        <v>46214.25</v>
      </c>
      <c r="I670" s="216">
        <v>18.47</v>
      </c>
      <c r="J670" s="201">
        <v>853577.19749999989</v>
      </c>
      <c r="K670" s="201"/>
      <c r="L670" s="215"/>
      <c r="M670" s="194" t="s">
        <v>599</v>
      </c>
    </row>
    <row r="671" spans="2:13">
      <c r="B671" s="211"/>
      <c r="C671" s="197" t="s">
        <v>329</v>
      </c>
      <c r="D671" s="198">
        <v>100006</v>
      </c>
      <c r="E671" s="198" t="s">
        <v>1870</v>
      </c>
      <c r="F671" s="199">
        <v>32352.14</v>
      </c>
      <c r="G671" s="199"/>
      <c r="H671" s="199">
        <v>32352.14</v>
      </c>
      <c r="I671" s="216">
        <v>18.47</v>
      </c>
      <c r="J671" s="201">
        <v>597544.02579999994</v>
      </c>
      <c r="K671" s="201"/>
      <c r="L671" s="215"/>
      <c r="M671" s="194" t="s">
        <v>597</v>
      </c>
    </row>
    <row r="672" spans="2:13">
      <c r="B672" s="211"/>
      <c r="C672" s="197" t="s">
        <v>1644</v>
      </c>
      <c r="D672" s="198">
        <v>100006</v>
      </c>
      <c r="E672" s="198" t="s">
        <v>1871</v>
      </c>
      <c r="F672" s="199">
        <v>60429.420000000013</v>
      </c>
      <c r="G672" s="199"/>
      <c r="H672" s="199">
        <v>60429.420000000013</v>
      </c>
      <c r="I672" s="216">
        <v>18.47</v>
      </c>
      <c r="J672" s="201">
        <v>1116131.3874000001</v>
      </c>
      <c r="K672" s="201"/>
      <c r="L672" s="215"/>
      <c r="M672" s="194" t="s">
        <v>603</v>
      </c>
    </row>
    <row r="673" spans="2:13">
      <c r="B673" s="211"/>
      <c r="C673" s="197" t="s">
        <v>1872</v>
      </c>
      <c r="D673" s="198">
        <v>100006</v>
      </c>
      <c r="E673" s="198" t="s">
        <v>1873</v>
      </c>
      <c r="F673" s="199">
        <v>4767.8099999999995</v>
      </c>
      <c r="G673" s="199"/>
      <c r="H673" s="199">
        <v>4767.8099999999995</v>
      </c>
      <c r="I673" s="216">
        <v>18.47</v>
      </c>
      <c r="J673" s="201">
        <v>88061.450699999987</v>
      </c>
      <c r="K673" s="201"/>
      <c r="L673" s="215"/>
      <c r="M673" s="194" t="s">
        <v>604</v>
      </c>
    </row>
    <row r="674" spans="2:13">
      <c r="B674" s="211"/>
      <c r="C674" s="197" t="s">
        <v>1874</v>
      </c>
      <c r="D674" s="198">
        <v>100006</v>
      </c>
      <c r="E674" s="198" t="s">
        <v>1875</v>
      </c>
      <c r="F674" s="199">
        <v>11074.779999999999</v>
      </c>
      <c r="G674" s="199"/>
      <c r="H674" s="199">
        <v>11074.779999999999</v>
      </c>
      <c r="I674" s="216">
        <v>18.47</v>
      </c>
      <c r="J674" s="201">
        <v>204551.18659999996</v>
      </c>
      <c r="K674" s="201"/>
      <c r="L674" s="215"/>
      <c r="M674" s="194" t="s">
        <v>605</v>
      </c>
    </row>
    <row r="675" spans="2:13">
      <c r="B675" s="211"/>
      <c r="C675" s="197" t="s">
        <v>1876</v>
      </c>
      <c r="D675" s="198">
        <v>100006</v>
      </c>
      <c r="E675" s="198" t="s">
        <v>1877</v>
      </c>
      <c r="F675" s="199">
        <v>379493.56000000006</v>
      </c>
      <c r="G675" s="199"/>
      <c r="H675" s="199">
        <v>379493.56000000006</v>
      </c>
      <c r="I675" s="216">
        <v>18.47</v>
      </c>
      <c r="J675" s="201">
        <v>7009246.0532000009</v>
      </c>
      <c r="K675" s="201"/>
      <c r="L675" s="215"/>
      <c r="M675" s="194" t="s">
        <v>608</v>
      </c>
    </row>
    <row r="676" spans="2:13">
      <c r="B676" s="211"/>
      <c r="C676" s="197" t="s">
        <v>1878</v>
      </c>
      <c r="D676" s="198">
        <v>100006</v>
      </c>
      <c r="E676" s="198" t="s">
        <v>1879</v>
      </c>
      <c r="F676" s="199">
        <v>121202.59</v>
      </c>
      <c r="G676" s="199"/>
      <c r="H676" s="199">
        <v>121202.59</v>
      </c>
      <c r="I676" s="216">
        <v>18.47</v>
      </c>
      <c r="J676" s="201">
        <v>2238611.8372999998</v>
      </c>
      <c r="K676" s="201"/>
      <c r="L676" s="215"/>
      <c r="M676" s="194" t="s">
        <v>614</v>
      </c>
    </row>
    <row r="677" spans="2:13">
      <c r="B677" s="211"/>
      <c r="C677" s="197" t="s">
        <v>1880</v>
      </c>
      <c r="D677" s="198">
        <v>100006</v>
      </c>
      <c r="E677" s="198" t="s">
        <v>1881</v>
      </c>
      <c r="F677" s="199">
        <v>48098.75</v>
      </c>
      <c r="G677" s="199"/>
      <c r="H677" s="199">
        <v>48098.75</v>
      </c>
      <c r="I677" s="216">
        <v>18.47</v>
      </c>
      <c r="J677" s="201">
        <v>888383.91249999998</v>
      </c>
      <c r="K677" s="201"/>
      <c r="L677" s="215"/>
      <c r="M677" s="194" t="s">
        <v>616</v>
      </c>
    </row>
    <row r="678" spans="2:13">
      <c r="B678" s="211"/>
      <c r="C678" s="197" t="s">
        <v>1882</v>
      </c>
      <c r="D678" s="198">
        <v>100006</v>
      </c>
      <c r="E678" s="198" t="s">
        <v>1883</v>
      </c>
      <c r="F678" s="199">
        <v>2011.32</v>
      </c>
      <c r="G678" s="199"/>
      <c r="H678" s="199">
        <v>2011.32</v>
      </c>
      <c r="I678" s="216">
        <v>18.47</v>
      </c>
      <c r="J678" s="201">
        <v>37149.080399999999</v>
      </c>
      <c r="K678" s="201"/>
      <c r="L678" s="215"/>
      <c r="M678" s="194" t="s">
        <v>619</v>
      </c>
    </row>
    <row r="679" spans="2:13">
      <c r="B679" s="211"/>
      <c r="C679" s="197" t="s">
        <v>1884</v>
      </c>
      <c r="D679" s="198">
        <v>100006</v>
      </c>
      <c r="E679" s="198" t="s">
        <v>1885</v>
      </c>
      <c r="F679" s="199">
        <v>3385491.54</v>
      </c>
      <c r="G679" s="199"/>
      <c r="H679" s="199">
        <v>3385491.54</v>
      </c>
      <c r="I679" s="216">
        <v>18.47</v>
      </c>
      <c r="J679" s="201">
        <v>62530028.743799999</v>
      </c>
      <c r="K679" s="201"/>
      <c r="L679" s="215"/>
      <c r="M679" s="194" t="s">
        <v>620</v>
      </c>
    </row>
    <row r="680" spans="2:13">
      <c r="B680" s="211"/>
      <c r="C680" s="197" t="s">
        <v>1886</v>
      </c>
      <c r="D680" s="198">
        <v>100006</v>
      </c>
      <c r="E680" s="198" t="s">
        <v>1887</v>
      </c>
      <c r="F680" s="199">
        <v>33764.78</v>
      </c>
      <c r="G680" s="199"/>
      <c r="H680" s="199">
        <v>33764.78</v>
      </c>
      <c r="I680" s="216">
        <v>18.47</v>
      </c>
      <c r="J680" s="201">
        <v>623635.48659999995</v>
      </c>
      <c r="K680" s="201"/>
      <c r="L680" s="215"/>
      <c r="M680" s="194" t="s">
        <v>363</v>
      </c>
    </row>
    <row r="681" spans="2:13">
      <c r="B681" s="211"/>
      <c r="C681" s="197" t="s">
        <v>654</v>
      </c>
      <c r="D681" s="198">
        <v>100006</v>
      </c>
      <c r="E681" s="198" t="s">
        <v>1888</v>
      </c>
      <c r="F681" s="199">
        <v>21804.809999999998</v>
      </c>
      <c r="G681" s="199"/>
      <c r="H681" s="199">
        <v>21804.809999999998</v>
      </c>
      <c r="I681" s="216">
        <v>18.47</v>
      </c>
      <c r="J681" s="201">
        <v>402734.84069999994</v>
      </c>
      <c r="K681" s="201"/>
      <c r="L681" s="215"/>
      <c r="M681" s="194" t="s">
        <v>607</v>
      </c>
    </row>
    <row r="682" spans="2:13">
      <c r="B682" s="211"/>
      <c r="C682" s="197" t="s">
        <v>1485</v>
      </c>
      <c r="D682" s="198">
        <v>100006</v>
      </c>
      <c r="E682" s="198" t="s">
        <v>1889</v>
      </c>
      <c r="F682" s="199">
        <v>60607.21</v>
      </c>
      <c r="G682" s="199"/>
      <c r="H682" s="199">
        <v>60607.21</v>
      </c>
      <c r="I682" s="216">
        <v>18.47</v>
      </c>
      <c r="J682" s="201">
        <v>1119415.1686999998</v>
      </c>
      <c r="K682" s="201"/>
      <c r="L682" s="215"/>
      <c r="M682" s="194" t="s">
        <v>362</v>
      </c>
    </row>
    <row r="683" spans="2:13">
      <c r="B683" s="211"/>
      <c r="C683" s="197"/>
      <c r="D683" s="198">
        <v>100006</v>
      </c>
      <c r="E683" s="198" t="s">
        <v>1818</v>
      </c>
      <c r="F683" s="199"/>
      <c r="G683" s="199"/>
      <c r="H683" s="199">
        <v>0</v>
      </c>
      <c r="I683" s="216"/>
      <c r="J683" s="201">
        <v>0</v>
      </c>
      <c r="K683" s="201"/>
      <c r="L683" s="215"/>
      <c r="M683" s="194"/>
    </row>
    <row r="684" spans="2:13">
      <c r="B684" s="211"/>
      <c r="C684" s="197" t="s">
        <v>1890</v>
      </c>
      <c r="D684" s="198">
        <v>100006</v>
      </c>
      <c r="E684" s="198" t="s">
        <v>1891</v>
      </c>
      <c r="F684" s="199">
        <v>7029136.25</v>
      </c>
      <c r="G684" s="199"/>
      <c r="H684" s="199">
        <v>7029136.25</v>
      </c>
      <c r="I684" s="216">
        <v>19.22</v>
      </c>
      <c r="J684" s="201">
        <v>135099998.72499999</v>
      </c>
      <c r="K684" s="201"/>
      <c r="L684" s="215"/>
      <c r="M684" s="194" t="s">
        <v>551</v>
      </c>
    </row>
    <row r="685" spans="2:13">
      <c r="B685" s="211"/>
      <c r="C685" s="197" t="s">
        <v>1892</v>
      </c>
      <c r="D685" s="198">
        <v>100006</v>
      </c>
      <c r="E685" s="198" t="s">
        <v>1893</v>
      </c>
      <c r="F685" s="199">
        <v>6743314.4000000004</v>
      </c>
      <c r="G685" s="199"/>
      <c r="H685" s="199">
        <v>6743314.4000000004</v>
      </c>
      <c r="I685" s="216">
        <v>16.52834109180791</v>
      </c>
      <c r="J685" s="201">
        <v>111455800.49250001</v>
      </c>
      <c r="K685" s="201"/>
      <c r="L685" s="215"/>
      <c r="M685" s="194" t="s">
        <v>548</v>
      </c>
    </row>
    <row r="686" spans="2:13">
      <c r="B686" s="211"/>
      <c r="C686" s="197" t="s">
        <v>1894</v>
      </c>
      <c r="D686" s="198">
        <v>100006</v>
      </c>
      <c r="E686" s="198" t="s">
        <v>1895</v>
      </c>
      <c r="F686" s="199">
        <v>-5145634.4000000004</v>
      </c>
      <c r="G686" s="199"/>
      <c r="H686" s="199">
        <v>-5145634.4000000004</v>
      </c>
      <c r="I686" s="216">
        <v>16.95</v>
      </c>
      <c r="J686" s="201">
        <v>-87218503.079999998</v>
      </c>
      <c r="K686" s="201"/>
      <c r="L686" s="215"/>
      <c r="M686" s="194" t="s">
        <v>554</v>
      </c>
    </row>
    <row r="687" spans="2:13">
      <c r="B687" s="211"/>
      <c r="C687" s="197"/>
      <c r="D687" s="198">
        <v>100006</v>
      </c>
      <c r="E687" s="198" t="s">
        <v>1818</v>
      </c>
      <c r="F687" s="199"/>
      <c r="G687" s="199"/>
      <c r="H687" s="199">
        <v>0</v>
      </c>
      <c r="I687" s="216"/>
      <c r="J687" s="181"/>
      <c r="K687" s="201"/>
      <c r="L687" s="215"/>
      <c r="M687" s="194"/>
    </row>
    <row r="688" spans="2:13">
      <c r="B688" s="211"/>
      <c r="C688" s="197" t="s">
        <v>1896</v>
      </c>
      <c r="D688" s="198">
        <v>100006</v>
      </c>
      <c r="E688" s="198" t="s">
        <v>1897</v>
      </c>
      <c r="F688" s="199"/>
      <c r="G688" s="199"/>
      <c r="H688" s="199">
        <v>0</v>
      </c>
      <c r="I688" s="216"/>
      <c r="J688" s="201">
        <v>-48505943.129150502</v>
      </c>
      <c r="K688" s="201"/>
      <c r="L688" s="215"/>
      <c r="M688" s="194" t="s">
        <v>379</v>
      </c>
    </row>
    <row r="689" spans="1:13">
      <c r="B689" s="211"/>
      <c r="C689" s="197"/>
      <c r="D689" s="198">
        <v>100006</v>
      </c>
      <c r="E689" s="198" t="s">
        <v>1818</v>
      </c>
      <c r="F689" s="199"/>
      <c r="G689" s="199"/>
      <c r="H689" s="199">
        <v>0</v>
      </c>
      <c r="I689" s="216"/>
      <c r="J689" s="201">
        <v>0</v>
      </c>
      <c r="K689" s="201"/>
      <c r="L689" s="215"/>
      <c r="M689" s="194"/>
    </row>
    <row r="690" spans="1:13">
      <c r="B690" s="211"/>
      <c r="C690" s="197"/>
      <c r="D690" s="198">
        <v>100006</v>
      </c>
      <c r="E690" s="198" t="s">
        <v>1818</v>
      </c>
      <c r="F690" s="199"/>
      <c r="G690" s="199"/>
      <c r="H690" s="199">
        <v>0</v>
      </c>
      <c r="I690" s="216"/>
      <c r="J690" s="201">
        <v>0</v>
      </c>
      <c r="K690" s="201"/>
      <c r="L690" s="215"/>
      <c r="M690" s="194"/>
    </row>
    <row r="691" spans="1:13">
      <c r="B691" s="211"/>
      <c r="C691" s="197"/>
      <c r="D691" s="198">
        <v>100006</v>
      </c>
      <c r="E691" s="198" t="s">
        <v>1818</v>
      </c>
      <c r="F691" s="199"/>
      <c r="G691" s="199"/>
      <c r="H691" s="199">
        <v>0</v>
      </c>
      <c r="I691" s="216"/>
      <c r="J691" s="201">
        <v>0</v>
      </c>
      <c r="K691" s="201"/>
      <c r="L691" s="215"/>
      <c r="M691" s="194"/>
    </row>
    <row r="692" spans="1:13">
      <c r="B692" s="211"/>
      <c r="C692" s="197"/>
      <c r="D692" s="198">
        <v>100006</v>
      </c>
      <c r="E692" s="198" t="s">
        <v>1818</v>
      </c>
      <c r="F692" s="199"/>
      <c r="G692" s="199"/>
      <c r="H692" s="199">
        <v>0</v>
      </c>
      <c r="I692" s="216"/>
      <c r="J692" s="201">
        <v>0</v>
      </c>
      <c r="K692" s="201"/>
      <c r="L692" s="215"/>
      <c r="M692" s="194"/>
    </row>
    <row r="693" spans="1:13">
      <c r="B693" s="211"/>
      <c r="C693" s="197"/>
      <c r="D693" s="198">
        <v>100006</v>
      </c>
      <c r="E693" s="198" t="s">
        <v>1818</v>
      </c>
      <c r="F693" s="199"/>
      <c r="G693" s="199"/>
      <c r="H693" s="199">
        <v>0</v>
      </c>
      <c r="I693" s="216"/>
      <c r="J693" s="201">
        <v>0</v>
      </c>
      <c r="K693" s="201"/>
      <c r="L693" s="215"/>
      <c r="M693" s="194"/>
    </row>
    <row r="694" spans="1:13">
      <c r="B694" s="211"/>
      <c r="C694" s="197"/>
      <c r="D694" s="198">
        <v>100006</v>
      </c>
      <c r="E694" s="198" t="s">
        <v>1818</v>
      </c>
      <c r="F694" s="199"/>
      <c r="G694" s="199"/>
      <c r="H694" s="199">
        <v>0</v>
      </c>
      <c r="I694" s="216"/>
      <c r="J694" s="201">
        <v>0</v>
      </c>
      <c r="K694" s="201"/>
      <c r="L694" s="215"/>
      <c r="M694" s="194"/>
    </row>
    <row r="695" spans="1:13">
      <c r="B695" s="211"/>
      <c r="C695" s="197"/>
      <c r="D695" s="198">
        <v>100006</v>
      </c>
      <c r="E695" s="198" t="s">
        <v>1818</v>
      </c>
      <c r="F695" s="199"/>
      <c r="G695" s="199"/>
      <c r="H695" s="199">
        <v>0</v>
      </c>
      <c r="I695" s="216"/>
      <c r="J695" s="201">
        <v>0</v>
      </c>
      <c r="K695" s="201"/>
      <c r="L695" s="215"/>
      <c r="M695" s="194"/>
    </row>
    <row r="696" spans="1:13">
      <c r="B696" s="211"/>
      <c r="C696" s="197"/>
      <c r="D696" s="198">
        <v>100006</v>
      </c>
      <c r="E696" s="198" t="s">
        <v>1818</v>
      </c>
      <c r="F696" s="199"/>
      <c r="G696" s="199"/>
      <c r="H696" s="199">
        <v>0</v>
      </c>
      <c r="I696" s="216"/>
      <c r="J696" s="201"/>
      <c r="K696" s="201"/>
      <c r="L696" s="215"/>
      <c r="M696" s="194"/>
    </row>
    <row r="697" spans="1:13">
      <c r="B697" s="211"/>
      <c r="C697" s="262"/>
      <c r="D697" s="262"/>
      <c r="E697" s="262"/>
      <c r="F697" s="330">
        <v>0</v>
      </c>
      <c r="G697" s="265"/>
      <c r="H697" s="330">
        <v>0</v>
      </c>
      <c r="I697" s="265"/>
      <c r="J697" s="263">
        <v>0</v>
      </c>
      <c r="K697" s="263">
        <v>0</v>
      </c>
      <c r="L697" s="246"/>
      <c r="M697" s="194"/>
    </row>
    <row r="698" spans="1:13">
      <c r="B698" s="211"/>
      <c r="C698" s="208"/>
      <c r="D698" s="208"/>
      <c r="E698" s="208"/>
      <c r="F698" s="244"/>
      <c r="G698" s="244"/>
      <c r="H698" s="244"/>
      <c r="I698" s="244"/>
      <c r="J698" s="245"/>
      <c r="K698" s="245"/>
      <c r="L698" s="215"/>
      <c r="M698" s="194"/>
    </row>
    <row r="699" spans="1:13" ht="13.5" thickBot="1">
      <c r="B699" s="266"/>
      <c r="C699" s="267"/>
      <c r="D699" s="267"/>
      <c r="E699" s="267"/>
      <c r="F699" s="268"/>
      <c r="G699" s="268"/>
      <c r="H699" s="268"/>
      <c r="I699" s="268"/>
      <c r="J699" s="269"/>
      <c r="K699" s="269"/>
      <c r="L699" s="280"/>
      <c r="M699" s="194"/>
    </row>
    <row r="700" spans="1:13" s="284" customFormat="1" ht="14.25" thickTop="1" thickBot="1">
      <c r="A700" s="283"/>
      <c r="F700" s="285"/>
      <c r="G700" s="285"/>
      <c r="H700" s="285"/>
      <c r="I700" s="285"/>
      <c r="J700" s="286"/>
      <c r="K700" s="286"/>
      <c r="M700" s="212"/>
    </row>
    <row r="701" spans="1:13" ht="13.5" thickTop="1">
      <c r="B701" s="238"/>
      <c r="C701" s="239"/>
      <c r="D701" s="239"/>
      <c r="E701" s="239"/>
      <c r="F701" s="240"/>
      <c r="G701" s="240"/>
      <c r="H701" s="240"/>
      <c r="I701" s="240"/>
      <c r="J701" s="241"/>
      <c r="K701" s="241"/>
      <c r="L701" s="271"/>
      <c r="M701" s="194"/>
    </row>
    <row r="702" spans="1:13">
      <c r="B702" s="211"/>
      <c r="C702" s="208" t="s">
        <v>632</v>
      </c>
      <c r="D702" s="208"/>
      <c r="E702" s="243">
        <v>100007</v>
      </c>
      <c r="F702" s="244"/>
      <c r="G702" s="243">
        <v>100007</v>
      </c>
      <c r="H702" s="244"/>
      <c r="I702" s="243">
        <v>100007</v>
      </c>
      <c r="J702" s="245"/>
      <c r="K702" s="245">
        <v>100007</v>
      </c>
      <c r="L702" s="215"/>
      <c r="M702" s="194"/>
    </row>
    <row r="703" spans="1:13" s="210" customFormat="1">
      <c r="A703" s="196"/>
      <c r="B703" s="247"/>
      <c r="C703" s="248" t="s">
        <v>2</v>
      </c>
      <c r="D703" s="248"/>
      <c r="E703" s="331" t="s">
        <v>766</v>
      </c>
      <c r="F703" s="249"/>
      <c r="G703" s="331" t="s">
        <v>766</v>
      </c>
      <c r="H703" s="249"/>
      <c r="I703" s="331" t="s">
        <v>766</v>
      </c>
      <c r="J703" s="250"/>
      <c r="K703" s="250" t="s">
        <v>766</v>
      </c>
      <c r="L703" s="281"/>
    </row>
    <row r="704" spans="1:13">
      <c r="A704" s="237">
        <v>100007</v>
      </c>
      <c r="B704" s="211"/>
      <c r="C704" s="208" t="s">
        <v>634</v>
      </c>
      <c r="D704" s="208"/>
      <c r="E704" s="253" t="s">
        <v>1010</v>
      </c>
      <c r="F704" s="244"/>
      <c r="G704" s="253" t="s">
        <v>1010</v>
      </c>
      <c r="H704" s="244"/>
      <c r="I704" s="253" t="s">
        <v>1010</v>
      </c>
      <c r="J704" s="245"/>
      <c r="K704" s="245" t="s">
        <v>1010</v>
      </c>
      <c r="L704" s="215"/>
      <c r="M704" s="194"/>
    </row>
    <row r="705" spans="2:13">
      <c r="B705" s="211"/>
      <c r="C705" s="208"/>
      <c r="D705" s="208"/>
      <c r="E705" s="208"/>
      <c r="F705" s="254">
        <v>0</v>
      </c>
      <c r="G705" s="244"/>
      <c r="H705" s="244"/>
      <c r="I705" s="253"/>
      <c r="J705" s="255" t="s">
        <v>2833</v>
      </c>
      <c r="K705" s="255" t="s">
        <v>1021</v>
      </c>
      <c r="L705" s="215"/>
      <c r="M705" s="194"/>
    </row>
    <row r="706" spans="2:13" ht="25.5">
      <c r="B706" s="211"/>
      <c r="C706" s="256" t="s">
        <v>3</v>
      </c>
      <c r="D706" s="256" t="s">
        <v>1</v>
      </c>
      <c r="E706" s="256" t="s">
        <v>635</v>
      </c>
      <c r="F706" s="257" t="s">
        <v>1898</v>
      </c>
      <c r="G706" s="257" t="s">
        <v>636</v>
      </c>
      <c r="H706" s="257" t="s">
        <v>1898</v>
      </c>
      <c r="I706" s="282" t="s">
        <v>637</v>
      </c>
      <c r="J706" s="259" t="s">
        <v>638</v>
      </c>
      <c r="K706" s="259" t="s">
        <v>638</v>
      </c>
      <c r="L706" s="203"/>
      <c r="M706" s="194"/>
    </row>
    <row r="707" spans="2:13">
      <c r="B707" s="211"/>
      <c r="C707" s="197" t="s">
        <v>1787</v>
      </c>
      <c r="D707" s="198">
        <v>100007</v>
      </c>
      <c r="E707" s="198" t="s">
        <v>1899</v>
      </c>
      <c r="F707" s="221">
        <v>-4321604</v>
      </c>
      <c r="G707" s="221"/>
      <c r="H707" s="221">
        <v>-4321604</v>
      </c>
      <c r="I707" s="216">
        <v>71.047535371126088</v>
      </c>
      <c r="J707" s="201">
        <v>-307039313.05000001</v>
      </c>
      <c r="K707" s="201">
        <v>-307039333.05416</v>
      </c>
      <c r="L707" s="215"/>
      <c r="M707" s="194" t="s">
        <v>365</v>
      </c>
    </row>
    <row r="708" spans="2:13">
      <c r="B708" s="211"/>
      <c r="C708" s="197" t="s">
        <v>1900</v>
      </c>
      <c r="D708" s="198">
        <v>100007</v>
      </c>
      <c r="E708" s="198" t="s">
        <v>1901</v>
      </c>
      <c r="F708" s="221">
        <v>-16943.5</v>
      </c>
      <c r="G708" s="221"/>
      <c r="H708" s="221">
        <v>-16943.5</v>
      </c>
      <c r="I708" s="216">
        <v>69.178918169209425</v>
      </c>
      <c r="J708" s="201">
        <v>-1172133</v>
      </c>
      <c r="K708" s="201">
        <v>-1172133</v>
      </c>
      <c r="L708" s="215"/>
      <c r="M708" s="194" t="s">
        <v>366</v>
      </c>
    </row>
    <row r="709" spans="2:13">
      <c r="B709" s="211"/>
      <c r="C709" s="197" t="s">
        <v>1902</v>
      </c>
      <c r="D709" s="198">
        <v>100007</v>
      </c>
      <c r="E709" s="198" t="s">
        <v>1903</v>
      </c>
      <c r="F709" s="221">
        <v>-708050</v>
      </c>
      <c r="G709" s="221"/>
      <c r="H709" s="221">
        <v>-708050</v>
      </c>
      <c r="I709" s="216">
        <v>63.52957135795495</v>
      </c>
      <c r="J709" s="201">
        <v>-44982113</v>
      </c>
      <c r="K709" s="201">
        <v>-44982113</v>
      </c>
      <c r="L709" s="215"/>
      <c r="M709" s="194" t="s">
        <v>372</v>
      </c>
    </row>
    <row r="710" spans="2:13">
      <c r="B710" s="211"/>
      <c r="C710" s="197" t="s">
        <v>1904</v>
      </c>
      <c r="D710" s="198">
        <v>100007</v>
      </c>
      <c r="E710" s="198" t="s">
        <v>1905</v>
      </c>
      <c r="F710" s="221">
        <v>298010</v>
      </c>
      <c r="G710" s="221"/>
      <c r="H710" s="221">
        <v>298010</v>
      </c>
      <c r="I710" s="216">
        <v>71.75</v>
      </c>
      <c r="J710" s="201">
        <v>21382217.5</v>
      </c>
      <c r="K710" s="201">
        <v>20389844.199999999</v>
      </c>
      <c r="L710" s="215"/>
      <c r="M710" s="194" t="s">
        <v>358</v>
      </c>
    </row>
    <row r="711" spans="2:13">
      <c r="B711" s="211"/>
      <c r="C711" s="197" t="s">
        <v>1789</v>
      </c>
      <c r="D711" s="198">
        <v>100007</v>
      </c>
      <c r="E711" s="198" t="s">
        <v>1906</v>
      </c>
      <c r="F711" s="221">
        <v>5826552.1600000001</v>
      </c>
      <c r="G711" s="221"/>
      <c r="H711" s="221">
        <v>5826552.1600000001</v>
      </c>
      <c r="I711" s="216">
        <v>72.843054579296862</v>
      </c>
      <c r="J711" s="201">
        <v>424423857.00000006</v>
      </c>
      <c r="K711" s="201">
        <v>383532207.99373758</v>
      </c>
      <c r="L711" s="215"/>
      <c r="M711" s="194" t="s">
        <v>380</v>
      </c>
    </row>
    <row r="712" spans="2:13">
      <c r="B712" s="211"/>
      <c r="C712" s="197" t="s">
        <v>1907</v>
      </c>
      <c r="D712" s="198">
        <v>100007</v>
      </c>
      <c r="E712" s="198" t="s">
        <v>1908</v>
      </c>
      <c r="F712" s="221">
        <v>-2545.16</v>
      </c>
      <c r="G712" s="221"/>
      <c r="H712" s="221">
        <v>-2545.16</v>
      </c>
      <c r="I712" s="216">
        <v>71.75</v>
      </c>
      <c r="J712" s="201">
        <v>-182615.22999999998</v>
      </c>
      <c r="K712" s="201">
        <v>-164201.158</v>
      </c>
      <c r="L712" s="215"/>
      <c r="M712" s="194" t="s">
        <v>403</v>
      </c>
    </row>
    <row r="713" spans="2:13">
      <c r="B713" s="211"/>
      <c r="C713" s="197" t="s">
        <v>1909</v>
      </c>
      <c r="D713" s="198">
        <v>100007</v>
      </c>
      <c r="E713" s="198" t="s">
        <v>1910</v>
      </c>
      <c r="F713" s="221">
        <v>-1540468.08</v>
      </c>
      <c r="G713" s="221"/>
      <c r="H713" s="221">
        <v>-1540468.08</v>
      </c>
      <c r="I713" s="216">
        <v>71.75</v>
      </c>
      <c r="J713" s="201">
        <v>-110528584.74000001</v>
      </c>
      <c r="K713" s="201">
        <v>-89130055.273600012</v>
      </c>
      <c r="L713" s="215"/>
      <c r="M713" s="194" t="s">
        <v>405</v>
      </c>
    </row>
    <row r="714" spans="2:13" ht="15">
      <c r="B714" s="211"/>
      <c r="C714" s="197" t="s">
        <v>1911</v>
      </c>
      <c r="D714" s="198">
        <v>100007</v>
      </c>
      <c r="E714" s="198" t="s">
        <v>1912</v>
      </c>
      <c r="F714" s="222">
        <v>87017.449999999953</v>
      </c>
      <c r="G714" s="221"/>
      <c r="H714" s="221">
        <v>87017.449999999953</v>
      </c>
      <c r="I714" s="216">
        <v>71.75</v>
      </c>
      <c r="J714" s="201">
        <v>6243502.0374999968</v>
      </c>
      <c r="K714" s="201">
        <v>7497603.8609999996</v>
      </c>
      <c r="L714" s="215"/>
      <c r="M714" s="194" t="s">
        <v>357</v>
      </c>
    </row>
    <row r="715" spans="2:13" ht="15">
      <c r="B715" s="211"/>
      <c r="C715" s="197" t="s">
        <v>676</v>
      </c>
      <c r="D715" s="198">
        <v>100007</v>
      </c>
      <c r="E715" s="198" t="s">
        <v>1905</v>
      </c>
      <c r="F715" s="222">
        <v>7299.0399999999991</v>
      </c>
      <c r="G715" s="221"/>
      <c r="H715" s="221">
        <v>7299.0399999999991</v>
      </c>
      <c r="I715" s="216">
        <v>71.75</v>
      </c>
      <c r="J715" s="201">
        <v>523706.11999999994</v>
      </c>
      <c r="K715" s="201">
        <v>856860.60679999983</v>
      </c>
      <c r="L715" s="215"/>
      <c r="M715" s="194" t="s">
        <v>358</v>
      </c>
    </row>
    <row r="716" spans="2:13">
      <c r="B716" s="211"/>
      <c r="C716" s="197" t="s">
        <v>1913</v>
      </c>
      <c r="D716" s="198">
        <v>100007</v>
      </c>
      <c r="E716" s="198" t="s">
        <v>1914</v>
      </c>
      <c r="F716" s="221"/>
      <c r="G716" s="221"/>
      <c r="H716" s="221">
        <v>0</v>
      </c>
      <c r="I716" s="216">
        <v>71.75</v>
      </c>
      <c r="J716" s="201">
        <v>0</v>
      </c>
      <c r="K716" s="201">
        <v>0</v>
      </c>
      <c r="L716" s="215"/>
      <c r="M716" s="194" t="s">
        <v>437</v>
      </c>
    </row>
    <row r="717" spans="2:13">
      <c r="B717" s="211"/>
      <c r="C717" s="197" t="s">
        <v>1915</v>
      </c>
      <c r="D717" s="198">
        <v>100007</v>
      </c>
      <c r="E717" s="198" t="s">
        <v>1916</v>
      </c>
      <c r="F717" s="221">
        <v>80052</v>
      </c>
      <c r="G717" s="221"/>
      <c r="H717" s="221">
        <v>80052</v>
      </c>
      <c r="I717" s="216">
        <v>71.75</v>
      </c>
      <c r="J717" s="201">
        <v>5743731</v>
      </c>
      <c r="K717" s="201">
        <v>6318997.5200000005</v>
      </c>
      <c r="L717" s="215"/>
      <c r="M717" s="194" t="s">
        <v>478</v>
      </c>
    </row>
    <row r="718" spans="2:13">
      <c r="B718" s="211"/>
      <c r="C718" s="197" t="s">
        <v>1917</v>
      </c>
      <c r="D718" s="198">
        <v>100007</v>
      </c>
      <c r="E718" s="198" t="s">
        <v>1918</v>
      </c>
      <c r="F718" s="221">
        <v>608744</v>
      </c>
      <c r="G718" s="221"/>
      <c r="H718" s="221">
        <v>608744</v>
      </c>
      <c r="I718" s="216">
        <v>71.75</v>
      </c>
      <c r="J718" s="201">
        <v>43677382</v>
      </c>
      <c r="K718" s="201">
        <v>50234648.200000003</v>
      </c>
      <c r="L718" s="215"/>
      <c r="M718" s="194" t="s">
        <v>476</v>
      </c>
    </row>
    <row r="719" spans="2:13">
      <c r="B719" s="211"/>
      <c r="C719" s="197" t="s">
        <v>1919</v>
      </c>
      <c r="D719" s="198">
        <v>100007</v>
      </c>
      <c r="E719" s="198" t="s">
        <v>1916</v>
      </c>
      <c r="F719" s="221">
        <v>613838</v>
      </c>
      <c r="G719" s="221"/>
      <c r="H719" s="221">
        <v>613838</v>
      </c>
      <c r="I719" s="216">
        <v>71.75</v>
      </c>
      <c r="J719" s="201">
        <v>44042876.5</v>
      </c>
      <c r="K719" s="201">
        <v>41750636.619999997</v>
      </c>
      <c r="L719" s="215"/>
      <c r="M719" s="194" t="s">
        <v>478</v>
      </c>
    </row>
    <row r="720" spans="2:13">
      <c r="B720" s="211"/>
      <c r="C720" s="197" t="s">
        <v>1920</v>
      </c>
      <c r="D720" s="198">
        <v>100007</v>
      </c>
      <c r="E720" s="198" t="s">
        <v>1921</v>
      </c>
      <c r="F720" s="221"/>
      <c r="G720" s="221"/>
      <c r="H720" s="221">
        <v>0</v>
      </c>
      <c r="I720" s="216">
        <v>71.75</v>
      </c>
      <c r="J720" s="201">
        <v>0</v>
      </c>
      <c r="K720" s="201">
        <v>0</v>
      </c>
      <c r="L720" s="215"/>
      <c r="M720" s="194" t="s">
        <v>399</v>
      </c>
    </row>
    <row r="721" spans="2:13">
      <c r="B721" s="211"/>
      <c r="C721" s="197" t="s">
        <v>1922</v>
      </c>
      <c r="D721" s="198">
        <v>100007</v>
      </c>
      <c r="E721" s="198" t="s">
        <v>1923</v>
      </c>
      <c r="F721" s="221">
        <v>78461</v>
      </c>
      <c r="G721" s="221"/>
      <c r="H721" s="221">
        <v>78461</v>
      </c>
      <c r="I721" s="216">
        <v>71.75</v>
      </c>
      <c r="J721" s="201">
        <v>5629576.75</v>
      </c>
      <c r="K721" s="201">
        <v>37780549.699200012</v>
      </c>
      <c r="L721" s="215"/>
      <c r="M721" s="194" t="s">
        <v>488</v>
      </c>
    </row>
    <row r="722" spans="2:13">
      <c r="B722" s="211"/>
      <c r="C722" s="197" t="s">
        <v>1924</v>
      </c>
      <c r="D722" s="198">
        <v>100007</v>
      </c>
      <c r="E722" s="198" t="s">
        <v>1925</v>
      </c>
      <c r="F722" s="221">
        <v>574925.78</v>
      </c>
      <c r="G722" s="221"/>
      <c r="H722" s="221">
        <v>574925.78</v>
      </c>
      <c r="I722" s="216">
        <v>71.75</v>
      </c>
      <c r="J722" s="201">
        <v>41250924.715000004</v>
      </c>
      <c r="K722" s="201">
        <v>0</v>
      </c>
      <c r="L722" s="215"/>
      <c r="M722" s="194" t="s">
        <v>484</v>
      </c>
    </row>
    <row r="723" spans="2:13">
      <c r="B723" s="211"/>
      <c r="C723" s="197" t="s">
        <v>1806</v>
      </c>
      <c r="D723" s="198">
        <v>100007</v>
      </c>
      <c r="E723" s="198" t="s">
        <v>1926</v>
      </c>
      <c r="F723" s="221">
        <v>2509.0100000000002</v>
      </c>
      <c r="G723" s="221"/>
      <c r="H723" s="221">
        <v>2509.0100000000002</v>
      </c>
      <c r="I723" s="216">
        <v>71.75</v>
      </c>
      <c r="J723" s="201">
        <v>180021.46750000003</v>
      </c>
      <c r="K723" s="201">
        <v>122242.59300000001</v>
      </c>
      <c r="L723" s="215"/>
      <c r="M723" s="194" t="s">
        <v>494</v>
      </c>
    </row>
    <row r="724" spans="2:13">
      <c r="B724" s="211"/>
      <c r="C724" s="197" t="s">
        <v>1808</v>
      </c>
      <c r="D724" s="198">
        <v>100007</v>
      </c>
      <c r="E724" s="198" t="s">
        <v>1927</v>
      </c>
      <c r="F724" s="221">
        <v>306621.40000000002</v>
      </c>
      <c r="G724" s="221"/>
      <c r="H724" s="221">
        <v>306621.40000000002</v>
      </c>
      <c r="I724" s="216">
        <v>71.75</v>
      </c>
      <c r="J724" s="201">
        <v>22000085.450000003</v>
      </c>
      <c r="K724" s="201">
        <v>19058066.004999999</v>
      </c>
      <c r="L724" s="215"/>
      <c r="M724" s="194" t="s">
        <v>496</v>
      </c>
    </row>
    <row r="725" spans="2:13">
      <c r="B725" s="211"/>
      <c r="C725" s="197" t="s">
        <v>1928</v>
      </c>
      <c r="D725" s="198">
        <v>100007</v>
      </c>
      <c r="E725" s="198" t="s">
        <v>1929</v>
      </c>
      <c r="F725" s="221">
        <v>16405.75</v>
      </c>
      <c r="G725" s="221"/>
      <c r="H725" s="221">
        <v>16405.75</v>
      </c>
      <c r="I725" s="216">
        <v>71.75</v>
      </c>
      <c r="J725" s="201">
        <v>1177112.5625</v>
      </c>
      <c r="K725" s="201">
        <v>875466.05740000005</v>
      </c>
      <c r="L725" s="215"/>
      <c r="M725" s="194" t="s">
        <v>508</v>
      </c>
    </row>
    <row r="726" spans="2:13">
      <c r="B726" s="211"/>
      <c r="C726" s="197" t="s">
        <v>1930</v>
      </c>
      <c r="D726" s="198">
        <v>100007</v>
      </c>
      <c r="E726" s="198" t="s">
        <v>2839</v>
      </c>
      <c r="F726" s="221">
        <v>0</v>
      </c>
      <c r="G726" s="221"/>
      <c r="H726" s="221">
        <v>0</v>
      </c>
      <c r="I726" s="216">
        <v>71.75</v>
      </c>
      <c r="J726" s="201">
        <v>0</v>
      </c>
      <c r="K726" s="201">
        <v>1347167.9055999999</v>
      </c>
      <c r="L726" s="215"/>
      <c r="M726" s="194" t="s">
        <v>419</v>
      </c>
    </row>
    <row r="727" spans="2:13">
      <c r="B727" s="211"/>
      <c r="C727" s="197" t="s">
        <v>1816</v>
      </c>
      <c r="D727" s="198">
        <v>100007</v>
      </c>
      <c r="E727" s="198" t="s">
        <v>2840</v>
      </c>
      <c r="F727" s="221">
        <v>0</v>
      </c>
      <c r="G727" s="221"/>
      <c r="H727" s="221">
        <v>0</v>
      </c>
      <c r="I727" s="216">
        <v>71.75</v>
      </c>
      <c r="J727" s="201">
        <v>0</v>
      </c>
      <c r="K727" s="201"/>
      <c r="L727" s="215"/>
      <c r="M727" s="194" t="s">
        <v>514</v>
      </c>
    </row>
    <row r="728" spans="2:13">
      <c r="B728" s="211"/>
      <c r="C728" s="197" t="s">
        <v>1931</v>
      </c>
      <c r="D728" s="198">
        <v>100007</v>
      </c>
      <c r="E728" s="198" t="s">
        <v>1932</v>
      </c>
      <c r="F728" s="221">
        <v>42999.94</v>
      </c>
      <c r="G728" s="221"/>
      <c r="H728" s="221">
        <v>42999.94</v>
      </c>
      <c r="I728" s="216">
        <v>71.75</v>
      </c>
      <c r="J728" s="201">
        <v>3085245.6950000003</v>
      </c>
      <c r="K728" s="201">
        <v>2942055.8948000004</v>
      </c>
      <c r="L728" s="215"/>
      <c r="M728" s="194" t="s">
        <v>449</v>
      </c>
    </row>
    <row r="729" spans="2:13">
      <c r="B729" s="211"/>
      <c r="C729" s="197" t="s">
        <v>1797</v>
      </c>
      <c r="D729" s="198">
        <v>100007</v>
      </c>
      <c r="E729" s="198" t="s">
        <v>1933</v>
      </c>
      <c r="F729" s="221">
        <v>-1582983.3</v>
      </c>
      <c r="G729" s="221"/>
      <c r="H729" s="221">
        <v>-1582983.3</v>
      </c>
      <c r="I729" s="216">
        <v>71.75</v>
      </c>
      <c r="J729" s="201">
        <v>-113579051.77500001</v>
      </c>
      <c r="K729" s="201">
        <v>-111547864.16840002</v>
      </c>
      <c r="L729" s="215"/>
      <c r="M729" s="194" t="s">
        <v>410</v>
      </c>
    </row>
    <row r="730" spans="2:13">
      <c r="B730" s="211"/>
      <c r="C730" s="197" t="s">
        <v>1934</v>
      </c>
      <c r="D730" s="198">
        <v>100007</v>
      </c>
      <c r="E730" s="198" t="s">
        <v>2841</v>
      </c>
      <c r="F730" s="221">
        <v>-552625.6</v>
      </c>
      <c r="G730" s="221"/>
      <c r="H730" s="221">
        <v>-552625.6</v>
      </c>
      <c r="I730" s="216">
        <v>71.75</v>
      </c>
      <c r="J730" s="201">
        <v>-39650886.799999997</v>
      </c>
      <c r="K730" s="201">
        <v>-47113877.896800004</v>
      </c>
      <c r="L730" s="215"/>
      <c r="M730" s="194" t="s">
        <v>420</v>
      </c>
    </row>
    <row r="731" spans="2:13">
      <c r="B731" s="211"/>
      <c r="C731" s="197" t="s">
        <v>2802</v>
      </c>
      <c r="D731" s="198">
        <v>100007</v>
      </c>
      <c r="E731" s="198" t="s">
        <v>1935</v>
      </c>
      <c r="F731" s="221">
        <v>-408294.43000000005</v>
      </c>
      <c r="G731" s="221"/>
      <c r="H731" s="221">
        <v>-408294.43000000005</v>
      </c>
      <c r="I731" s="216">
        <v>71.75</v>
      </c>
      <c r="J731" s="201">
        <v>-29295125.352500003</v>
      </c>
      <c r="K731" s="201"/>
      <c r="L731" s="215"/>
      <c r="M731" s="194" t="s">
        <v>421</v>
      </c>
    </row>
    <row r="732" spans="2:13">
      <c r="B732" s="211"/>
      <c r="C732" s="197" t="s">
        <v>1936</v>
      </c>
      <c r="D732" s="198">
        <v>100007</v>
      </c>
      <c r="E732" s="198" t="s">
        <v>2842</v>
      </c>
      <c r="F732" s="221">
        <v>-5938.5099999999948</v>
      </c>
      <c r="G732" s="221"/>
      <c r="H732" s="221">
        <v>-5938.5099999999948</v>
      </c>
      <c r="I732" s="216">
        <v>71.75</v>
      </c>
      <c r="J732" s="201">
        <v>-426088.09249999962</v>
      </c>
      <c r="K732" s="201">
        <v>5421133.4914000016</v>
      </c>
      <c r="L732" s="215"/>
      <c r="M732" s="194" t="s">
        <v>515</v>
      </c>
    </row>
    <row r="733" spans="2:13">
      <c r="B733" s="211"/>
      <c r="C733" s="197" t="s">
        <v>1836</v>
      </c>
      <c r="D733" s="198">
        <v>100007</v>
      </c>
      <c r="E733" s="198" t="s">
        <v>1937</v>
      </c>
      <c r="F733" s="221">
        <v>-5144374.75</v>
      </c>
      <c r="G733" s="221"/>
      <c r="H733" s="221">
        <v>-5144374.75</v>
      </c>
      <c r="I733" s="216">
        <v>70.91</v>
      </c>
      <c r="J733" s="201">
        <v>-364787613.52249998</v>
      </c>
      <c r="K733" s="201">
        <v>-644561620.13349986</v>
      </c>
      <c r="L733" s="215"/>
      <c r="M733" s="194" t="s">
        <v>528</v>
      </c>
    </row>
    <row r="734" spans="2:13">
      <c r="B734" s="211"/>
      <c r="C734" s="197" t="s">
        <v>218</v>
      </c>
      <c r="D734" s="198">
        <v>100007</v>
      </c>
      <c r="E734" s="198" t="s">
        <v>1938</v>
      </c>
      <c r="F734" s="221">
        <v>-4760.72</v>
      </c>
      <c r="G734" s="221"/>
      <c r="H734" s="221">
        <v>-4760.72</v>
      </c>
      <c r="I734" s="216">
        <v>70.91</v>
      </c>
      <c r="J734" s="201">
        <v>-337582.65519999998</v>
      </c>
      <c r="K734" s="201">
        <v>-126932.29109999997</v>
      </c>
      <c r="L734" s="215"/>
      <c r="M734" s="194" t="s">
        <v>538</v>
      </c>
    </row>
    <row r="735" spans="2:13">
      <c r="B735" s="211"/>
      <c r="C735" s="197" t="s">
        <v>1939</v>
      </c>
      <c r="D735" s="198">
        <v>100007</v>
      </c>
      <c r="E735" s="198" t="s">
        <v>1940</v>
      </c>
      <c r="F735" s="221">
        <v>734210</v>
      </c>
      <c r="G735" s="221"/>
      <c r="H735" s="221">
        <v>734210</v>
      </c>
      <c r="I735" s="216">
        <v>68.42</v>
      </c>
      <c r="J735" s="201">
        <v>50234648.200000003</v>
      </c>
      <c r="K735" s="201">
        <v>60690005.913999997</v>
      </c>
      <c r="L735" s="215"/>
      <c r="M735" s="194" t="s">
        <v>543</v>
      </c>
    </row>
    <row r="736" spans="2:13">
      <c r="B736" s="211"/>
      <c r="C736" s="197" t="s">
        <v>1941</v>
      </c>
      <c r="D736" s="198">
        <v>100007</v>
      </c>
      <c r="E736" s="198" t="s">
        <v>1942</v>
      </c>
      <c r="F736" s="221">
        <v>702567</v>
      </c>
      <c r="G736" s="221"/>
      <c r="H736" s="221">
        <v>702567</v>
      </c>
      <c r="I736" s="216">
        <v>68.42</v>
      </c>
      <c r="J736" s="201">
        <v>48069634.140000001</v>
      </c>
      <c r="K736" s="201">
        <v>70184243.915199995</v>
      </c>
      <c r="L736" s="215"/>
      <c r="M736" s="194" t="s">
        <v>549</v>
      </c>
    </row>
    <row r="737" spans="2:13">
      <c r="B737" s="211"/>
      <c r="C737" s="197" t="s">
        <v>1943</v>
      </c>
      <c r="D737" s="198">
        <v>100007</v>
      </c>
      <c r="E737" s="198" t="s">
        <v>1944</v>
      </c>
      <c r="F737" s="221">
        <v>2813515.6200000006</v>
      </c>
      <c r="G737" s="221"/>
      <c r="H737" s="221">
        <v>2813515.6200000006</v>
      </c>
      <c r="I737" s="216">
        <v>72.570480310395439</v>
      </c>
      <c r="J737" s="201">
        <v>204178179.90420005</v>
      </c>
      <c r="K737" s="201">
        <v>263844925.73728773</v>
      </c>
      <c r="L737" s="215"/>
      <c r="M737" s="194" t="s">
        <v>544</v>
      </c>
    </row>
    <row r="738" spans="2:13">
      <c r="B738" s="211"/>
      <c r="C738" s="197" t="s">
        <v>1945</v>
      </c>
      <c r="D738" s="198">
        <v>100007</v>
      </c>
      <c r="E738" s="198" t="s">
        <v>1946</v>
      </c>
      <c r="F738" s="221">
        <v>0</v>
      </c>
      <c r="G738" s="221"/>
      <c r="H738" s="221">
        <v>0</v>
      </c>
      <c r="I738" s="216">
        <v>72.570480310395439</v>
      </c>
      <c r="J738" s="201">
        <v>0</v>
      </c>
      <c r="K738" s="201">
        <v>53393778.391093172</v>
      </c>
      <c r="L738" s="215"/>
      <c r="M738" s="194" t="s">
        <v>548</v>
      </c>
    </row>
    <row r="739" spans="2:13">
      <c r="B739" s="211"/>
      <c r="C739" s="197" t="s">
        <v>1947</v>
      </c>
      <c r="D739" s="198">
        <v>100007</v>
      </c>
      <c r="E739" s="198" t="s">
        <v>1948</v>
      </c>
      <c r="F739" s="221">
        <v>-608744</v>
      </c>
      <c r="G739" s="221"/>
      <c r="H739" s="221">
        <v>-608744</v>
      </c>
      <c r="I739" s="216">
        <v>71.75</v>
      </c>
      <c r="J739" s="201">
        <v>-43677382</v>
      </c>
      <c r="K739" s="201">
        <v>-50234648.200000003</v>
      </c>
      <c r="L739" s="215"/>
      <c r="M739" s="194" t="s">
        <v>547</v>
      </c>
    </row>
    <row r="740" spans="2:13">
      <c r="B740" s="211"/>
      <c r="C740" s="197" t="s">
        <v>1949</v>
      </c>
      <c r="D740" s="198">
        <v>100007</v>
      </c>
      <c r="E740" s="198" t="s">
        <v>1950</v>
      </c>
      <c r="F740" s="221">
        <v>-693890</v>
      </c>
      <c r="G740" s="221"/>
      <c r="H740" s="221">
        <v>-693890</v>
      </c>
      <c r="I740" s="216">
        <v>71.75</v>
      </c>
      <c r="J740" s="201">
        <v>-49786607.5</v>
      </c>
      <c r="K740" s="201">
        <v>-48069634.140000001</v>
      </c>
      <c r="L740" s="215"/>
      <c r="M740" s="194" t="s">
        <v>552</v>
      </c>
    </row>
    <row r="741" spans="2:13">
      <c r="B741" s="211"/>
      <c r="C741" s="197" t="s">
        <v>1951</v>
      </c>
      <c r="D741" s="198">
        <v>100007</v>
      </c>
      <c r="E741" s="198" t="s">
        <v>1944</v>
      </c>
      <c r="F741" s="221">
        <v>128049.85</v>
      </c>
      <c r="G741" s="221"/>
      <c r="H741" s="221">
        <v>128049.85</v>
      </c>
      <c r="I741" s="216">
        <v>70.91</v>
      </c>
      <c r="J741" s="201">
        <v>9080014.863499999</v>
      </c>
      <c r="K741" s="201">
        <v>14776734.455899997</v>
      </c>
      <c r="L741" s="215"/>
      <c r="M741" s="194" t="s">
        <v>544</v>
      </c>
    </row>
    <row r="742" spans="2:13">
      <c r="B742" s="211"/>
      <c r="C742" s="197" t="s">
        <v>1952</v>
      </c>
      <c r="D742" s="198">
        <v>100007</v>
      </c>
      <c r="E742" s="198" t="s">
        <v>1944</v>
      </c>
      <c r="F742" s="221">
        <v>0</v>
      </c>
      <c r="G742" s="221"/>
      <c r="H742" s="221">
        <v>0</v>
      </c>
      <c r="I742" s="216">
        <v>70.91</v>
      </c>
      <c r="J742" s="201">
        <v>0</v>
      </c>
      <c r="K742" s="201"/>
      <c r="L742" s="215"/>
      <c r="M742" s="194" t="s">
        <v>544</v>
      </c>
    </row>
    <row r="743" spans="2:13">
      <c r="B743" s="211"/>
      <c r="C743" s="197" t="s">
        <v>1953</v>
      </c>
      <c r="D743" s="198">
        <v>100007</v>
      </c>
      <c r="E743" s="198" t="s">
        <v>1954</v>
      </c>
      <c r="F743" s="221">
        <v>69262.31</v>
      </c>
      <c r="G743" s="221"/>
      <c r="H743" s="221">
        <v>69262.31</v>
      </c>
      <c r="I743" s="216">
        <v>70.91</v>
      </c>
      <c r="J743" s="201">
        <v>4911390.4020999996</v>
      </c>
      <c r="K743" s="201">
        <v>11647296.0276</v>
      </c>
      <c r="L743" s="215"/>
      <c r="M743" s="194" t="s">
        <v>613</v>
      </c>
    </row>
    <row r="744" spans="2:13">
      <c r="B744" s="211"/>
      <c r="C744" s="197" t="s">
        <v>1955</v>
      </c>
      <c r="D744" s="198">
        <v>100007</v>
      </c>
      <c r="E744" s="198" t="s">
        <v>1956</v>
      </c>
      <c r="F744" s="221">
        <v>9546.52</v>
      </c>
      <c r="G744" s="221"/>
      <c r="H744" s="221">
        <v>9546.52</v>
      </c>
      <c r="I744" s="216">
        <v>70.91</v>
      </c>
      <c r="J744" s="201">
        <v>676943.73320000002</v>
      </c>
      <c r="K744" s="201">
        <v>927113.71529999992</v>
      </c>
      <c r="L744" s="215"/>
      <c r="M744" s="194" t="s">
        <v>578</v>
      </c>
    </row>
    <row r="745" spans="2:13">
      <c r="B745" s="211"/>
      <c r="C745" s="197" t="s">
        <v>311</v>
      </c>
      <c r="D745" s="198">
        <v>100007</v>
      </c>
      <c r="E745" s="198" t="s">
        <v>1956</v>
      </c>
      <c r="F745" s="221">
        <v>9795.4699999999993</v>
      </c>
      <c r="G745" s="221"/>
      <c r="H745" s="221">
        <v>9795.4699999999993</v>
      </c>
      <c r="I745" s="216">
        <v>70.91</v>
      </c>
      <c r="J745" s="201">
        <v>694596.77769999998</v>
      </c>
      <c r="K745" s="201">
        <v>1007737.8402999999</v>
      </c>
      <c r="L745" s="215"/>
      <c r="M745" s="194" t="s">
        <v>578</v>
      </c>
    </row>
    <row r="746" spans="2:13">
      <c r="B746" s="211"/>
      <c r="C746" s="197" t="s">
        <v>1876</v>
      </c>
      <c r="D746" s="198">
        <v>100007</v>
      </c>
      <c r="E746" s="198" t="s">
        <v>1957</v>
      </c>
      <c r="F746" s="221">
        <v>90255.88</v>
      </c>
      <c r="G746" s="221"/>
      <c r="H746" s="221">
        <v>90255.88</v>
      </c>
      <c r="I746" s="216">
        <v>70.91</v>
      </c>
      <c r="J746" s="201">
        <v>6400044.4507999998</v>
      </c>
      <c r="K746" s="201">
        <v>28061370.858299997</v>
      </c>
      <c r="L746" s="215"/>
      <c r="M746" s="194" t="s">
        <v>608</v>
      </c>
    </row>
    <row r="747" spans="2:13">
      <c r="B747" s="211"/>
      <c r="C747" s="197" t="s">
        <v>1862</v>
      </c>
      <c r="D747" s="198">
        <v>100007</v>
      </c>
      <c r="E747" s="198" t="s">
        <v>1958</v>
      </c>
      <c r="F747" s="221">
        <v>19756.86</v>
      </c>
      <c r="G747" s="221"/>
      <c r="H747" s="221">
        <v>19756.86</v>
      </c>
      <c r="I747" s="216">
        <v>70.91</v>
      </c>
      <c r="J747" s="201">
        <v>1400958.9426</v>
      </c>
      <c r="K747" s="201">
        <v>2551789.6913999994</v>
      </c>
      <c r="L747" s="215"/>
      <c r="M747" s="194" t="s">
        <v>595</v>
      </c>
    </row>
    <row r="748" spans="2:13">
      <c r="B748" s="211"/>
      <c r="C748" s="197" t="s">
        <v>1880</v>
      </c>
      <c r="D748" s="198">
        <v>100007</v>
      </c>
      <c r="E748" s="198" t="s">
        <v>1959</v>
      </c>
      <c r="F748" s="221">
        <v>306041.88</v>
      </c>
      <c r="G748" s="221"/>
      <c r="H748" s="221">
        <v>306041.88</v>
      </c>
      <c r="I748" s="216">
        <v>70.91</v>
      </c>
      <c r="J748" s="201">
        <v>21701429.7108</v>
      </c>
      <c r="K748" s="201">
        <v>34899869.508699998</v>
      </c>
      <c r="L748" s="215"/>
      <c r="M748" s="194" t="s">
        <v>616</v>
      </c>
    </row>
    <row r="749" spans="2:13">
      <c r="B749" s="211"/>
      <c r="C749" s="197" t="s">
        <v>1858</v>
      </c>
      <c r="D749" s="198">
        <v>100007</v>
      </c>
      <c r="E749" s="198" t="s">
        <v>1960</v>
      </c>
      <c r="F749" s="221">
        <v>47234</v>
      </c>
      <c r="G749" s="221"/>
      <c r="H749" s="221">
        <v>47234</v>
      </c>
      <c r="I749" s="216">
        <v>70.91</v>
      </c>
      <c r="J749" s="201">
        <v>3349362.94</v>
      </c>
      <c r="K749" s="201">
        <v>5218343.0649999995</v>
      </c>
      <c r="L749" s="215"/>
      <c r="M749" s="194" t="s">
        <v>593</v>
      </c>
    </row>
    <row r="750" spans="2:13">
      <c r="B750" s="211"/>
      <c r="C750" s="197" t="s">
        <v>1856</v>
      </c>
      <c r="D750" s="198">
        <v>100007</v>
      </c>
      <c r="E750" s="198" t="s">
        <v>1961</v>
      </c>
      <c r="F750" s="221">
        <v>67512.11</v>
      </c>
      <c r="G750" s="221"/>
      <c r="H750" s="221">
        <v>67512.11</v>
      </c>
      <c r="I750" s="216">
        <v>70.91</v>
      </c>
      <c r="J750" s="201">
        <v>4787283.7200999996</v>
      </c>
      <c r="K750" s="201">
        <v>11146288.001099996</v>
      </c>
      <c r="L750" s="215"/>
      <c r="M750" s="194" t="s">
        <v>592</v>
      </c>
    </row>
    <row r="751" spans="2:13">
      <c r="B751" s="211"/>
      <c r="C751" s="197" t="s">
        <v>1644</v>
      </c>
      <c r="D751" s="198">
        <v>100007</v>
      </c>
      <c r="E751" s="198" t="s">
        <v>1962</v>
      </c>
      <c r="F751" s="221">
        <v>29566</v>
      </c>
      <c r="G751" s="221"/>
      <c r="H751" s="221">
        <v>29566</v>
      </c>
      <c r="I751" s="216">
        <v>70.91</v>
      </c>
      <c r="J751" s="201">
        <v>2096525.0599999998</v>
      </c>
      <c r="K751" s="201">
        <v>3071186.2352</v>
      </c>
      <c r="L751" s="215"/>
      <c r="M751" s="194" t="s">
        <v>603</v>
      </c>
    </row>
    <row r="752" spans="2:13">
      <c r="B752" s="211"/>
      <c r="C752" s="197" t="s">
        <v>1844</v>
      </c>
      <c r="D752" s="198">
        <v>100007</v>
      </c>
      <c r="E752" s="198" t="s">
        <v>1963</v>
      </c>
      <c r="F752" s="221">
        <v>1506331.97</v>
      </c>
      <c r="G752" s="221"/>
      <c r="H752" s="221">
        <v>1506331.97</v>
      </c>
      <c r="I752" s="216">
        <v>70.91</v>
      </c>
      <c r="J752" s="201">
        <v>106813999.9927</v>
      </c>
      <c r="K752" s="201">
        <v>167968061.39029998</v>
      </c>
      <c r="L752" s="215"/>
      <c r="M752" s="194" t="s">
        <v>555</v>
      </c>
    </row>
    <row r="753" spans="2:13">
      <c r="B753" s="211"/>
      <c r="C753" s="197" t="s">
        <v>1878</v>
      </c>
      <c r="D753" s="198">
        <v>100007</v>
      </c>
      <c r="E753" s="198" t="s">
        <v>1964</v>
      </c>
      <c r="F753" s="221">
        <v>40859</v>
      </c>
      <c r="G753" s="221"/>
      <c r="H753" s="221">
        <v>40859</v>
      </c>
      <c r="I753" s="216">
        <v>70.91</v>
      </c>
      <c r="J753" s="201">
        <v>2897311.69</v>
      </c>
      <c r="K753" s="201">
        <v>3082901.7948000003</v>
      </c>
      <c r="L753" s="215"/>
      <c r="M753" s="194" t="s">
        <v>614</v>
      </c>
    </row>
    <row r="754" spans="2:13">
      <c r="B754" s="211"/>
      <c r="C754" s="197" t="s">
        <v>1965</v>
      </c>
      <c r="D754" s="198">
        <v>100007</v>
      </c>
      <c r="E754" s="198" t="s">
        <v>1966</v>
      </c>
      <c r="F754" s="221">
        <v>17789.12</v>
      </c>
      <c r="G754" s="221"/>
      <c r="H754" s="221">
        <v>17789.12</v>
      </c>
      <c r="I754" s="216">
        <v>70.91</v>
      </c>
      <c r="J754" s="201">
        <v>1261426.4992</v>
      </c>
      <c r="K754" s="201">
        <v>2057847.0580999998</v>
      </c>
      <c r="L754" s="215"/>
      <c r="M754" s="194" t="s">
        <v>615</v>
      </c>
    </row>
    <row r="755" spans="2:13">
      <c r="B755" s="211"/>
      <c r="C755" s="197" t="s">
        <v>1866</v>
      </c>
      <c r="D755" s="198">
        <v>100007</v>
      </c>
      <c r="E755" s="198" t="s">
        <v>1967</v>
      </c>
      <c r="F755" s="221">
        <v>10064.129999999999</v>
      </c>
      <c r="G755" s="221"/>
      <c r="H755" s="221">
        <v>10064.129999999999</v>
      </c>
      <c r="I755" s="216">
        <v>70.91</v>
      </c>
      <c r="J755" s="201">
        <v>713647.45829999994</v>
      </c>
      <c r="K755" s="201">
        <v>1921870.1000999997</v>
      </c>
      <c r="L755" s="215"/>
      <c r="M755" s="194" t="s">
        <v>598</v>
      </c>
    </row>
    <row r="756" spans="2:13">
      <c r="B756" s="211"/>
      <c r="C756" s="197" t="s">
        <v>1868</v>
      </c>
      <c r="D756" s="198">
        <v>100007</v>
      </c>
      <c r="E756" s="198" t="s">
        <v>1968</v>
      </c>
      <c r="F756" s="221">
        <v>5196.25</v>
      </c>
      <c r="G756" s="221"/>
      <c r="H756" s="221">
        <v>5196.25</v>
      </c>
      <c r="I756" s="216">
        <v>70.91</v>
      </c>
      <c r="J756" s="201">
        <v>368466.08749999997</v>
      </c>
      <c r="K756" s="201">
        <v>784044.16559999995</v>
      </c>
      <c r="L756" s="215"/>
      <c r="M756" s="194" t="s">
        <v>599</v>
      </c>
    </row>
    <row r="757" spans="2:13">
      <c r="B757" s="211"/>
      <c r="C757" s="197" t="s">
        <v>1872</v>
      </c>
      <c r="D757" s="198">
        <v>100007</v>
      </c>
      <c r="E757" s="198" t="s">
        <v>1969</v>
      </c>
      <c r="F757" s="221">
        <v>18135</v>
      </c>
      <c r="G757" s="221"/>
      <c r="H757" s="221">
        <v>18135</v>
      </c>
      <c r="I757" s="216">
        <v>70.91</v>
      </c>
      <c r="J757" s="201">
        <v>1285952.8499999999</v>
      </c>
      <c r="K757" s="201">
        <v>1347149.4759999998</v>
      </c>
      <c r="L757" s="215"/>
      <c r="M757" s="194" t="s">
        <v>604</v>
      </c>
    </row>
    <row r="758" spans="2:13">
      <c r="B758" s="211"/>
      <c r="C758" s="197" t="s">
        <v>1526</v>
      </c>
      <c r="D758" s="198">
        <v>100007</v>
      </c>
      <c r="E758" s="198" t="s">
        <v>1970</v>
      </c>
      <c r="F758" s="221">
        <v>16422.810000000001</v>
      </c>
      <c r="G758" s="221"/>
      <c r="H758" s="221">
        <v>16422.810000000001</v>
      </c>
      <c r="I758" s="216">
        <v>70.91</v>
      </c>
      <c r="J758" s="201">
        <v>1164541.4571</v>
      </c>
      <c r="K758" s="201">
        <v>2779226.6568</v>
      </c>
      <c r="L758" s="215"/>
      <c r="M758" s="194" t="s">
        <v>602</v>
      </c>
    </row>
    <row r="759" spans="2:13">
      <c r="B759" s="211"/>
      <c r="C759" s="197" t="s">
        <v>654</v>
      </c>
      <c r="D759" s="198">
        <v>100007</v>
      </c>
      <c r="E759" s="198" t="s">
        <v>1971</v>
      </c>
      <c r="F759" s="221">
        <v>1212.04</v>
      </c>
      <c r="G759" s="221"/>
      <c r="H759" s="221">
        <v>1212.04</v>
      </c>
      <c r="I759" s="216">
        <v>70.91</v>
      </c>
      <c r="J759" s="201">
        <v>85945.756399999998</v>
      </c>
      <c r="K759" s="201">
        <v>117237.96859999999</v>
      </c>
      <c r="L759" s="215"/>
      <c r="M759" s="194" t="s">
        <v>607</v>
      </c>
    </row>
    <row r="760" spans="2:13">
      <c r="B760" s="211"/>
      <c r="C760" s="197" t="s">
        <v>1874</v>
      </c>
      <c r="D760" s="198">
        <v>100007</v>
      </c>
      <c r="E760" s="198" t="s">
        <v>1972</v>
      </c>
      <c r="F760" s="221">
        <v>51353.520000000004</v>
      </c>
      <c r="G760" s="221"/>
      <c r="H760" s="221">
        <v>51353.520000000004</v>
      </c>
      <c r="I760" s="216">
        <v>70.91</v>
      </c>
      <c r="J760" s="201">
        <v>3641478.1032000002</v>
      </c>
      <c r="K760" s="201">
        <v>5460767.9580999995</v>
      </c>
      <c r="L760" s="215"/>
      <c r="M760" s="194" t="s">
        <v>605</v>
      </c>
    </row>
    <row r="761" spans="2:13">
      <c r="B761" s="211"/>
      <c r="C761" s="197" t="s">
        <v>1973</v>
      </c>
      <c r="D761" s="198">
        <v>100007</v>
      </c>
      <c r="E761" s="198" t="s">
        <v>1974</v>
      </c>
      <c r="F761" s="221">
        <v>0</v>
      </c>
      <c r="G761" s="221"/>
      <c r="H761" s="221">
        <v>0</v>
      </c>
      <c r="I761" s="216">
        <v>70.91</v>
      </c>
      <c r="J761" s="201">
        <v>0</v>
      </c>
      <c r="K761" s="201">
        <v>2678645.0496</v>
      </c>
      <c r="L761" s="215"/>
      <c r="M761" s="194" t="s">
        <v>619</v>
      </c>
    </row>
    <row r="762" spans="2:13">
      <c r="B762" s="211"/>
      <c r="C762" s="197" t="s">
        <v>1882</v>
      </c>
      <c r="D762" s="198">
        <v>100007</v>
      </c>
      <c r="E762" s="198" t="s">
        <v>1974</v>
      </c>
      <c r="F762" s="221">
        <v>-1112.23</v>
      </c>
      <c r="G762" s="221"/>
      <c r="H762" s="221">
        <v>-1112.23</v>
      </c>
      <c r="I762" s="216">
        <v>70.91</v>
      </c>
      <c r="J762" s="201">
        <v>-78868.229299999992</v>
      </c>
      <c r="K762" s="201">
        <v>11552.368600000023</v>
      </c>
      <c r="L762" s="215"/>
      <c r="M762" s="194" t="s">
        <v>619</v>
      </c>
    </row>
    <row r="763" spans="2:13">
      <c r="B763" s="211"/>
      <c r="C763" s="197" t="s">
        <v>1975</v>
      </c>
      <c r="D763" s="198">
        <v>100007</v>
      </c>
      <c r="E763" s="198" t="s">
        <v>1976</v>
      </c>
      <c r="F763" s="221">
        <v>141718.82999999999</v>
      </c>
      <c r="G763" s="221"/>
      <c r="H763" s="221">
        <v>141718.82999999999</v>
      </c>
      <c r="I763" s="216">
        <v>70.91</v>
      </c>
      <c r="J763" s="201">
        <v>10049282.235299999</v>
      </c>
      <c r="K763" s="201">
        <v>16407802.079499999</v>
      </c>
      <c r="L763" s="215"/>
      <c r="M763" s="194" t="s">
        <v>596</v>
      </c>
    </row>
    <row r="764" spans="2:13">
      <c r="B764" s="211"/>
      <c r="C764" s="197" t="s">
        <v>1860</v>
      </c>
      <c r="D764" s="198">
        <v>100007</v>
      </c>
      <c r="E764" s="198" t="s">
        <v>1977</v>
      </c>
      <c r="F764" s="221">
        <v>63598.850000000006</v>
      </c>
      <c r="G764" s="221"/>
      <c r="H764" s="221">
        <v>63598.850000000006</v>
      </c>
      <c r="I764" s="216">
        <v>70.91</v>
      </c>
      <c r="J764" s="201">
        <v>4509794.4534999998</v>
      </c>
      <c r="K764" s="201">
        <v>3617931.2592999991</v>
      </c>
      <c r="L764" s="215"/>
      <c r="M764" s="194" t="s">
        <v>594</v>
      </c>
    </row>
    <row r="765" spans="2:13">
      <c r="B765" s="211"/>
      <c r="C765" s="197" t="s">
        <v>2239</v>
      </c>
      <c r="D765" s="198">
        <v>100007</v>
      </c>
      <c r="E765" s="198" t="s">
        <v>2843</v>
      </c>
      <c r="F765" s="221">
        <v>18000</v>
      </c>
      <c r="G765" s="221"/>
      <c r="H765" s="221">
        <v>18000</v>
      </c>
      <c r="I765" s="216">
        <v>70.91</v>
      </c>
      <c r="J765" s="201">
        <v>1276380</v>
      </c>
      <c r="K765" s="201"/>
      <c r="L765" s="215"/>
      <c r="M765" s="194" t="s">
        <v>571</v>
      </c>
    </row>
    <row r="766" spans="2:13">
      <c r="B766" s="211"/>
      <c r="C766" s="197" t="s">
        <v>1978</v>
      </c>
      <c r="D766" s="198">
        <v>100007</v>
      </c>
      <c r="E766" s="198" t="s">
        <v>1968</v>
      </c>
      <c r="F766" s="221">
        <v>17151</v>
      </c>
      <c r="G766" s="221"/>
      <c r="H766" s="221">
        <v>17151</v>
      </c>
      <c r="I766" s="216">
        <v>70.91</v>
      </c>
      <c r="J766" s="201">
        <v>1216177.4099999999</v>
      </c>
      <c r="K766" s="201">
        <v>1819422.6757999999</v>
      </c>
      <c r="L766" s="215"/>
      <c r="M766" s="194" t="s">
        <v>599</v>
      </c>
    </row>
    <row r="767" spans="2:13" ht="15">
      <c r="B767" s="211"/>
      <c r="C767" s="197" t="s">
        <v>1979</v>
      </c>
      <c r="D767" s="198">
        <v>100007</v>
      </c>
      <c r="E767" s="198" t="s">
        <v>1974</v>
      </c>
      <c r="F767" s="221">
        <v>29771.69</v>
      </c>
      <c r="G767" s="221"/>
      <c r="H767" s="221">
        <v>29771.69</v>
      </c>
      <c r="I767" s="223">
        <v>70.91</v>
      </c>
      <c r="J767" s="201">
        <v>2111110.5378999999</v>
      </c>
      <c r="K767" s="201">
        <v>3364740.4227999998</v>
      </c>
      <c r="L767" s="215"/>
      <c r="M767" s="194" t="s">
        <v>619</v>
      </c>
    </row>
    <row r="768" spans="2:13">
      <c r="B768" s="211"/>
      <c r="C768" s="197" t="s">
        <v>1852</v>
      </c>
      <c r="D768" s="198">
        <v>100007</v>
      </c>
      <c r="E768" s="198" t="s">
        <v>1963</v>
      </c>
      <c r="F768" s="221">
        <v>27746.45</v>
      </c>
      <c r="G768" s="221"/>
      <c r="H768" s="221">
        <v>27746.45</v>
      </c>
      <c r="I768" s="216">
        <v>70.91</v>
      </c>
      <c r="J768" s="201">
        <v>1967500.7694999999</v>
      </c>
      <c r="K768" s="201">
        <v>2887773.5389999999</v>
      </c>
      <c r="L768" s="215"/>
      <c r="M768" s="194" t="s">
        <v>555</v>
      </c>
    </row>
    <row r="769" spans="1:13">
      <c r="B769" s="211"/>
      <c r="C769" s="197" t="s">
        <v>1980</v>
      </c>
      <c r="D769" s="198">
        <v>100007</v>
      </c>
      <c r="E769" s="198" t="s">
        <v>1974</v>
      </c>
      <c r="F769" s="221">
        <v>1306.5999999999999</v>
      </c>
      <c r="G769" s="221"/>
      <c r="H769" s="221">
        <v>1306.5999999999999</v>
      </c>
      <c r="I769" s="216">
        <v>70.91</v>
      </c>
      <c r="J769" s="201">
        <v>92651.005999999994</v>
      </c>
      <c r="K769" s="201">
        <v>142991.83969999998</v>
      </c>
      <c r="L769" s="215"/>
      <c r="M769" s="194" t="s">
        <v>619</v>
      </c>
    </row>
    <row r="770" spans="1:13">
      <c r="B770" s="211"/>
      <c r="C770" s="197" t="s">
        <v>1848</v>
      </c>
      <c r="D770" s="198">
        <v>100007</v>
      </c>
      <c r="E770" s="198" t="s">
        <v>1981</v>
      </c>
      <c r="F770" s="221">
        <v>21720.63</v>
      </c>
      <c r="G770" s="221"/>
      <c r="H770" s="221">
        <v>21720.63</v>
      </c>
      <c r="I770" s="216">
        <v>70.91</v>
      </c>
      <c r="J770" s="201">
        <v>1540209.8733000001</v>
      </c>
      <c r="K770" s="201">
        <v>2665683.7986999997</v>
      </c>
      <c r="L770" s="215"/>
      <c r="M770" s="194" t="s">
        <v>568</v>
      </c>
    </row>
    <row r="771" spans="1:13">
      <c r="B771" s="211"/>
      <c r="C771" s="197" t="s">
        <v>1485</v>
      </c>
      <c r="D771" s="198">
        <v>100007</v>
      </c>
      <c r="E771" s="198" t="s">
        <v>1982</v>
      </c>
      <c r="F771" s="221">
        <v>33207.020000000004</v>
      </c>
      <c r="G771" s="221"/>
      <c r="H771" s="221">
        <v>33207.020000000004</v>
      </c>
      <c r="I771" s="216">
        <v>70.91</v>
      </c>
      <c r="J771" s="201">
        <v>2354709.7882000003</v>
      </c>
      <c r="K771" s="201">
        <v>3343812.3426999999</v>
      </c>
      <c r="L771" s="215"/>
      <c r="M771" s="194" t="s">
        <v>362</v>
      </c>
    </row>
    <row r="772" spans="1:13">
      <c r="B772" s="211"/>
      <c r="C772" s="197" t="s">
        <v>1983</v>
      </c>
      <c r="D772" s="198">
        <v>100007</v>
      </c>
      <c r="E772" s="198" t="s">
        <v>1984</v>
      </c>
      <c r="F772" s="221"/>
      <c r="G772" s="221"/>
      <c r="H772" s="221">
        <v>0</v>
      </c>
      <c r="I772" s="216"/>
      <c r="J772" s="201">
        <v>-14767872.66</v>
      </c>
      <c r="K772" s="201">
        <v>-17865213.631668698</v>
      </c>
      <c r="L772" s="215"/>
      <c r="M772" s="194" t="s">
        <v>379</v>
      </c>
    </row>
    <row r="773" spans="1:13">
      <c r="B773" s="211"/>
      <c r="C773" s="197"/>
      <c r="D773" s="198">
        <v>100007</v>
      </c>
      <c r="E773" s="198" t="s">
        <v>1985</v>
      </c>
      <c r="F773" s="221"/>
      <c r="G773" s="221"/>
      <c r="H773" s="221">
        <v>0</v>
      </c>
      <c r="I773" s="216"/>
      <c r="J773" s="201">
        <v>0</v>
      </c>
      <c r="K773" s="201"/>
      <c r="L773" s="215"/>
      <c r="M773" s="194" t="s">
        <v>378</v>
      </c>
    </row>
    <row r="774" spans="1:13">
      <c r="B774" s="211"/>
      <c r="C774" s="197"/>
      <c r="D774" s="198">
        <v>100007</v>
      </c>
      <c r="E774" s="198" t="s">
        <v>1986</v>
      </c>
      <c r="F774" s="221"/>
      <c r="G774" s="221"/>
      <c r="H774" s="221">
        <v>0</v>
      </c>
      <c r="I774" s="216"/>
      <c r="J774" s="201">
        <v>0</v>
      </c>
      <c r="K774" s="201"/>
      <c r="L774" s="215"/>
      <c r="M774" s="194"/>
    </row>
    <row r="775" spans="1:13">
      <c r="B775" s="211"/>
      <c r="C775" s="197"/>
      <c r="D775" s="198">
        <v>100007</v>
      </c>
      <c r="E775" s="198" t="s">
        <v>1986</v>
      </c>
      <c r="F775" s="221"/>
      <c r="G775" s="221"/>
      <c r="H775" s="221">
        <v>0</v>
      </c>
      <c r="I775" s="216"/>
      <c r="J775" s="201">
        <v>0</v>
      </c>
      <c r="K775" s="201"/>
      <c r="L775" s="215"/>
      <c r="M775" s="194"/>
    </row>
    <row r="776" spans="1:13">
      <c r="B776" s="211"/>
      <c r="C776" s="197"/>
      <c r="D776" s="198">
        <v>100007</v>
      </c>
      <c r="E776" s="198" t="s">
        <v>1986</v>
      </c>
      <c r="F776" s="221"/>
      <c r="G776" s="221"/>
      <c r="H776" s="221">
        <v>0</v>
      </c>
      <c r="I776" s="216"/>
      <c r="J776" s="201">
        <v>0</v>
      </c>
      <c r="K776" s="201"/>
      <c r="L776" s="215"/>
      <c r="M776" s="194"/>
    </row>
    <row r="777" spans="1:13">
      <c r="B777" s="211"/>
      <c r="C777" s="197"/>
      <c r="D777" s="198">
        <v>100007</v>
      </c>
      <c r="E777" s="198" t="s">
        <v>1986</v>
      </c>
      <c r="F777" s="221"/>
      <c r="G777" s="221"/>
      <c r="H777" s="221">
        <v>0</v>
      </c>
      <c r="I777" s="216"/>
      <c r="J777" s="201"/>
      <c r="K777" s="201"/>
      <c r="L777" s="215"/>
      <c r="M777" s="194"/>
    </row>
    <row r="778" spans="1:13">
      <c r="B778" s="211"/>
      <c r="C778" s="262"/>
      <c r="D778" s="262"/>
      <c r="E778" s="262"/>
      <c r="F778" s="330">
        <v>0</v>
      </c>
      <c r="G778" s="330"/>
      <c r="H778" s="330">
        <v>0</v>
      </c>
      <c r="I778" s="330"/>
      <c r="J778" s="263">
        <v>0</v>
      </c>
      <c r="K778" s="263">
        <v>0</v>
      </c>
      <c r="L778" s="246"/>
      <c r="M778" s="194"/>
    </row>
    <row r="779" spans="1:13">
      <c r="B779" s="211"/>
      <c r="C779" s="208"/>
      <c r="D779" s="208"/>
      <c r="E779" s="208"/>
      <c r="F779" s="244"/>
      <c r="G779" s="244"/>
      <c r="H779" s="244"/>
      <c r="I779" s="244"/>
      <c r="J779" s="245"/>
      <c r="K779" s="245"/>
      <c r="L779" s="215"/>
      <c r="M779" s="194"/>
    </row>
    <row r="780" spans="1:13" ht="13.5" thickBot="1">
      <c r="B780" s="266"/>
      <c r="C780" s="267"/>
      <c r="D780" s="267"/>
      <c r="E780" s="267"/>
      <c r="F780" s="268"/>
      <c r="G780" s="268"/>
      <c r="H780" s="268"/>
      <c r="I780" s="268"/>
      <c r="J780" s="269"/>
      <c r="K780" s="269"/>
      <c r="L780" s="280"/>
      <c r="M780" s="194"/>
    </row>
    <row r="781" spans="1:13" s="284" customFormat="1" ht="14.25" thickTop="1" thickBot="1">
      <c r="A781" s="283"/>
      <c r="F781" s="285"/>
      <c r="G781" s="285"/>
      <c r="H781" s="285"/>
      <c r="I781" s="285"/>
      <c r="J781" s="286"/>
      <c r="K781" s="286"/>
      <c r="M781" s="212"/>
    </row>
    <row r="782" spans="1:13" ht="13.5" thickTop="1">
      <c r="B782" s="238"/>
      <c r="C782" s="239"/>
      <c r="D782" s="239"/>
      <c r="E782" s="239"/>
      <c r="F782" s="240"/>
      <c r="G782" s="240"/>
      <c r="H782" s="240"/>
      <c r="I782" s="240"/>
      <c r="J782" s="241"/>
      <c r="K782" s="241"/>
      <c r="L782" s="271"/>
      <c r="M782" s="194"/>
    </row>
    <row r="783" spans="1:13">
      <c r="B783" s="211"/>
      <c r="C783" s="208" t="s">
        <v>632</v>
      </c>
      <c r="D783" s="208"/>
      <c r="E783" s="243"/>
      <c r="F783" s="243">
        <v>100008</v>
      </c>
      <c r="G783" s="244"/>
      <c r="H783" s="243">
        <v>100008</v>
      </c>
      <c r="I783" s="244"/>
      <c r="J783" s="245"/>
      <c r="K783" s="245">
        <v>100008</v>
      </c>
      <c r="L783" s="215"/>
      <c r="M783" s="194"/>
    </row>
    <row r="784" spans="1:13" s="210" customFormat="1">
      <c r="A784" s="196"/>
      <c r="B784" s="247"/>
      <c r="C784" s="248" t="s">
        <v>2</v>
      </c>
      <c r="D784" s="248"/>
      <c r="E784" s="193"/>
      <c r="F784" s="193" t="s">
        <v>767</v>
      </c>
      <c r="G784" s="249"/>
      <c r="H784" s="193" t="s">
        <v>767</v>
      </c>
      <c r="I784" s="249"/>
      <c r="J784" s="250"/>
      <c r="K784" s="251" t="s">
        <v>767</v>
      </c>
      <c r="L784" s="281"/>
    </row>
    <row r="785" spans="1:13">
      <c r="A785" s="237">
        <v>100008</v>
      </c>
      <c r="B785" s="211"/>
      <c r="C785" s="208" t="s">
        <v>634</v>
      </c>
      <c r="D785" s="208"/>
      <c r="E785" s="253"/>
      <c r="F785" s="253" t="s">
        <v>1012</v>
      </c>
      <c r="G785" s="244"/>
      <c r="H785" s="253" t="s">
        <v>1012</v>
      </c>
      <c r="I785" s="244"/>
      <c r="J785" s="255" t="s">
        <v>2833</v>
      </c>
      <c r="K785" s="245" t="s">
        <v>1012</v>
      </c>
      <c r="L785" s="215"/>
      <c r="M785" s="194"/>
    </row>
    <row r="786" spans="1:13">
      <c r="B786" s="211"/>
      <c r="C786" s="208"/>
      <c r="D786" s="208"/>
      <c r="E786" s="208"/>
      <c r="F786" s="254">
        <v>0</v>
      </c>
      <c r="G786" s="244"/>
      <c r="H786" s="244"/>
      <c r="I786" s="253"/>
      <c r="J786" s="254">
        <v>0</v>
      </c>
      <c r="K786" s="255" t="s">
        <v>1021</v>
      </c>
      <c r="L786" s="215"/>
      <c r="M786" s="194"/>
    </row>
    <row r="787" spans="1:13" ht="25.5">
      <c r="B787" s="211"/>
      <c r="C787" s="256" t="s">
        <v>3</v>
      </c>
      <c r="D787" s="256" t="s">
        <v>1</v>
      </c>
      <c r="E787" s="256" t="s">
        <v>635</v>
      </c>
      <c r="F787" s="257" t="s">
        <v>1987</v>
      </c>
      <c r="G787" s="257" t="s">
        <v>636</v>
      </c>
      <c r="H787" s="257" t="s">
        <v>1987</v>
      </c>
      <c r="I787" s="282" t="s">
        <v>637</v>
      </c>
      <c r="J787" s="259" t="s">
        <v>638</v>
      </c>
      <c r="K787" s="259" t="s">
        <v>638</v>
      </c>
      <c r="L787" s="203"/>
      <c r="M787" s="194"/>
    </row>
    <row r="788" spans="1:13">
      <c r="B788" s="211"/>
      <c r="C788" s="197" t="s">
        <v>1988</v>
      </c>
      <c r="D788" s="198">
        <v>100008</v>
      </c>
      <c r="E788" s="198" t="s">
        <v>1989</v>
      </c>
      <c r="F788" s="199">
        <v>18457.73</v>
      </c>
      <c r="G788" s="199"/>
      <c r="H788" s="199">
        <v>18457.73</v>
      </c>
      <c r="I788" s="216">
        <v>48.25</v>
      </c>
      <c r="J788" s="201">
        <v>890585.47250000003</v>
      </c>
      <c r="K788" s="332">
        <v>869912.8149</v>
      </c>
      <c r="L788" s="215"/>
      <c r="M788" s="194" t="s">
        <v>357</v>
      </c>
    </row>
    <row r="789" spans="1:13">
      <c r="B789" s="211"/>
      <c r="C789" s="197" t="s">
        <v>2803</v>
      </c>
      <c r="D789" s="198">
        <v>100008</v>
      </c>
      <c r="E789" s="198" t="s">
        <v>1989</v>
      </c>
      <c r="F789" s="199">
        <v>0</v>
      </c>
      <c r="G789" s="199"/>
      <c r="H789" s="199">
        <v>0</v>
      </c>
      <c r="I789" s="216">
        <v>0</v>
      </c>
      <c r="J789" s="201">
        <v>0</v>
      </c>
      <c r="K789" s="201">
        <v>0</v>
      </c>
      <c r="L789" s="215"/>
      <c r="M789" s="194" t="s">
        <v>357</v>
      </c>
    </row>
    <row r="790" spans="1:13">
      <c r="B790" s="211"/>
      <c r="C790" s="197" t="s">
        <v>1990</v>
      </c>
      <c r="D790" s="198">
        <v>100008</v>
      </c>
      <c r="E790" s="198" t="s">
        <v>1989</v>
      </c>
      <c r="F790" s="199">
        <v>-10243.74</v>
      </c>
      <c r="G790" s="199"/>
      <c r="H790" s="199">
        <v>-10243.74</v>
      </c>
      <c r="I790" s="216">
        <v>48.25</v>
      </c>
      <c r="J790" s="201">
        <v>-494260.45500000002</v>
      </c>
      <c r="K790" s="201">
        <v>-375756.65010000003</v>
      </c>
      <c r="L790" s="215"/>
      <c r="M790" s="194" t="s">
        <v>357</v>
      </c>
    </row>
    <row r="791" spans="1:13">
      <c r="B791" s="211"/>
      <c r="C791" s="197" t="s">
        <v>1991</v>
      </c>
      <c r="D791" s="198">
        <v>100008</v>
      </c>
      <c r="E791" s="198" t="s">
        <v>1989</v>
      </c>
      <c r="F791" s="199">
        <v>81495.17</v>
      </c>
      <c r="G791" s="199"/>
      <c r="H791" s="199">
        <v>81495.17</v>
      </c>
      <c r="I791" s="216">
        <v>48.25</v>
      </c>
      <c r="J791" s="201">
        <v>3932141.9525000001</v>
      </c>
      <c r="K791" s="201">
        <v>4872324.3788999999</v>
      </c>
      <c r="L791" s="215"/>
      <c r="M791" s="194" t="s">
        <v>357</v>
      </c>
    </row>
    <row r="792" spans="1:13">
      <c r="B792" s="211"/>
      <c r="C792" s="197" t="s">
        <v>1992</v>
      </c>
      <c r="D792" s="198">
        <v>100008</v>
      </c>
      <c r="E792" s="198" t="s">
        <v>1989</v>
      </c>
      <c r="F792" s="199">
        <v>-28347.51</v>
      </c>
      <c r="G792" s="199"/>
      <c r="H792" s="199">
        <v>-28347.51</v>
      </c>
      <c r="I792" s="216">
        <v>48.25</v>
      </c>
      <c r="J792" s="201">
        <v>-1367767.3574999999</v>
      </c>
      <c r="K792" s="201">
        <v>-1147845.0231000001</v>
      </c>
      <c r="L792" s="215"/>
      <c r="M792" s="194" t="s">
        <v>357</v>
      </c>
    </row>
    <row r="793" spans="1:13">
      <c r="B793" s="211"/>
      <c r="C793" s="197" t="s">
        <v>1993</v>
      </c>
      <c r="D793" s="198">
        <v>100008</v>
      </c>
      <c r="E793" s="198" t="s">
        <v>1994</v>
      </c>
      <c r="F793" s="199">
        <v>957.24</v>
      </c>
      <c r="G793" s="199"/>
      <c r="H793" s="199">
        <v>957.24</v>
      </c>
      <c r="I793" s="216">
        <v>48.25</v>
      </c>
      <c r="J793" s="201">
        <v>46186.83</v>
      </c>
      <c r="K793" s="201">
        <v>45114.7212</v>
      </c>
      <c r="L793" s="215"/>
      <c r="M793" s="194" t="s">
        <v>435</v>
      </c>
    </row>
    <row r="794" spans="1:13">
      <c r="B794" s="211"/>
      <c r="C794" s="197" t="s">
        <v>1995</v>
      </c>
      <c r="D794" s="198">
        <v>100008</v>
      </c>
      <c r="E794" s="198" t="s">
        <v>1996</v>
      </c>
      <c r="F794" s="199">
        <v>383580.72</v>
      </c>
      <c r="G794" s="199"/>
      <c r="H794" s="199">
        <v>383580.72</v>
      </c>
      <c r="I794" s="216">
        <v>48.25</v>
      </c>
      <c r="J794" s="201">
        <v>18507769.739999998</v>
      </c>
      <c r="K794" s="206">
        <v>24784292.217900001</v>
      </c>
      <c r="L794" s="215"/>
      <c r="M794" s="194" t="s">
        <v>479</v>
      </c>
    </row>
    <row r="795" spans="1:13">
      <c r="B795" s="211"/>
      <c r="C795" s="197" t="s">
        <v>2804</v>
      </c>
      <c r="D795" s="198">
        <v>100008</v>
      </c>
      <c r="E795" s="198" t="s">
        <v>2844</v>
      </c>
      <c r="F795" s="199">
        <v>0</v>
      </c>
      <c r="G795" s="199"/>
      <c r="H795" s="199">
        <v>0</v>
      </c>
      <c r="I795" s="216">
        <v>0</v>
      </c>
      <c r="J795" s="201">
        <v>0</v>
      </c>
      <c r="K795" s="201">
        <v>0</v>
      </c>
      <c r="L795" s="215"/>
      <c r="M795" s="194" t="s">
        <v>480</v>
      </c>
    </row>
    <row r="796" spans="1:13">
      <c r="B796" s="211"/>
      <c r="C796" s="197"/>
      <c r="D796" s="198">
        <v>100008</v>
      </c>
      <c r="E796" s="198" t="s">
        <v>2100</v>
      </c>
      <c r="F796" s="199">
        <v>0</v>
      </c>
      <c r="G796" s="199"/>
      <c r="H796" s="199">
        <v>0</v>
      </c>
      <c r="I796" s="216"/>
      <c r="J796" s="201">
        <v>0</v>
      </c>
      <c r="K796" s="201">
        <v>0</v>
      </c>
      <c r="L796" s="215"/>
      <c r="M796" s="194"/>
    </row>
    <row r="797" spans="1:13">
      <c r="B797" s="211"/>
      <c r="C797" s="197" t="s">
        <v>1997</v>
      </c>
      <c r="D797" s="198">
        <v>100008</v>
      </c>
      <c r="E797" s="198" t="s">
        <v>1998</v>
      </c>
      <c r="F797" s="199">
        <v>38266.81</v>
      </c>
      <c r="G797" s="199"/>
      <c r="H797" s="199">
        <v>38266.81</v>
      </c>
      <c r="I797" s="216">
        <v>48.25</v>
      </c>
      <c r="J797" s="201">
        <v>1846373.5824999998</v>
      </c>
      <c r="K797" s="201">
        <v>4116937.4640000002</v>
      </c>
      <c r="L797" s="215"/>
      <c r="M797" s="194" t="s">
        <v>496</v>
      </c>
    </row>
    <row r="798" spans="1:13">
      <c r="B798" s="211"/>
      <c r="C798" s="197" t="s">
        <v>2805</v>
      </c>
      <c r="D798" s="198">
        <v>100008</v>
      </c>
      <c r="E798" s="198" t="s">
        <v>2845</v>
      </c>
      <c r="F798" s="199">
        <v>0</v>
      </c>
      <c r="G798" s="199"/>
      <c r="H798" s="199">
        <v>0</v>
      </c>
      <c r="I798" s="216">
        <v>0</v>
      </c>
      <c r="J798" s="201">
        <v>0</v>
      </c>
      <c r="K798" s="201">
        <v>0</v>
      </c>
      <c r="L798" s="215"/>
      <c r="M798" s="194" t="s">
        <v>488</v>
      </c>
    </row>
    <row r="799" spans="1:13">
      <c r="B799" s="211"/>
      <c r="C799" s="197" t="s">
        <v>1999</v>
      </c>
      <c r="D799" s="198">
        <v>100008</v>
      </c>
      <c r="E799" s="198" t="s">
        <v>2000</v>
      </c>
      <c r="F799" s="199">
        <v>156829.39000000001</v>
      </c>
      <c r="G799" s="199"/>
      <c r="H799" s="199">
        <v>156829.39000000001</v>
      </c>
      <c r="I799" s="216">
        <v>48.25</v>
      </c>
      <c r="J799" s="201">
        <v>7567018.0675000008</v>
      </c>
      <c r="K799" s="201">
        <v>8285819.2575000003</v>
      </c>
      <c r="L799" s="215"/>
      <c r="M799" s="194" t="s">
        <v>484</v>
      </c>
    </row>
    <row r="800" spans="1:13">
      <c r="B800" s="211"/>
      <c r="C800" s="197" t="s">
        <v>2001</v>
      </c>
      <c r="D800" s="198">
        <v>100008</v>
      </c>
      <c r="E800" s="198" t="s">
        <v>2002</v>
      </c>
      <c r="F800" s="199">
        <v>-4712.7299999999996</v>
      </c>
      <c r="G800" s="199"/>
      <c r="H800" s="199">
        <v>-4712.7299999999996</v>
      </c>
      <c r="I800" s="216">
        <v>48.25</v>
      </c>
      <c r="J800" s="201">
        <v>-227389.22249999997</v>
      </c>
      <c r="K800" s="201">
        <v>-215558.0097</v>
      </c>
      <c r="L800" s="215"/>
      <c r="M800" s="194" t="s">
        <v>419</v>
      </c>
    </row>
    <row r="801" spans="2:13">
      <c r="B801" s="211"/>
      <c r="C801" s="197" t="s">
        <v>2003</v>
      </c>
      <c r="D801" s="198">
        <v>100008</v>
      </c>
      <c r="E801" s="198" t="s">
        <v>2004</v>
      </c>
      <c r="F801" s="199">
        <v>1180.32</v>
      </c>
      <c r="G801" s="199"/>
      <c r="H801" s="199">
        <v>1180.32</v>
      </c>
      <c r="I801" s="216">
        <v>48.25</v>
      </c>
      <c r="J801" s="201">
        <v>56950.439999999995</v>
      </c>
      <c r="K801" s="201">
        <v>56620.568099999997</v>
      </c>
      <c r="L801" s="215"/>
      <c r="M801" s="194" t="s">
        <v>424</v>
      </c>
    </row>
    <row r="802" spans="2:13">
      <c r="B802" s="211"/>
      <c r="C802" s="197" t="s">
        <v>2005</v>
      </c>
      <c r="D802" s="198">
        <v>100008</v>
      </c>
      <c r="E802" s="198" t="s">
        <v>2004</v>
      </c>
      <c r="F802" s="199">
        <v>-4356.63</v>
      </c>
      <c r="G802" s="199"/>
      <c r="H802" s="199">
        <v>-4356.63</v>
      </c>
      <c r="I802" s="216">
        <v>48.25</v>
      </c>
      <c r="J802" s="201">
        <v>-210207.39749999999</v>
      </c>
      <c r="K802" s="201">
        <v>-655258.28729999997</v>
      </c>
      <c r="L802" s="215"/>
      <c r="M802" s="194" t="s">
        <v>424</v>
      </c>
    </row>
    <row r="803" spans="2:13">
      <c r="B803" s="211"/>
      <c r="C803" s="197" t="s">
        <v>2006</v>
      </c>
      <c r="D803" s="198">
        <v>100008</v>
      </c>
      <c r="E803" s="198" t="s">
        <v>2004</v>
      </c>
      <c r="F803" s="199">
        <v>0</v>
      </c>
      <c r="G803" s="199"/>
      <c r="H803" s="199">
        <v>0</v>
      </c>
      <c r="I803" s="216">
        <v>0</v>
      </c>
      <c r="J803" s="201">
        <v>0</v>
      </c>
      <c r="K803" s="201">
        <v>-515507.94</v>
      </c>
      <c r="L803" s="215"/>
      <c r="M803" s="194" t="s">
        <v>424</v>
      </c>
    </row>
    <row r="804" spans="2:13">
      <c r="B804" s="211"/>
      <c r="C804" s="197" t="s">
        <v>2806</v>
      </c>
      <c r="D804" s="198">
        <v>100008</v>
      </c>
      <c r="E804" s="198" t="s">
        <v>2004</v>
      </c>
      <c r="F804" s="199">
        <v>0</v>
      </c>
      <c r="G804" s="199"/>
      <c r="H804" s="199">
        <v>0</v>
      </c>
      <c r="I804" s="216">
        <v>0</v>
      </c>
      <c r="J804" s="201">
        <v>0</v>
      </c>
      <c r="K804" s="201">
        <v>0</v>
      </c>
      <c r="L804" s="215"/>
      <c r="M804" s="194" t="s">
        <v>424</v>
      </c>
    </row>
    <row r="805" spans="2:13">
      <c r="B805" s="211"/>
      <c r="C805" s="197" t="s">
        <v>2007</v>
      </c>
      <c r="D805" s="198">
        <v>100008</v>
      </c>
      <c r="E805" s="198" t="s">
        <v>2008</v>
      </c>
      <c r="F805" s="199">
        <v>-9700</v>
      </c>
      <c r="G805" s="199"/>
      <c r="H805" s="199">
        <v>-9700</v>
      </c>
      <c r="I805" s="216">
        <v>48.25</v>
      </c>
      <c r="J805" s="201">
        <v>-468025</v>
      </c>
      <c r="K805" s="201">
        <v>-708128.25</v>
      </c>
      <c r="L805" s="215"/>
      <c r="M805" s="194" t="s">
        <v>420</v>
      </c>
    </row>
    <row r="806" spans="2:13">
      <c r="B806" s="211"/>
      <c r="C806" s="197" t="s">
        <v>2009</v>
      </c>
      <c r="D806" s="198">
        <v>100008</v>
      </c>
      <c r="E806" s="198" t="s">
        <v>2010</v>
      </c>
      <c r="F806" s="199">
        <v>-134802.07999999999</v>
      </c>
      <c r="G806" s="199"/>
      <c r="H806" s="199">
        <v>-134802.07999999999</v>
      </c>
      <c r="I806" s="216">
        <v>48.25</v>
      </c>
      <c r="J806" s="201">
        <v>-6504200.3599999994</v>
      </c>
      <c r="K806" s="201">
        <v>-2745656.1804</v>
      </c>
      <c r="L806" s="215"/>
      <c r="M806" s="194" t="s">
        <v>413</v>
      </c>
    </row>
    <row r="807" spans="2:13">
      <c r="B807" s="211"/>
      <c r="C807" s="197" t="s">
        <v>2011</v>
      </c>
      <c r="D807" s="198">
        <v>100008</v>
      </c>
      <c r="E807" s="198" t="s">
        <v>2012</v>
      </c>
      <c r="F807" s="199">
        <v>-876768.69</v>
      </c>
      <c r="G807" s="199"/>
      <c r="H807" s="199">
        <v>-876768.69</v>
      </c>
      <c r="I807" s="216">
        <v>48.25</v>
      </c>
      <c r="J807" s="201">
        <v>-42304089.292499997</v>
      </c>
      <c r="K807" s="201">
        <v>-35929572.938100003</v>
      </c>
      <c r="L807" s="215"/>
      <c r="M807" s="194" t="s">
        <v>410</v>
      </c>
    </row>
    <row r="808" spans="2:13">
      <c r="B808" s="211"/>
      <c r="C808" s="197" t="s">
        <v>2499</v>
      </c>
      <c r="D808" s="198">
        <v>100008</v>
      </c>
      <c r="E808" s="198" t="s">
        <v>2012</v>
      </c>
      <c r="F808" s="199">
        <v>0</v>
      </c>
      <c r="G808" s="199"/>
      <c r="H808" s="199">
        <v>0</v>
      </c>
      <c r="I808" s="216">
        <v>0</v>
      </c>
      <c r="J808" s="201">
        <v>0</v>
      </c>
      <c r="K808" s="201">
        <v>0</v>
      </c>
      <c r="L808" s="215"/>
      <c r="M808" s="194" t="s">
        <v>410</v>
      </c>
    </row>
    <row r="809" spans="2:13">
      <c r="B809" s="211"/>
      <c r="C809" s="197" t="s">
        <v>2807</v>
      </c>
      <c r="D809" s="198">
        <v>100008</v>
      </c>
      <c r="E809" s="198" t="s">
        <v>2012</v>
      </c>
      <c r="F809" s="199">
        <v>0</v>
      </c>
      <c r="G809" s="199"/>
      <c r="H809" s="199">
        <v>0</v>
      </c>
      <c r="I809" s="216">
        <v>0</v>
      </c>
      <c r="J809" s="201">
        <v>0</v>
      </c>
      <c r="K809" s="201">
        <v>0</v>
      </c>
      <c r="L809" s="215"/>
      <c r="M809" s="194" t="s">
        <v>410</v>
      </c>
    </row>
    <row r="810" spans="2:13">
      <c r="B810" s="211"/>
      <c r="C810" s="197" t="s">
        <v>2808</v>
      </c>
      <c r="D810" s="198">
        <v>100008</v>
      </c>
      <c r="E810" s="198" t="s">
        <v>2012</v>
      </c>
      <c r="F810" s="199">
        <v>0</v>
      </c>
      <c r="G810" s="199"/>
      <c r="H810" s="199">
        <v>0</v>
      </c>
      <c r="I810" s="216">
        <v>0</v>
      </c>
      <c r="J810" s="201">
        <v>0</v>
      </c>
      <c r="K810" s="201">
        <v>0</v>
      </c>
      <c r="L810" s="215"/>
      <c r="M810" s="194" t="s">
        <v>410</v>
      </c>
    </row>
    <row r="811" spans="2:13">
      <c r="B811" s="211"/>
      <c r="C811" s="197" t="s">
        <v>2809</v>
      </c>
      <c r="D811" s="198">
        <v>100008</v>
      </c>
      <c r="E811" s="198" t="s">
        <v>2012</v>
      </c>
      <c r="F811" s="199">
        <v>0</v>
      </c>
      <c r="G811" s="199"/>
      <c r="H811" s="199">
        <v>0</v>
      </c>
      <c r="I811" s="216">
        <v>0</v>
      </c>
      <c r="J811" s="201">
        <v>0</v>
      </c>
      <c r="K811" s="201">
        <v>0</v>
      </c>
      <c r="L811" s="215"/>
      <c r="M811" s="194" t="s">
        <v>410</v>
      </c>
    </row>
    <row r="812" spans="2:13">
      <c r="B812" s="211"/>
      <c r="C812" s="197" t="s">
        <v>2810</v>
      </c>
      <c r="D812" s="198">
        <v>100008</v>
      </c>
      <c r="E812" s="198" t="s">
        <v>2014</v>
      </c>
      <c r="F812" s="199">
        <v>0</v>
      </c>
      <c r="G812" s="199"/>
      <c r="H812" s="199">
        <v>0</v>
      </c>
      <c r="I812" s="216">
        <v>0</v>
      </c>
      <c r="J812" s="201">
        <v>0</v>
      </c>
      <c r="K812" s="201">
        <v>0</v>
      </c>
      <c r="L812" s="215"/>
      <c r="M812" s="194" t="s">
        <v>421</v>
      </c>
    </row>
    <row r="813" spans="2:13">
      <c r="B813" s="211"/>
      <c r="C813" s="197" t="s">
        <v>2013</v>
      </c>
      <c r="D813" s="198">
        <v>100008</v>
      </c>
      <c r="E813" s="198" t="s">
        <v>2014</v>
      </c>
      <c r="F813" s="199">
        <v>-11757.19</v>
      </c>
      <c r="G813" s="199"/>
      <c r="H813" s="199">
        <v>-11757.19</v>
      </c>
      <c r="I813" s="216">
        <v>48.249999999999993</v>
      </c>
      <c r="J813" s="201">
        <v>-567284.41749999998</v>
      </c>
      <c r="K813" s="201">
        <v>-684099.9621</v>
      </c>
      <c r="L813" s="215"/>
      <c r="M813" s="194" t="s">
        <v>421</v>
      </c>
    </row>
    <row r="814" spans="2:13">
      <c r="B814" s="211"/>
      <c r="C814" s="197" t="s">
        <v>2015</v>
      </c>
      <c r="D814" s="198">
        <v>100008</v>
      </c>
      <c r="E814" s="198" t="s">
        <v>2014</v>
      </c>
      <c r="F814" s="199">
        <v>-11030</v>
      </c>
      <c r="G814" s="199"/>
      <c r="H814" s="199">
        <v>-11030</v>
      </c>
      <c r="I814" s="216">
        <v>48.25</v>
      </c>
      <c r="J814" s="201">
        <v>-532197.5</v>
      </c>
      <c r="K814" s="201">
        <v>-519843.9</v>
      </c>
      <c r="L814" s="215"/>
      <c r="M814" s="194" t="s">
        <v>421</v>
      </c>
    </row>
    <row r="815" spans="2:13">
      <c r="B815" s="211"/>
      <c r="C815" s="197" t="s">
        <v>2016</v>
      </c>
      <c r="D815" s="198">
        <v>100008</v>
      </c>
      <c r="E815" s="198" t="s">
        <v>1989</v>
      </c>
      <c r="F815" s="199">
        <v>2188.09</v>
      </c>
      <c r="G815" s="199"/>
      <c r="H815" s="199">
        <v>2188.09</v>
      </c>
      <c r="I815" s="216">
        <v>48.25</v>
      </c>
      <c r="J815" s="201">
        <v>105575.34250000001</v>
      </c>
      <c r="K815" s="201">
        <v>103124.6817</v>
      </c>
      <c r="L815" s="215"/>
      <c r="M815" s="194" t="s">
        <v>357</v>
      </c>
    </row>
    <row r="816" spans="2:13">
      <c r="B816" s="211"/>
      <c r="C816" s="197" t="s">
        <v>2017</v>
      </c>
      <c r="D816" s="198">
        <v>100008</v>
      </c>
      <c r="E816" s="198" t="s">
        <v>1989</v>
      </c>
      <c r="F816" s="199">
        <v>-1599.7</v>
      </c>
      <c r="G816" s="199"/>
      <c r="H816" s="199">
        <v>-1599.7</v>
      </c>
      <c r="I816" s="216">
        <v>48.250000000000007</v>
      </c>
      <c r="J816" s="201">
        <v>-77185.525000000009</v>
      </c>
      <c r="K816" s="201">
        <v>-49612.808400000002</v>
      </c>
      <c r="L816" s="215"/>
      <c r="M816" s="194" t="s">
        <v>357</v>
      </c>
    </row>
    <row r="817" spans="2:13">
      <c r="B817" s="211"/>
      <c r="C817" s="197" t="s">
        <v>2018</v>
      </c>
      <c r="D817" s="198">
        <v>100008</v>
      </c>
      <c r="E817" s="198" t="s">
        <v>2019</v>
      </c>
      <c r="F817" s="199">
        <v>13200</v>
      </c>
      <c r="G817" s="199"/>
      <c r="H817" s="199">
        <v>13200</v>
      </c>
      <c r="I817" s="216">
        <v>48.25</v>
      </c>
      <c r="J817" s="201">
        <v>636900</v>
      </c>
      <c r="K817" s="201">
        <v>622116</v>
      </c>
      <c r="L817" s="215"/>
      <c r="M817" s="194" t="s">
        <v>449</v>
      </c>
    </row>
    <row r="818" spans="2:13">
      <c r="B818" s="211"/>
      <c r="C818" s="197" t="s">
        <v>2470</v>
      </c>
      <c r="D818" s="198">
        <v>100008</v>
      </c>
      <c r="E818" s="198" t="s">
        <v>2008</v>
      </c>
      <c r="F818" s="199">
        <v>0</v>
      </c>
      <c r="G818" s="199"/>
      <c r="H818" s="199">
        <v>0</v>
      </c>
      <c r="I818" s="216">
        <v>0</v>
      </c>
      <c r="J818" s="201">
        <v>0</v>
      </c>
      <c r="K818" s="201">
        <v>0</v>
      </c>
      <c r="L818" s="215"/>
      <c r="M818" s="194" t="s">
        <v>420</v>
      </c>
    </row>
    <row r="819" spans="2:13">
      <c r="B819" s="211"/>
      <c r="C819" s="197" t="s">
        <v>2485</v>
      </c>
      <c r="D819" s="198">
        <v>100008</v>
      </c>
      <c r="E819" s="198" t="s">
        <v>2020</v>
      </c>
      <c r="F819" s="199">
        <v>440</v>
      </c>
      <c r="G819" s="199"/>
      <c r="H819" s="199">
        <v>440</v>
      </c>
      <c r="I819" s="216">
        <v>48.25</v>
      </c>
      <c r="J819" s="201">
        <v>21230</v>
      </c>
      <c r="K819" s="201">
        <v>203168.00399999999</v>
      </c>
      <c r="L819" s="215"/>
      <c r="M819" s="194" t="s">
        <v>510</v>
      </c>
    </row>
    <row r="820" spans="2:13">
      <c r="B820" s="211"/>
      <c r="C820" s="197" t="s">
        <v>2021</v>
      </c>
      <c r="D820" s="198">
        <v>100008</v>
      </c>
      <c r="E820" s="198" t="s">
        <v>2022</v>
      </c>
      <c r="F820" s="199">
        <v>-100</v>
      </c>
      <c r="G820" s="199"/>
      <c r="H820" s="199">
        <v>-100</v>
      </c>
      <c r="I820" s="216">
        <v>55.03</v>
      </c>
      <c r="J820" s="201">
        <v>-5503</v>
      </c>
      <c r="K820" s="201">
        <v>-5503</v>
      </c>
      <c r="L820" s="215"/>
      <c r="M820" s="194" t="s">
        <v>365</v>
      </c>
    </row>
    <row r="821" spans="2:13">
      <c r="B821" s="211"/>
      <c r="C821" s="197" t="s">
        <v>2023</v>
      </c>
      <c r="D821" s="198">
        <v>100008</v>
      </c>
      <c r="E821" s="198" t="s">
        <v>2024</v>
      </c>
      <c r="F821" s="199">
        <v>2032637.7</v>
      </c>
      <c r="G821" s="199"/>
      <c r="H821" s="199">
        <v>2032637.7</v>
      </c>
      <c r="I821" s="216">
        <v>54.445113932711124</v>
      </c>
      <c r="J821" s="201">
        <v>110667191.16042389</v>
      </c>
      <c r="K821" s="201">
        <v>62557308.816297203</v>
      </c>
      <c r="L821" s="215"/>
      <c r="M821" s="194" t="s">
        <v>380</v>
      </c>
    </row>
    <row r="822" spans="2:13">
      <c r="B822" s="211"/>
      <c r="C822" s="197" t="s">
        <v>2025</v>
      </c>
      <c r="D822" s="198">
        <v>100008</v>
      </c>
      <c r="E822" s="198" t="s">
        <v>2026</v>
      </c>
      <c r="F822" s="199">
        <v>-2091292</v>
      </c>
      <c r="G822" s="199"/>
      <c r="H822" s="199">
        <v>-2091292</v>
      </c>
      <c r="I822" s="216">
        <v>48.25</v>
      </c>
      <c r="J822" s="201">
        <v>-100904839</v>
      </c>
      <c r="K822" s="201">
        <v>-96206091.959999993</v>
      </c>
      <c r="L822" s="215"/>
      <c r="M822" s="194" t="s">
        <v>405</v>
      </c>
    </row>
    <row r="823" spans="2:13">
      <c r="B823" s="211"/>
      <c r="C823" s="197" t="s">
        <v>2811</v>
      </c>
      <c r="D823" s="198">
        <v>100008</v>
      </c>
      <c r="E823" s="198" t="s">
        <v>2846</v>
      </c>
      <c r="F823" s="199">
        <v>0</v>
      </c>
      <c r="G823" s="199"/>
      <c r="H823" s="199">
        <v>0</v>
      </c>
      <c r="I823" s="216">
        <v>0</v>
      </c>
      <c r="J823" s="201">
        <v>0</v>
      </c>
      <c r="K823" s="201">
        <v>0</v>
      </c>
      <c r="L823" s="215"/>
      <c r="M823" s="194" t="s">
        <v>443</v>
      </c>
    </row>
    <row r="824" spans="2:13">
      <c r="B824" s="211"/>
      <c r="C824" s="197" t="s">
        <v>2812</v>
      </c>
      <c r="D824" s="198">
        <v>100008</v>
      </c>
      <c r="E824" s="198" t="s">
        <v>2028</v>
      </c>
      <c r="F824" s="199">
        <v>0</v>
      </c>
      <c r="G824" s="199"/>
      <c r="H824" s="199">
        <v>0</v>
      </c>
      <c r="I824" s="216">
        <v>0</v>
      </c>
      <c r="J824" s="201">
        <v>0</v>
      </c>
      <c r="K824" s="201">
        <v>0</v>
      </c>
      <c r="L824" s="215"/>
      <c r="M824" s="194" t="s">
        <v>528</v>
      </c>
    </row>
    <row r="825" spans="2:13">
      <c r="B825" s="211"/>
      <c r="C825" s="197" t="s">
        <v>2027</v>
      </c>
      <c r="D825" s="198">
        <v>100008</v>
      </c>
      <c r="E825" s="198" t="s">
        <v>2028</v>
      </c>
      <c r="F825" s="199">
        <v>-437293.25</v>
      </c>
      <c r="G825" s="199"/>
      <c r="H825" s="199">
        <v>-437293.25</v>
      </c>
      <c r="I825" s="216">
        <v>47.614444444444445</v>
      </c>
      <c r="J825" s="201">
        <v>-20821475.158055555</v>
      </c>
      <c r="K825" s="201">
        <v>-35406797.365199998</v>
      </c>
      <c r="L825" s="215"/>
      <c r="M825" s="194" t="s">
        <v>528</v>
      </c>
    </row>
    <row r="826" spans="2:13">
      <c r="B826" s="211"/>
      <c r="C826" s="197" t="s">
        <v>2029</v>
      </c>
      <c r="D826" s="198">
        <v>100008</v>
      </c>
      <c r="E826" s="198" t="s">
        <v>2028</v>
      </c>
      <c r="F826" s="199">
        <v>-322858.92</v>
      </c>
      <c r="G826" s="199"/>
      <c r="H826" s="199">
        <v>-322858.92</v>
      </c>
      <c r="I826" s="216">
        <v>47.614444444444445</v>
      </c>
      <c r="J826" s="201">
        <v>-15372748.109733332</v>
      </c>
      <c r="K826" s="201">
        <v>-6242844.6072000004</v>
      </c>
      <c r="L826" s="215"/>
      <c r="M826" s="194" t="s">
        <v>528</v>
      </c>
    </row>
    <row r="827" spans="2:13">
      <c r="B827" s="211"/>
      <c r="C827" s="197" t="s">
        <v>2030</v>
      </c>
      <c r="D827" s="198">
        <v>100008</v>
      </c>
      <c r="E827" s="198" t="s">
        <v>2031</v>
      </c>
      <c r="F827" s="199">
        <v>-1205.3599999999999</v>
      </c>
      <c r="G827" s="199"/>
      <c r="H827" s="199">
        <v>-1205.3599999999999</v>
      </c>
      <c r="I827" s="216">
        <v>47.614444444444445</v>
      </c>
      <c r="J827" s="201">
        <v>-57392.546755555551</v>
      </c>
      <c r="K827" s="201">
        <v>-404625.46679999999</v>
      </c>
      <c r="L827" s="215"/>
      <c r="M827" s="194" t="s">
        <v>530</v>
      </c>
    </row>
    <row r="828" spans="2:13">
      <c r="B828" s="211"/>
      <c r="C828" s="197" t="s">
        <v>2032</v>
      </c>
      <c r="D828" s="198">
        <v>100008</v>
      </c>
      <c r="E828" s="198" t="s">
        <v>2033</v>
      </c>
      <c r="F828" s="199">
        <v>0</v>
      </c>
      <c r="G828" s="199"/>
      <c r="H828" s="199">
        <v>0</v>
      </c>
      <c r="I828" s="216">
        <v>0</v>
      </c>
      <c r="J828" s="201">
        <v>0</v>
      </c>
      <c r="K828" s="201">
        <v>-150.50280000000001</v>
      </c>
      <c r="L828" s="215"/>
      <c r="M828" s="194" t="s">
        <v>531</v>
      </c>
    </row>
    <row r="829" spans="2:13">
      <c r="B829" s="211"/>
      <c r="C829" s="197" t="s">
        <v>2508</v>
      </c>
      <c r="D829" s="198">
        <v>100008</v>
      </c>
      <c r="E829" s="198" t="s">
        <v>2035</v>
      </c>
      <c r="F829" s="199">
        <v>0</v>
      </c>
      <c r="G829" s="199"/>
      <c r="H829" s="199">
        <v>0</v>
      </c>
      <c r="I829" s="216">
        <v>0</v>
      </c>
      <c r="J829" s="201">
        <v>0</v>
      </c>
      <c r="K829" s="201">
        <v>0</v>
      </c>
      <c r="L829" s="215"/>
      <c r="M829" s="194" t="s">
        <v>548</v>
      </c>
    </row>
    <row r="830" spans="2:13">
      <c r="B830" s="211"/>
      <c r="C830" s="197" t="s">
        <v>2813</v>
      </c>
      <c r="D830" s="198">
        <v>100008</v>
      </c>
      <c r="E830" s="198" t="s">
        <v>2035</v>
      </c>
      <c r="F830" s="199">
        <v>0</v>
      </c>
      <c r="G830" s="199"/>
      <c r="H830" s="199">
        <v>0</v>
      </c>
      <c r="I830" s="216">
        <v>0</v>
      </c>
      <c r="J830" s="201">
        <v>0</v>
      </c>
      <c r="K830" s="201">
        <v>0</v>
      </c>
      <c r="L830" s="215"/>
      <c r="M830" s="194" t="s">
        <v>548</v>
      </c>
    </row>
    <row r="831" spans="2:13">
      <c r="B831" s="211"/>
      <c r="C831" s="197" t="s">
        <v>2510</v>
      </c>
      <c r="D831" s="198">
        <v>100008</v>
      </c>
      <c r="E831" s="198" t="s">
        <v>2035</v>
      </c>
      <c r="F831" s="199">
        <v>0</v>
      </c>
      <c r="G831" s="199"/>
      <c r="H831" s="199">
        <v>0</v>
      </c>
      <c r="I831" s="216">
        <v>0</v>
      </c>
      <c r="J831" s="201">
        <v>0</v>
      </c>
      <c r="K831" s="201">
        <v>0</v>
      </c>
      <c r="L831" s="215"/>
      <c r="M831" s="194" t="s">
        <v>548</v>
      </c>
    </row>
    <row r="832" spans="2:13">
      <c r="B832" s="211"/>
      <c r="C832" s="197"/>
      <c r="D832" s="198">
        <v>100008</v>
      </c>
      <c r="E832" s="198" t="s">
        <v>2100</v>
      </c>
      <c r="F832" s="199">
        <v>0</v>
      </c>
      <c r="G832" s="199"/>
      <c r="H832" s="199">
        <v>0</v>
      </c>
      <c r="I832" s="216"/>
      <c r="J832" s="201">
        <v>0</v>
      </c>
      <c r="K832" s="201"/>
      <c r="L832" s="215"/>
      <c r="M832" s="194"/>
    </row>
    <row r="833" spans="2:13">
      <c r="B833" s="211"/>
      <c r="C833" s="197" t="s">
        <v>2034</v>
      </c>
      <c r="D833" s="198">
        <v>100008</v>
      </c>
      <c r="E833" s="198" t="s">
        <v>2035</v>
      </c>
      <c r="F833" s="199">
        <v>406192.08</v>
      </c>
      <c r="G833" s="199"/>
      <c r="H833" s="199">
        <v>406192.08</v>
      </c>
      <c r="I833" s="216">
        <v>48.690600136397968</v>
      </c>
      <c r="J833" s="201">
        <v>19777736.145851776</v>
      </c>
      <c r="K833" s="201">
        <v>21954865.316197298</v>
      </c>
      <c r="L833" s="215"/>
      <c r="M833" s="194" t="s">
        <v>548</v>
      </c>
    </row>
    <row r="834" spans="2:13">
      <c r="B834" s="211"/>
      <c r="C834" s="197" t="s">
        <v>2036</v>
      </c>
      <c r="D834" s="198">
        <v>100008</v>
      </c>
      <c r="E834" s="198" t="s">
        <v>2035</v>
      </c>
      <c r="F834" s="199">
        <v>57069.94</v>
      </c>
      <c r="G834" s="199"/>
      <c r="H834" s="199">
        <v>57069.94</v>
      </c>
      <c r="I834" s="216">
        <v>48.690600136397968</v>
      </c>
      <c r="J834" s="201">
        <v>2778769.6283482239</v>
      </c>
      <c r="K834" s="201">
        <v>2236940.5479380898</v>
      </c>
      <c r="L834" s="215"/>
      <c r="M834" s="194" t="s">
        <v>548</v>
      </c>
    </row>
    <row r="835" spans="2:13">
      <c r="B835" s="211"/>
      <c r="C835" s="197" t="s">
        <v>2037</v>
      </c>
      <c r="D835" s="198">
        <v>100008</v>
      </c>
      <c r="E835" s="198" t="s">
        <v>2038</v>
      </c>
      <c r="F835" s="199">
        <v>525870.82999999996</v>
      </c>
      <c r="G835" s="199"/>
      <c r="H835" s="199">
        <v>525870.82999999996</v>
      </c>
      <c r="I835" s="216">
        <v>47.13</v>
      </c>
      <c r="J835" s="201">
        <v>24784292.217900001</v>
      </c>
      <c r="K835" s="201">
        <v>32556590.353491299</v>
      </c>
      <c r="L835" s="215"/>
      <c r="M835" s="194" t="s">
        <v>551</v>
      </c>
    </row>
    <row r="836" spans="2:13">
      <c r="B836" s="211"/>
      <c r="C836" s="197" t="s">
        <v>1995</v>
      </c>
      <c r="D836" s="198">
        <v>100008</v>
      </c>
      <c r="E836" s="198" t="s">
        <v>2039</v>
      </c>
      <c r="F836" s="199">
        <v>-383580.72</v>
      </c>
      <c r="G836" s="199"/>
      <c r="H836" s="199">
        <v>-383580.72</v>
      </c>
      <c r="I836" s="216">
        <v>48.25</v>
      </c>
      <c r="J836" s="201">
        <v>-18507769.739999998</v>
      </c>
      <c r="K836" s="201">
        <v>-24784292.217900001</v>
      </c>
      <c r="L836" s="215"/>
      <c r="M836" s="194" t="s">
        <v>554</v>
      </c>
    </row>
    <row r="837" spans="2:13">
      <c r="B837" s="211"/>
      <c r="C837" s="197"/>
      <c r="D837" s="198">
        <v>100008</v>
      </c>
      <c r="E837" s="198" t="s">
        <v>2100</v>
      </c>
      <c r="F837" s="199">
        <v>0</v>
      </c>
      <c r="G837" s="199"/>
      <c r="H837" s="199">
        <v>0</v>
      </c>
      <c r="I837" s="216"/>
      <c r="J837" s="201">
        <v>0</v>
      </c>
      <c r="K837" s="201"/>
      <c r="L837" s="215"/>
      <c r="M837" s="194"/>
    </row>
    <row r="838" spans="2:13">
      <c r="B838" s="211"/>
      <c r="C838" s="197" t="s">
        <v>2040</v>
      </c>
      <c r="D838" s="198">
        <v>100008</v>
      </c>
      <c r="E838" s="198" t="s">
        <v>2041</v>
      </c>
      <c r="F838" s="199">
        <v>297934.44</v>
      </c>
      <c r="G838" s="199"/>
      <c r="H838" s="199">
        <v>297934.44</v>
      </c>
      <c r="I838" s="216">
        <v>47.614444444444445</v>
      </c>
      <c r="J838" s="201">
        <v>14185982.841466667</v>
      </c>
      <c r="K838" s="201">
        <v>27364937.727600001</v>
      </c>
      <c r="L838" s="215"/>
      <c r="M838" s="194" t="s">
        <v>555</v>
      </c>
    </row>
    <row r="839" spans="2:13">
      <c r="B839" s="211"/>
      <c r="C839" s="197" t="s">
        <v>2042</v>
      </c>
      <c r="D839" s="198">
        <v>100008</v>
      </c>
      <c r="E839" s="198" t="s">
        <v>2043</v>
      </c>
      <c r="F839" s="199">
        <v>0</v>
      </c>
      <c r="G839" s="199"/>
      <c r="H839" s="199">
        <v>0</v>
      </c>
      <c r="I839" s="216">
        <v>0</v>
      </c>
      <c r="J839" s="201">
        <v>0</v>
      </c>
      <c r="K839" s="201">
        <v>1255426.1856</v>
      </c>
      <c r="L839" s="215"/>
      <c r="M839" s="194" t="s">
        <v>559</v>
      </c>
    </row>
    <row r="840" spans="2:13">
      <c r="B840" s="211"/>
      <c r="C840" s="197" t="s">
        <v>2044</v>
      </c>
      <c r="D840" s="198">
        <v>100008</v>
      </c>
      <c r="E840" s="198" t="s">
        <v>2045</v>
      </c>
      <c r="F840" s="199">
        <v>25991.15</v>
      </c>
      <c r="G840" s="199"/>
      <c r="H840" s="199">
        <v>25991.15</v>
      </c>
      <c r="I840" s="216">
        <v>47.614444444444452</v>
      </c>
      <c r="J840" s="201">
        <v>1237554.1677222224</v>
      </c>
      <c r="K840" s="201">
        <v>2551553.6771999998</v>
      </c>
      <c r="L840" s="215"/>
      <c r="M840" s="194" t="s">
        <v>560</v>
      </c>
    </row>
    <row r="841" spans="2:13">
      <c r="B841" s="211"/>
      <c r="C841" s="197" t="s">
        <v>2518</v>
      </c>
      <c r="D841" s="198">
        <v>100008</v>
      </c>
      <c r="E841" s="198" t="s">
        <v>2847</v>
      </c>
      <c r="F841" s="199">
        <v>72.73</v>
      </c>
      <c r="G841" s="199"/>
      <c r="H841" s="199">
        <v>72.73</v>
      </c>
      <c r="I841" s="216">
        <v>47.614444444444445</v>
      </c>
      <c r="J841" s="201">
        <v>3462.9985444444446</v>
      </c>
      <c r="K841" s="201">
        <v>0</v>
      </c>
      <c r="L841" s="215"/>
      <c r="M841" s="194" t="s">
        <v>564</v>
      </c>
    </row>
    <row r="842" spans="2:13">
      <c r="B842" s="211"/>
      <c r="C842" s="197" t="s">
        <v>2046</v>
      </c>
      <c r="D842" s="198">
        <v>100008</v>
      </c>
      <c r="E842" s="198" t="s">
        <v>2047</v>
      </c>
      <c r="F842" s="199">
        <v>8.3000000000000007</v>
      </c>
      <c r="G842" s="199"/>
      <c r="H842" s="199">
        <v>8.3000000000000007</v>
      </c>
      <c r="I842" s="216">
        <v>47.614444444444445</v>
      </c>
      <c r="J842" s="201">
        <v>395.19988888888895</v>
      </c>
      <c r="K842" s="201">
        <v>48369.082799999996</v>
      </c>
      <c r="L842" s="215"/>
      <c r="M842" s="194" t="s">
        <v>600</v>
      </c>
    </row>
    <row r="843" spans="2:13">
      <c r="B843" s="211"/>
      <c r="C843" s="197" t="s">
        <v>2048</v>
      </c>
      <c r="D843" s="198">
        <v>100008</v>
      </c>
      <c r="E843" s="198" t="s">
        <v>2049</v>
      </c>
      <c r="F843" s="199">
        <v>1301.44</v>
      </c>
      <c r="G843" s="199"/>
      <c r="H843" s="199">
        <v>1301.44</v>
      </c>
      <c r="I843" s="216">
        <v>47.614444444444445</v>
      </c>
      <c r="J843" s="201">
        <v>61967.342577777781</v>
      </c>
      <c r="K843" s="201">
        <v>91742.2068</v>
      </c>
      <c r="L843" s="215"/>
      <c r="M843" s="194" t="s">
        <v>595</v>
      </c>
    </row>
    <row r="844" spans="2:13">
      <c r="B844" s="211"/>
      <c r="C844" s="197" t="s">
        <v>2050</v>
      </c>
      <c r="D844" s="198">
        <v>100008</v>
      </c>
      <c r="E844" s="198" t="s">
        <v>2051</v>
      </c>
      <c r="F844" s="199">
        <v>40762.6</v>
      </c>
      <c r="G844" s="199"/>
      <c r="H844" s="199">
        <v>40762.6</v>
      </c>
      <c r="I844" s="216">
        <v>47.614444444444445</v>
      </c>
      <c r="J844" s="201">
        <v>1940888.553111111</v>
      </c>
      <c r="K844" s="201">
        <v>2518209.1787999999</v>
      </c>
      <c r="L844" s="215"/>
      <c r="M844" s="194" t="s">
        <v>596</v>
      </c>
    </row>
    <row r="845" spans="2:13">
      <c r="B845" s="211"/>
      <c r="C845" s="197" t="s">
        <v>2052</v>
      </c>
      <c r="D845" s="198">
        <v>100008</v>
      </c>
      <c r="E845" s="198" t="s">
        <v>2053</v>
      </c>
      <c r="F845" s="199">
        <v>4250.07</v>
      </c>
      <c r="G845" s="199"/>
      <c r="H845" s="199">
        <v>4250.07</v>
      </c>
      <c r="I845" s="216">
        <v>47.614444444444445</v>
      </c>
      <c r="J845" s="201">
        <v>202364.72189999997</v>
      </c>
      <c r="K845" s="201">
        <v>187637.1372</v>
      </c>
      <c r="L845" s="215"/>
      <c r="M845" s="194" t="s">
        <v>605</v>
      </c>
    </row>
    <row r="846" spans="2:13">
      <c r="B846" s="211"/>
      <c r="C846" s="197" t="s">
        <v>2054</v>
      </c>
      <c r="D846" s="198">
        <v>100008</v>
      </c>
      <c r="E846" s="198" t="s">
        <v>2053</v>
      </c>
      <c r="F846" s="199">
        <v>0</v>
      </c>
      <c r="G846" s="199"/>
      <c r="H846" s="199">
        <v>0</v>
      </c>
      <c r="I846" s="216">
        <v>0</v>
      </c>
      <c r="J846" s="201">
        <v>0</v>
      </c>
      <c r="K846" s="201">
        <v>157320</v>
      </c>
      <c r="L846" s="215"/>
      <c r="M846" s="194" t="s">
        <v>605</v>
      </c>
    </row>
    <row r="847" spans="2:13">
      <c r="B847" s="211"/>
      <c r="C847" s="197" t="s">
        <v>2055</v>
      </c>
      <c r="D847" s="198">
        <v>100008</v>
      </c>
      <c r="E847" s="198" t="s">
        <v>2056</v>
      </c>
      <c r="F847" s="199">
        <v>2309.0100000000002</v>
      </c>
      <c r="G847" s="199"/>
      <c r="H847" s="199">
        <v>2309.0100000000002</v>
      </c>
      <c r="I847" s="216">
        <v>47.614444444444445</v>
      </c>
      <c r="J847" s="201">
        <v>109942.22836666668</v>
      </c>
      <c r="K847" s="201">
        <v>268652.21759999997</v>
      </c>
      <c r="L847" s="215"/>
      <c r="M847" s="194" t="s">
        <v>593</v>
      </c>
    </row>
    <row r="848" spans="2:13">
      <c r="B848" s="211"/>
      <c r="C848" s="197" t="s">
        <v>2057</v>
      </c>
      <c r="D848" s="198">
        <v>100008</v>
      </c>
      <c r="E848" s="198" t="s">
        <v>2058</v>
      </c>
      <c r="F848" s="199">
        <v>1647.59</v>
      </c>
      <c r="G848" s="199"/>
      <c r="H848" s="199">
        <v>1647.59</v>
      </c>
      <c r="I848" s="216">
        <v>47.614444444444445</v>
      </c>
      <c r="J848" s="201">
        <v>78449.082522222219</v>
      </c>
      <c r="K848" s="201">
        <v>45828.889199999998</v>
      </c>
      <c r="L848" s="215"/>
      <c r="M848" s="194" t="s">
        <v>577</v>
      </c>
    </row>
    <row r="849" spans="2:13">
      <c r="B849" s="211"/>
      <c r="C849" s="197" t="s">
        <v>2059</v>
      </c>
      <c r="D849" s="198">
        <v>100008</v>
      </c>
      <c r="E849" s="198" t="s">
        <v>2056</v>
      </c>
      <c r="F849" s="199">
        <v>712.53</v>
      </c>
      <c r="G849" s="199"/>
      <c r="H849" s="199">
        <v>712.53</v>
      </c>
      <c r="I849" s="216">
        <v>47.614444444444445</v>
      </c>
      <c r="J849" s="201">
        <v>33926.720099999999</v>
      </c>
      <c r="K849" s="201">
        <v>65271.019200000002</v>
      </c>
      <c r="L849" s="215"/>
      <c r="M849" s="194" t="s">
        <v>593</v>
      </c>
    </row>
    <row r="850" spans="2:13">
      <c r="B850" s="211"/>
      <c r="C850" s="197" t="s">
        <v>2060</v>
      </c>
      <c r="D850" s="198">
        <v>100008</v>
      </c>
      <c r="E850" s="198" t="s">
        <v>2061</v>
      </c>
      <c r="F850" s="199">
        <v>-477.36</v>
      </c>
      <c r="G850" s="199"/>
      <c r="H850" s="199">
        <v>-477.36</v>
      </c>
      <c r="I850" s="216">
        <v>47.614444444444445</v>
      </c>
      <c r="J850" s="201">
        <v>-22729.231200000002</v>
      </c>
      <c r="K850" s="201">
        <v>841190.04</v>
      </c>
      <c r="L850" s="215"/>
      <c r="M850" s="194" t="s">
        <v>592</v>
      </c>
    </row>
    <row r="851" spans="2:13">
      <c r="B851" s="211"/>
      <c r="C851" s="197" t="s">
        <v>2529</v>
      </c>
      <c r="D851" s="198">
        <v>100008</v>
      </c>
      <c r="E851" s="198" t="s">
        <v>2061</v>
      </c>
      <c r="F851" s="199">
        <v>0</v>
      </c>
      <c r="G851" s="199"/>
      <c r="H851" s="199">
        <v>0</v>
      </c>
      <c r="I851" s="216">
        <v>0</v>
      </c>
      <c r="J851" s="201">
        <v>0</v>
      </c>
      <c r="K851" s="201">
        <v>0</v>
      </c>
      <c r="L851" s="215"/>
      <c r="M851" s="194" t="s">
        <v>592</v>
      </c>
    </row>
    <row r="852" spans="2:13">
      <c r="B852" s="211"/>
      <c r="C852" s="197" t="s">
        <v>2060</v>
      </c>
      <c r="D852" s="198">
        <v>100008</v>
      </c>
      <c r="E852" s="198" t="s">
        <v>2061</v>
      </c>
      <c r="F852" s="199">
        <v>0</v>
      </c>
      <c r="G852" s="199"/>
      <c r="H852" s="199">
        <v>0</v>
      </c>
      <c r="I852" s="216">
        <v>0</v>
      </c>
      <c r="J852" s="201">
        <v>0</v>
      </c>
      <c r="K852" s="201">
        <v>223576.36679999999</v>
      </c>
      <c r="L852" s="215"/>
      <c r="M852" s="194" t="s">
        <v>592</v>
      </c>
    </row>
    <row r="853" spans="2:13">
      <c r="B853" s="211"/>
      <c r="C853" s="197" t="s">
        <v>2062</v>
      </c>
      <c r="D853" s="198">
        <v>100008</v>
      </c>
      <c r="E853" s="198" t="s">
        <v>2061</v>
      </c>
      <c r="F853" s="199">
        <v>19101.939999999999</v>
      </c>
      <c r="G853" s="199"/>
      <c r="H853" s="199">
        <v>19101.939999999999</v>
      </c>
      <c r="I853" s="216">
        <v>47.614444444444445</v>
      </c>
      <c r="J853" s="201">
        <v>909528.26091111102</v>
      </c>
      <c r="K853" s="201">
        <v>1491676.2516000001</v>
      </c>
      <c r="L853" s="215"/>
      <c r="M853" s="194" t="s">
        <v>592</v>
      </c>
    </row>
    <row r="854" spans="2:13">
      <c r="B854" s="211"/>
      <c r="C854" s="197" t="s">
        <v>2530</v>
      </c>
      <c r="D854" s="198">
        <v>100008</v>
      </c>
      <c r="E854" s="198" t="s">
        <v>2061</v>
      </c>
      <c r="F854" s="199">
        <v>0</v>
      </c>
      <c r="G854" s="199"/>
      <c r="H854" s="199">
        <v>0</v>
      </c>
      <c r="I854" s="216">
        <v>0</v>
      </c>
      <c r="J854" s="201">
        <v>0</v>
      </c>
      <c r="K854" s="201">
        <v>0</v>
      </c>
      <c r="L854" s="215"/>
      <c r="M854" s="194" t="s">
        <v>592</v>
      </c>
    </row>
    <row r="855" spans="2:13">
      <c r="B855" s="211"/>
      <c r="C855" s="197" t="s">
        <v>2063</v>
      </c>
      <c r="D855" s="198">
        <v>100008</v>
      </c>
      <c r="E855" s="198" t="s">
        <v>2064</v>
      </c>
      <c r="F855" s="199">
        <v>-4564.3</v>
      </c>
      <c r="G855" s="199"/>
      <c r="H855" s="199">
        <v>-4564.3</v>
      </c>
      <c r="I855" s="216">
        <v>47.614444444444445</v>
      </c>
      <c r="J855" s="201">
        <v>-217326.60877777779</v>
      </c>
      <c r="K855" s="201">
        <v>502875.47759999998</v>
      </c>
      <c r="L855" s="215"/>
      <c r="M855" s="194" t="s">
        <v>616</v>
      </c>
    </row>
    <row r="856" spans="2:13">
      <c r="B856" s="211"/>
      <c r="C856" s="197" t="s">
        <v>2065</v>
      </c>
      <c r="D856" s="198">
        <v>100008</v>
      </c>
      <c r="E856" s="198" t="s">
        <v>2066</v>
      </c>
      <c r="F856" s="199">
        <v>9339.74</v>
      </c>
      <c r="G856" s="199"/>
      <c r="H856" s="199">
        <v>9339.74</v>
      </c>
      <c r="I856" s="216">
        <v>47.614444444444445</v>
      </c>
      <c r="J856" s="201">
        <v>444706.53135555552</v>
      </c>
      <c r="K856" s="201">
        <v>1283928.8988000001</v>
      </c>
      <c r="L856" s="215"/>
      <c r="M856" s="194" t="s">
        <v>594</v>
      </c>
    </row>
    <row r="857" spans="2:13">
      <c r="B857" s="211"/>
      <c r="C857" s="197" t="s">
        <v>2067</v>
      </c>
      <c r="D857" s="198">
        <v>100008</v>
      </c>
      <c r="E857" s="198" t="s">
        <v>2068</v>
      </c>
      <c r="F857" s="199">
        <v>0</v>
      </c>
      <c r="G857" s="199"/>
      <c r="H857" s="199">
        <v>0</v>
      </c>
      <c r="I857" s="216">
        <v>0</v>
      </c>
      <c r="J857" s="201">
        <v>0</v>
      </c>
      <c r="K857" s="201">
        <v>356592</v>
      </c>
      <c r="L857" s="215"/>
      <c r="M857" s="194" t="s">
        <v>571</v>
      </c>
    </row>
    <row r="858" spans="2:13">
      <c r="B858" s="211"/>
      <c r="C858" s="197" t="s">
        <v>2069</v>
      </c>
      <c r="D858" s="198">
        <v>100008</v>
      </c>
      <c r="E858" s="198" t="s">
        <v>2070</v>
      </c>
      <c r="F858" s="199">
        <v>2336.86</v>
      </c>
      <c r="G858" s="199"/>
      <c r="H858" s="199">
        <v>2336.86</v>
      </c>
      <c r="I858" s="216">
        <v>47.614444444444445</v>
      </c>
      <c r="J858" s="201">
        <v>111268.29064444445</v>
      </c>
      <c r="K858" s="201">
        <v>804822.9</v>
      </c>
      <c r="L858" s="215"/>
      <c r="M858" s="194" t="s">
        <v>614</v>
      </c>
    </row>
    <row r="859" spans="2:13">
      <c r="B859" s="211"/>
      <c r="C859" s="197" t="s">
        <v>2535</v>
      </c>
      <c r="D859" s="198">
        <v>100008</v>
      </c>
      <c r="E859" s="198" t="s">
        <v>2070</v>
      </c>
      <c r="F859" s="199">
        <v>0</v>
      </c>
      <c r="G859" s="199"/>
      <c r="H859" s="199">
        <v>0</v>
      </c>
      <c r="I859" s="216">
        <v>0</v>
      </c>
      <c r="J859" s="201">
        <v>0</v>
      </c>
      <c r="K859" s="201">
        <v>0</v>
      </c>
      <c r="L859" s="215"/>
      <c r="M859" s="194" t="s">
        <v>614</v>
      </c>
    </row>
    <row r="860" spans="2:13">
      <c r="B860" s="211"/>
      <c r="C860" s="197" t="s">
        <v>2071</v>
      </c>
      <c r="D860" s="198">
        <v>100008</v>
      </c>
      <c r="E860" s="198" t="s">
        <v>2072</v>
      </c>
      <c r="F860" s="199">
        <v>4547.6099999999997</v>
      </c>
      <c r="G860" s="199"/>
      <c r="H860" s="199">
        <v>4547.6099999999997</v>
      </c>
      <c r="I860" s="216">
        <v>47.614444444444445</v>
      </c>
      <c r="J860" s="201">
        <v>216531.92369999998</v>
      </c>
      <c r="K860" s="201">
        <v>185706.82079999999</v>
      </c>
      <c r="L860" s="215"/>
      <c r="M860" s="194" t="s">
        <v>603</v>
      </c>
    </row>
    <row r="861" spans="2:13">
      <c r="B861" s="211"/>
      <c r="C861" s="197" t="s">
        <v>2073</v>
      </c>
      <c r="D861" s="198">
        <v>100008</v>
      </c>
      <c r="E861" s="198" t="s">
        <v>2072</v>
      </c>
      <c r="F861" s="199">
        <v>0</v>
      </c>
      <c r="G861" s="199"/>
      <c r="H861" s="199">
        <v>0</v>
      </c>
      <c r="I861" s="216">
        <v>0</v>
      </c>
      <c r="J861" s="201">
        <v>0</v>
      </c>
      <c r="K861" s="201">
        <v>105410.6928</v>
      </c>
      <c r="L861" s="215"/>
      <c r="M861" s="194" t="s">
        <v>603</v>
      </c>
    </row>
    <row r="862" spans="2:13">
      <c r="B862" s="211"/>
      <c r="C862" s="197" t="s">
        <v>2074</v>
      </c>
      <c r="D862" s="198">
        <v>100008</v>
      </c>
      <c r="E862" s="198" t="s">
        <v>2075</v>
      </c>
      <c r="F862" s="199">
        <v>76545</v>
      </c>
      <c r="G862" s="199"/>
      <c r="H862" s="199">
        <v>76545</v>
      </c>
      <c r="I862" s="216">
        <v>47.614444444444445</v>
      </c>
      <c r="J862" s="201">
        <v>3644647.65</v>
      </c>
      <c r="K862" s="201">
        <v>2406341.5488</v>
      </c>
      <c r="L862" s="215"/>
      <c r="M862" s="194" t="s">
        <v>568</v>
      </c>
    </row>
    <row r="863" spans="2:13">
      <c r="B863" s="211"/>
      <c r="C863" s="197" t="s">
        <v>2076</v>
      </c>
      <c r="D863" s="198">
        <v>100008</v>
      </c>
      <c r="E863" s="198" t="s">
        <v>2077</v>
      </c>
      <c r="F863" s="199">
        <v>411.52</v>
      </c>
      <c r="G863" s="199"/>
      <c r="H863" s="199">
        <v>411.52</v>
      </c>
      <c r="I863" s="216">
        <v>47.614444444444445</v>
      </c>
      <c r="J863" s="201">
        <v>19594.296177777778</v>
      </c>
      <c r="K863" s="201">
        <v>17963.322</v>
      </c>
      <c r="L863" s="215"/>
      <c r="M863" s="194" t="s">
        <v>607</v>
      </c>
    </row>
    <row r="864" spans="2:13">
      <c r="B864" s="211"/>
      <c r="C864" s="197" t="s">
        <v>2078</v>
      </c>
      <c r="D864" s="198">
        <v>100008</v>
      </c>
      <c r="E864" s="198" t="s">
        <v>2079</v>
      </c>
      <c r="F864" s="199">
        <v>569.27</v>
      </c>
      <c r="G864" s="199"/>
      <c r="H864" s="199">
        <v>569.27</v>
      </c>
      <c r="I864" s="216">
        <v>47.614444444444445</v>
      </c>
      <c r="J864" s="201">
        <v>27105.474788888889</v>
      </c>
      <c r="K864" s="201">
        <v>29319.204000000002</v>
      </c>
      <c r="L864" s="215"/>
      <c r="M864" s="194" t="s">
        <v>597</v>
      </c>
    </row>
    <row r="865" spans="2:13">
      <c r="B865" s="211"/>
      <c r="C865" s="197" t="s">
        <v>2080</v>
      </c>
      <c r="D865" s="198">
        <v>100008</v>
      </c>
      <c r="E865" s="198" t="s">
        <v>2079</v>
      </c>
      <c r="F865" s="199">
        <v>7039.97</v>
      </c>
      <c r="G865" s="199"/>
      <c r="H865" s="199">
        <v>7039.97</v>
      </c>
      <c r="I865" s="216">
        <v>47.614444444444445</v>
      </c>
      <c r="J865" s="201">
        <v>335204.26045555557</v>
      </c>
      <c r="K865" s="201">
        <v>451000.78080000001</v>
      </c>
      <c r="L865" s="215"/>
      <c r="M865" s="194" t="s">
        <v>597</v>
      </c>
    </row>
    <row r="866" spans="2:13" ht="13.5" customHeight="1">
      <c r="B866" s="211"/>
      <c r="C866" s="197" t="s">
        <v>2541</v>
      </c>
      <c r="D866" s="198">
        <v>100008</v>
      </c>
      <c r="E866" s="198" t="s">
        <v>2047</v>
      </c>
      <c r="F866" s="199">
        <v>0</v>
      </c>
      <c r="G866" s="199"/>
      <c r="H866" s="199">
        <v>0</v>
      </c>
      <c r="I866" s="216">
        <v>0</v>
      </c>
      <c r="J866" s="201">
        <v>0</v>
      </c>
      <c r="K866" s="201">
        <v>0</v>
      </c>
      <c r="L866" s="215"/>
      <c r="M866" s="194" t="s">
        <v>600</v>
      </c>
    </row>
    <row r="867" spans="2:13">
      <c r="B867" s="211"/>
      <c r="C867" s="197" t="s">
        <v>2081</v>
      </c>
      <c r="D867" s="198">
        <v>100008</v>
      </c>
      <c r="E867" s="198" t="s">
        <v>2047</v>
      </c>
      <c r="F867" s="199">
        <v>13300.4</v>
      </c>
      <c r="G867" s="199"/>
      <c r="H867" s="199">
        <v>13300.4</v>
      </c>
      <c r="I867" s="216">
        <v>47.614444444444445</v>
      </c>
      <c r="J867" s="201">
        <v>633291.15688888892</v>
      </c>
      <c r="K867" s="201">
        <v>1078080.9228000001</v>
      </c>
      <c r="L867" s="215"/>
      <c r="M867" s="194" t="s">
        <v>600</v>
      </c>
    </row>
    <row r="868" spans="2:13">
      <c r="B868" s="211"/>
      <c r="C868" s="197" t="s">
        <v>2814</v>
      </c>
      <c r="D868" s="198">
        <v>100008</v>
      </c>
      <c r="E868" s="198" t="s">
        <v>2070</v>
      </c>
      <c r="F868" s="199">
        <v>0</v>
      </c>
      <c r="G868" s="199"/>
      <c r="H868" s="199">
        <v>0</v>
      </c>
      <c r="I868" s="216">
        <v>0</v>
      </c>
      <c r="J868" s="201">
        <v>0</v>
      </c>
      <c r="K868" s="201">
        <v>0</v>
      </c>
      <c r="L868" s="215"/>
      <c r="M868" s="194" t="s">
        <v>614</v>
      </c>
    </row>
    <row r="869" spans="2:13">
      <c r="B869" s="211"/>
      <c r="C869" s="197" t="s">
        <v>2815</v>
      </c>
      <c r="D869" s="198">
        <v>100008</v>
      </c>
      <c r="E869" s="198" t="s">
        <v>2088</v>
      </c>
      <c r="F869" s="199">
        <v>0</v>
      </c>
      <c r="G869" s="199"/>
      <c r="H869" s="199">
        <v>0</v>
      </c>
      <c r="I869" s="216">
        <v>0</v>
      </c>
      <c r="J869" s="201">
        <v>0</v>
      </c>
      <c r="K869" s="201">
        <v>0</v>
      </c>
      <c r="L869" s="215"/>
      <c r="M869" s="194" t="s">
        <v>619</v>
      </c>
    </row>
    <row r="870" spans="2:13">
      <c r="B870" s="211"/>
      <c r="C870" s="197" t="s">
        <v>2082</v>
      </c>
      <c r="D870" s="198">
        <v>100008</v>
      </c>
      <c r="E870" s="198" t="s">
        <v>2083</v>
      </c>
      <c r="F870" s="199">
        <v>1018.58</v>
      </c>
      <c r="G870" s="199"/>
      <c r="H870" s="199">
        <v>1018.58</v>
      </c>
      <c r="I870" s="216">
        <v>47.614444444444445</v>
      </c>
      <c r="J870" s="201">
        <v>48499.120822222227</v>
      </c>
      <c r="K870" s="201">
        <v>64404.186000000002</v>
      </c>
      <c r="L870" s="215"/>
      <c r="M870" s="194" t="s">
        <v>604</v>
      </c>
    </row>
    <row r="871" spans="2:13">
      <c r="B871" s="211"/>
      <c r="C871" s="197" t="s">
        <v>2084</v>
      </c>
      <c r="D871" s="198">
        <v>100008</v>
      </c>
      <c r="E871" s="198" t="s">
        <v>2085</v>
      </c>
      <c r="F871" s="199">
        <v>39054.230000000003</v>
      </c>
      <c r="G871" s="199"/>
      <c r="H871" s="199">
        <v>39054.230000000003</v>
      </c>
      <c r="I871" s="216">
        <v>47.614444444444445</v>
      </c>
      <c r="J871" s="201">
        <v>1859545.4646555558</v>
      </c>
      <c r="K871" s="201">
        <v>11531275.446</v>
      </c>
      <c r="L871" s="215"/>
      <c r="M871" s="194" t="s">
        <v>620</v>
      </c>
    </row>
    <row r="872" spans="2:13">
      <c r="B872" s="211"/>
      <c r="C872" s="197" t="s">
        <v>1203</v>
      </c>
      <c r="D872" s="198">
        <v>100008</v>
      </c>
      <c r="E872" s="198" t="s">
        <v>2086</v>
      </c>
      <c r="F872" s="199">
        <v>11552.46</v>
      </c>
      <c r="G872" s="199"/>
      <c r="H872" s="199">
        <v>11552.46</v>
      </c>
      <c r="I872" s="216">
        <v>47.614444444444445</v>
      </c>
      <c r="J872" s="201">
        <v>550063.96486666659</v>
      </c>
      <c r="K872" s="201">
        <v>921159.99120000005</v>
      </c>
      <c r="L872" s="215"/>
      <c r="M872" s="194" t="s">
        <v>362</v>
      </c>
    </row>
    <row r="873" spans="2:13">
      <c r="B873" s="211"/>
      <c r="C873" s="197" t="s">
        <v>2087</v>
      </c>
      <c r="D873" s="198">
        <v>100008</v>
      </c>
      <c r="E873" s="198" t="s">
        <v>2088</v>
      </c>
      <c r="F873" s="199">
        <v>-2.83</v>
      </c>
      <c r="G873" s="199"/>
      <c r="H873" s="199">
        <v>-2.83</v>
      </c>
      <c r="I873" s="216">
        <v>47.614444444444445</v>
      </c>
      <c r="J873" s="201">
        <v>-134.74887777777778</v>
      </c>
      <c r="K873" s="201">
        <v>0</v>
      </c>
      <c r="L873" s="215"/>
      <c r="M873" s="194" t="s">
        <v>619</v>
      </c>
    </row>
    <row r="874" spans="2:13">
      <c r="B874" s="211"/>
      <c r="C874" s="197" t="s">
        <v>2816</v>
      </c>
      <c r="D874" s="198">
        <v>100008</v>
      </c>
      <c r="E874" s="198" t="s">
        <v>2035</v>
      </c>
      <c r="F874" s="199">
        <v>0</v>
      </c>
      <c r="G874" s="199"/>
      <c r="H874" s="199">
        <v>0</v>
      </c>
      <c r="I874" s="216">
        <v>0</v>
      </c>
      <c r="J874" s="201">
        <v>0</v>
      </c>
      <c r="K874" s="201">
        <v>0</v>
      </c>
      <c r="L874" s="215"/>
      <c r="M874" s="194" t="s">
        <v>548</v>
      </c>
    </row>
    <row r="875" spans="2:13">
      <c r="B875" s="211"/>
      <c r="C875" s="197" t="s">
        <v>2089</v>
      </c>
      <c r="D875" s="198">
        <v>100008</v>
      </c>
      <c r="E875" s="198" t="s">
        <v>2064</v>
      </c>
      <c r="F875" s="199">
        <v>4347.25</v>
      </c>
      <c r="G875" s="199"/>
      <c r="H875" s="199">
        <v>4347.25</v>
      </c>
      <c r="I875" s="216">
        <v>47.614444444444445</v>
      </c>
      <c r="J875" s="201">
        <v>206991.89361111113</v>
      </c>
      <c r="K875" s="201">
        <v>203425.24799999999</v>
      </c>
      <c r="L875" s="215"/>
      <c r="M875" s="194" t="s">
        <v>616</v>
      </c>
    </row>
    <row r="876" spans="2:13">
      <c r="B876" s="211"/>
      <c r="C876" s="197" t="s">
        <v>2090</v>
      </c>
      <c r="D876" s="198">
        <v>100008</v>
      </c>
      <c r="E876" s="198" t="s">
        <v>2091</v>
      </c>
      <c r="F876" s="199">
        <v>1564.54</v>
      </c>
      <c r="G876" s="199"/>
      <c r="H876" s="199">
        <v>1564.54</v>
      </c>
      <c r="I876" s="216">
        <v>47.614444444444445</v>
      </c>
      <c r="J876" s="201">
        <v>74494.702911111104</v>
      </c>
      <c r="K876" s="201">
        <v>546773.52599999995</v>
      </c>
      <c r="L876" s="215"/>
      <c r="M876" s="194" t="s">
        <v>601</v>
      </c>
    </row>
    <row r="877" spans="2:13">
      <c r="B877" s="211"/>
      <c r="C877" s="197" t="s">
        <v>1379</v>
      </c>
      <c r="D877" s="198">
        <v>100008</v>
      </c>
      <c r="E877" s="198" t="s">
        <v>2092</v>
      </c>
      <c r="F877" s="199">
        <v>0</v>
      </c>
      <c r="G877" s="199"/>
      <c r="H877" s="199">
        <v>0</v>
      </c>
      <c r="I877" s="216">
        <v>0</v>
      </c>
      <c r="J877" s="201">
        <v>0</v>
      </c>
      <c r="K877" s="201">
        <v>84219.164399999994</v>
      </c>
      <c r="L877" s="215"/>
      <c r="M877" s="194" t="s">
        <v>602</v>
      </c>
    </row>
    <row r="878" spans="2:13">
      <c r="B878" s="211"/>
      <c r="C878" s="197" t="s">
        <v>2093</v>
      </c>
      <c r="D878" s="198">
        <v>100008</v>
      </c>
      <c r="E878" s="198" t="s">
        <v>2085</v>
      </c>
      <c r="F878" s="199">
        <v>44074.879999999997</v>
      </c>
      <c r="G878" s="199"/>
      <c r="H878" s="199">
        <v>44074.879999999997</v>
      </c>
      <c r="I878" s="216">
        <v>47.614444444444445</v>
      </c>
      <c r="J878" s="201">
        <v>2098600.9251555554</v>
      </c>
      <c r="K878" s="201">
        <v>-55905.235200000003</v>
      </c>
      <c r="L878" s="215"/>
      <c r="M878" s="194" t="s">
        <v>620</v>
      </c>
    </row>
    <row r="879" spans="2:13">
      <c r="B879" s="211"/>
      <c r="C879" s="197" t="s">
        <v>2817</v>
      </c>
      <c r="D879" s="198">
        <v>100008</v>
      </c>
      <c r="E879" s="198" t="s">
        <v>2095</v>
      </c>
      <c r="F879" s="199">
        <v>0</v>
      </c>
      <c r="G879" s="199"/>
      <c r="H879" s="199">
        <v>0</v>
      </c>
      <c r="I879" s="216">
        <v>0</v>
      </c>
      <c r="J879" s="201">
        <v>0</v>
      </c>
      <c r="K879" s="201">
        <v>0</v>
      </c>
      <c r="L879" s="215"/>
      <c r="M879" s="194" t="s">
        <v>608</v>
      </c>
    </row>
    <row r="880" spans="2:13">
      <c r="B880" s="211"/>
      <c r="C880" s="197" t="s">
        <v>2094</v>
      </c>
      <c r="D880" s="198">
        <v>100008</v>
      </c>
      <c r="E880" s="198" t="s">
        <v>2095</v>
      </c>
      <c r="F880" s="199">
        <v>0</v>
      </c>
      <c r="G880" s="199"/>
      <c r="H880" s="199">
        <v>0</v>
      </c>
      <c r="I880" s="216">
        <v>0</v>
      </c>
      <c r="J880" s="201">
        <v>0</v>
      </c>
      <c r="K880" s="201">
        <v>131996.72399999999</v>
      </c>
      <c r="L880" s="215"/>
      <c r="M880" s="194" t="s">
        <v>608</v>
      </c>
    </row>
    <row r="881" spans="2:13">
      <c r="B881" s="211"/>
      <c r="C881" s="197" t="s">
        <v>2096</v>
      </c>
      <c r="D881" s="198">
        <v>100008</v>
      </c>
      <c r="E881" s="198" t="s">
        <v>2097</v>
      </c>
      <c r="F881" s="199">
        <v>0</v>
      </c>
      <c r="G881" s="199"/>
      <c r="H881" s="199">
        <v>0</v>
      </c>
      <c r="I881" s="216">
        <v>0</v>
      </c>
      <c r="J881" s="201">
        <v>0</v>
      </c>
      <c r="K881" s="201">
        <v>180918</v>
      </c>
      <c r="L881" s="215"/>
      <c r="M881" s="194" t="s">
        <v>572</v>
      </c>
    </row>
    <row r="882" spans="2:13">
      <c r="B882" s="211"/>
      <c r="C882" s="197" t="s">
        <v>2098</v>
      </c>
      <c r="D882" s="198">
        <v>100008</v>
      </c>
      <c r="E882" s="198" t="s">
        <v>2072</v>
      </c>
      <c r="F882" s="199">
        <v>4182.28</v>
      </c>
      <c r="G882" s="199"/>
      <c r="H882" s="199">
        <v>4182.28</v>
      </c>
      <c r="I882" s="216">
        <v>47.614444444444445</v>
      </c>
      <c r="J882" s="201">
        <v>199136.93871111111</v>
      </c>
      <c r="K882" s="201">
        <v>45300.818399999996</v>
      </c>
      <c r="L882" s="215"/>
      <c r="M882" s="194" t="s">
        <v>603</v>
      </c>
    </row>
    <row r="883" spans="2:13">
      <c r="B883" s="211"/>
      <c r="C883" s="197" t="s">
        <v>2818</v>
      </c>
      <c r="D883" s="198">
        <v>100008</v>
      </c>
      <c r="E883" s="198" t="s">
        <v>2072</v>
      </c>
      <c r="F883" s="199">
        <v>932.18</v>
      </c>
      <c r="G883" s="199"/>
      <c r="H883" s="199">
        <v>932.18</v>
      </c>
      <c r="I883" s="216">
        <v>47.614444444444445</v>
      </c>
      <c r="J883" s="201">
        <v>44385.23282222222</v>
      </c>
      <c r="K883" s="201">
        <v>0</v>
      </c>
      <c r="L883" s="215"/>
      <c r="M883" s="194" t="s">
        <v>603</v>
      </c>
    </row>
    <row r="884" spans="2:13">
      <c r="B884" s="211"/>
      <c r="C884" s="197" t="s">
        <v>2547</v>
      </c>
      <c r="D884" s="198">
        <v>100008</v>
      </c>
      <c r="E884" s="198" t="s">
        <v>2079</v>
      </c>
      <c r="F884" s="199">
        <v>0</v>
      </c>
      <c r="G884" s="199"/>
      <c r="H884" s="199">
        <v>0</v>
      </c>
      <c r="I884" s="216">
        <v>0</v>
      </c>
      <c r="J884" s="201">
        <v>0</v>
      </c>
      <c r="K884" s="201">
        <v>0</v>
      </c>
      <c r="L884" s="215"/>
      <c r="M884" s="194" t="s">
        <v>597</v>
      </c>
    </row>
    <row r="885" spans="2:13">
      <c r="B885" s="211"/>
      <c r="C885" s="197" t="s">
        <v>2099</v>
      </c>
      <c r="D885" s="198">
        <v>100008</v>
      </c>
      <c r="E885" s="198" t="s">
        <v>2061</v>
      </c>
      <c r="F885" s="199">
        <v>2274.89</v>
      </c>
      <c r="G885" s="199"/>
      <c r="H885" s="199">
        <v>2274.89</v>
      </c>
      <c r="I885" s="216">
        <v>47.614444444444445</v>
      </c>
      <c r="J885" s="201">
        <v>108317.62352222222</v>
      </c>
      <c r="K885" s="201">
        <v>213195.8688</v>
      </c>
      <c r="L885" s="215"/>
      <c r="M885" s="194" t="s">
        <v>592</v>
      </c>
    </row>
    <row r="886" spans="2:13">
      <c r="B886" s="211"/>
      <c r="C886" s="197" t="s">
        <v>2819</v>
      </c>
      <c r="D886" s="198">
        <v>100008</v>
      </c>
      <c r="E886" s="198" t="s">
        <v>2070</v>
      </c>
      <c r="F886" s="199">
        <v>0</v>
      </c>
      <c r="G886" s="199"/>
      <c r="H886" s="199">
        <v>0</v>
      </c>
      <c r="I886" s="216">
        <v>0</v>
      </c>
      <c r="J886" s="201">
        <v>0</v>
      </c>
      <c r="K886" s="201">
        <v>0</v>
      </c>
      <c r="L886" s="215"/>
      <c r="M886" s="194" t="s">
        <v>614</v>
      </c>
    </row>
    <row r="887" spans="2:13">
      <c r="B887" s="211"/>
      <c r="C887" s="197" t="s">
        <v>2820</v>
      </c>
      <c r="D887" s="198">
        <v>100008</v>
      </c>
      <c r="E887" s="198" t="s">
        <v>2848</v>
      </c>
      <c r="F887" s="199">
        <v>0</v>
      </c>
      <c r="G887" s="199"/>
      <c r="H887" s="199">
        <v>0</v>
      </c>
      <c r="I887" s="216">
        <v>0</v>
      </c>
      <c r="J887" s="201">
        <v>0</v>
      </c>
      <c r="K887" s="201">
        <v>0</v>
      </c>
      <c r="L887" s="215"/>
      <c r="M887" s="194" t="s">
        <v>590</v>
      </c>
    </row>
    <row r="888" spans="2:13">
      <c r="B888" s="211"/>
      <c r="C888" s="197" t="s">
        <v>2821</v>
      </c>
      <c r="D888" s="198">
        <v>100008</v>
      </c>
      <c r="E888" s="198" t="s">
        <v>2849</v>
      </c>
      <c r="F888" s="199">
        <v>0</v>
      </c>
      <c r="G888" s="199"/>
      <c r="H888" s="199">
        <v>0</v>
      </c>
      <c r="I888" s="216">
        <v>0</v>
      </c>
      <c r="J888" s="201">
        <v>0</v>
      </c>
      <c r="K888" s="201">
        <v>0</v>
      </c>
      <c r="L888" s="215"/>
      <c r="M888" s="194" t="s">
        <v>364</v>
      </c>
    </row>
    <row r="889" spans="2:13">
      <c r="B889" s="211"/>
      <c r="C889" s="197" t="s">
        <v>2822</v>
      </c>
      <c r="D889" s="198">
        <v>100008</v>
      </c>
      <c r="E889" s="198" t="s">
        <v>2031</v>
      </c>
      <c r="F889" s="199">
        <v>-856.47</v>
      </c>
      <c r="G889" s="199"/>
      <c r="H889" s="199">
        <v>-856.47</v>
      </c>
      <c r="I889" s="216">
        <v>47.614444444444445</v>
      </c>
      <c r="J889" s="201">
        <v>-40780.343233333333</v>
      </c>
      <c r="K889" s="201">
        <v>0</v>
      </c>
      <c r="L889" s="215"/>
      <c r="M889" s="194" t="s">
        <v>530</v>
      </c>
    </row>
    <row r="890" spans="2:13">
      <c r="B890" s="211"/>
      <c r="C890" s="197"/>
      <c r="D890" s="198">
        <v>100008</v>
      </c>
      <c r="E890" s="198" t="s">
        <v>2100</v>
      </c>
      <c r="F890" s="199"/>
      <c r="G890" s="199"/>
      <c r="H890" s="199">
        <v>0</v>
      </c>
      <c r="I890" s="216"/>
      <c r="J890" s="201">
        <v>0</v>
      </c>
      <c r="K890" s="201"/>
      <c r="L890" s="215"/>
      <c r="M890" s="194"/>
    </row>
    <row r="891" spans="2:13">
      <c r="B891" s="211"/>
      <c r="C891" s="197" t="s">
        <v>2101</v>
      </c>
      <c r="D891" s="198">
        <v>100008</v>
      </c>
      <c r="E891" s="198" t="s">
        <v>2102</v>
      </c>
      <c r="F891" s="199"/>
      <c r="G891" s="199"/>
      <c r="H891" s="199">
        <v>0</v>
      </c>
      <c r="I891" s="216">
        <v>0</v>
      </c>
      <c r="J891" s="201">
        <v>-13663355</v>
      </c>
      <c r="K891" s="201">
        <v>441935</v>
      </c>
      <c r="L891" s="215"/>
      <c r="M891" s="194" t="s">
        <v>378</v>
      </c>
    </row>
    <row r="892" spans="2:13">
      <c r="B892" s="211"/>
      <c r="C892" s="197" t="s">
        <v>2103</v>
      </c>
      <c r="D892" s="198">
        <v>100008</v>
      </c>
      <c r="E892" s="198" t="s">
        <v>2104</v>
      </c>
      <c r="F892" s="199"/>
      <c r="G892" s="199"/>
      <c r="H892" s="199">
        <v>0</v>
      </c>
      <c r="I892" s="216"/>
      <c r="J892" s="201">
        <v>1361092</v>
      </c>
      <c r="K892" s="201">
        <v>-15310121</v>
      </c>
      <c r="L892" s="215"/>
      <c r="M892" s="194" t="s">
        <v>379</v>
      </c>
    </row>
    <row r="893" spans="2:13">
      <c r="B893" s="211"/>
      <c r="C893" s="197"/>
      <c r="D893" s="198">
        <v>100008</v>
      </c>
      <c r="E893" s="198" t="s">
        <v>2100</v>
      </c>
      <c r="F893" s="199"/>
      <c r="G893" s="199"/>
      <c r="H893" s="199">
        <v>0</v>
      </c>
      <c r="I893" s="216"/>
      <c r="J893" s="201">
        <v>0</v>
      </c>
      <c r="K893" s="201"/>
      <c r="L893" s="215"/>
      <c r="M893" s="194"/>
    </row>
    <row r="894" spans="2:13">
      <c r="B894" s="211"/>
      <c r="C894" s="197"/>
      <c r="D894" s="198">
        <v>100008</v>
      </c>
      <c r="E894" s="198" t="s">
        <v>2100</v>
      </c>
      <c r="F894" s="199"/>
      <c r="G894" s="199"/>
      <c r="H894" s="199">
        <v>0</v>
      </c>
      <c r="I894" s="216"/>
      <c r="J894" s="201">
        <v>0</v>
      </c>
      <c r="K894" s="201"/>
      <c r="L894" s="215"/>
      <c r="M894" s="194"/>
    </row>
    <row r="895" spans="2:13">
      <c r="B895" s="211"/>
      <c r="C895" s="197"/>
      <c r="D895" s="198">
        <v>100008</v>
      </c>
      <c r="E895" s="198" t="s">
        <v>2100</v>
      </c>
      <c r="F895" s="199"/>
      <c r="G895" s="199"/>
      <c r="H895" s="199">
        <v>0</v>
      </c>
      <c r="I895" s="216"/>
      <c r="J895" s="201">
        <v>0</v>
      </c>
      <c r="K895" s="201"/>
      <c r="L895" s="215"/>
      <c r="M895" s="194"/>
    </row>
    <row r="896" spans="2:13">
      <c r="B896" s="211"/>
      <c r="C896" s="333"/>
      <c r="D896" s="262"/>
      <c r="E896" s="262"/>
      <c r="F896" s="265">
        <v>0</v>
      </c>
      <c r="G896" s="265"/>
      <c r="H896" s="265">
        <v>0</v>
      </c>
      <c r="I896" s="265"/>
      <c r="J896" s="265">
        <v>0</v>
      </c>
      <c r="K896" s="265">
        <v>0</v>
      </c>
      <c r="L896" s="246"/>
      <c r="M896" s="194"/>
    </row>
    <row r="897" spans="1:13">
      <c r="B897" s="211"/>
      <c r="C897" s="208"/>
      <c r="D897" s="208"/>
      <c r="E897" s="208"/>
      <c r="F897" s="244"/>
      <c r="G897" s="244"/>
      <c r="H897" s="244"/>
      <c r="I897" s="244"/>
      <c r="J897" s="245"/>
      <c r="K897" s="245"/>
      <c r="L897" s="215"/>
      <c r="M897" s="194"/>
    </row>
    <row r="898" spans="1:13" ht="13.5" thickBot="1">
      <c r="B898" s="266"/>
      <c r="C898" s="267"/>
      <c r="D898" s="267"/>
      <c r="E898" s="267"/>
      <c r="F898" s="268"/>
      <c r="G898" s="268"/>
      <c r="H898" s="268"/>
      <c r="I898" s="268"/>
      <c r="J898" s="269"/>
      <c r="K898" s="269"/>
      <c r="L898" s="280"/>
      <c r="M898" s="194"/>
    </row>
    <row r="899" spans="1:13" s="284" customFormat="1" ht="14.25" thickTop="1" thickBot="1">
      <c r="A899" s="283"/>
      <c r="F899" s="285"/>
      <c r="G899" s="285"/>
      <c r="H899" s="285"/>
      <c r="I899" s="285"/>
      <c r="J899" s="286"/>
      <c r="K899" s="286"/>
      <c r="M899" s="212"/>
    </row>
    <row r="900" spans="1:13" ht="13.5" thickTop="1">
      <c r="B900" s="238"/>
      <c r="C900" s="239"/>
      <c r="D900" s="239"/>
      <c r="E900" s="239"/>
      <c r="F900" s="240"/>
      <c r="G900" s="240"/>
      <c r="H900" s="240"/>
      <c r="I900" s="240"/>
      <c r="J900" s="241"/>
      <c r="K900" s="241"/>
      <c r="L900" s="271"/>
      <c r="M900" s="194"/>
    </row>
    <row r="901" spans="1:13">
      <c r="B901" s="211"/>
      <c r="C901" s="208" t="s">
        <v>632</v>
      </c>
      <c r="D901" s="243"/>
      <c r="E901" s="243"/>
      <c r="F901" s="243">
        <v>100009</v>
      </c>
      <c r="G901" s="244"/>
      <c r="H901" s="243">
        <v>100009</v>
      </c>
      <c r="I901" s="244"/>
      <c r="J901" s="245"/>
      <c r="K901" s="245">
        <v>100009</v>
      </c>
      <c r="L901" s="215"/>
      <c r="M901" s="194"/>
    </row>
    <row r="902" spans="1:13" s="210" customFormat="1">
      <c r="A902" s="196"/>
      <c r="B902" s="247"/>
      <c r="C902" s="248" t="s">
        <v>2</v>
      </c>
      <c r="D902" s="193"/>
      <c r="E902" s="193"/>
      <c r="F902" s="193" t="s">
        <v>768</v>
      </c>
      <c r="G902" s="249"/>
      <c r="H902" s="193" t="s">
        <v>768</v>
      </c>
      <c r="I902" s="249"/>
      <c r="J902" s="250"/>
      <c r="K902" s="251" t="s">
        <v>768</v>
      </c>
      <c r="L902" s="281"/>
    </row>
    <row r="903" spans="1:13">
      <c r="A903" s="237">
        <v>100009</v>
      </c>
      <c r="B903" s="211"/>
      <c r="C903" s="208" t="s">
        <v>634</v>
      </c>
      <c r="D903" s="253"/>
      <c r="E903" s="253"/>
      <c r="F903" s="253" t="s">
        <v>1010</v>
      </c>
      <c r="G903" s="244"/>
      <c r="H903" s="253" t="s">
        <v>1010</v>
      </c>
      <c r="I903" s="244"/>
      <c r="J903" s="245"/>
      <c r="K903" s="245" t="s">
        <v>1010</v>
      </c>
      <c r="L903" s="215"/>
      <c r="M903" s="194"/>
    </row>
    <row r="904" spans="1:13">
      <c r="B904" s="211"/>
      <c r="C904" s="208"/>
      <c r="D904" s="208"/>
      <c r="E904" s="208"/>
      <c r="F904" s="329">
        <v>0</v>
      </c>
      <c r="G904" s="244"/>
      <c r="H904" s="334" t="s">
        <v>2833</v>
      </c>
      <c r="I904" s="253"/>
      <c r="K904" s="255"/>
      <c r="L904" s="215"/>
      <c r="M904" s="194"/>
    </row>
    <row r="905" spans="1:13" ht="25.5">
      <c r="B905" s="211"/>
      <c r="C905" s="256" t="s">
        <v>3</v>
      </c>
      <c r="D905" s="256" t="s">
        <v>1</v>
      </c>
      <c r="E905" s="256" t="s">
        <v>635</v>
      </c>
      <c r="F905" s="257" t="s">
        <v>1898</v>
      </c>
      <c r="G905" s="257" t="s">
        <v>636</v>
      </c>
      <c r="H905" s="257" t="s">
        <v>1898</v>
      </c>
      <c r="I905" s="282" t="s">
        <v>637</v>
      </c>
      <c r="J905" s="259" t="s">
        <v>638</v>
      </c>
      <c r="K905" s="259" t="s">
        <v>638</v>
      </c>
      <c r="L905" s="203"/>
      <c r="M905" s="194"/>
    </row>
    <row r="906" spans="1:13" ht="15">
      <c r="B906" s="211"/>
      <c r="C906" s="197" t="s">
        <v>1787</v>
      </c>
      <c r="D906" s="198">
        <v>100009</v>
      </c>
      <c r="E906" s="198" t="s">
        <v>2105</v>
      </c>
      <c r="F906" s="199">
        <v>-15000</v>
      </c>
      <c r="G906" s="199"/>
      <c r="H906" s="199">
        <v>-15000</v>
      </c>
      <c r="I906" s="216">
        <v>1</v>
      </c>
      <c r="J906" s="201">
        <v>-15000</v>
      </c>
      <c r="K906" s="201">
        <v>-15000</v>
      </c>
      <c r="L906" s="215"/>
      <c r="M906" s="217" t="s">
        <v>365</v>
      </c>
    </row>
    <row r="907" spans="1:13" ht="15">
      <c r="B907" s="211"/>
      <c r="C907" s="197" t="s">
        <v>951</v>
      </c>
      <c r="D907" s="198">
        <v>100009</v>
      </c>
      <c r="E907" s="198" t="s">
        <v>2106</v>
      </c>
      <c r="F907" s="199">
        <v>-500000</v>
      </c>
      <c r="G907" s="199"/>
      <c r="H907" s="199">
        <v>-500000</v>
      </c>
      <c r="I907" s="216">
        <v>1</v>
      </c>
      <c r="J907" s="201">
        <v>-500000</v>
      </c>
      <c r="K907" s="201">
        <v>-250000</v>
      </c>
      <c r="L907" s="215"/>
      <c r="M907" s="217" t="s">
        <v>356</v>
      </c>
    </row>
    <row r="908" spans="1:13" ht="15">
      <c r="B908" s="211"/>
      <c r="C908" s="197" t="s">
        <v>951</v>
      </c>
      <c r="D908" s="198">
        <v>100009</v>
      </c>
      <c r="E908" s="198" t="s">
        <v>2106</v>
      </c>
      <c r="F908" s="199">
        <v>-1400000</v>
      </c>
      <c r="G908" s="199"/>
      <c r="H908" s="199">
        <v>-1400000</v>
      </c>
      <c r="I908" s="216">
        <v>1</v>
      </c>
      <c r="J908" s="201">
        <v>-1400000</v>
      </c>
      <c r="K908" s="201">
        <v>0</v>
      </c>
      <c r="L908" s="215"/>
      <c r="M908" s="217" t="s">
        <v>356</v>
      </c>
    </row>
    <row r="909" spans="1:13" ht="15">
      <c r="B909" s="211"/>
      <c r="C909" s="197" t="s">
        <v>2108</v>
      </c>
      <c r="D909" s="198">
        <v>100009</v>
      </c>
      <c r="E909" s="198" t="s">
        <v>2109</v>
      </c>
      <c r="F909" s="199">
        <v>320256</v>
      </c>
      <c r="G909" s="199"/>
      <c r="H909" s="199">
        <v>320256</v>
      </c>
      <c r="I909" s="216">
        <v>1</v>
      </c>
      <c r="J909" s="201">
        <v>320256</v>
      </c>
      <c r="K909" s="201">
        <v>94259.319999999978</v>
      </c>
      <c r="L909" s="215"/>
      <c r="M909" s="217" t="s">
        <v>380</v>
      </c>
    </row>
    <row r="910" spans="1:13" ht="15">
      <c r="B910" s="211"/>
      <c r="C910" s="197" t="s">
        <v>1907</v>
      </c>
      <c r="D910" s="198">
        <v>100009</v>
      </c>
      <c r="E910" s="198" t="s">
        <v>2110</v>
      </c>
      <c r="F910" s="199">
        <v>-5350000</v>
      </c>
      <c r="G910" s="199"/>
      <c r="H910" s="199">
        <v>-5350000</v>
      </c>
      <c r="I910" s="216">
        <v>1</v>
      </c>
      <c r="J910" s="201">
        <v>-5350000</v>
      </c>
      <c r="K910" s="201">
        <v>-6070000</v>
      </c>
      <c r="L910" s="215"/>
      <c r="M910" s="217" t="s">
        <v>387</v>
      </c>
    </row>
    <row r="911" spans="1:13" ht="15">
      <c r="B911" s="211"/>
      <c r="C911" s="197" t="s">
        <v>1907</v>
      </c>
      <c r="D911" s="198">
        <v>100009</v>
      </c>
      <c r="E911" s="198" t="s">
        <v>2111</v>
      </c>
      <c r="F911" s="199">
        <v>-2400000</v>
      </c>
      <c r="G911" s="199"/>
      <c r="H911" s="199">
        <v>-2400000</v>
      </c>
      <c r="I911" s="216">
        <v>1</v>
      </c>
      <c r="J911" s="201">
        <v>-2400000</v>
      </c>
      <c r="K911" s="201">
        <v>-2400000</v>
      </c>
      <c r="L911" s="215"/>
      <c r="M911" s="217" t="s">
        <v>411</v>
      </c>
    </row>
    <row r="912" spans="1:13" ht="15">
      <c r="B912" s="211"/>
      <c r="C912" s="197" t="s">
        <v>2112</v>
      </c>
      <c r="D912" s="198">
        <v>100009</v>
      </c>
      <c r="E912" s="198" t="s">
        <v>2113</v>
      </c>
      <c r="F912" s="199">
        <v>-933159.75</v>
      </c>
      <c r="G912" s="199"/>
      <c r="H912" s="199">
        <v>-933159.75</v>
      </c>
      <c r="I912" s="216">
        <v>1</v>
      </c>
      <c r="J912" s="201">
        <v>-933159.75</v>
      </c>
      <c r="K912" s="201">
        <v>-905761.75</v>
      </c>
      <c r="L912" s="215"/>
      <c r="M912" s="217" t="s">
        <v>405</v>
      </c>
    </row>
    <row r="913" spans="2:13" ht="15">
      <c r="B913" s="211"/>
      <c r="C913" s="197" t="s">
        <v>1913</v>
      </c>
      <c r="D913" s="198">
        <v>100009</v>
      </c>
      <c r="E913" s="198" t="s">
        <v>2114</v>
      </c>
      <c r="F913" s="199">
        <v>10332661.859999999</v>
      </c>
      <c r="G913" s="199"/>
      <c r="H913" s="199">
        <v>10332661.859999999</v>
      </c>
      <c r="I913" s="216">
        <v>1</v>
      </c>
      <c r="J913" s="201">
        <v>10332661.859999999</v>
      </c>
      <c r="K913" s="201">
        <v>10910298</v>
      </c>
      <c r="L913" s="215"/>
      <c r="M913" s="217" t="s">
        <v>434</v>
      </c>
    </row>
    <row r="914" spans="2:13" ht="15">
      <c r="B914" s="211"/>
      <c r="C914" s="197" t="s">
        <v>1808</v>
      </c>
      <c r="D914" s="198">
        <v>100009</v>
      </c>
      <c r="E914" s="198" t="s">
        <v>2115</v>
      </c>
      <c r="F914" s="199">
        <v>19608.57</v>
      </c>
      <c r="G914" s="199"/>
      <c r="H914" s="199">
        <v>19608.57</v>
      </c>
      <c r="I914" s="216">
        <v>1</v>
      </c>
      <c r="J914" s="201">
        <v>19608.57</v>
      </c>
      <c r="K914" s="201">
        <v>18322.27</v>
      </c>
      <c r="L914" s="215"/>
      <c r="M914" s="217" t="s">
        <v>403</v>
      </c>
    </row>
    <row r="915" spans="2:13" ht="15">
      <c r="B915" s="211"/>
      <c r="C915" s="197" t="s">
        <v>1928</v>
      </c>
      <c r="D915" s="198">
        <v>100009</v>
      </c>
      <c r="E915" s="198" t="s">
        <v>2116</v>
      </c>
      <c r="F915" s="199">
        <v>128198.04000000001</v>
      </c>
      <c r="G915" s="199"/>
      <c r="H915" s="199">
        <v>128198.04000000001</v>
      </c>
      <c r="I915" s="216">
        <v>1</v>
      </c>
      <c r="J915" s="201">
        <v>128198.04000000001</v>
      </c>
      <c r="K915" s="201">
        <v>172749.12</v>
      </c>
      <c r="L915" s="215"/>
      <c r="M915" s="217" t="s">
        <v>510</v>
      </c>
    </row>
    <row r="916" spans="2:13" ht="15">
      <c r="B916" s="211"/>
      <c r="C916" s="197" t="s">
        <v>1797</v>
      </c>
      <c r="D916" s="198">
        <v>100009</v>
      </c>
      <c r="E916" s="198" t="s">
        <v>2117</v>
      </c>
      <c r="F916" s="199">
        <v>-79175.460000000006</v>
      </c>
      <c r="G916" s="199"/>
      <c r="H916" s="199">
        <v>-79175.460000000006</v>
      </c>
      <c r="I916" s="216">
        <v>1</v>
      </c>
      <c r="J916" s="201">
        <v>-79175.460000000006</v>
      </c>
      <c r="K916" s="201">
        <v>0</v>
      </c>
      <c r="L916" s="215"/>
      <c r="M916" s="217" t="s">
        <v>410</v>
      </c>
    </row>
    <row r="917" spans="2:13" ht="15">
      <c r="B917" s="211"/>
      <c r="C917" s="197" t="s">
        <v>1797</v>
      </c>
      <c r="D917" s="198">
        <v>100009</v>
      </c>
      <c r="E917" s="198" t="s">
        <v>2117</v>
      </c>
      <c r="F917" s="199"/>
      <c r="G917" s="199"/>
      <c r="H917" s="199">
        <v>0</v>
      </c>
      <c r="I917" s="216">
        <v>1</v>
      </c>
      <c r="J917" s="201">
        <v>0</v>
      </c>
      <c r="K917" s="201">
        <v>-18482.400000000001</v>
      </c>
      <c r="L917" s="215"/>
      <c r="M917" s="217" t="s">
        <v>410</v>
      </c>
    </row>
    <row r="918" spans="2:13" ht="15">
      <c r="B918" s="211"/>
      <c r="C918" s="197" t="s">
        <v>1934</v>
      </c>
      <c r="D918" s="198">
        <v>100009</v>
      </c>
      <c r="E918" s="198" t="s">
        <v>2118</v>
      </c>
      <c r="F918" s="199">
        <v>-31890.489999999998</v>
      </c>
      <c r="G918" s="199"/>
      <c r="H918" s="199">
        <v>-31890.489999999998</v>
      </c>
      <c r="I918" s="216">
        <v>1</v>
      </c>
      <c r="J918" s="201">
        <v>-31890.489999999998</v>
      </c>
      <c r="K918" s="201">
        <v>-58706.81</v>
      </c>
      <c r="L918" s="215"/>
      <c r="M918" s="217" t="s">
        <v>431</v>
      </c>
    </row>
    <row r="919" spans="2:13" ht="15">
      <c r="B919" s="211"/>
      <c r="C919" s="197" t="s">
        <v>2119</v>
      </c>
      <c r="D919" s="198">
        <v>100009</v>
      </c>
      <c r="E919" s="198" t="s">
        <v>2120</v>
      </c>
      <c r="F919" s="199">
        <v>0</v>
      </c>
      <c r="G919" s="199"/>
      <c r="H919" s="199">
        <v>0</v>
      </c>
      <c r="I919" s="216">
        <v>1</v>
      </c>
      <c r="J919" s="201">
        <v>0</v>
      </c>
      <c r="K919" s="201">
        <v>-2000000</v>
      </c>
      <c r="L919" s="215"/>
      <c r="M919" s="217" t="s">
        <v>402</v>
      </c>
    </row>
    <row r="920" spans="2:13" ht="15">
      <c r="B920" s="211"/>
      <c r="C920" s="197" t="s">
        <v>2121</v>
      </c>
      <c r="D920" s="198">
        <v>100009</v>
      </c>
      <c r="E920" s="198" t="s">
        <v>2122</v>
      </c>
      <c r="F920" s="199">
        <v>107030.31</v>
      </c>
      <c r="G920" s="199"/>
      <c r="H920" s="199">
        <v>107030.31</v>
      </c>
      <c r="I920" s="216">
        <v>1</v>
      </c>
      <c r="J920" s="201">
        <v>107030.31</v>
      </c>
      <c r="K920" s="201">
        <v>103106.72</v>
      </c>
      <c r="L920" s="215"/>
      <c r="M920" s="217" t="s">
        <v>514</v>
      </c>
    </row>
    <row r="921" spans="2:13" ht="15">
      <c r="B921" s="211"/>
      <c r="C921" s="197" t="s">
        <v>2123</v>
      </c>
      <c r="D921" s="198">
        <v>100009</v>
      </c>
      <c r="E921" s="198" t="s">
        <v>2124</v>
      </c>
      <c r="F921" s="199">
        <v>193218.85</v>
      </c>
      <c r="G921" s="199"/>
      <c r="H921" s="199">
        <v>193218.85</v>
      </c>
      <c r="I921" s="216">
        <v>1</v>
      </c>
      <c r="J921" s="201">
        <v>193218.85</v>
      </c>
      <c r="K921" s="201">
        <v>193218.85</v>
      </c>
      <c r="L921" s="215"/>
      <c r="M921" s="217" t="s">
        <v>443</v>
      </c>
    </row>
    <row r="922" spans="2:13" ht="15">
      <c r="B922" s="211"/>
      <c r="C922" s="197" t="s">
        <v>2125</v>
      </c>
      <c r="D922" s="198">
        <v>100009</v>
      </c>
      <c r="E922" s="198" t="s">
        <v>2126</v>
      </c>
      <c r="F922" s="199">
        <v>250000</v>
      </c>
      <c r="G922" s="199"/>
      <c r="H922" s="199">
        <v>250000</v>
      </c>
      <c r="I922" s="216">
        <v>1</v>
      </c>
      <c r="J922" s="201">
        <v>250000</v>
      </c>
      <c r="K922" s="201">
        <v>0</v>
      </c>
      <c r="L922" s="215"/>
      <c r="M922" s="217" t="s">
        <v>428</v>
      </c>
    </row>
    <row r="923" spans="2:13" ht="15">
      <c r="B923" s="211"/>
      <c r="C923" s="197" t="s">
        <v>2823</v>
      </c>
      <c r="D923" s="198">
        <v>100009</v>
      </c>
      <c r="E923" s="198" t="s">
        <v>2850</v>
      </c>
      <c r="F923" s="199">
        <v>-900000</v>
      </c>
      <c r="G923" s="199"/>
      <c r="H923" s="199">
        <v>-900000</v>
      </c>
      <c r="I923" s="216">
        <v>1</v>
      </c>
      <c r="J923" s="201">
        <v>-900000</v>
      </c>
      <c r="K923" s="201"/>
      <c r="L923" s="215"/>
      <c r="M923" s="217" t="s">
        <v>534</v>
      </c>
    </row>
    <row r="924" spans="2:13" ht="15">
      <c r="B924" s="211"/>
      <c r="C924" s="197" t="s">
        <v>2824</v>
      </c>
      <c r="D924" s="198">
        <v>100009</v>
      </c>
      <c r="E924" s="198" t="s">
        <v>2851</v>
      </c>
      <c r="F924" s="199">
        <v>-19.13</v>
      </c>
      <c r="G924" s="199"/>
      <c r="H924" s="199">
        <v>-19.13</v>
      </c>
      <c r="I924" s="216">
        <v>1</v>
      </c>
      <c r="J924" s="201">
        <v>-19.13</v>
      </c>
      <c r="K924" s="201">
        <v>-13.31</v>
      </c>
      <c r="L924" s="215"/>
      <c r="M924" s="217" t="s">
        <v>531</v>
      </c>
    </row>
    <row r="925" spans="2:13" ht="15">
      <c r="B925" s="211"/>
      <c r="C925" s="197" t="s">
        <v>2825</v>
      </c>
      <c r="D925" s="198">
        <v>100009</v>
      </c>
      <c r="E925" s="198" t="s">
        <v>2127</v>
      </c>
      <c r="F925" s="199">
        <v>-6.1</v>
      </c>
      <c r="G925" s="199"/>
      <c r="H925" s="199">
        <v>-6.1</v>
      </c>
      <c r="I925" s="216">
        <v>1</v>
      </c>
      <c r="J925" s="201">
        <v>-6.1</v>
      </c>
      <c r="K925" s="201"/>
      <c r="L925" s="215"/>
      <c r="M925" s="217" t="s">
        <v>538</v>
      </c>
    </row>
    <row r="926" spans="2:13" ht="15">
      <c r="B926" s="211"/>
      <c r="C926" s="197" t="s">
        <v>1500</v>
      </c>
      <c r="D926" s="198">
        <v>100009</v>
      </c>
      <c r="E926" s="198" t="s">
        <v>2128</v>
      </c>
      <c r="F926" s="199"/>
      <c r="G926" s="199"/>
      <c r="H926" s="199">
        <v>0</v>
      </c>
      <c r="I926" s="216">
        <v>1</v>
      </c>
      <c r="J926" s="201">
        <v>0</v>
      </c>
      <c r="K926" s="201">
        <v>382.97</v>
      </c>
      <c r="L926" s="215"/>
      <c r="M926" s="217" t="s">
        <v>605</v>
      </c>
    </row>
    <row r="927" spans="2:13" ht="15">
      <c r="B927" s="211"/>
      <c r="C927" s="197" t="s">
        <v>1882</v>
      </c>
      <c r="D927" s="198">
        <v>100009</v>
      </c>
      <c r="E927" s="198" t="s">
        <v>2129</v>
      </c>
      <c r="F927" s="199">
        <v>14356.820000000002</v>
      </c>
      <c r="G927" s="199"/>
      <c r="H927" s="199">
        <v>14356.820000000002</v>
      </c>
      <c r="I927" s="216">
        <v>1</v>
      </c>
      <c r="J927" s="201">
        <v>14356.820000000002</v>
      </c>
      <c r="K927" s="201">
        <v>1966.01</v>
      </c>
      <c r="L927" s="215"/>
      <c r="M927" s="217" t="s">
        <v>619</v>
      </c>
    </row>
    <row r="928" spans="2:13" ht="15">
      <c r="B928" s="211"/>
      <c r="C928" s="197" t="s">
        <v>1860</v>
      </c>
      <c r="D928" s="198">
        <v>100009</v>
      </c>
      <c r="E928" s="198" t="s">
        <v>2130</v>
      </c>
      <c r="F928" s="199">
        <v>10682.6</v>
      </c>
      <c r="G928" s="199"/>
      <c r="H928" s="199">
        <v>10682.6</v>
      </c>
      <c r="I928" s="216">
        <v>1</v>
      </c>
      <c r="J928" s="201">
        <v>10682.6</v>
      </c>
      <c r="K928" s="201">
        <v>19941.91</v>
      </c>
      <c r="L928" s="215"/>
      <c r="M928" s="217" t="s">
        <v>594</v>
      </c>
    </row>
    <row r="929" spans="1:13" ht="15">
      <c r="B929" s="211"/>
      <c r="C929" s="197" t="s">
        <v>2131</v>
      </c>
      <c r="D929" s="198">
        <v>100009</v>
      </c>
      <c r="E929" s="198" t="s">
        <v>2132</v>
      </c>
      <c r="F929" s="199"/>
      <c r="G929" s="199"/>
      <c r="H929" s="199">
        <v>0</v>
      </c>
      <c r="I929" s="216">
        <v>1</v>
      </c>
      <c r="J929" s="201">
        <v>0</v>
      </c>
      <c r="K929" s="201">
        <v>18720</v>
      </c>
      <c r="L929" s="215"/>
      <c r="M929" s="217" t="s">
        <v>571</v>
      </c>
    </row>
    <row r="930" spans="1:13">
      <c r="B930" s="211"/>
      <c r="C930" s="197" t="s">
        <v>1848</v>
      </c>
      <c r="D930" s="198">
        <v>100009</v>
      </c>
      <c r="E930" s="198" t="s">
        <v>2133</v>
      </c>
      <c r="F930" s="199">
        <v>270417.68</v>
      </c>
      <c r="G930" s="199"/>
      <c r="H930" s="199">
        <v>270417.68</v>
      </c>
      <c r="I930" s="216">
        <v>1</v>
      </c>
      <c r="J930" s="201">
        <v>270417.68</v>
      </c>
      <c r="K930" s="201">
        <v>439899.32</v>
      </c>
      <c r="L930" s="215"/>
      <c r="M930" s="194" t="s">
        <v>568</v>
      </c>
    </row>
    <row r="931" spans="1:13">
      <c r="B931" s="211"/>
      <c r="C931" s="197" t="s">
        <v>2134</v>
      </c>
      <c r="D931" s="198">
        <v>100009</v>
      </c>
      <c r="E931" s="198" t="s">
        <v>2133</v>
      </c>
      <c r="F931" s="199"/>
      <c r="G931" s="199"/>
      <c r="H931" s="199">
        <v>0</v>
      </c>
      <c r="I931" s="216">
        <v>1</v>
      </c>
      <c r="J931" s="201">
        <v>0</v>
      </c>
      <c r="K931" s="201">
        <v>0</v>
      </c>
      <c r="L931" s="215"/>
      <c r="M931" s="194" t="s">
        <v>568</v>
      </c>
    </row>
    <row r="932" spans="1:13">
      <c r="B932" s="211"/>
      <c r="C932" s="197" t="s">
        <v>2135</v>
      </c>
      <c r="D932" s="198">
        <v>100009</v>
      </c>
      <c r="E932" s="198" t="s">
        <v>2136</v>
      </c>
      <c r="F932" s="199">
        <v>-37179.800000000003</v>
      </c>
      <c r="G932" s="199"/>
      <c r="H932" s="199">
        <v>-37179.800000000003</v>
      </c>
      <c r="I932" s="216">
        <v>1</v>
      </c>
      <c r="J932" s="201">
        <v>-37179.800000000003</v>
      </c>
      <c r="K932" s="201">
        <v>-254900.22</v>
      </c>
      <c r="L932" s="215"/>
      <c r="M932" s="194" t="s">
        <v>364</v>
      </c>
    </row>
    <row r="933" spans="1:13">
      <c r="B933" s="211"/>
      <c r="C933" s="197"/>
      <c r="D933" s="198">
        <v>100009</v>
      </c>
      <c r="E933" s="198" t="s">
        <v>2107</v>
      </c>
      <c r="F933" s="199"/>
      <c r="G933" s="199"/>
      <c r="H933" s="199">
        <v>0</v>
      </c>
      <c r="I933" s="216">
        <v>1</v>
      </c>
      <c r="J933" s="201">
        <v>0</v>
      </c>
      <c r="K933" s="201"/>
      <c r="L933" s="215"/>
      <c r="M933" s="194"/>
    </row>
    <row r="934" spans="1:13">
      <c r="B934" s="211"/>
      <c r="C934" s="197"/>
      <c r="D934" s="198">
        <v>100009</v>
      </c>
      <c r="E934" s="198" t="s">
        <v>2107</v>
      </c>
      <c r="F934" s="199"/>
      <c r="G934" s="199"/>
      <c r="H934" s="199">
        <v>0</v>
      </c>
      <c r="I934" s="216">
        <v>1</v>
      </c>
      <c r="J934" s="201">
        <v>0</v>
      </c>
      <c r="K934" s="201"/>
      <c r="L934" s="215"/>
      <c r="M934" s="194"/>
    </row>
    <row r="935" spans="1:13">
      <c r="B935" s="211"/>
      <c r="C935" s="197"/>
      <c r="D935" s="198">
        <v>100009</v>
      </c>
      <c r="E935" s="198" t="s">
        <v>2107</v>
      </c>
      <c r="F935" s="199"/>
      <c r="G935" s="199"/>
      <c r="H935" s="199">
        <v>0</v>
      </c>
      <c r="I935" s="216">
        <v>1</v>
      </c>
      <c r="J935" s="201">
        <v>0</v>
      </c>
      <c r="K935" s="201"/>
      <c r="L935" s="215"/>
      <c r="M935" s="194"/>
    </row>
    <row r="936" spans="1:13">
      <c r="B936" s="211"/>
      <c r="C936" s="197"/>
      <c r="D936" s="198">
        <v>100009</v>
      </c>
      <c r="E936" s="198" t="s">
        <v>2107</v>
      </c>
      <c r="F936" s="199"/>
      <c r="G936" s="199"/>
      <c r="H936" s="199">
        <v>0</v>
      </c>
      <c r="I936" s="216">
        <v>1</v>
      </c>
      <c r="J936" s="201">
        <v>0</v>
      </c>
      <c r="K936" s="201"/>
      <c r="L936" s="215"/>
      <c r="M936" s="194"/>
    </row>
    <row r="937" spans="1:13">
      <c r="B937" s="211"/>
      <c r="C937" s="197"/>
      <c r="D937" s="198">
        <v>100009</v>
      </c>
      <c r="E937" s="198" t="s">
        <v>2107</v>
      </c>
      <c r="F937" s="199"/>
      <c r="G937" s="199"/>
      <c r="H937" s="199">
        <v>0</v>
      </c>
      <c r="I937" s="216"/>
      <c r="J937" s="201">
        <v>0</v>
      </c>
      <c r="K937" s="201"/>
      <c r="L937" s="215"/>
      <c r="M937" s="194"/>
    </row>
    <row r="938" spans="1:13">
      <c r="B938" s="211"/>
      <c r="C938" s="262"/>
      <c r="D938" s="262"/>
      <c r="E938" s="262"/>
      <c r="F938" s="265">
        <v>0</v>
      </c>
      <c r="G938" s="265"/>
      <c r="H938" s="265">
        <v>0</v>
      </c>
      <c r="I938" s="265"/>
      <c r="J938" s="263">
        <v>0</v>
      </c>
      <c r="K938" s="263"/>
      <c r="L938" s="246"/>
      <c r="M938" s="194"/>
    </row>
    <row r="939" spans="1:13">
      <c r="B939" s="211"/>
      <c r="C939" s="208"/>
      <c r="D939" s="208"/>
      <c r="E939" s="208"/>
      <c r="F939" s="244"/>
      <c r="G939" s="244"/>
      <c r="H939" s="244"/>
      <c r="I939" s="244"/>
      <c r="J939" s="245"/>
      <c r="K939" s="245"/>
      <c r="L939" s="215"/>
      <c r="M939" s="194"/>
    </row>
    <row r="940" spans="1:13" ht="13.5" thickBot="1">
      <c r="B940" s="266"/>
      <c r="C940" s="267"/>
      <c r="D940" s="267"/>
      <c r="E940" s="267"/>
      <c r="F940" s="268"/>
      <c r="G940" s="268"/>
      <c r="H940" s="268"/>
      <c r="I940" s="268"/>
      <c r="J940" s="269"/>
      <c r="K940" s="269"/>
      <c r="L940" s="280"/>
      <c r="M940" s="194"/>
    </row>
    <row r="941" spans="1:13" s="284" customFormat="1" ht="14.25" thickTop="1" thickBot="1">
      <c r="A941" s="283"/>
      <c r="F941" s="285"/>
      <c r="G941" s="285"/>
      <c r="H941" s="285"/>
      <c r="I941" s="285"/>
      <c r="J941" s="286"/>
      <c r="K941" s="286"/>
      <c r="M941" s="212"/>
    </row>
    <row r="942" spans="1:13" ht="13.5" thickTop="1">
      <c r="B942" s="238"/>
      <c r="C942" s="239"/>
      <c r="D942" s="239"/>
      <c r="E942" s="239"/>
      <c r="F942" s="240"/>
      <c r="G942" s="240"/>
      <c r="H942" s="240"/>
      <c r="I942" s="240"/>
      <c r="J942" s="241"/>
      <c r="K942" s="241"/>
      <c r="L942" s="271"/>
      <c r="M942" s="194"/>
    </row>
    <row r="943" spans="1:13">
      <c r="B943" s="211"/>
      <c r="C943" s="208" t="s">
        <v>632</v>
      </c>
      <c r="D943" s="243"/>
      <c r="E943" s="243">
        <v>100010</v>
      </c>
      <c r="F943" s="243">
        <v>100010</v>
      </c>
      <c r="G943" s="243">
        <v>100010</v>
      </c>
      <c r="H943" s="243">
        <v>100010</v>
      </c>
      <c r="I943" s="243">
        <v>100010</v>
      </c>
      <c r="J943" s="245">
        <v>100010</v>
      </c>
      <c r="K943" s="245">
        <v>100010</v>
      </c>
      <c r="L943" s="215"/>
      <c r="M943" s="194"/>
    </row>
    <row r="944" spans="1:13" s="210" customFormat="1">
      <c r="A944" s="196"/>
      <c r="B944" s="247"/>
      <c r="C944" s="248" t="s">
        <v>2</v>
      </c>
      <c r="D944" s="331"/>
      <c r="E944" s="331" t="s">
        <v>769</v>
      </c>
      <c r="F944" s="331" t="s">
        <v>769</v>
      </c>
      <c r="G944" s="331" t="s">
        <v>769</v>
      </c>
      <c r="H944" s="331" t="s">
        <v>769</v>
      </c>
      <c r="I944" s="331" t="s">
        <v>769</v>
      </c>
      <c r="J944" s="250" t="s">
        <v>769</v>
      </c>
      <c r="K944" s="250" t="s">
        <v>769</v>
      </c>
      <c r="L944" s="281"/>
    </row>
    <row r="945" spans="1:13" ht="38.25">
      <c r="A945" s="237">
        <v>100010</v>
      </c>
      <c r="B945" s="211"/>
      <c r="C945" s="208" t="s">
        <v>634</v>
      </c>
      <c r="D945" s="253" t="s">
        <v>2137</v>
      </c>
      <c r="E945" s="253" t="s">
        <v>1010</v>
      </c>
      <c r="F945" s="253" t="s">
        <v>1010</v>
      </c>
      <c r="G945" s="253" t="s">
        <v>1010</v>
      </c>
      <c r="H945" s="253" t="s">
        <v>1010</v>
      </c>
      <c r="I945" s="253" t="s">
        <v>1010</v>
      </c>
      <c r="J945" s="245" t="s">
        <v>1010</v>
      </c>
      <c r="K945" s="245" t="s">
        <v>1010</v>
      </c>
      <c r="L945" s="215"/>
      <c r="M945" s="194"/>
    </row>
    <row r="946" spans="1:13">
      <c r="B946" s="211"/>
      <c r="C946" s="208"/>
      <c r="D946" s="208"/>
      <c r="E946" s="208"/>
      <c r="F946" s="254">
        <v>-0.32</v>
      </c>
      <c r="G946" s="244"/>
      <c r="H946" s="334" t="s">
        <v>2833</v>
      </c>
      <c r="I946" s="253"/>
      <c r="K946" s="255" t="s">
        <v>1021</v>
      </c>
      <c r="L946" s="215"/>
      <c r="M946" s="194"/>
    </row>
    <row r="947" spans="1:13" ht="25.5">
      <c r="B947" s="211"/>
      <c r="C947" s="256" t="s">
        <v>3</v>
      </c>
      <c r="D947" s="256" t="s">
        <v>1</v>
      </c>
      <c r="E947" s="256" t="s">
        <v>635</v>
      </c>
      <c r="F947" s="257" t="s">
        <v>1898</v>
      </c>
      <c r="G947" s="257" t="s">
        <v>636</v>
      </c>
      <c r="H947" s="257" t="s">
        <v>1898</v>
      </c>
      <c r="I947" s="282" t="s">
        <v>637</v>
      </c>
      <c r="J947" s="259" t="s">
        <v>638</v>
      </c>
      <c r="K947" s="259" t="s">
        <v>638</v>
      </c>
      <c r="L947" s="203"/>
      <c r="M947" s="194"/>
    </row>
    <row r="948" spans="1:13" ht="15">
      <c r="B948" s="211"/>
      <c r="C948" s="197" t="s">
        <v>1787</v>
      </c>
      <c r="D948" s="198">
        <v>100010</v>
      </c>
      <c r="E948" s="198" t="s">
        <v>2138</v>
      </c>
      <c r="F948" s="224">
        <v>-601950</v>
      </c>
      <c r="G948" s="199"/>
      <c r="H948" s="199">
        <v>-601950</v>
      </c>
      <c r="I948" s="216">
        <v>1</v>
      </c>
      <c r="J948" s="201">
        <v>-601950</v>
      </c>
      <c r="K948" s="201">
        <v>-601950</v>
      </c>
      <c r="L948" s="215"/>
      <c r="M948" s="217" t="s">
        <v>365</v>
      </c>
    </row>
    <row r="949" spans="1:13" ht="15">
      <c r="B949" s="211"/>
      <c r="C949" s="197" t="s">
        <v>1789</v>
      </c>
      <c r="D949" s="198">
        <v>100010</v>
      </c>
      <c r="E949" s="198" t="s">
        <v>2139</v>
      </c>
      <c r="F949" s="224"/>
      <c r="G949" s="199"/>
      <c r="H949" s="199">
        <v>0</v>
      </c>
      <c r="I949" s="216">
        <v>1</v>
      </c>
      <c r="J949" s="201">
        <v>0</v>
      </c>
      <c r="K949" s="201">
        <v>0</v>
      </c>
      <c r="L949" s="215"/>
      <c r="M949" s="217" t="s">
        <v>356</v>
      </c>
    </row>
    <row r="950" spans="1:13" ht="15">
      <c r="B950" s="211"/>
      <c r="C950" s="197" t="s">
        <v>2108</v>
      </c>
      <c r="D950" s="198">
        <v>100010</v>
      </c>
      <c r="E950" s="198" t="s">
        <v>2140</v>
      </c>
      <c r="F950" s="224">
        <v>-4314082.7299999995</v>
      </c>
      <c r="G950" s="199"/>
      <c r="H950" s="199">
        <v>-4314082.7299999995</v>
      </c>
      <c r="I950" s="216">
        <v>1</v>
      </c>
      <c r="J950" s="201">
        <v>-4314082.7299999995</v>
      </c>
      <c r="K950" s="201">
        <v>-4253021.7299999995</v>
      </c>
      <c r="L950" s="215"/>
      <c r="M950" s="217" t="s">
        <v>380</v>
      </c>
    </row>
    <row r="951" spans="1:13" ht="15">
      <c r="B951" s="211"/>
      <c r="C951" s="197" t="s">
        <v>2141</v>
      </c>
      <c r="D951" s="198">
        <v>100010</v>
      </c>
      <c r="E951" s="198" t="s">
        <v>2142</v>
      </c>
      <c r="F951" s="224"/>
      <c r="G951" s="199"/>
      <c r="H951" s="199">
        <v>0</v>
      </c>
      <c r="I951" s="216">
        <v>1</v>
      </c>
      <c r="J951" s="201">
        <v>0</v>
      </c>
      <c r="K951" s="201">
        <v>0</v>
      </c>
      <c r="L951" s="215"/>
      <c r="M951" s="217" t="s">
        <v>382</v>
      </c>
    </row>
    <row r="952" spans="1:13" ht="15">
      <c r="B952" s="211"/>
      <c r="C952" s="197" t="s">
        <v>1907</v>
      </c>
      <c r="D952" s="198">
        <v>100010</v>
      </c>
      <c r="E952" s="198" t="s">
        <v>2143</v>
      </c>
      <c r="F952" s="224"/>
      <c r="G952" s="199"/>
      <c r="H952" s="199">
        <v>0</v>
      </c>
      <c r="I952" s="216">
        <v>1</v>
      </c>
      <c r="J952" s="201">
        <v>0</v>
      </c>
      <c r="K952" s="201">
        <v>0</v>
      </c>
      <c r="L952" s="215"/>
      <c r="M952" s="217" t="s">
        <v>387</v>
      </c>
    </row>
    <row r="953" spans="1:13" ht="15">
      <c r="B953" s="211"/>
      <c r="C953" s="197" t="s">
        <v>2144</v>
      </c>
      <c r="D953" s="198">
        <v>100010</v>
      </c>
      <c r="E953" s="198" t="s">
        <v>2145</v>
      </c>
      <c r="F953" s="224"/>
      <c r="G953" s="199"/>
      <c r="H953" s="199">
        <v>0</v>
      </c>
      <c r="I953" s="216">
        <v>1</v>
      </c>
      <c r="J953" s="201">
        <v>0</v>
      </c>
      <c r="K953" s="201">
        <v>0</v>
      </c>
      <c r="L953" s="215"/>
      <c r="M953" s="217"/>
    </row>
    <row r="954" spans="1:13" ht="15">
      <c r="B954" s="211"/>
      <c r="C954" s="197" t="s">
        <v>2146</v>
      </c>
      <c r="D954" s="198">
        <v>100010</v>
      </c>
      <c r="E954" s="198" t="s">
        <v>2147</v>
      </c>
      <c r="F954" s="224"/>
      <c r="G954" s="199"/>
      <c r="H954" s="199">
        <v>0</v>
      </c>
      <c r="I954" s="216">
        <v>1</v>
      </c>
      <c r="J954" s="201">
        <v>0</v>
      </c>
      <c r="K954" s="201">
        <v>0</v>
      </c>
      <c r="L954" s="215"/>
      <c r="M954" s="217" t="s">
        <v>405</v>
      </c>
    </row>
    <row r="955" spans="1:13" ht="15">
      <c r="B955" s="211"/>
      <c r="C955" s="197" t="s">
        <v>1904</v>
      </c>
      <c r="D955" s="198">
        <v>100010</v>
      </c>
      <c r="E955" s="198" t="s">
        <v>2145</v>
      </c>
      <c r="F955" s="224"/>
      <c r="G955" s="199"/>
      <c r="H955" s="199">
        <v>0</v>
      </c>
      <c r="I955" s="216">
        <v>1</v>
      </c>
      <c r="J955" s="201">
        <v>0</v>
      </c>
      <c r="K955" s="201">
        <v>0</v>
      </c>
      <c r="L955" s="215"/>
      <c r="M955" s="217"/>
    </row>
    <row r="956" spans="1:13" ht="15">
      <c r="B956" s="211"/>
      <c r="C956" s="197" t="s">
        <v>1911</v>
      </c>
      <c r="D956" s="198">
        <v>100010</v>
      </c>
      <c r="E956" s="198" t="s">
        <v>2148</v>
      </c>
      <c r="F956" s="224">
        <v>1989115.7800000003</v>
      </c>
      <c r="G956" s="199"/>
      <c r="H956" s="199">
        <v>1989115.7800000003</v>
      </c>
      <c r="I956" s="216">
        <v>1</v>
      </c>
      <c r="J956" s="201">
        <v>1989115.7800000003</v>
      </c>
      <c r="K956" s="201">
        <v>2056923.0899999996</v>
      </c>
      <c r="L956" s="215"/>
      <c r="M956" s="217" t="s">
        <v>357</v>
      </c>
    </row>
    <row r="957" spans="1:13" ht="15">
      <c r="B957" s="211"/>
      <c r="C957" s="197" t="s">
        <v>676</v>
      </c>
      <c r="D957" s="198">
        <v>100010</v>
      </c>
      <c r="E957" s="198" t="s">
        <v>2149</v>
      </c>
      <c r="F957" s="224">
        <v>52852.140000000014</v>
      </c>
      <c r="G957" s="199"/>
      <c r="H957" s="199">
        <v>52852.140000000014</v>
      </c>
      <c r="I957" s="216">
        <v>1</v>
      </c>
      <c r="J957" s="201">
        <v>52852.140000000014</v>
      </c>
      <c r="K957" s="201">
        <v>32966.30999999999</v>
      </c>
      <c r="L957" s="215"/>
      <c r="M957" s="217" t="s">
        <v>358</v>
      </c>
    </row>
    <row r="958" spans="1:13" ht="15">
      <c r="B958" s="211"/>
      <c r="C958" s="197" t="s">
        <v>1913</v>
      </c>
      <c r="D958" s="198">
        <v>100010</v>
      </c>
      <c r="E958" s="198" t="s">
        <v>2150</v>
      </c>
      <c r="F958" s="224">
        <v>258.23</v>
      </c>
      <c r="G958" s="199"/>
      <c r="H958" s="199">
        <v>258.23</v>
      </c>
      <c r="I958" s="216">
        <v>1</v>
      </c>
      <c r="J958" s="201">
        <v>258.23</v>
      </c>
      <c r="K958" s="201">
        <v>258.23</v>
      </c>
      <c r="L958" s="215"/>
      <c r="M958" s="217" t="s">
        <v>441</v>
      </c>
    </row>
    <row r="959" spans="1:13" ht="15">
      <c r="B959" s="211"/>
      <c r="C959" s="197" t="s">
        <v>2151</v>
      </c>
      <c r="D959" s="198">
        <v>100010</v>
      </c>
      <c r="E959" s="198" t="s">
        <v>2145</v>
      </c>
      <c r="F959" s="224"/>
      <c r="G959" s="199"/>
      <c r="H959" s="199">
        <v>0</v>
      </c>
      <c r="I959" s="216">
        <v>1</v>
      </c>
      <c r="J959" s="201">
        <v>0</v>
      </c>
      <c r="K959" s="201">
        <v>0</v>
      </c>
      <c r="L959" s="215"/>
      <c r="M959" s="217"/>
    </row>
    <row r="960" spans="1:13" ht="15">
      <c r="B960" s="211"/>
      <c r="C960" s="197" t="s">
        <v>1802</v>
      </c>
      <c r="D960" s="198">
        <v>100010</v>
      </c>
      <c r="E960" s="198" t="s">
        <v>2152</v>
      </c>
      <c r="F960" s="224">
        <v>3808850.79</v>
      </c>
      <c r="G960" s="199"/>
      <c r="H960" s="199">
        <v>3808850.79</v>
      </c>
      <c r="I960" s="216">
        <v>1</v>
      </c>
      <c r="J960" s="201">
        <v>3808850.79</v>
      </c>
      <c r="K960" s="201">
        <v>5979952.7299999995</v>
      </c>
      <c r="L960" s="215"/>
      <c r="M960" s="217" t="s">
        <v>484</v>
      </c>
    </row>
    <row r="961" spans="2:13" ht="15">
      <c r="B961" s="211"/>
      <c r="C961" s="197" t="s">
        <v>2153</v>
      </c>
      <c r="D961" s="198">
        <v>100010</v>
      </c>
      <c r="E961" s="198" t="s">
        <v>2154</v>
      </c>
      <c r="F961" s="224">
        <v>26582.400000000001</v>
      </c>
      <c r="G961" s="199"/>
      <c r="H961" s="199">
        <v>26582.400000000001</v>
      </c>
      <c r="I961" s="216">
        <v>1</v>
      </c>
      <c r="J961" s="201">
        <v>26582.400000000001</v>
      </c>
      <c r="K961" s="201">
        <v>0</v>
      </c>
      <c r="L961" s="215"/>
      <c r="M961" s="217" t="s">
        <v>488</v>
      </c>
    </row>
    <row r="962" spans="2:13" ht="15">
      <c r="B962" s="211"/>
      <c r="C962" s="197" t="s">
        <v>2155</v>
      </c>
      <c r="D962" s="198">
        <v>100010</v>
      </c>
      <c r="E962" s="198" t="s">
        <v>2152</v>
      </c>
      <c r="F962" s="224">
        <v>39400.11</v>
      </c>
      <c r="G962" s="199"/>
      <c r="H962" s="199">
        <v>39400.11</v>
      </c>
      <c r="I962" s="216">
        <v>1</v>
      </c>
      <c r="J962" s="201">
        <v>39400.11</v>
      </c>
      <c r="K962" s="201">
        <v>210430.12</v>
      </c>
      <c r="L962" s="215"/>
      <c r="M962" s="217" t="s">
        <v>484</v>
      </c>
    </row>
    <row r="963" spans="2:13" ht="15">
      <c r="B963" s="211"/>
      <c r="C963" s="197" t="s">
        <v>1806</v>
      </c>
      <c r="D963" s="198">
        <v>100010</v>
      </c>
      <c r="E963" s="198" t="s">
        <v>2156</v>
      </c>
      <c r="F963" s="224">
        <v>3479.3599999999997</v>
      </c>
      <c r="G963" s="199"/>
      <c r="H963" s="199">
        <v>3479.3599999999997</v>
      </c>
      <c r="I963" s="216">
        <v>1</v>
      </c>
      <c r="J963" s="201">
        <v>3479.3599999999997</v>
      </c>
      <c r="K963" s="201">
        <v>2051.3000000000002</v>
      </c>
      <c r="L963" s="215"/>
      <c r="M963" s="217" t="s">
        <v>494</v>
      </c>
    </row>
    <row r="964" spans="2:13" ht="15">
      <c r="B964" s="211"/>
      <c r="C964" s="197" t="s">
        <v>2157</v>
      </c>
      <c r="D964" s="198">
        <v>100010</v>
      </c>
      <c r="E964" s="198" t="s">
        <v>2158</v>
      </c>
      <c r="F964" s="224"/>
      <c r="G964" s="199"/>
      <c r="H964" s="199">
        <v>0</v>
      </c>
      <c r="I964" s="216">
        <v>1</v>
      </c>
      <c r="J964" s="201">
        <v>0</v>
      </c>
      <c r="K964" s="201">
        <v>0</v>
      </c>
      <c r="L964" s="215"/>
      <c r="M964" s="217" t="s">
        <v>394</v>
      </c>
    </row>
    <row r="965" spans="2:13" ht="15">
      <c r="B965" s="211"/>
      <c r="C965" s="197" t="s">
        <v>2123</v>
      </c>
      <c r="D965" s="198">
        <v>100010</v>
      </c>
      <c r="E965" s="198" t="s">
        <v>2159</v>
      </c>
      <c r="F965" s="224"/>
      <c r="G965" s="199"/>
      <c r="H965" s="199">
        <v>0</v>
      </c>
      <c r="I965" s="216">
        <v>1</v>
      </c>
      <c r="J965" s="201">
        <v>0</v>
      </c>
      <c r="K965" s="201">
        <v>0</v>
      </c>
      <c r="L965" s="215"/>
      <c r="M965" s="217" t="s">
        <v>443</v>
      </c>
    </row>
    <row r="966" spans="2:13" ht="15">
      <c r="B966" s="211"/>
      <c r="C966" s="197" t="s">
        <v>2160</v>
      </c>
      <c r="D966" s="198">
        <v>100010</v>
      </c>
      <c r="E966" s="198" t="s">
        <v>2161</v>
      </c>
      <c r="F966" s="224"/>
      <c r="G966" s="199"/>
      <c r="H966" s="199">
        <v>0</v>
      </c>
      <c r="I966" s="216">
        <v>1</v>
      </c>
      <c r="J966" s="201">
        <v>0</v>
      </c>
      <c r="K966" s="201">
        <v>0</v>
      </c>
      <c r="L966" s="215"/>
      <c r="M966" s="217" t="s">
        <v>431</v>
      </c>
    </row>
    <row r="967" spans="2:13" ht="15">
      <c r="B967" s="211"/>
      <c r="C967" s="197" t="s">
        <v>1930</v>
      </c>
      <c r="D967" s="198">
        <v>100010</v>
      </c>
      <c r="E967" s="198" t="s">
        <v>2162</v>
      </c>
      <c r="F967" s="224"/>
      <c r="G967" s="199"/>
      <c r="H967" s="199">
        <v>0</v>
      </c>
      <c r="I967" s="216">
        <v>1</v>
      </c>
      <c r="J967" s="201">
        <v>0</v>
      </c>
      <c r="K967" s="201">
        <v>0</v>
      </c>
      <c r="L967" s="215"/>
      <c r="M967" s="217" t="s">
        <v>510</v>
      </c>
    </row>
    <row r="968" spans="2:13" ht="15">
      <c r="B968" s="211"/>
      <c r="C968" s="197" t="s">
        <v>1808</v>
      </c>
      <c r="D968" s="198">
        <v>100010</v>
      </c>
      <c r="E968" s="198" t="s">
        <v>2163</v>
      </c>
      <c r="F968" s="224">
        <v>-2779988.7</v>
      </c>
      <c r="G968" s="199"/>
      <c r="H968" s="199">
        <v>-2779988.7</v>
      </c>
      <c r="I968" s="216">
        <v>1</v>
      </c>
      <c r="J968" s="201">
        <v>-2779988.7</v>
      </c>
      <c r="K968" s="201">
        <v>-3805654.2600000002</v>
      </c>
      <c r="L968" s="215"/>
      <c r="M968" s="217" t="s">
        <v>403</v>
      </c>
    </row>
    <row r="969" spans="2:13" ht="15">
      <c r="B969" s="211"/>
      <c r="C969" s="197" t="s">
        <v>1928</v>
      </c>
      <c r="D969" s="198">
        <v>100010</v>
      </c>
      <c r="E969" s="198" t="s">
        <v>2162</v>
      </c>
      <c r="F969" s="224">
        <v>242178.54</v>
      </c>
      <c r="G969" s="199"/>
      <c r="H969" s="199">
        <v>242178.54</v>
      </c>
      <c r="I969" s="216">
        <v>1</v>
      </c>
      <c r="J969" s="201">
        <v>242178.54</v>
      </c>
      <c r="K969" s="201">
        <v>115024.26000000001</v>
      </c>
      <c r="L969" s="215"/>
      <c r="M969" s="217" t="s">
        <v>510</v>
      </c>
    </row>
    <row r="970" spans="2:13" ht="15">
      <c r="B970" s="211"/>
      <c r="C970" s="197" t="s">
        <v>1931</v>
      </c>
      <c r="D970" s="198">
        <v>100010</v>
      </c>
      <c r="E970" s="198" t="s">
        <v>2164</v>
      </c>
      <c r="F970" s="224">
        <v>5757.22</v>
      </c>
      <c r="G970" s="199"/>
      <c r="H970" s="199">
        <v>5757.22</v>
      </c>
      <c r="I970" s="216">
        <v>1</v>
      </c>
      <c r="J970" s="201">
        <v>5757.22</v>
      </c>
      <c r="K970" s="201">
        <v>5757.22</v>
      </c>
      <c r="L970" s="215"/>
      <c r="M970" s="217" t="s">
        <v>449</v>
      </c>
    </row>
    <row r="971" spans="2:13" ht="15">
      <c r="B971" s="211"/>
      <c r="C971" s="197" t="s">
        <v>1816</v>
      </c>
      <c r="D971" s="198">
        <v>100010</v>
      </c>
      <c r="E971" s="198" t="s">
        <v>2145</v>
      </c>
      <c r="F971" s="224"/>
      <c r="G971" s="199"/>
      <c r="H971" s="199">
        <v>0</v>
      </c>
      <c r="I971" s="216">
        <v>1</v>
      </c>
      <c r="J971" s="201">
        <v>0</v>
      </c>
      <c r="K971" s="201">
        <v>0</v>
      </c>
      <c r="L971" s="215"/>
      <c r="M971" s="217"/>
    </row>
    <row r="972" spans="2:13" ht="15">
      <c r="B972" s="211"/>
      <c r="C972" s="197" t="s">
        <v>1797</v>
      </c>
      <c r="D972" s="198">
        <v>100010</v>
      </c>
      <c r="E972" s="198" t="s">
        <v>2165</v>
      </c>
      <c r="F972" s="224">
        <v>-2375267.5900000003</v>
      </c>
      <c r="G972" s="199"/>
      <c r="H972" s="199">
        <v>-2375267.5900000003</v>
      </c>
      <c r="I972" s="216">
        <v>1</v>
      </c>
      <c r="J972" s="201">
        <v>-2375267.5900000003</v>
      </c>
      <c r="K972" s="201">
        <v>-4038051.16</v>
      </c>
      <c r="L972" s="215"/>
      <c r="M972" s="217" t="s">
        <v>410</v>
      </c>
    </row>
    <row r="973" spans="2:13" ht="15">
      <c r="B973" s="211"/>
      <c r="C973" s="197" t="s">
        <v>2166</v>
      </c>
      <c r="D973" s="198">
        <v>100010</v>
      </c>
      <c r="E973" s="198" t="s">
        <v>2165</v>
      </c>
      <c r="F973" s="224">
        <v>-1241938.96</v>
      </c>
      <c r="G973" s="199"/>
      <c r="H973" s="199">
        <v>-1241938.96</v>
      </c>
      <c r="I973" s="216">
        <v>1</v>
      </c>
      <c r="J973" s="201">
        <v>-1241938.96</v>
      </c>
      <c r="K973" s="201">
        <v>-914415.29</v>
      </c>
      <c r="L973" s="215"/>
      <c r="M973" s="217" t="s">
        <v>410</v>
      </c>
    </row>
    <row r="974" spans="2:13" ht="15">
      <c r="B974" s="211"/>
      <c r="C974" s="197" t="s">
        <v>1934</v>
      </c>
      <c r="D974" s="198">
        <v>100010</v>
      </c>
      <c r="E974" s="198" t="s">
        <v>2161</v>
      </c>
      <c r="F974" s="224">
        <v>-1029796.6399999999</v>
      </c>
      <c r="G974" s="199"/>
      <c r="H974" s="199">
        <v>-1029796.6399999999</v>
      </c>
      <c r="I974" s="216">
        <v>1</v>
      </c>
      <c r="J974" s="201">
        <v>-1029796.6399999999</v>
      </c>
      <c r="K974" s="201">
        <v>-1524679.03</v>
      </c>
      <c r="L974" s="215"/>
      <c r="M974" s="217" t="s">
        <v>431</v>
      </c>
    </row>
    <row r="975" spans="2:13" ht="15">
      <c r="B975" s="211"/>
      <c r="C975" s="197" t="s">
        <v>2167</v>
      </c>
      <c r="D975" s="198">
        <v>100010</v>
      </c>
      <c r="E975" s="198" t="s">
        <v>2168</v>
      </c>
      <c r="F975" s="224">
        <v>-82484.55</v>
      </c>
      <c r="G975" s="199"/>
      <c r="H975" s="199">
        <v>-82484.55</v>
      </c>
      <c r="I975" s="216">
        <v>1</v>
      </c>
      <c r="J975" s="201">
        <v>-82484.55</v>
      </c>
      <c r="K975" s="201">
        <v>-92108.07</v>
      </c>
      <c r="L975" s="215"/>
      <c r="M975" s="217" t="s">
        <v>419</v>
      </c>
    </row>
    <row r="976" spans="2:13" ht="15">
      <c r="B976" s="211"/>
      <c r="C976" s="197" t="s">
        <v>2169</v>
      </c>
      <c r="D976" s="198">
        <v>100010</v>
      </c>
      <c r="E976" s="198" t="s">
        <v>2170</v>
      </c>
      <c r="F976" s="224">
        <v>-250000</v>
      </c>
      <c r="G976" s="199"/>
      <c r="H976" s="199">
        <v>-250000</v>
      </c>
      <c r="I976" s="216">
        <v>1</v>
      </c>
      <c r="J976" s="201">
        <v>-250000</v>
      </c>
      <c r="K976" s="201">
        <v>0</v>
      </c>
      <c r="L976" s="215"/>
      <c r="M976" s="217" t="s">
        <v>428</v>
      </c>
    </row>
    <row r="977" spans="2:13" ht="15">
      <c r="B977" s="211"/>
      <c r="C977" s="197" t="s">
        <v>2119</v>
      </c>
      <c r="D977" s="198">
        <v>100010</v>
      </c>
      <c r="E977" s="198" t="s">
        <v>2145</v>
      </c>
      <c r="F977" s="224"/>
      <c r="G977" s="199"/>
      <c r="H977" s="199">
        <v>0</v>
      </c>
      <c r="I977" s="216">
        <v>1</v>
      </c>
      <c r="J977" s="201">
        <v>0</v>
      </c>
      <c r="K977" s="201">
        <v>0</v>
      </c>
      <c r="L977" s="215"/>
      <c r="M977" s="217"/>
    </row>
    <row r="978" spans="2:13" ht="15">
      <c r="B978" s="211"/>
      <c r="C978" s="197" t="s">
        <v>2171</v>
      </c>
      <c r="D978" s="198">
        <v>100010</v>
      </c>
      <c r="E978" s="198" t="s">
        <v>2172</v>
      </c>
      <c r="F978" s="224">
        <v>-198861</v>
      </c>
      <c r="G978" s="199"/>
      <c r="H978" s="199">
        <v>-198861</v>
      </c>
      <c r="I978" s="216">
        <v>1</v>
      </c>
      <c r="J978" s="201">
        <v>-198861</v>
      </c>
      <c r="K978" s="201">
        <v>0</v>
      </c>
      <c r="L978" s="215"/>
      <c r="M978" s="217" t="s">
        <v>421</v>
      </c>
    </row>
    <row r="979" spans="2:13" ht="15">
      <c r="B979" s="211"/>
      <c r="C979" s="197" t="s">
        <v>2173</v>
      </c>
      <c r="D979" s="198">
        <v>100010</v>
      </c>
      <c r="E979" s="198" t="s">
        <v>2852</v>
      </c>
      <c r="F979" s="224">
        <v>-65654.039999999994</v>
      </c>
      <c r="G979" s="199"/>
      <c r="H979" s="199">
        <v>-65654.039999999994</v>
      </c>
      <c r="I979" s="216">
        <v>1</v>
      </c>
      <c r="J979" s="201">
        <v>-65654.039999999994</v>
      </c>
      <c r="K979" s="201">
        <v>0</v>
      </c>
      <c r="L979" s="215"/>
      <c r="M979" s="217" t="s">
        <v>424</v>
      </c>
    </row>
    <row r="980" spans="2:13" ht="15">
      <c r="B980" s="211"/>
      <c r="C980" s="197" t="s">
        <v>2175</v>
      </c>
      <c r="D980" s="198">
        <v>100010</v>
      </c>
      <c r="E980" s="198" t="s">
        <v>2145</v>
      </c>
      <c r="F980" s="224"/>
      <c r="G980" s="199"/>
      <c r="H980" s="199">
        <v>0</v>
      </c>
      <c r="I980" s="216">
        <v>1</v>
      </c>
      <c r="J980" s="201">
        <v>0</v>
      </c>
      <c r="K980" s="201">
        <v>0</v>
      </c>
      <c r="L980" s="215"/>
      <c r="M980" s="217"/>
    </row>
    <row r="981" spans="2:13" ht="15">
      <c r="B981" s="211"/>
      <c r="C981" s="197" t="s">
        <v>2176</v>
      </c>
      <c r="D981" s="198">
        <v>100010</v>
      </c>
      <c r="E981" s="198" t="s">
        <v>2177</v>
      </c>
      <c r="F981" s="224">
        <v>3834324.0199999996</v>
      </c>
      <c r="G981" s="199"/>
      <c r="H981" s="199">
        <v>3834324.0199999996</v>
      </c>
      <c r="I981" s="216">
        <v>1</v>
      </c>
      <c r="J981" s="201">
        <v>3834324.0199999996</v>
      </c>
      <c r="K981" s="201">
        <v>4426582.38</v>
      </c>
      <c r="L981" s="215"/>
      <c r="M981" s="217" t="s">
        <v>476</v>
      </c>
    </row>
    <row r="982" spans="2:13" ht="15">
      <c r="B982" s="211"/>
      <c r="C982" s="197" t="s">
        <v>2178</v>
      </c>
      <c r="D982" s="198">
        <v>100010</v>
      </c>
      <c r="E982" s="198" t="s">
        <v>2179</v>
      </c>
      <c r="F982" s="224">
        <v>1423287.56</v>
      </c>
      <c r="G982" s="199"/>
      <c r="H982" s="199">
        <v>1423287.56</v>
      </c>
      <c r="I982" s="216">
        <v>1</v>
      </c>
      <c r="J982" s="201">
        <v>1423287.56</v>
      </c>
      <c r="K982" s="201">
        <v>1706695.02</v>
      </c>
      <c r="L982" s="215"/>
      <c r="M982" s="217" t="s">
        <v>477</v>
      </c>
    </row>
    <row r="983" spans="2:13" ht="15">
      <c r="B983" s="211"/>
      <c r="C983" s="197" t="s">
        <v>2180</v>
      </c>
      <c r="D983" s="198">
        <v>100010</v>
      </c>
      <c r="E983" s="198" t="s">
        <v>2181</v>
      </c>
      <c r="F983" s="224">
        <v>1527448.92</v>
      </c>
      <c r="G983" s="199"/>
      <c r="H983" s="199">
        <v>1527448.92</v>
      </c>
      <c r="I983" s="216">
        <v>1</v>
      </c>
      <c r="J983" s="201">
        <v>1527448.92</v>
      </c>
      <c r="K983" s="201">
        <v>1373504.8</v>
      </c>
      <c r="L983" s="215"/>
      <c r="M983" s="217" t="s">
        <v>478</v>
      </c>
    </row>
    <row r="984" spans="2:13" ht="15">
      <c r="B984" s="211"/>
      <c r="C984" s="197" t="s">
        <v>2182</v>
      </c>
      <c r="D984" s="198">
        <v>100010</v>
      </c>
      <c r="E984" s="198" t="s">
        <v>2183</v>
      </c>
      <c r="F984" s="224"/>
      <c r="G984" s="199"/>
      <c r="H984" s="199">
        <v>0</v>
      </c>
      <c r="I984" s="216">
        <v>1</v>
      </c>
      <c r="J984" s="201">
        <v>0</v>
      </c>
      <c r="K984" s="201">
        <v>0</v>
      </c>
      <c r="L984" s="215"/>
      <c r="M984" s="217" t="s">
        <v>512</v>
      </c>
    </row>
    <row r="985" spans="2:13" ht="15">
      <c r="B985" s="211"/>
      <c r="C985" s="197" t="s">
        <v>2184</v>
      </c>
      <c r="D985" s="198">
        <v>100010</v>
      </c>
      <c r="E985" s="198" t="s">
        <v>2852</v>
      </c>
      <c r="F985" s="224">
        <v>42329.440000000002</v>
      </c>
      <c r="G985" s="199"/>
      <c r="H985" s="199">
        <v>42329.440000000002</v>
      </c>
      <c r="I985" s="216">
        <v>1</v>
      </c>
      <c r="J985" s="201">
        <v>42329.440000000002</v>
      </c>
      <c r="K985" s="201">
        <v>152692.57999999999</v>
      </c>
      <c r="L985" s="215"/>
      <c r="M985" s="217" t="s">
        <v>424</v>
      </c>
    </row>
    <row r="986" spans="2:13" ht="15">
      <c r="B986" s="211"/>
      <c r="C986" s="197" t="s">
        <v>2121</v>
      </c>
      <c r="D986" s="198">
        <v>100010</v>
      </c>
      <c r="E986" s="198" t="s">
        <v>2185</v>
      </c>
      <c r="F986" s="224">
        <v>46974.63</v>
      </c>
      <c r="G986" s="199"/>
      <c r="H986" s="199">
        <v>46974.63</v>
      </c>
      <c r="I986" s="216">
        <v>1</v>
      </c>
      <c r="J986" s="201">
        <v>46974.63</v>
      </c>
      <c r="K986" s="201">
        <v>2934.36</v>
      </c>
      <c r="L986" s="215"/>
      <c r="M986" s="217" t="s">
        <v>514</v>
      </c>
    </row>
    <row r="987" spans="2:13" ht="15">
      <c r="B987" s="211"/>
      <c r="C987" s="197" t="s">
        <v>2186</v>
      </c>
      <c r="D987" s="198">
        <v>100010</v>
      </c>
      <c r="E987" s="198" t="s">
        <v>2187</v>
      </c>
      <c r="F987" s="224">
        <v>-173854</v>
      </c>
      <c r="G987" s="199"/>
      <c r="H987" s="199">
        <v>-173854</v>
      </c>
      <c r="I987" s="216">
        <v>1</v>
      </c>
      <c r="J987" s="201">
        <v>-173854</v>
      </c>
      <c r="K987" s="201">
        <v>-31140</v>
      </c>
      <c r="L987" s="215"/>
      <c r="M987" s="217" t="s">
        <v>426</v>
      </c>
    </row>
    <row r="988" spans="2:13" ht="15">
      <c r="B988" s="211"/>
      <c r="C988" s="197" t="s">
        <v>1814</v>
      </c>
      <c r="D988" s="198">
        <v>100010</v>
      </c>
      <c r="E988" s="198" t="s">
        <v>2183</v>
      </c>
      <c r="F988" s="224">
        <v>122814.01</v>
      </c>
      <c r="G988" s="199"/>
      <c r="H988" s="199">
        <v>122814.01</v>
      </c>
      <c r="I988" s="216">
        <v>1</v>
      </c>
      <c r="J988" s="201">
        <v>122814.01</v>
      </c>
      <c r="K988" s="201">
        <v>156307.64000000001</v>
      </c>
      <c r="L988" s="215"/>
      <c r="M988" s="217" t="s">
        <v>512</v>
      </c>
    </row>
    <row r="989" spans="2:13" ht="15">
      <c r="B989" s="211"/>
      <c r="C989" s="197" t="s">
        <v>106</v>
      </c>
      <c r="D989" s="198">
        <v>100010</v>
      </c>
      <c r="E989" s="198" t="s">
        <v>2145</v>
      </c>
      <c r="F989" s="224"/>
      <c r="G989" s="199"/>
      <c r="H989" s="199">
        <v>0</v>
      </c>
      <c r="I989" s="216">
        <v>1</v>
      </c>
      <c r="J989" s="201">
        <v>0</v>
      </c>
      <c r="K989" s="201">
        <v>0</v>
      </c>
      <c r="L989" s="215"/>
      <c r="M989" s="217"/>
    </row>
    <row r="990" spans="2:13" ht="15">
      <c r="B990" s="211"/>
      <c r="C990" s="197" t="s">
        <v>1836</v>
      </c>
      <c r="D990" s="198">
        <v>100010</v>
      </c>
      <c r="E990" s="198" t="s">
        <v>2188</v>
      </c>
      <c r="F990" s="224">
        <v>-12221438.790000001</v>
      </c>
      <c r="G990" s="199"/>
      <c r="H990" s="199">
        <v>-12221438.790000001</v>
      </c>
      <c r="I990" s="216">
        <v>1</v>
      </c>
      <c r="J990" s="201">
        <v>-12221438.790000001</v>
      </c>
      <c r="K990" s="201">
        <v>-19834765.91</v>
      </c>
      <c r="L990" s="215"/>
      <c r="M990" s="217" t="s">
        <v>528</v>
      </c>
    </row>
    <row r="991" spans="2:13" ht="15">
      <c r="B991" s="211"/>
      <c r="C991" s="197" t="s">
        <v>218</v>
      </c>
      <c r="D991" s="198">
        <v>100010</v>
      </c>
      <c r="E991" s="198" t="s">
        <v>2189</v>
      </c>
      <c r="F991" s="224">
        <v>-4351.0599999999995</v>
      </c>
      <c r="G991" s="199"/>
      <c r="H991" s="199">
        <v>-4351.0599999999995</v>
      </c>
      <c r="I991" s="216">
        <v>1</v>
      </c>
      <c r="J991" s="201">
        <v>-4351.0599999999995</v>
      </c>
      <c r="K991" s="201">
        <v>-6271.7800000000007</v>
      </c>
      <c r="L991" s="215"/>
      <c r="M991" s="217" t="s">
        <v>538</v>
      </c>
    </row>
    <row r="992" spans="2:13" ht="15">
      <c r="B992" s="211"/>
      <c r="C992" s="197" t="s">
        <v>2190</v>
      </c>
      <c r="D992" s="198">
        <v>100010</v>
      </c>
      <c r="E992" s="198" t="s">
        <v>2191</v>
      </c>
      <c r="F992" s="224">
        <v>-51.34</v>
      </c>
      <c r="G992" s="199"/>
      <c r="H992" s="199">
        <v>-51.34</v>
      </c>
      <c r="I992" s="216">
        <v>1</v>
      </c>
      <c r="J992" s="201">
        <v>-51.34</v>
      </c>
      <c r="K992" s="201">
        <v>-210.14</v>
      </c>
      <c r="L992" s="215"/>
      <c r="M992" s="217" t="s">
        <v>532</v>
      </c>
    </row>
    <row r="993" spans="2:13" ht="15">
      <c r="B993" s="211"/>
      <c r="C993" s="197" t="s">
        <v>2192</v>
      </c>
      <c r="D993" s="198">
        <v>100010</v>
      </c>
      <c r="E993" s="198" t="s">
        <v>2193</v>
      </c>
      <c r="F993" s="224">
        <v>4426582</v>
      </c>
      <c r="G993" s="199"/>
      <c r="H993" s="199">
        <v>4426582</v>
      </c>
      <c r="I993" s="216">
        <v>1</v>
      </c>
      <c r="J993" s="201">
        <v>4426582</v>
      </c>
      <c r="K993" s="201">
        <v>4153011.48</v>
      </c>
      <c r="L993" s="215"/>
      <c r="M993" s="217" t="s">
        <v>543</v>
      </c>
    </row>
    <row r="994" spans="2:13" ht="15">
      <c r="B994" s="211"/>
      <c r="C994" s="197" t="s">
        <v>2194</v>
      </c>
      <c r="D994" s="198">
        <v>100010</v>
      </c>
      <c r="E994" s="198" t="s">
        <v>2195</v>
      </c>
      <c r="F994" s="224">
        <v>1706695</v>
      </c>
      <c r="G994" s="199"/>
      <c r="H994" s="199">
        <v>1706695</v>
      </c>
      <c r="I994" s="216">
        <v>1</v>
      </c>
      <c r="J994" s="201">
        <v>1706695</v>
      </c>
      <c r="K994" s="201">
        <v>1815295.35</v>
      </c>
      <c r="L994" s="215"/>
      <c r="M994" s="217" t="s">
        <v>550</v>
      </c>
    </row>
    <row r="995" spans="2:13" ht="15">
      <c r="B995" s="211"/>
      <c r="C995" s="197" t="s">
        <v>2196</v>
      </c>
      <c r="D995" s="198">
        <v>100010</v>
      </c>
      <c r="E995" s="198" t="s">
        <v>2197</v>
      </c>
      <c r="F995" s="224">
        <v>1373505.2</v>
      </c>
      <c r="G995" s="199"/>
      <c r="H995" s="199">
        <v>1373505.2</v>
      </c>
      <c r="I995" s="216">
        <v>1</v>
      </c>
      <c r="J995" s="201">
        <v>1373505.2</v>
      </c>
      <c r="K995" s="201">
        <v>590859.69000000006</v>
      </c>
      <c r="L995" s="215"/>
      <c r="M995" s="217" t="s">
        <v>549</v>
      </c>
    </row>
    <row r="996" spans="2:13" ht="15">
      <c r="B996" s="211"/>
      <c r="C996" s="197" t="s">
        <v>270</v>
      </c>
      <c r="D996" s="198">
        <v>100010</v>
      </c>
      <c r="E996" s="198" t="s">
        <v>2198</v>
      </c>
      <c r="F996" s="224">
        <v>5206893.1900000004</v>
      </c>
      <c r="G996" s="199"/>
      <c r="H996" s="199">
        <v>5206893.1900000004</v>
      </c>
      <c r="I996" s="216">
        <v>1</v>
      </c>
      <c r="J996" s="201">
        <v>5206893.1900000004</v>
      </c>
      <c r="K996" s="201">
        <v>10803505.779999999</v>
      </c>
      <c r="L996" s="215"/>
      <c r="M996" s="217" t="s">
        <v>544</v>
      </c>
    </row>
    <row r="997" spans="2:13" ht="15">
      <c r="B997" s="211"/>
      <c r="C997" s="197" t="s">
        <v>2199</v>
      </c>
      <c r="D997" s="198">
        <v>100010</v>
      </c>
      <c r="E997" s="198" t="s">
        <v>2200</v>
      </c>
      <c r="F997" s="224">
        <v>961693</v>
      </c>
      <c r="G997" s="199"/>
      <c r="H997" s="199">
        <v>961693</v>
      </c>
      <c r="I997" s="216">
        <v>1</v>
      </c>
      <c r="J997" s="201">
        <v>961693</v>
      </c>
      <c r="K997" s="201">
        <v>1190527</v>
      </c>
      <c r="L997" s="215"/>
      <c r="M997" s="217" t="s">
        <v>548</v>
      </c>
    </row>
    <row r="998" spans="2:13" ht="15">
      <c r="B998" s="211"/>
      <c r="C998" s="197" t="s">
        <v>2201</v>
      </c>
      <c r="D998" s="198">
        <v>100010</v>
      </c>
      <c r="E998" s="198" t="s">
        <v>2202</v>
      </c>
      <c r="F998" s="224">
        <v>-3834324.02</v>
      </c>
      <c r="G998" s="199"/>
      <c r="H998" s="199">
        <v>-3834324.02</v>
      </c>
      <c r="I998" s="216">
        <v>1</v>
      </c>
      <c r="J998" s="201">
        <v>-3834324.02</v>
      </c>
      <c r="K998" s="201">
        <v>-4426582</v>
      </c>
      <c r="L998" s="215"/>
      <c r="M998" s="217" t="s">
        <v>547</v>
      </c>
    </row>
    <row r="999" spans="2:13" ht="15">
      <c r="B999" s="211"/>
      <c r="C999" s="197" t="s">
        <v>2203</v>
      </c>
      <c r="D999" s="198">
        <v>100010</v>
      </c>
      <c r="E999" s="198" t="s">
        <v>2204</v>
      </c>
      <c r="F999" s="224">
        <v>-1423287.56</v>
      </c>
      <c r="G999" s="199"/>
      <c r="H999" s="199">
        <v>-1423287.56</v>
      </c>
      <c r="I999" s="216">
        <v>1</v>
      </c>
      <c r="J999" s="201">
        <v>-1423287.56</v>
      </c>
      <c r="K999" s="201">
        <v>-1706695</v>
      </c>
      <c r="L999" s="215"/>
      <c r="M999" s="217" t="s">
        <v>553</v>
      </c>
    </row>
    <row r="1000" spans="2:13" ht="15">
      <c r="B1000" s="211"/>
      <c r="C1000" s="197" t="s">
        <v>2205</v>
      </c>
      <c r="D1000" s="198">
        <v>100010</v>
      </c>
      <c r="E1000" s="198" t="s">
        <v>2206</v>
      </c>
      <c r="F1000" s="224">
        <v>-1527448.92</v>
      </c>
      <c r="G1000" s="199"/>
      <c r="H1000" s="199">
        <v>-1527448.92</v>
      </c>
      <c r="I1000" s="216">
        <v>1</v>
      </c>
      <c r="J1000" s="201">
        <v>-1527448.92</v>
      </c>
      <c r="K1000" s="201">
        <v>-1373504.8</v>
      </c>
      <c r="L1000" s="215"/>
      <c r="M1000" s="217" t="s">
        <v>552</v>
      </c>
    </row>
    <row r="1001" spans="2:13" ht="15">
      <c r="B1001" s="211"/>
      <c r="C1001" s="197" t="s">
        <v>2207</v>
      </c>
      <c r="D1001" s="198">
        <v>100010</v>
      </c>
      <c r="E1001" s="198" t="s">
        <v>2198</v>
      </c>
      <c r="F1001" s="224">
        <v>123705.32</v>
      </c>
      <c r="G1001" s="199"/>
      <c r="H1001" s="199">
        <v>123705.32</v>
      </c>
      <c r="I1001" s="216">
        <v>1</v>
      </c>
      <c r="J1001" s="201">
        <v>123705.32</v>
      </c>
      <c r="K1001" s="201">
        <v>161125.74</v>
      </c>
      <c r="L1001" s="215"/>
      <c r="M1001" s="217" t="s">
        <v>544</v>
      </c>
    </row>
    <row r="1002" spans="2:13" ht="15">
      <c r="B1002" s="211"/>
      <c r="C1002" s="197" t="s">
        <v>2208</v>
      </c>
      <c r="D1002" s="198">
        <v>100010</v>
      </c>
      <c r="E1002" s="198" t="s">
        <v>2198</v>
      </c>
      <c r="F1002" s="224">
        <v>1173236.02</v>
      </c>
      <c r="G1002" s="199"/>
      <c r="H1002" s="199">
        <v>1173236.02</v>
      </c>
      <c r="I1002" s="216">
        <v>1</v>
      </c>
      <c r="J1002" s="201">
        <v>1173236.02</v>
      </c>
      <c r="K1002" s="201">
        <v>2279906.7800000003</v>
      </c>
      <c r="L1002" s="215"/>
      <c r="M1002" s="217" t="s">
        <v>544</v>
      </c>
    </row>
    <row r="1003" spans="2:13" ht="15">
      <c r="B1003" s="211"/>
      <c r="C1003" s="197" t="s">
        <v>1952</v>
      </c>
      <c r="D1003" s="198">
        <v>100010</v>
      </c>
      <c r="E1003" s="198" t="s">
        <v>2145</v>
      </c>
      <c r="F1003" s="224"/>
      <c r="G1003" s="199"/>
      <c r="H1003" s="199">
        <v>0</v>
      </c>
      <c r="I1003" s="216">
        <v>1</v>
      </c>
      <c r="J1003" s="201">
        <v>0</v>
      </c>
      <c r="K1003" s="201">
        <v>0</v>
      </c>
      <c r="L1003" s="215"/>
      <c r="M1003" s="217"/>
    </row>
    <row r="1004" spans="2:13" ht="15">
      <c r="B1004" s="211"/>
      <c r="C1004" s="197" t="s">
        <v>1953</v>
      </c>
      <c r="D1004" s="198">
        <v>100010</v>
      </c>
      <c r="E1004" s="198" t="s">
        <v>2209</v>
      </c>
      <c r="F1004" s="224">
        <v>54683.189999999995</v>
      </c>
      <c r="G1004" s="199"/>
      <c r="H1004" s="199">
        <v>54683.189999999995</v>
      </c>
      <c r="I1004" s="216">
        <v>1</v>
      </c>
      <c r="J1004" s="201">
        <v>54683.189999999995</v>
      </c>
      <c r="K1004" s="201">
        <v>93352.93</v>
      </c>
      <c r="L1004" s="215"/>
      <c r="M1004" s="217" t="s">
        <v>613</v>
      </c>
    </row>
    <row r="1005" spans="2:13" ht="15">
      <c r="B1005" s="211"/>
      <c r="C1005" s="197" t="s">
        <v>1850</v>
      </c>
      <c r="D1005" s="198">
        <v>100010</v>
      </c>
      <c r="E1005" s="198" t="s">
        <v>2210</v>
      </c>
      <c r="F1005" s="224">
        <v>23005.489999999998</v>
      </c>
      <c r="G1005" s="199"/>
      <c r="H1005" s="199">
        <v>23005.489999999998</v>
      </c>
      <c r="I1005" s="216">
        <v>1</v>
      </c>
      <c r="J1005" s="201">
        <v>23005.489999999998</v>
      </c>
      <c r="K1005" s="201">
        <v>47430.53</v>
      </c>
      <c r="L1005" s="215"/>
      <c r="M1005" s="217" t="s">
        <v>578</v>
      </c>
    </row>
    <row r="1006" spans="2:13" ht="15">
      <c r="B1006" s="211"/>
      <c r="C1006" s="197" t="s">
        <v>311</v>
      </c>
      <c r="D1006" s="198">
        <v>100010</v>
      </c>
      <c r="E1006" s="198" t="s">
        <v>2210</v>
      </c>
      <c r="F1006" s="224">
        <v>9761.58</v>
      </c>
      <c r="G1006" s="199"/>
      <c r="H1006" s="199">
        <v>9761.58</v>
      </c>
      <c r="I1006" s="216">
        <v>1</v>
      </c>
      <c r="J1006" s="201">
        <v>9761.58</v>
      </c>
      <c r="K1006" s="201">
        <v>29175.33</v>
      </c>
      <c r="L1006" s="215"/>
      <c r="M1006" s="217" t="s">
        <v>578</v>
      </c>
    </row>
    <row r="1007" spans="2:13" ht="15">
      <c r="B1007" s="211"/>
      <c r="C1007" s="197" t="s">
        <v>1876</v>
      </c>
      <c r="D1007" s="198">
        <v>100010</v>
      </c>
      <c r="E1007" s="198" t="s">
        <v>2211</v>
      </c>
      <c r="F1007" s="224">
        <v>105521.89000000001</v>
      </c>
      <c r="G1007" s="199"/>
      <c r="H1007" s="199">
        <v>105521.89000000001</v>
      </c>
      <c r="I1007" s="216">
        <v>1</v>
      </c>
      <c r="J1007" s="201">
        <v>105521.89000000001</v>
      </c>
      <c r="K1007" s="201">
        <v>276706.73000000004</v>
      </c>
      <c r="L1007" s="215"/>
      <c r="M1007" s="217" t="s">
        <v>608</v>
      </c>
    </row>
    <row r="1008" spans="2:13" ht="15">
      <c r="B1008" s="211"/>
      <c r="C1008" s="197" t="s">
        <v>1862</v>
      </c>
      <c r="D1008" s="198">
        <v>100010</v>
      </c>
      <c r="E1008" s="198" t="s">
        <v>2212</v>
      </c>
      <c r="F1008" s="224">
        <v>60452.84</v>
      </c>
      <c r="G1008" s="199"/>
      <c r="H1008" s="199">
        <v>60452.84</v>
      </c>
      <c r="I1008" s="216">
        <v>1</v>
      </c>
      <c r="J1008" s="201">
        <v>60452.84</v>
      </c>
      <c r="K1008" s="201">
        <v>108748.52</v>
      </c>
      <c r="L1008" s="215"/>
      <c r="M1008" s="217" t="s">
        <v>595</v>
      </c>
    </row>
    <row r="1009" spans="2:13" ht="15">
      <c r="B1009" s="211"/>
      <c r="C1009" s="197" t="s">
        <v>2213</v>
      </c>
      <c r="D1009" s="198">
        <v>100010</v>
      </c>
      <c r="E1009" s="198" t="s">
        <v>2214</v>
      </c>
      <c r="F1009" s="224">
        <v>-15649.619999999995</v>
      </c>
      <c r="G1009" s="199"/>
      <c r="H1009" s="199">
        <v>-15649.619999999995</v>
      </c>
      <c r="I1009" s="216">
        <v>1</v>
      </c>
      <c r="J1009" s="201">
        <v>-15649.619999999995</v>
      </c>
      <c r="K1009" s="201">
        <v>348427.81</v>
      </c>
      <c r="L1009" s="215"/>
      <c r="M1009" s="217" t="s">
        <v>616</v>
      </c>
    </row>
    <row r="1010" spans="2:13" ht="15">
      <c r="B1010" s="211"/>
      <c r="C1010" s="197" t="s">
        <v>1858</v>
      </c>
      <c r="D1010" s="198">
        <v>100010</v>
      </c>
      <c r="E1010" s="198" t="s">
        <v>2215</v>
      </c>
      <c r="F1010" s="224">
        <v>14398.53</v>
      </c>
      <c r="G1010" s="199"/>
      <c r="H1010" s="199">
        <v>14398.53</v>
      </c>
      <c r="I1010" s="216">
        <v>1</v>
      </c>
      <c r="J1010" s="201">
        <v>14398.53</v>
      </c>
      <c r="K1010" s="201">
        <v>17500.379999999997</v>
      </c>
      <c r="L1010" s="215"/>
      <c r="M1010" s="217" t="s">
        <v>593</v>
      </c>
    </row>
    <row r="1011" spans="2:13" ht="15">
      <c r="B1011" s="211"/>
      <c r="C1011" s="197" t="s">
        <v>1856</v>
      </c>
      <c r="D1011" s="198">
        <v>100010</v>
      </c>
      <c r="E1011" s="198" t="s">
        <v>2216</v>
      </c>
      <c r="F1011" s="224">
        <v>50478.42</v>
      </c>
      <c r="G1011" s="199"/>
      <c r="H1011" s="199">
        <v>50478.42</v>
      </c>
      <c r="I1011" s="216">
        <v>1</v>
      </c>
      <c r="J1011" s="201">
        <v>50478.42</v>
      </c>
      <c r="K1011" s="201">
        <v>56857.490000000005</v>
      </c>
      <c r="L1011" s="215"/>
      <c r="M1011" s="217" t="s">
        <v>592</v>
      </c>
    </row>
    <row r="1012" spans="2:13" ht="15">
      <c r="B1012" s="211"/>
      <c r="C1012" s="197" t="s">
        <v>1644</v>
      </c>
      <c r="D1012" s="198">
        <v>100010</v>
      </c>
      <c r="E1012" s="198" t="s">
        <v>2217</v>
      </c>
      <c r="F1012" s="224">
        <v>80169.8</v>
      </c>
      <c r="G1012" s="199"/>
      <c r="H1012" s="199">
        <v>80169.8</v>
      </c>
      <c r="I1012" s="216">
        <v>1</v>
      </c>
      <c r="J1012" s="201">
        <v>80169.8</v>
      </c>
      <c r="K1012" s="201">
        <v>99326.260000000009</v>
      </c>
      <c r="L1012" s="215"/>
      <c r="M1012" s="217" t="s">
        <v>603</v>
      </c>
    </row>
    <row r="1013" spans="2:13" ht="15">
      <c r="B1013" s="211"/>
      <c r="C1013" s="197" t="s">
        <v>1844</v>
      </c>
      <c r="D1013" s="198">
        <v>100010</v>
      </c>
      <c r="E1013" s="198" t="s">
        <v>2218</v>
      </c>
      <c r="F1013" s="224">
        <v>2058724.6600000001</v>
      </c>
      <c r="G1013" s="199"/>
      <c r="H1013" s="199">
        <v>2058724.6600000001</v>
      </c>
      <c r="I1013" s="216">
        <v>1</v>
      </c>
      <c r="J1013" s="201">
        <v>2058724.6600000001</v>
      </c>
      <c r="K1013" s="201">
        <v>2852556.0599999996</v>
      </c>
      <c r="L1013" s="215"/>
      <c r="M1013" s="217" t="s">
        <v>555</v>
      </c>
    </row>
    <row r="1014" spans="2:13" ht="15">
      <c r="B1014" s="211"/>
      <c r="C1014" s="197" t="s">
        <v>2219</v>
      </c>
      <c r="D1014" s="198">
        <v>100010</v>
      </c>
      <c r="E1014" s="198" t="s">
        <v>2220</v>
      </c>
      <c r="F1014" s="224"/>
      <c r="G1014" s="199"/>
      <c r="H1014" s="199">
        <v>0</v>
      </c>
      <c r="I1014" s="216">
        <v>1</v>
      </c>
      <c r="J1014" s="201">
        <v>0</v>
      </c>
      <c r="K1014" s="201">
        <v>0</v>
      </c>
      <c r="L1014" s="215"/>
      <c r="M1014" s="217" t="s">
        <v>558</v>
      </c>
    </row>
    <row r="1015" spans="2:13" ht="15">
      <c r="B1015" s="211"/>
      <c r="C1015" s="197" t="s">
        <v>2221</v>
      </c>
      <c r="D1015" s="198">
        <v>100010</v>
      </c>
      <c r="E1015" s="198" t="s">
        <v>2218</v>
      </c>
      <c r="F1015" s="224">
        <v>158699.13</v>
      </c>
      <c r="G1015" s="199"/>
      <c r="H1015" s="199">
        <v>158699.13</v>
      </c>
      <c r="I1015" s="216">
        <v>1</v>
      </c>
      <c r="J1015" s="201">
        <v>158699.13</v>
      </c>
      <c r="K1015" s="201">
        <v>375000</v>
      </c>
      <c r="L1015" s="215"/>
      <c r="M1015" s="217" t="s">
        <v>555</v>
      </c>
    </row>
    <row r="1016" spans="2:13" ht="15">
      <c r="B1016" s="211"/>
      <c r="C1016" s="197" t="s">
        <v>1846</v>
      </c>
      <c r="D1016" s="198">
        <v>100010</v>
      </c>
      <c r="E1016" s="198" t="s">
        <v>2222</v>
      </c>
      <c r="F1016" s="224">
        <v>2046.43</v>
      </c>
      <c r="G1016" s="199"/>
      <c r="H1016" s="199">
        <v>2046.43</v>
      </c>
      <c r="I1016" s="216">
        <v>1</v>
      </c>
      <c r="J1016" s="201">
        <v>2046.43</v>
      </c>
      <c r="K1016" s="201">
        <v>9395.5499999999993</v>
      </c>
      <c r="L1016" s="215"/>
      <c r="M1016" s="217" t="s">
        <v>564</v>
      </c>
    </row>
    <row r="1017" spans="2:13" ht="15">
      <c r="B1017" s="211"/>
      <c r="C1017" s="197" t="s">
        <v>1878</v>
      </c>
      <c r="D1017" s="198">
        <v>100010</v>
      </c>
      <c r="E1017" s="198" t="s">
        <v>2223</v>
      </c>
      <c r="F1017" s="224">
        <v>41770.880000000005</v>
      </c>
      <c r="G1017" s="199"/>
      <c r="H1017" s="199">
        <v>41770.880000000005</v>
      </c>
      <c r="I1017" s="216">
        <v>1</v>
      </c>
      <c r="J1017" s="201">
        <v>41770.880000000005</v>
      </c>
      <c r="K1017" s="201">
        <v>42072.58</v>
      </c>
      <c r="L1017" s="215"/>
      <c r="M1017" s="217" t="s">
        <v>614</v>
      </c>
    </row>
    <row r="1018" spans="2:13" ht="15">
      <c r="B1018" s="211"/>
      <c r="C1018" s="197" t="s">
        <v>1965</v>
      </c>
      <c r="D1018" s="198">
        <v>100010</v>
      </c>
      <c r="E1018" s="198" t="s">
        <v>2224</v>
      </c>
      <c r="F1018" s="224">
        <v>4347.4400000000005</v>
      </c>
      <c r="G1018" s="199"/>
      <c r="H1018" s="199">
        <v>4347.4400000000005</v>
      </c>
      <c r="I1018" s="216">
        <v>1</v>
      </c>
      <c r="J1018" s="201">
        <v>4347.4400000000005</v>
      </c>
      <c r="K1018" s="201">
        <v>3726.55</v>
      </c>
      <c r="L1018" s="215"/>
      <c r="M1018" s="217" t="s">
        <v>615</v>
      </c>
    </row>
    <row r="1019" spans="2:13" ht="15">
      <c r="B1019" s="211"/>
      <c r="C1019" s="197" t="s">
        <v>1866</v>
      </c>
      <c r="D1019" s="198">
        <v>100010</v>
      </c>
      <c r="E1019" s="198" t="s">
        <v>2225</v>
      </c>
      <c r="F1019" s="224">
        <v>34821.509999999995</v>
      </c>
      <c r="G1019" s="199"/>
      <c r="H1019" s="199">
        <v>34821.509999999995</v>
      </c>
      <c r="I1019" s="216">
        <v>1</v>
      </c>
      <c r="J1019" s="201">
        <v>34821.509999999995</v>
      </c>
      <c r="K1019" s="201">
        <v>55614.22</v>
      </c>
      <c r="L1019" s="215"/>
      <c r="M1019" s="217" t="s">
        <v>598</v>
      </c>
    </row>
    <row r="1020" spans="2:13" ht="15">
      <c r="B1020" s="211"/>
      <c r="C1020" s="197" t="s">
        <v>2226</v>
      </c>
      <c r="D1020" s="198">
        <v>100010</v>
      </c>
      <c r="E1020" s="198" t="s">
        <v>2227</v>
      </c>
      <c r="F1020" s="224">
        <v>11078.24</v>
      </c>
      <c r="G1020" s="199"/>
      <c r="H1020" s="199">
        <v>11078.24</v>
      </c>
      <c r="I1020" s="216">
        <v>1</v>
      </c>
      <c r="J1020" s="201">
        <v>11078.24</v>
      </c>
      <c r="K1020" s="201">
        <v>13072.44</v>
      </c>
      <c r="L1020" s="215"/>
      <c r="M1020" s="217" t="s">
        <v>597</v>
      </c>
    </row>
    <row r="1021" spans="2:13" ht="15">
      <c r="B1021" s="211"/>
      <c r="C1021" s="197" t="s">
        <v>1868</v>
      </c>
      <c r="D1021" s="198">
        <v>100010</v>
      </c>
      <c r="E1021" s="198" t="s">
        <v>2228</v>
      </c>
      <c r="F1021" s="224">
        <v>2160.9</v>
      </c>
      <c r="G1021" s="199"/>
      <c r="H1021" s="199">
        <v>2160.9</v>
      </c>
      <c r="I1021" s="216">
        <v>1</v>
      </c>
      <c r="J1021" s="201">
        <v>2160.9</v>
      </c>
      <c r="K1021" s="201">
        <v>6227.8899999999994</v>
      </c>
      <c r="L1021" s="215"/>
      <c r="M1021" s="217" t="s">
        <v>599</v>
      </c>
    </row>
    <row r="1022" spans="2:13" ht="15">
      <c r="B1022" s="211"/>
      <c r="C1022" s="197" t="s">
        <v>2229</v>
      </c>
      <c r="D1022" s="198">
        <v>100010</v>
      </c>
      <c r="E1022" s="198" t="s">
        <v>2230</v>
      </c>
      <c r="F1022" s="224"/>
      <c r="G1022" s="199"/>
      <c r="H1022" s="199">
        <v>0</v>
      </c>
      <c r="I1022" s="216">
        <v>1</v>
      </c>
      <c r="J1022" s="201">
        <v>0</v>
      </c>
      <c r="K1022" s="201">
        <v>0</v>
      </c>
      <c r="L1022" s="215"/>
      <c r="M1022" s="217" t="s">
        <v>586</v>
      </c>
    </row>
    <row r="1023" spans="2:13" ht="15">
      <c r="B1023" s="211"/>
      <c r="C1023" s="197" t="s">
        <v>1872</v>
      </c>
      <c r="D1023" s="198">
        <v>100010</v>
      </c>
      <c r="E1023" s="198" t="s">
        <v>2231</v>
      </c>
      <c r="F1023" s="224">
        <v>20708.820000000003</v>
      </c>
      <c r="G1023" s="199"/>
      <c r="H1023" s="199">
        <v>20708.820000000003</v>
      </c>
      <c r="I1023" s="216">
        <v>1</v>
      </c>
      <c r="J1023" s="201">
        <v>20708.820000000003</v>
      </c>
      <c r="K1023" s="201">
        <v>30126.120000000003</v>
      </c>
      <c r="L1023" s="215"/>
      <c r="M1023" s="217" t="s">
        <v>604</v>
      </c>
    </row>
    <row r="1024" spans="2:13" ht="15">
      <c r="B1024" s="211"/>
      <c r="C1024" s="197" t="s">
        <v>1526</v>
      </c>
      <c r="D1024" s="198">
        <v>100010</v>
      </c>
      <c r="E1024" s="198" t="s">
        <v>2232</v>
      </c>
      <c r="F1024" s="224"/>
      <c r="G1024" s="199"/>
      <c r="H1024" s="199">
        <v>0</v>
      </c>
      <c r="I1024" s="216">
        <v>1</v>
      </c>
      <c r="J1024" s="201">
        <v>0</v>
      </c>
      <c r="K1024" s="201">
        <v>12033.27</v>
      </c>
      <c r="L1024" s="215"/>
      <c r="M1024" s="217" t="s">
        <v>602</v>
      </c>
    </row>
    <row r="1025" spans="2:13" ht="15">
      <c r="B1025" s="211"/>
      <c r="C1025" s="197" t="s">
        <v>654</v>
      </c>
      <c r="D1025" s="198">
        <v>100010</v>
      </c>
      <c r="E1025" s="198" t="s">
        <v>2853</v>
      </c>
      <c r="F1025" s="224">
        <v>36625.78</v>
      </c>
      <c r="G1025" s="199"/>
      <c r="H1025" s="199">
        <v>36625.78</v>
      </c>
      <c r="I1025" s="216">
        <v>1</v>
      </c>
      <c r="J1025" s="201">
        <v>36625.78</v>
      </c>
      <c r="K1025" s="201">
        <v>48182.35</v>
      </c>
      <c r="L1025" s="215"/>
      <c r="M1025" s="217" t="s">
        <v>607</v>
      </c>
    </row>
    <row r="1026" spans="2:13" ht="15">
      <c r="B1026" s="211"/>
      <c r="C1026" s="197" t="s">
        <v>1500</v>
      </c>
      <c r="D1026" s="198">
        <v>100010</v>
      </c>
      <c r="E1026" s="198" t="s">
        <v>2234</v>
      </c>
      <c r="F1026" s="224">
        <v>20872.650000000001</v>
      </c>
      <c r="G1026" s="199"/>
      <c r="H1026" s="199">
        <v>20872.650000000001</v>
      </c>
      <c r="I1026" s="216">
        <v>1</v>
      </c>
      <c r="J1026" s="201">
        <v>20872.650000000001</v>
      </c>
      <c r="K1026" s="201">
        <v>30309.73</v>
      </c>
      <c r="L1026" s="215"/>
      <c r="M1026" s="217" t="s">
        <v>605</v>
      </c>
    </row>
    <row r="1027" spans="2:13" ht="15">
      <c r="B1027" s="211"/>
      <c r="C1027" s="197" t="s">
        <v>2235</v>
      </c>
      <c r="D1027" s="198">
        <v>100010</v>
      </c>
      <c r="E1027" s="198" t="s">
        <v>2236</v>
      </c>
      <c r="F1027" s="224">
        <v>151300</v>
      </c>
      <c r="G1027" s="199"/>
      <c r="H1027" s="199">
        <v>151300</v>
      </c>
      <c r="I1027" s="216">
        <v>1</v>
      </c>
      <c r="J1027" s="201">
        <v>151300</v>
      </c>
      <c r="K1027" s="201">
        <v>450702</v>
      </c>
      <c r="L1027" s="215"/>
      <c r="M1027" s="217" t="s">
        <v>363</v>
      </c>
    </row>
    <row r="1028" spans="2:13" ht="15">
      <c r="B1028" s="211"/>
      <c r="C1028" s="197" t="s">
        <v>1882</v>
      </c>
      <c r="D1028" s="198">
        <v>100010</v>
      </c>
      <c r="E1028" s="198" t="s">
        <v>2237</v>
      </c>
      <c r="F1028" s="224">
        <v>49982.41</v>
      </c>
      <c r="G1028" s="199"/>
      <c r="H1028" s="199">
        <v>49982.41</v>
      </c>
      <c r="I1028" s="216">
        <v>1</v>
      </c>
      <c r="J1028" s="201">
        <v>49982.41</v>
      </c>
      <c r="K1028" s="201">
        <v>65948.299999999988</v>
      </c>
      <c r="L1028" s="215"/>
      <c r="M1028" s="217" t="s">
        <v>619</v>
      </c>
    </row>
    <row r="1029" spans="2:13" ht="15">
      <c r="B1029" s="211"/>
      <c r="C1029" s="197" t="s">
        <v>1864</v>
      </c>
      <c r="D1029" s="198">
        <v>100010</v>
      </c>
      <c r="E1029" s="198" t="s">
        <v>2238</v>
      </c>
      <c r="F1029" s="224">
        <v>34238.94</v>
      </c>
      <c r="G1029" s="199"/>
      <c r="H1029" s="199">
        <v>34238.94</v>
      </c>
      <c r="I1029" s="216">
        <v>1</v>
      </c>
      <c r="J1029" s="201">
        <v>34238.94</v>
      </c>
      <c r="K1029" s="201">
        <v>26353.13</v>
      </c>
      <c r="L1029" s="215"/>
      <c r="M1029" s="217" t="s">
        <v>596</v>
      </c>
    </row>
    <row r="1030" spans="2:13" ht="15">
      <c r="B1030" s="211"/>
      <c r="C1030" s="197" t="s">
        <v>1860</v>
      </c>
      <c r="D1030" s="198">
        <v>100010</v>
      </c>
      <c r="E1030" s="198" t="s">
        <v>2242</v>
      </c>
      <c r="F1030" s="224">
        <v>52706.14</v>
      </c>
      <c r="G1030" s="199"/>
      <c r="H1030" s="199">
        <v>52706.14</v>
      </c>
      <c r="I1030" s="216">
        <v>1</v>
      </c>
      <c r="J1030" s="201">
        <v>52706.14</v>
      </c>
      <c r="K1030" s="201">
        <v>72403.199999999997</v>
      </c>
      <c r="L1030" s="215"/>
      <c r="M1030" s="217" t="s">
        <v>594</v>
      </c>
    </row>
    <row r="1031" spans="2:13" ht="15">
      <c r="B1031" s="211"/>
      <c r="C1031" s="197" t="s">
        <v>1978</v>
      </c>
      <c r="D1031" s="198">
        <v>100010</v>
      </c>
      <c r="E1031" s="198" t="s">
        <v>2228</v>
      </c>
      <c r="F1031" s="224">
        <v>6474.91</v>
      </c>
      <c r="G1031" s="199"/>
      <c r="H1031" s="199">
        <v>6474.91</v>
      </c>
      <c r="I1031" s="216">
        <v>1</v>
      </c>
      <c r="J1031" s="201">
        <v>6474.91</v>
      </c>
      <c r="K1031" s="201">
        <v>23033.119999999999</v>
      </c>
      <c r="L1031" s="215"/>
      <c r="M1031" s="217" t="s">
        <v>599</v>
      </c>
    </row>
    <row r="1032" spans="2:13" ht="15">
      <c r="B1032" s="211"/>
      <c r="C1032" s="197" t="s">
        <v>2239</v>
      </c>
      <c r="D1032" s="198">
        <v>100010</v>
      </c>
      <c r="E1032" s="198" t="s">
        <v>2240</v>
      </c>
      <c r="F1032" s="224">
        <v>24000</v>
      </c>
      <c r="G1032" s="199"/>
      <c r="H1032" s="199">
        <v>24000</v>
      </c>
      <c r="I1032" s="216">
        <v>1</v>
      </c>
      <c r="J1032" s="201">
        <v>24000</v>
      </c>
      <c r="K1032" s="201">
        <v>32000</v>
      </c>
      <c r="L1032" s="215"/>
      <c r="M1032" s="217" t="s">
        <v>571</v>
      </c>
    </row>
    <row r="1033" spans="2:13" ht="15">
      <c r="B1033" s="211"/>
      <c r="C1033" s="197" t="s">
        <v>1979</v>
      </c>
      <c r="D1033" s="198">
        <v>100010</v>
      </c>
      <c r="E1033" s="198" t="s">
        <v>2237</v>
      </c>
      <c r="F1033" s="224">
        <v>3060.4</v>
      </c>
      <c r="G1033" s="199"/>
      <c r="H1033" s="199">
        <v>3060.4</v>
      </c>
      <c r="I1033" s="216">
        <v>1</v>
      </c>
      <c r="J1033" s="201">
        <v>3060.4</v>
      </c>
      <c r="K1033" s="201">
        <v>4207.41</v>
      </c>
      <c r="L1033" s="215"/>
      <c r="M1033" s="217" t="s">
        <v>619</v>
      </c>
    </row>
    <row r="1034" spans="2:13" ht="15">
      <c r="B1034" s="211"/>
      <c r="C1034" s="197" t="s">
        <v>1852</v>
      </c>
      <c r="D1034" s="198">
        <v>100010</v>
      </c>
      <c r="E1034" s="198" t="s">
        <v>2145</v>
      </c>
      <c r="F1034" s="224"/>
      <c r="G1034" s="199"/>
      <c r="H1034" s="199">
        <v>0</v>
      </c>
      <c r="I1034" s="216">
        <v>1</v>
      </c>
      <c r="J1034" s="201">
        <v>0</v>
      </c>
      <c r="K1034" s="201">
        <v>0</v>
      </c>
      <c r="L1034" s="215"/>
      <c r="M1034" s="217"/>
    </row>
    <row r="1035" spans="2:13" ht="15">
      <c r="B1035" s="211"/>
      <c r="C1035" s="197" t="s">
        <v>1980</v>
      </c>
      <c r="D1035" s="198">
        <v>100010</v>
      </c>
      <c r="E1035" s="198" t="s">
        <v>2237</v>
      </c>
      <c r="F1035" s="224">
        <v>2286</v>
      </c>
      <c r="G1035" s="199"/>
      <c r="H1035" s="199">
        <v>2286</v>
      </c>
      <c r="I1035" s="216">
        <v>1</v>
      </c>
      <c r="J1035" s="201">
        <v>2286</v>
      </c>
      <c r="K1035" s="201">
        <v>2967.2</v>
      </c>
      <c r="L1035" s="215"/>
      <c r="M1035" s="217" t="s">
        <v>619</v>
      </c>
    </row>
    <row r="1036" spans="2:13" ht="15">
      <c r="B1036" s="211"/>
      <c r="C1036" s="197" t="s">
        <v>1848</v>
      </c>
      <c r="D1036" s="198">
        <v>100010</v>
      </c>
      <c r="E1036" s="198" t="s">
        <v>2233</v>
      </c>
      <c r="F1036" s="224">
        <v>23644.94</v>
      </c>
      <c r="G1036" s="199"/>
      <c r="H1036" s="199">
        <v>23644.94</v>
      </c>
      <c r="I1036" s="216">
        <v>1</v>
      </c>
      <c r="J1036" s="201">
        <v>23644.94</v>
      </c>
      <c r="K1036" s="201">
        <v>31089.73</v>
      </c>
      <c r="L1036" s="215"/>
      <c r="M1036" s="217" t="s">
        <v>568</v>
      </c>
    </row>
    <row r="1037" spans="2:13" ht="15">
      <c r="B1037" s="211"/>
      <c r="C1037" s="197" t="s">
        <v>2241</v>
      </c>
      <c r="D1037" s="198">
        <v>100010</v>
      </c>
      <c r="E1037" s="198" t="s">
        <v>2145</v>
      </c>
      <c r="F1037" s="224">
        <v>607529.02</v>
      </c>
      <c r="G1037" s="199"/>
      <c r="H1037" s="199">
        <v>607529.02</v>
      </c>
      <c r="I1037" s="216">
        <v>1</v>
      </c>
      <c r="J1037" s="201">
        <v>607529.02</v>
      </c>
      <c r="K1037" s="201">
        <v>20231.659999999996</v>
      </c>
      <c r="L1037" s="215"/>
      <c r="M1037" s="217"/>
    </row>
    <row r="1038" spans="2:13" ht="15">
      <c r="B1038" s="211"/>
      <c r="C1038" s="197" t="s">
        <v>2243</v>
      </c>
      <c r="D1038" s="198">
        <v>100010</v>
      </c>
      <c r="E1038" s="198" t="s">
        <v>2145</v>
      </c>
      <c r="F1038" s="224"/>
      <c r="G1038" s="199"/>
      <c r="H1038" s="199">
        <v>0</v>
      </c>
      <c r="I1038" s="216">
        <v>1</v>
      </c>
      <c r="J1038" s="201">
        <v>0</v>
      </c>
      <c r="K1038" s="201">
        <v>0</v>
      </c>
      <c r="L1038" s="215"/>
      <c r="M1038" s="217"/>
    </row>
    <row r="1039" spans="2:13" ht="15">
      <c r="B1039" s="211"/>
      <c r="C1039" s="197" t="s">
        <v>1485</v>
      </c>
      <c r="D1039" s="198">
        <v>100010</v>
      </c>
      <c r="E1039" s="198" t="s">
        <v>2244</v>
      </c>
      <c r="F1039" s="224">
        <v>105732.54000000001</v>
      </c>
      <c r="G1039" s="199"/>
      <c r="H1039" s="199">
        <v>105732.54000000001</v>
      </c>
      <c r="I1039" s="216">
        <v>1</v>
      </c>
      <c r="J1039" s="201">
        <v>105732.54000000001</v>
      </c>
      <c r="K1039" s="201">
        <v>137762.63999999998</v>
      </c>
      <c r="L1039" s="215"/>
      <c r="M1039" s="217" t="s">
        <v>362</v>
      </c>
    </row>
    <row r="1040" spans="2:13" ht="15">
      <c r="B1040" s="211"/>
      <c r="C1040" s="197" t="s">
        <v>1854</v>
      </c>
      <c r="D1040" s="198">
        <v>100010</v>
      </c>
      <c r="E1040" s="198" t="s">
        <v>2230</v>
      </c>
      <c r="F1040" s="224">
        <v>1166.67</v>
      </c>
      <c r="G1040" s="199"/>
      <c r="H1040" s="199">
        <v>1166.67</v>
      </c>
      <c r="I1040" s="216">
        <v>1</v>
      </c>
      <c r="J1040" s="201">
        <v>1166.67</v>
      </c>
      <c r="K1040" s="201">
        <v>1301</v>
      </c>
      <c r="L1040" s="215"/>
      <c r="M1040" s="217" t="s">
        <v>586</v>
      </c>
    </row>
    <row r="1041" spans="2:13" ht="15">
      <c r="B1041" s="211"/>
      <c r="C1041" s="197" t="s">
        <v>2245</v>
      </c>
      <c r="D1041" s="198">
        <v>100010</v>
      </c>
      <c r="E1041" s="198" t="s">
        <v>2246</v>
      </c>
      <c r="F1041" s="224">
        <v>17341.29</v>
      </c>
      <c r="G1041" s="199"/>
      <c r="H1041" s="199">
        <v>17341.29</v>
      </c>
      <c r="I1041" s="216">
        <v>1</v>
      </c>
      <c r="J1041" s="201">
        <v>17341.29</v>
      </c>
      <c r="K1041" s="201">
        <v>17943.690000000002</v>
      </c>
      <c r="L1041" s="215"/>
      <c r="M1041" s="217" t="s">
        <v>600</v>
      </c>
    </row>
    <row r="1042" spans="2:13" ht="15">
      <c r="B1042" s="211"/>
      <c r="C1042" s="197" t="s">
        <v>2247</v>
      </c>
      <c r="D1042" s="198">
        <v>100010</v>
      </c>
      <c r="E1042" s="198" t="s">
        <v>2248</v>
      </c>
      <c r="F1042" s="224">
        <v>10451.59</v>
      </c>
      <c r="G1042" s="199"/>
      <c r="H1042" s="199">
        <v>10451.59</v>
      </c>
      <c r="I1042" s="216">
        <v>1</v>
      </c>
      <c r="J1042" s="201">
        <v>10451.59</v>
      </c>
      <c r="K1042" s="201">
        <v>10389.59</v>
      </c>
      <c r="L1042" s="215"/>
      <c r="M1042" s="217" t="s">
        <v>590</v>
      </c>
    </row>
    <row r="1043" spans="2:13" ht="15">
      <c r="B1043" s="211"/>
      <c r="C1043" s="197" t="s">
        <v>2249</v>
      </c>
      <c r="D1043" s="198">
        <v>100010</v>
      </c>
      <c r="E1043" s="198" t="s">
        <v>2145</v>
      </c>
      <c r="F1043" s="224"/>
      <c r="G1043" s="199"/>
      <c r="H1043" s="199">
        <v>0</v>
      </c>
      <c r="I1043" s="216">
        <v>1</v>
      </c>
      <c r="J1043" s="201">
        <v>0</v>
      </c>
      <c r="K1043" s="201">
        <v>0</v>
      </c>
      <c r="L1043" s="215"/>
      <c r="M1043" s="217"/>
    </row>
    <row r="1044" spans="2:13" ht="15">
      <c r="B1044" s="211"/>
      <c r="C1044" s="197" t="s">
        <v>2250</v>
      </c>
      <c r="D1044" s="198">
        <v>100010</v>
      </c>
      <c r="E1044" s="198" t="s">
        <v>2251</v>
      </c>
      <c r="F1044" s="224">
        <v>102531.81999999999</v>
      </c>
      <c r="G1044" s="199"/>
      <c r="H1044" s="199">
        <v>102531.81999999999</v>
      </c>
      <c r="I1044" s="216">
        <v>1</v>
      </c>
      <c r="J1044" s="201">
        <v>102531.81999999999</v>
      </c>
      <c r="K1044" s="201">
        <v>103653.86</v>
      </c>
      <c r="L1044" s="215"/>
      <c r="M1044" s="217" t="s">
        <v>556</v>
      </c>
    </row>
    <row r="1045" spans="2:13" ht="15">
      <c r="B1045" s="211"/>
      <c r="C1045" s="197" t="s">
        <v>1884</v>
      </c>
      <c r="D1045" s="198">
        <v>100010</v>
      </c>
      <c r="E1045" s="198" t="s">
        <v>2252</v>
      </c>
      <c r="F1045" s="224">
        <v>19691.469999999998</v>
      </c>
      <c r="G1045" s="199"/>
      <c r="H1045" s="199">
        <v>19691.469999999998</v>
      </c>
      <c r="I1045" s="216">
        <v>1</v>
      </c>
      <c r="J1045" s="201">
        <v>19691.469999999998</v>
      </c>
      <c r="K1045" s="201">
        <v>-163092.29999999999</v>
      </c>
      <c r="L1045" s="215"/>
      <c r="M1045" s="217" t="s">
        <v>620</v>
      </c>
    </row>
    <row r="1046" spans="2:13" ht="15">
      <c r="B1046" s="211"/>
      <c r="C1046" s="197" t="s">
        <v>2253</v>
      </c>
      <c r="D1046" s="198">
        <v>100010</v>
      </c>
      <c r="E1046" s="198" t="s">
        <v>2170</v>
      </c>
      <c r="F1046" s="224"/>
      <c r="G1046" s="199"/>
      <c r="H1046" s="199">
        <v>0</v>
      </c>
      <c r="I1046" s="216"/>
      <c r="J1046" s="201">
        <v>0</v>
      </c>
      <c r="K1046" s="201">
        <v>0</v>
      </c>
      <c r="L1046" s="215"/>
      <c r="M1046" s="194" t="s">
        <v>428</v>
      </c>
    </row>
    <row r="1047" spans="2:13">
      <c r="B1047" s="211"/>
      <c r="C1047" s="197"/>
      <c r="D1047" s="198">
        <v>100010</v>
      </c>
      <c r="E1047" s="198" t="s">
        <v>2145</v>
      </c>
      <c r="F1047" s="199"/>
      <c r="G1047" s="199"/>
      <c r="H1047" s="199">
        <v>0</v>
      </c>
      <c r="I1047" s="216"/>
      <c r="J1047" s="201">
        <v>0</v>
      </c>
      <c r="K1047" s="201"/>
      <c r="L1047" s="215"/>
      <c r="M1047" s="194"/>
    </row>
    <row r="1048" spans="2:13">
      <c r="B1048" s="211"/>
      <c r="C1048" s="197"/>
      <c r="D1048" s="198">
        <v>100010</v>
      </c>
      <c r="E1048" s="198" t="s">
        <v>2145</v>
      </c>
      <c r="F1048" s="199"/>
      <c r="G1048" s="199"/>
      <c r="H1048" s="199">
        <v>0</v>
      </c>
      <c r="I1048" s="216"/>
      <c r="J1048" s="201">
        <v>0</v>
      </c>
      <c r="K1048" s="201"/>
      <c r="L1048" s="215"/>
      <c r="M1048" s="194"/>
    </row>
    <row r="1049" spans="2:13">
      <c r="B1049" s="211"/>
      <c r="C1049" s="197"/>
      <c r="D1049" s="198">
        <v>100010</v>
      </c>
      <c r="E1049" s="198" t="s">
        <v>2145</v>
      </c>
      <c r="F1049" s="199"/>
      <c r="G1049" s="199"/>
      <c r="H1049" s="199">
        <v>0</v>
      </c>
      <c r="I1049" s="216"/>
      <c r="J1049" s="201">
        <v>0</v>
      </c>
      <c r="K1049" s="201"/>
      <c r="L1049" s="215"/>
      <c r="M1049" s="194"/>
    </row>
    <row r="1050" spans="2:13">
      <c r="B1050" s="211"/>
      <c r="C1050" s="197"/>
      <c r="D1050" s="198">
        <v>100010</v>
      </c>
      <c r="E1050" s="198" t="s">
        <v>2145</v>
      </c>
      <c r="F1050" s="199"/>
      <c r="G1050" s="199"/>
      <c r="H1050" s="199">
        <v>0</v>
      </c>
      <c r="I1050" s="216"/>
      <c r="J1050" s="201">
        <v>0</v>
      </c>
      <c r="K1050" s="201"/>
      <c r="L1050" s="215"/>
      <c r="M1050" s="194"/>
    </row>
    <row r="1051" spans="2:13">
      <c r="B1051" s="211"/>
      <c r="C1051" s="197"/>
      <c r="D1051" s="198">
        <v>100010</v>
      </c>
      <c r="E1051" s="198" t="s">
        <v>2145</v>
      </c>
      <c r="F1051" s="199"/>
      <c r="G1051" s="199"/>
      <c r="H1051" s="199">
        <v>0</v>
      </c>
      <c r="I1051" s="216"/>
      <c r="J1051" s="201">
        <v>0</v>
      </c>
      <c r="K1051" s="201"/>
      <c r="L1051" s="215"/>
      <c r="M1051" s="194"/>
    </row>
    <row r="1052" spans="2:13">
      <c r="B1052" s="211"/>
      <c r="C1052" s="197"/>
      <c r="D1052" s="198">
        <v>100010</v>
      </c>
      <c r="E1052" s="198" t="s">
        <v>2145</v>
      </c>
      <c r="F1052" s="199"/>
      <c r="G1052" s="199"/>
      <c r="H1052" s="199">
        <v>0</v>
      </c>
      <c r="I1052" s="216"/>
      <c r="J1052" s="201">
        <v>0</v>
      </c>
      <c r="K1052" s="201"/>
      <c r="L1052" s="215"/>
      <c r="M1052" s="194"/>
    </row>
    <row r="1053" spans="2:13">
      <c r="B1053" s="211"/>
      <c r="C1053" s="197"/>
      <c r="D1053" s="198">
        <v>100010</v>
      </c>
      <c r="E1053" s="198" t="s">
        <v>2145</v>
      </c>
      <c r="F1053" s="199"/>
      <c r="G1053" s="199"/>
      <c r="H1053" s="199">
        <v>0</v>
      </c>
      <c r="I1053" s="216"/>
      <c r="J1053" s="201">
        <v>0</v>
      </c>
      <c r="K1053" s="201"/>
      <c r="L1053" s="215"/>
      <c r="M1053" s="194"/>
    </row>
    <row r="1054" spans="2:13">
      <c r="B1054" s="211"/>
      <c r="C1054" s="197"/>
      <c r="D1054" s="198">
        <v>100010</v>
      </c>
      <c r="E1054" s="198" t="s">
        <v>2145</v>
      </c>
      <c r="F1054" s="199"/>
      <c r="G1054" s="199"/>
      <c r="H1054" s="199">
        <v>0</v>
      </c>
      <c r="I1054" s="216"/>
      <c r="J1054" s="201">
        <v>0</v>
      </c>
      <c r="K1054" s="201"/>
      <c r="L1054" s="215"/>
      <c r="M1054" s="194"/>
    </row>
    <row r="1055" spans="2:13">
      <c r="B1055" s="211"/>
      <c r="C1055" s="197"/>
      <c r="D1055" s="198">
        <v>100010</v>
      </c>
      <c r="E1055" s="198" t="s">
        <v>2145</v>
      </c>
      <c r="F1055" s="199"/>
      <c r="G1055" s="199"/>
      <c r="H1055" s="199">
        <v>0</v>
      </c>
      <c r="I1055" s="216"/>
      <c r="J1055" s="201">
        <v>0</v>
      </c>
      <c r="K1055" s="201"/>
      <c r="L1055" s="215"/>
      <c r="M1055" s="194"/>
    </row>
    <row r="1056" spans="2:13">
      <c r="B1056" s="211"/>
      <c r="C1056" s="262"/>
      <c r="D1056" s="262"/>
      <c r="E1056" s="262"/>
      <c r="F1056" s="263">
        <v>-0.32</v>
      </c>
      <c r="G1056" s="265"/>
      <c r="H1056" s="263">
        <v>-0.32</v>
      </c>
      <c r="I1056" s="265"/>
      <c r="J1056" s="263">
        <v>0</v>
      </c>
      <c r="K1056" s="263">
        <v>-0.34</v>
      </c>
      <c r="L1056" s="246"/>
      <c r="M1056" s="194"/>
    </row>
    <row r="1057" spans="1:13">
      <c r="B1057" s="211"/>
      <c r="C1057" s="208"/>
      <c r="D1057" s="208"/>
      <c r="E1057" s="208"/>
      <c r="F1057" s="244"/>
      <c r="G1057" s="244"/>
      <c r="H1057" s="244"/>
      <c r="I1057" s="244"/>
      <c r="J1057" s="245"/>
      <c r="K1057" s="245"/>
      <c r="L1057" s="215"/>
      <c r="M1057" s="194"/>
    </row>
    <row r="1058" spans="1:13" ht="13.5" thickBot="1">
      <c r="B1058" s="266"/>
      <c r="C1058" s="267"/>
      <c r="D1058" s="267"/>
      <c r="E1058" s="267"/>
      <c r="F1058" s="268"/>
      <c r="G1058" s="268"/>
      <c r="H1058" s="268"/>
      <c r="I1058" s="268"/>
      <c r="J1058" s="269"/>
      <c r="K1058" s="269"/>
      <c r="L1058" s="280"/>
      <c r="M1058" s="194"/>
    </row>
    <row r="1059" spans="1:13" s="284" customFormat="1" ht="14.25" thickTop="1" thickBot="1">
      <c r="A1059" s="283"/>
      <c r="F1059" s="285"/>
      <c r="G1059" s="285"/>
      <c r="H1059" s="285"/>
      <c r="I1059" s="285"/>
      <c r="J1059" s="286"/>
      <c r="K1059" s="286"/>
      <c r="M1059" s="212"/>
    </row>
    <row r="1060" spans="1:13" ht="13.5" thickTop="1">
      <c r="B1060" s="238"/>
      <c r="C1060" s="239"/>
      <c r="D1060" s="239"/>
      <c r="E1060" s="239"/>
      <c r="F1060" s="240"/>
      <c r="G1060" s="240"/>
      <c r="H1060" s="240"/>
      <c r="I1060" s="240"/>
      <c r="J1060" s="241"/>
      <c r="K1060" s="241"/>
      <c r="L1060" s="271"/>
      <c r="M1060" s="194"/>
    </row>
    <row r="1061" spans="1:13">
      <c r="B1061" s="211"/>
      <c r="C1061" s="208" t="s">
        <v>632</v>
      </c>
      <c r="D1061" s="208"/>
      <c r="E1061" s="243"/>
      <c r="F1061" s="243">
        <v>100011</v>
      </c>
      <c r="G1061" s="244"/>
      <c r="H1061" s="243">
        <v>100011</v>
      </c>
      <c r="I1061" s="244"/>
      <c r="J1061" s="245"/>
      <c r="K1061" s="245">
        <v>100011</v>
      </c>
      <c r="L1061" s="215"/>
      <c r="M1061" s="194"/>
    </row>
    <row r="1062" spans="1:13" s="210" customFormat="1">
      <c r="A1062" s="196"/>
      <c r="B1062" s="247"/>
      <c r="C1062" s="248" t="s">
        <v>2</v>
      </c>
      <c r="D1062" s="248"/>
      <c r="E1062" s="193"/>
      <c r="F1062" s="193" t="s">
        <v>770</v>
      </c>
      <c r="G1062" s="249"/>
      <c r="H1062" s="193" t="s">
        <v>770</v>
      </c>
      <c r="I1062" s="249"/>
      <c r="J1062" s="250"/>
      <c r="K1062" s="251" t="s">
        <v>770</v>
      </c>
      <c r="L1062" s="281"/>
    </row>
    <row r="1063" spans="1:13">
      <c r="A1063" s="237">
        <v>100011</v>
      </c>
      <c r="B1063" s="211"/>
      <c r="C1063" s="208" t="s">
        <v>634</v>
      </c>
      <c r="D1063" s="208"/>
      <c r="E1063" s="253"/>
      <c r="F1063" s="253" t="s">
        <v>1016</v>
      </c>
      <c r="G1063" s="244"/>
      <c r="H1063" s="253" t="s">
        <v>1016</v>
      </c>
      <c r="I1063" s="244"/>
      <c r="J1063" s="245"/>
      <c r="K1063" s="245" t="s">
        <v>1016</v>
      </c>
      <c r="L1063" s="215"/>
      <c r="M1063" s="194"/>
    </row>
    <row r="1064" spans="1:13">
      <c r="B1064" s="211"/>
      <c r="C1064" s="208"/>
      <c r="D1064" s="208"/>
      <c r="E1064" s="208"/>
      <c r="F1064" s="335">
        <v>0</v>
      </c>
      <c r="G1064" s="244"/>
      <c r="H1064" s="334" t="s">
        <v>2833</v>
      </c>
      <c r="I1064" s="253"/>
      <c r="J1064" s="335">
        <v>0</v>
      </c>
      <c r="K1064" s="255" t="s">
        <v>1021</v>
      </c>
      <c r="L1064" s="215"/>
      <c r="M1064" s="194"/>
    </row>
    <row r="1065" spans="1:13" ht="25.5">
      <c r="B1065" s="211"/>
      <c r="C1065" s="256" t="s">
        <v>3</v>
      </c>
      <c r="D1065" s="256" t="s">
        <v>1</v>
      </c>
      <c r="E1065" s="256" t="s">
        <v>635</v>
      </c>
      <c r="F1065" s="257" t="s">
        <v>2254</v>
      </c>
      <c r="G1065" s="257" t="s">
        <v>636</v>
      </c>
      <c r="H1065" s="257" t="s">
        <v>2254</v>
      </c>
      <c r="I1065" s="336" t="s">
        <v>637</v>
      </c>
      <c r="J1065" s="337" t="s">
        <v>638</v>
      </c>
      <c r="K1065" s="259" t="s">
        <v>638</v>
      </c>
      <c r="L1065" s="203"/>
      <c r="M1065" s="194"/>
    </row>
    <row r="1066" spans="1:13">
      <c r="B1066" s="211"/>
      <c r="C1066" s="197" t="s">
        <v>1787</v>
      </c>
      <c r="D1066" s="198">
        <v>100011</v>
      </c>
      <c r="E1066" s="198" t="s">
        <v>2255</v>
      </c>
      <c r="F1066" s="180">
        <v>-10000</v>
      </c>
      <c r="G1066" s="199"/>
      <c r="H1066" s="199">
        <v>-10000</v>
      </c>
      <c r="I1066" s="216">
        <v>55.963799999999999</v>
      </c>
      <c r="J1066" s="226">
        <v>-559638</v>
      </c>
      <c r="K1066" s="202"/>
      <c r="L1066" s="203"/>
      <c r="M1066" s="194" t="s">
        <v>365</v>
      </c>
    </row>
    <row r="1067" spans="1:13">
      <c r="B1067" s="211"/>
      <c r="C1067" s="197" t="s">
        <v>2256</v>
      </c>
      <c r="D1067" s="198">
        <v>100011</v>
      </c>
      <c r="E1067" s="198" t="s">
        <v>2257</v>
      </c>
      <c r="F1067" s="180">
        <v>776840.82</v>
      </c>
      <c r="G1067" s="199"/>
      <c r="H1067" s="199">
        <v>776840.82</v>
      </c>
      <c r="I1067" s="216">
        <v>62.794552283731697</v>
      </c>
      <c r="J1067" s="226">
        <v>48781371.487627</v>
      </c>
      <c r="K1067" s="202"/>
      <c r="L1067" s="203"/>
      <c r="M1067" s="194" t="s">
        <v>380</v>
      </c>
    </row>
    <row r="1068" spans="1:13">
      <c r="B1068" s="211"/>
      <c r="C1068" s="197" t="s">
        <v>2108</v>
      </c>
      <c r="D1068" s="198">
        <v>100011</v>
      </c>
      <c r="E1068" s="198" t="s">
        <v>2258</v>
      </c>
      <c r="F1068" s="180">
        <v>0</v>
      </c>
      <c r="G1068" s="199"/>
      <c r="H1068" s="199">
        <v>0</v>
      </c>
      <c r="I1068" s="216">
        <v>65.98</v>
      </c>
      <c r="J1068" s="226">
        <v>0</v>
      </c>
      <c r="K1068" s="202"/>
      <c r="L1068" s="203"/>
      <c r="M1068" s="194" t="s">
        <v>376</v>
      </c>
    </row>
    <row r="1069" spans="1:13">
      <c r="B1069" s="211"/>
      <c r="C1069" s="197" t="s">
        <v>1907</v>
      </c>
      <c r="D1069" s="198">
        <v>100011</v>
      </c>
      <c r="E1069" s="198" t="s">
        <v>2259</v>
      </c>
      <c r="F1069" s="180">
        <v>-14250000</v>
      </c>
      <c r="G1069" s="199"/>
      <c r="H1069" s="199">
        <v>-14250000</v>
      </c>
      <c r="I1069" s="216">
        <v>65.98</v>
      </c>
      <c r="J1069" s="226">
        <v>-940215000</v>
      </c>
      <c r="K1069" s="202"/>
      <c r="L1069" s="203"/>
      <c r="M1069" s="194" t="s">
        <v>387</v>
      </c>
    </row>
    <row r="1070" spans="1:13">
      <c r="B1070" s="211"/>
      <c r="C1070" s="197" t="s">
        <v>2144</v>
      </c>
      <c r="D1070" s="198">
        <v>100011</v>
      </c>
      <c r="E1070" s="198" t="s">
        <v>2260</v>
      </c>
      <c r="F1070" s="180">
        <v>-2500000</v>
      </c>
      <c r="G1070" s="199"/>
      <c r="H1070" s="199">
        <v>-2500000</v>
      </c>
      <c r="I1070" s="216">
        <v>65.98</v>
      </c>
      <c r="J1070" s="226">
        <v>-164950000</v>
      </c>
      <c r="K1070" s="202"/>
      <c r="L1070" s="203"/>
      <c r="M1070" s="194" t="s">
        <v>403</v>
      </c>
    </row>
    <row r="1071" spans="1:13">
      <c r="B1071" s="211"/>
      <c r="C1071" s="197" t="s">
        <v>1797</v>
      </c>
      <c r="D1071" s="198">
        <v>100011</v>
      </c>
      <c r="E1071" s="198" t="s">
        <v>2261</v>
      </c>
      <c r="F1071" s="180"/>
      <c r="G1071" s="199"/>
      <c r="H1071" s="199">
        <v>0</v>
      </c>
      <c r="I1071" s="216">
        <v>65.98</v>
      </c>
      <c r="J1071" s="226">
        <v>0</v>
      </c>
      <c r="K1071" s="202"/>
      <c r="L1071" s="203"/>
      <c r="M1071" s="194" t="s">
        <v>2262</v>
      </c>
    </row>
    <row r="1072" spans="1:13">
      <c r="B1072" s="211"/>
      <c r="C1072" s="197" t="s">
        <v>2263</v>
      </c>
      <c r="D1072" s="198">
        <v>100011</v>
      </c>
      <c r="E1072" s="198" t="s">
        <v>2264</v>
      </c>
      <c r="F1072" s="180">
        <v>0</v>
      </c>
      <c r="G1072" s="199"/>
      <c r="H1072" s="199">
        <v>0</v>
      </c>
      <c r="I1072" s="216">
        <v>65.98</v>
      </c>
      <c r="J1072" s="226">
        <v>0</v>
      </c>
      <c r="K1072" s="202"/>
      <c r="L1072" s="203"/>
      <c r="M1072" s="194" t="s">
        <v>999</v>
      </c>
    </row>
    <row r="1073" spans="2:13">
      <c r="B1073" s="211"/>
      <c r="C1073" s="197" t="s">
        <v>2265</v>
      </c>
      <c r="D1073" s="198">
        <v>100011</v>
      </c>
      <c r="E1073" s="198" t="s">
        <v>2266</v>
      </c>
      <c r="F1073" s="180">
        <v>-7723211.9199999999</v>
      </c>
      <c r="G1073" s="199"/>
      <c r="H1073" s="199">
        <v>-7723211.9199999999</v>
      </c>
      <c r="I1073" s="216">
        <v>65.98</v>
      </c>
      <c r="J1073" s="226">
        <v>-509577522.48160005</v>
      </c>
      <c r="K1073" s="202"/>
      <c r="L1073" s="203"/>
      <c r="M1073" s="194" t="s">
        <v>405</v>
      </c>
    </row>
    <row r="1074" spans="2:13">
      <c r="B1074" s="211"/>
      <c r="C1074" s="197" t="s">
        <v>1934</v>
      </c>
      <c r="D1074" s="198">
        <v>100011</v>
      </c>
      <c r="E1074" s="198" t="s">
        <v>2267</v>
      </c>
      <c r="F1074" s="180"/>
      <c r="G1074" s="199"/>
      <c r="H1074" s="199">
        <v>0</v>
      </c>
      <c r="I1074" s="216">
        <v>65.98</v>
      </c>
      <c r="J1074" s="226">
        <v>0</v>
      </c>
      <c r="K1074" s="202"/>
      <c r="L1074" s="203"/>
      <c r="M1074" s="194" t="s">
        <v>2268</v>
      </c>
    </row>
    <row r="1075" spans="2:13">
      <c r="B1075" s="211"/>
      <c r="C1075" s="197" t="s">
        <v>2171</v>
      </c>
      <c r="D1075" s="198">
        <v>100011</v>
      </c>
      <c r="E1075" s="198" t="s">
        <v>2269</v>
      </c>
      <c r="F1075" s="180">
        <v>-7906.5</v>
      </c>
      <c r="G1075" s="199"/>
      <c r="H1075" s="199">
        <v>-7906.5</v>
      </c>
      <c r="I1075" s="216">
        <v>65.98</v>
      </c>
      <c r="J1075" s="226">
        <v>-521670.87000000005</v>
      </c>
      <c r="K1075" s="202"/>
      <c r="L1075" s="203"/>
      <c r="M1075" s="194" t="s">
        <v>421</v>
      </c>
    </row>
    <row r="1076" spans="2:13">
      <c r="B1076" s="211"/>
      <c r="C1076" s="197" t="s">
        <v>1904</v>
      </c>
      <c r="D1076" s="198">
        <v>100011</v>
      </c>
      <c r="E1076" s="198" t="s">
        <v>2270</v>
      </c>
      <c r="F1076" s="180">
        <v>0</v>
      </c>
      <c r="G1076" s="199"/>
      <c r="H1076" s="199">
        <v>0</v>
      </c>
      <c r="I1076" s="216">
        <v>65.98</v>
      </c>
      <c r="J1076" s="226">
        <v>0</v>
      </c>
      <c r="K1076" s="202"/>
      <c r="L1076" s="203"/>
      <c r="M1076" s="194" t="s">
        <v>358</v>
      </c>
    </row>
    <row r="1077" spans="2:13">
      <c r="B1077" s="211"/>
      <c r="C1077" s="197" t="s">
        <v>1911</v>
      </c>
      <c r="D1077" s="198">
        <v>100011</v>
      </c>
      <c r="E1077" s="198" t="s">
        <v>2271</v>
      </c>
      <c r="F1077" s="180">
        <v>235376.80000000002</v>
      </c>
      <c r="G1077" s="199"/>
      <c r="H1077" s="199">
        <v>235376.80000000002</v>
      </c>
      <c r="I1077" s="216">
        <v>65.98</v>
      </c>
      <c r="J1077" s="226">
        <v>15530161.264000002</v>
      </c>
      <c r="K1077" s="202"/>
      <c r="L1077" s="203"/>
      <c r="M1077" s="194" t="s">
        <v>357</v>
      </c>
    </row>
    <row r="1078" spans="2:13">
      <c r="B1078" s="211"/>
      <c r="C1078" s="197" t="s">
        <v>676</v>
      </c>
      <c r="D1078" s="198">
        <v>100011</v>
      </c>
      <c r="E1078" s="198" t="s">
        <v>2270</v>
      </c>
      <c r="F1078" s="180">
        <v>2191.6</v>
      </c>
      <c r="G1078" s="199"/>
      <c r="H1078" s="199">
        <v>2191.6</v>
      </c>
      <c r="I1078" s="216">
        <v>65.98</v>
      </c>
      <c r="J1078" s="226">
        <v>144601.76800000001</v>
      </c>
      <c r="K1078" s="202"/>
      <c r="L1078" s="203"/>
      <c r="M1078" s="194" t="s">
        <v>358</v>
      </c>
    </row>
    <row r="1079" spans="2:13">
      <c r="B1079" s="211"/>
      <c r="C1079" s="197" t="s">
        <v>2272</v>
      </c>
      <c r="D1079" s="198">
        <v>100011</v>
      </c>
      <c r="E1079" s="198" t="s">
        <v>2271</v>
      </c>
      <c r="F1079" s="180">
        <v>-120274.48</v>
      </c>
      <c r="G1079" s="199"/>
      <c r="H1079" s="199">
        <v>-120274.48</v>
      </c>
      <c r="I1079" s="216">
        <v>65.98</v>
      </c>
      <c r="J1079" s="226">
        <v>-7935710.1904000007</v>
      </c>
      <c r="K1079" s="202"/>
      <c r="L1079" s="203"/>
      <c r="M1079" s="194" t="s">
        <v>357</v>
      </c>
    </row>
    <row r="1080" spans="2:13">
      <c r="B1080" s="211"/>
      <c r="C1080" s="197" t="s">
        <v>1913</v>
      </c>
      <c r="D1080" s="198">
        <v>100011</v>
      </c>
      <c r="E1080" s="198" t="s">
        <v>2264</v>
      </c>
      <c r="F1080" s="180">
        <v>0</v>
      </c>
      <c r="G1080" s="199"/>
      <c r="H1080" s="199">
        <v>0</v>
      </c>
      <c r="I1080" s="216">
        <v>65.98</v>
      </c>
      <c r="J1080" s="226">
        <v>0</v>
      </c>
      <c r="K1080" s="202"/>
      <c r="L1080" s="203"/>
      <c r="M1080" s="194" t="s">
        <v>999</v>
      </c>
    </row>
    <row r="1081" spans="2:13">
      <c r="B1081" s="211"/>
      <c r="C1081" s="197" t="s">
        <v>2273</v>
      </c>
      <c r="D1081" s="198">
        <v>100011</v>
      </c>
      <c r="E1081" s="198" t="s">
        <v>2854</v>
      </c>
      <c r="F1081" s="180">
        <v>0</v>
      </c>
      <c r="G1081" s="199"/>
      <c r="H1081" s="199">
        <v>0</v>
      </c>
      <c r="I1081" s="216">
        <v>65.98</v>
      </c>
      <c r="J1081" s="226">
        <v>0</v>
      </c>
      <c r="K1081" s="202"/>
      <c r="L1081" s="203"/>
      <c r="M1081" s="194" t="s">
        <v>522</v>
      </c>
    </row>
    <row r="1082" spans="2:13">
      <c r="B1082" s="211"/>
      <c r="C1082" s="197" t="s">
        <v>2151</v>
      </c>
      <c r="D1082" s="198">
        <v>100011</v>
      </c>
      <c r="E1082" s="198" t="s">
        <v>2274</v>
      </c>
      <c r="F1082" s="180">
        <v>2495135.08</v>
      </c>
      <c r="G1082" s="199"/>
      <c r="H1082" s="199">
        <v>2495135.08</v>
      </c>
      <c r="I1082" s="216">
        <v>65.98</v>
      </c>
      <c r="J1082" s="226">
        <v>164629012.57840002</v>
      </c>
      <c r="K1082" s="202"/>
      <c r="L1082" s="203"/>
      <c r="M1082" s="194" t="s">
        <v>479</v>
      </c>
    </row>
    <row r="1083" spans="2:13">
      <c r="B1083" s="211"/>
      <c r="C1083" s="197" t="s">
        <v>2275</v>
      </c>
      <c r="D1083" s="198">
        <v>100011</v>
      </c>
      <c r="E1083" s="198" t="s">
        <v>2274</v>
      </c>
      <c r="F1083" s="180">
        <v>0</v>
      </c>
      <c r="G1083" s="199"/>
      <c r="H1083" s="199">
        <v>0</v>
      </c>
      <c r="I1083" s="216">
        <v>65.98</v>
      </c>
      <c r="J1083" s="226">
        <v>0</v>
      </c>
      <c r="K1083" s="202"/>
      <c r="L1083" s="203"/>
      <c r="M1083" s="194" t="s">
        <v>479</v>
      </c>
    </row>
    <row r="1084" spans="2:13">
      <c r="B1084" s="211"/>
      <c r="C1084" s="197" t="s">
        <v>2276</v>
      </c>
      <c r="D1084" s="198">
        <v>100011</v>
      </c>
      <c r="E1084" s="198" t="s">
        <v>2274</v>
      </c>
      <c r="F1084" s="180">
        <v>409765.8</v>
      </c>
      <c r="G1084" s="199"/>
      <c r="H1084" s="199">
        <v>409765.8</v>
      </c>
      <c r="I1084" s="216">
        <v>65.98</v>
      </c>
      <c r="J1084" s="226">
        <v>27036347.484000001</v>
      </c>
      <c r="K1084" s="202"/>
      <c r="L1084" s="203"/>
      <c r="M1084" s="194" t="s">
        <v>479</v>
      </c>
    </row>
    <row r="1085" spans="2:13">
      <c r="B1085" s="211"/>
      <c r="C1085" s="197" t="s">
        <v>1802</v>
      </c>
      <c r="D1085" s="198">
        <v>100011</v>
      </c>
      <c r="E1085" s="198" t="s">
        <v>2277</v>
      </c>
      <c r="F1085" s="180"/>
      <c r="G1085" s="199"/>
      <c r="H1085" s="199">
        <v>0</v>
      </c>
      <c r="I1085" s="216">
        <v>65.98</v>
      </c>
      <c r="J1085" s="226">
        <v>0</v>
      </c>
      <c r="K1085" s="202"/>
      <c r="L1085" s="203"/>
      <c r="M1085" s="194" t="s">
        <v>2278</v>
      </c>
    </row>
    <row r="1086" spans="2:13">
      <c r="B1086" s="211"/>
      <c r="C1086" s="197" t="s">
        <v>1806</v>
      </c>
      <c r="D1086" s="198">
        <v>100011</v>
      </c>
      <c r="E1086" s="198" t="s">
        <v>2279</v>
      </c>
      <c r="F1086" s="180">
        <v>0</v>
      </c>
      <c r="G1086" s="199"/>
      <c r="H1086" s="199">
        <v>0</v>
      </c>
      <c r="I1086" s="216">
        <v>65.98</v>
      </c>
      <c r="J1086" s="226">
        <v>0</v>
      </c>
      <c r="K1086" s="202"/>
      <c r="L1086" s="203"/>
      <c r="M1086" s="194" t="s">
        <v>494</v>
      </c>
    </row>
    <row r="1087" spans="2:13">
      <c r="B1087" s="211"/>
      <c r="C1087" s="197" t="s">
        <v>1808</v>
      </c>
      <c r="D1087" s="198">
        <v>100011</v>
      </c>
      <c r="E1087" s="198" t="s">
        <v>2280</v>
      </c>
      <c r="F1087" s="180">
        <v>83254.259999999995</v>
      </c>
      <c r="G1087" s="199"/>
      <c r="H1087" s="199">
        <v>83254.259999999995</v>
      </c>
      <c r="I1087" s="216">
        <v>65.98</v>
      </c>
      <c r="J1087" s="226">
        <v>5493116.0747999996</v>
      </c>
      <c r="K1087" s="202"/>
      <c r="L1087" s="203"/>
      <c r="M1087" s="194" t="s">
        <v>496</v>
      </c>
    </row>
    <row r="1088" spans="2:13">
      <c r="B1088" s="211"/>
      <c r="C1088" s="197" t="s">
        <v>1928</v>
      </c>
      <c r="D1088" s="198">
        <v>100011</v>
      </c>
      <c r="E1088" s="198" t="s">
        <v>2281</v>
      </c>
      <c r="F1088" s="180">
        <v>310734.33999999997</v>
      </c>
      <c r="G1088" s="199"/>
      <c r="H1088" s="199">
        <v>310734.33999999997</v>
      </c>
      <c r="I1088" s="216">
        <v>65.98</v>
      </c>
      <c r="J1088" s="226">
        <v>20502251.753199998</v>
      </c>
      <c r="K1088" s="202"/>
      <c r="L1088" s="203"/>
      <c r="M1088" s="194" t="s">
        <v>510</v>
      </c>
    </row>
    <row r="1089" spans="2:13">
      <c r="B1089" s="211"/>
      <c r="C1089" s="197" t="s">
        <v>2282</v>
      </c>
      <c r="D1089" s="198">
        <v>100011</v>
      </c>
      <c r="E1089" s="198" t="s">
        <v>2283</v>
      </c>
      <c r="F1089" s="180">
        <v>-53.11</v>
      </c>
      <c r="G1089" s="199"/>
      <c r="H1089" s="199">
        <v>-53.11</v>
      </c>
      <c r="I1089" s="216">
        <v>65.98</v>
      </c>
      <c r="J1089" s="226">
        <v>-3504.1978000000004</v>
      </c>
      <c r="K1089" s="202"/>
      <c r="L1089" s="203"/>
      <c r="M1089" s="194" t="s">
        <v>424</v>
      </c>
    </row>
    <row r="1090" spans="2:13">
      <c r="B1090" s="211"/>
      <c r="C1090" s="197" t="s">
        <v>1816</v>
      </c>
      <c r="D1090" s="198">
        <v>100011</v>
      </c>
      <c r="E1090" s="198" t="s">
        <v>2284</v>
      </c>
      <c r="F1090" s="180">
        <v>46777.599999999999</v>
      </c>
      <c r="G1090" s="199"/>
      <c r="H1090" s="199">
        <v>46777.599999999999</v>
      </c>
      <c r="I1090" s="216">
        <v>65.98</v>
      </c>
      <c r="J1090" s="226">
        <v>3086386.048</v>
      </c>
      <c r="K1090" s="202"/>
      <c r="L1090" s="203"/>
      <c r="M1090" s="194" t="s">
        <v>514</v>
      </c>
    </row>
    <row r="1091" spans="2:13">
      <c r="B1091" s="211"/>
      <c r="C1091" s="197" t="s">
        <v>2121</v>
      </c>
      <c r="D1091" s="198">
        <v>100011</v>
      </c>
      <c r="E1091" s="198" t="s">
        <v>2285</v>
      </c>
      <c r="F1091" s="180">
        <v>0</v>
      </c>
      <c r="G1091" s="199"/>
      <c r="H1091" s="199">
        <v>0</v>
      </c>
      <c r="I1091" s="216">
        <v>65.98</v>
      </c>
      <c r="J1091" s="226">
        <v>0</v>
      </c>
      <c r="K1091" s="202"/>
      <c r="L1091" s="203"/>
      <c r="M1091" s="194" t="s">
        <v>518</v>
      </c>
    </row>
    <row r="1092" spans="2:13">
      <c r="B1092" s="211"/>
      <c r="C1092" s="197" t="s">
        <v>2286</v>
      </c>
      <c r="D1092" s="198">
        <v>100011</v>
      </c>
      <c r="E1092" s="198" t="s">
        <v>2287</v>
      </c>
      <c r="F1092" s="180">
        <v>361232.88</v>
      </c>
      <c r="G1092" s="199"/>
      <c r="H1092" s="199">
        <v>361232.88</v>
      </c>
      <c r="I1092" s="216">
        <v>65.98</v>
      </c>
      <c r="J1092" s="226">
        <v>23834145.422400001</v>
      </c>
      <c r="K1092" s="202"/>
      <c r="L1092" s="203"/>
      <c r="M1092" s="194" t="s">
        <v>443</v>
      </c>
    </row>
    <row r="1093" spans="2:13">
      <c r="B1093" s="211"/>
      <c r="C1093" s="197" t="s">
        <v>2288</v>
      </c>
      <c r="D1093" s="198">
        <v>100011</v>
      </c>
      <c r="E1093" s="198" t="s">
        <v>2287</v>
      </c>
      <c r="F1093" s="180">
        <v>568108</v>
      </c>
      <c r="G1093" s="199"/>
      <c r="H1093" s="199">
        <v>568108</v>
      </c>
      <c r="I1093" s="216">
        <v>65.98</v>
      </c>
      <c r="J1093" s="226">
        <v>37483765.840000004</v>
      </c>
      <c r="K1093" s="202"/>
      <c r="L1093" s="203"/>
      <c r="M1093" s="194" t="s">
        <v>443</v>
      </c>
    </row>
    <row r="1094" spans="2:13">
      <c r="B1094" s="211"/>
      <c r="C1094" s="197" t="s">
        <v>2289</v>
      </c>
      <c r="D1094" s="198">
        <v>100011</v>
      </c>
      <c r="E1094" s="198" t="s">
        <v>2290</v>
      </c>
      <c r="F1094" s="180">
        <v>0</v>
      </c>
      <c r="G1094" s="199"/>
      <c r="H1094" s="199">
        <v>0</v>
      </c>
      <c r="I1094" s="216">
        <v>65.98</v>
      </c>
      <c r="J1094" s="226">
        <v>0</v>
      </c>
      <c r="K1094" s="202"/>
      <c r="L1094" s="203"/>
      <c r="M1094" s="194" t="s">
        <v>394</v>
      </c>
    </row>
    <row r="1095" spans="2:13">
      <c r="B1095" s="211"/>
      <c r="C1095" s="197" t="s">
        <v>2291</v>
      </c>
      <c r="D1095" s="198">
        <v>100011</v>
      </c>
      <c r="E1095" s="198" t="s">
        <v>2264</v>
      </c>
      <c r="F1095" s="180">
        <v>0</v>
      </c>
      <c r="G1095" s="199"/>
      <c r="H1095" s="199">
        <v>0</v>
      </c>
      <c r="I1095" s="216">
        <v>65.98</v>
      </c>
      <c r="J1095" s="226">
        <v>0</v>
      </c>
      <c r="K1095" s="202"/>
      <c r="L1095" s="203"/>
      <c r="M1095" s="194" t="s">
        <v>999</v>
      </c>
    </row>
    <row r="1096" spans="2:13">
      <c r="B1096" s="211"/>
      <c r="C1096" s="197" t="s">
        <v>2292</v>
      </c>
      <c r="D1096" s="198">
        <v>100011</v>
      </c>
      <c r="E1096" s="198" t="s">
        <v>2293</v>
      </c>
      <c r="F1096" s="180">
        <v>0</v>
      </c>
      <c r="G1096" s="199"/>
      <c r="H1096" s="199">
        <v>0</v>
      </c>
      <c r="I1096" s="216">
        <v>65.98</v>
      </c>
      <c r="J1096" s="226">
        <v>0</v>
      </c>
      <c r="K1096" s="202"/>
      <c r="L1096" s="203"/>
      <c r="M1096" s="194" t="s">
        <v>488</v>
      </c>
    </row>
    <row r="1097" spans="2:13">
      <c r="B1097" s="211"/>
      <c r="C1097" s="197" t="s">
        <v>1930</v>
      </c>
      <c r="D1097" s="198">
        <v>100011</v>
      </c>
      <c r="E1097" s="198" t="s">
        <v>2281</v>
      </c>
      <c r="F1097" s="180">
        <v>17995.78</v>
      </c>
      <c r="G1097" s="199"/>
      <c r="H1097" s="199">
        <v>17995.78</v>
      </c>
      <c r="I1097" s="216">
        <v>65.98</v>
      </c>
      <c r="J1097" s="226">
        <v>1187361.5644</v>
      </c>
      <c r="K1097" s="202"/>
      <c r="L1097" s="203"/>
      <c r="M1097" s="194" t="s">
        <v>510</v>
      </c>
    </row>
    <row r="1098" spans="2:13">
      <c r="B1098" s="211"/>
      <c r="C1098" s="197" t="s">
        <v>2294</v>
      </c>
      <c r="D1098" s="198">
        <v>100011</v>
      </c>
      <c r="E1098" s="198" t="s">
        <v>2295</v>
      </c>
      <c r="F1098" s="180">
        <v>33442702</v>
      </c>
      <c r="G1098" s="199"/>
      <c r="H1098" s="199">
        <v>33442702</v>
      </c>
      <c r="I1098" s="216">
        <v>65.98</v>
      </c>
      <c r="J1098" s="226">
        <v>2206549477.96</v>
      </c>
      <c r="K1098" s="202"/>
      <c r="L1098" s="203"/>
      <c r="M1098" s="194" t="s">
        <v>441</v>
      </c>
    </row>
    <row r="1099" spans="2:13">
      <c r="B1099" s="211"/>
      <c r="C1099" s="197"/>
      <c r="D1099" s="198">
        <v>100011</v>
      </c>
      <c r="E1099" s="198" t="s">
        <v>2296</v>
      </c>
      <c r="F1099" s="180"/>
      <c r="G1099" s="199"/>
      <c r="H1099" s="199">
        <v>0</v>
      </c>
      <c r="I1099" s="216"/>
      <c r="J1099" s="226">
        <v>0</v>
      </c>
      <c r="K1099" s="202"/>
      <c r="L1099" s="203"/>
      <c r="M1099" s="194"/>
    </row>
    <row r="1100" spans="2:13">
      <c r="B1100" s="211"/>
      <c r="C1100" s="197" t="s">
        <v>2297</v>
      </c>
      <c r="D1100" s="198">
        <v>100011</v>
      </c>
      <c r="E1100" s="198" t="s">
        <v>2298</v>
      </c>
      <c r="F1100" s="180">
        <v>1187080.47</v>
      </c>
      <c r="G1100" s="199"/>
      <c r="H1100" s="199">
        <v>1187080.47</v>
      </c>
      <c r="I1100" s="216">
        <v>65.98</v>
      </c>
      <c r="J1100" s="226">
        <v>78323569.410600007</v>
      </c>
      <c r="K1100" s="202"/>
      <c r="L1100" s="203"/>
      <c r="M1100" s="194" t="s">
        <v>484</v>
      </c>
    </row>
    <row r="1101" spans="2:13">
      <c r="B1101" s="211"/>
      <c r="C1101" s="197" t="s">
        <v>2299</v>
      </c>
      <c r="D1101" s="198">
        <v>100011</v>
      </c>
      <c r="E1101" s="198" t="s">
        <v>2293</v>
      </c>
      <c r="F1101" s="180">
        <v>0</v>
      </c>
      <c r="G1101" s="199"/>
      <c r="H1101" s="199">
        <v>0</v>
      </c>
      <c r="I1101" s="216">
        <v>65.98</v>
      </c>
      <c r="J1101" s="226">
        <v>0</v>
      </c>
      <c r="K1101" s="202"/>
      <c r="L1101" s="203"/>
      <c r="M1101" s="194" t="s">
        <v>488</v>
      </c>
    </row>
    <row r="1102" spans="2:13">
      <c r="B1102" s="211"/>
      <c r="C1102" s="197" t="s">
        <v>2300</v>
      </c>
      <c r="D1102" s="198">
        <v>100011</v>
      </c>
      <c r="E1102" s="198" t="s">
        <v>2266</v>
      </c>
      <c r="F1102" s="180">
        <v>-9864445.5499999989</v>
      </c>
      <c r="G1102" s="199"/>
      <c r="H1102" s="199">
        <v>-9864445.5499999989</v>
      </c>
      <c r="I1102" s="216">
        <v>65.98</v>
      </c>
      <c r="J1102" s="226">
        <v>-650856117.38899994</v>
      </c>
      <c r="K1102" s="202"/>
      <c r="L1102" s="203"/>
      <c r="M1102" s="194" t="s">
        <v>405</v>
      </c>
    </row>
    <row r="1103" spans="2:13">
      <c r="B1103" s="211"/>
      <c r="C1103" s="197" t="s">
        <v>2826</v>
      </c>
      <c r="D1103" s="198">
        <v>100011</v>
      </c>
      <c r="E1103" s="198" t="s">
        <v>2303</v>
      </c>
      <c r="F1103" s="180">
        <v>229590.51</v>
      </c>
      <c r="G1103" s="199"/>
      <c r="H1103" s="199">
        <v>229590.51</v>
      </c>
      <c r="I1103" s="216">
        <v>65.98</v>
      </c>
      <c r="J1103" s="226">
        <v>15148381.849800002</v>
      </c>
      <c r="K1103" s="202"/>
      <c r="L1103" s="203"/>
      <c r="M1103" s="194" t="s">
        <v>410</v>
      </c>
    </row>
    <row r="1104" spans="2:13">
      <c r="B1104" s="211"/>
      <c r="C1104" s="197" t="s">
        <v>2301</v>
      </c>
      <c r="D1104" s="198">
        <v>100011</v>
      </c>
      <c r="E1104" s="198" t="s">
        <v>2303</v>
      </c>
      <c r="F1104" s="180">
        <v>-1349329.14</v>
      </c>
      <c r="G1104" s="199"/>
      <c r="H1104" s="199">
        <v>-1349329.14</v>
      </c>
      <c r="I1104" s="216">
        <v>65.98</v>
      </c>
      <c r="J1104" s="226">
        <v>-89028736.657199994</v>
      </c>
      <c r="K1104" s="202"/>
      <c r="L1104" s="203"/>
      <c r="M1104" s="194" t="s">
        <v>410</v>
      </c>
    </row>
    <row r="1105" spans="2:13">
      <c r="B1105" s="211"/>
      <c r="C1105" s="197" t="s">
        <v>2302</v>
      </c>
      <c r="D1105" s="198">
        <v>100011</v>
      </c>
      <c r="E1105" s="198" t="s">
        <v>2303</v>
      </c>
      <c r="F1105" s="180">
        <v>12452.879999999888</v>
      </c>
      <c r="G1105" s="199"/>
      <c r="H1105" s="199">
        <v>12452.879999999888</v>
      </c>
      <c r="I1105" s="216">
        <v>65.98</v>
      </c>
      <c r="J1105" s="226">
        <v>821641.02239999268</v>
      </c>
      <c r="K1105" s="202"/>
      <c r="L1105" s="203"/>
      <c r="M1105" s="194" t="s">
        <v>410</v>
      </c>
    </row>
    <row r="1106" spans="2:13">
      <c r="B1106" s="211"/>
      <c r="C1106" s="197" t="s">
        <v>2304</v>
      </c>
      <c r="D1106" s="198">
        <v>100011</v>
      </c>
      <c r="E1106" s="198" t="s">
        <v>2305</v>
      </c>
      <c r="F1106" s="180">
        <v>62817.9</v>
      </c>
      <c r="G1106" s="199"/>
      <c r="H1106" s="199">
        <v>62817.9</v>
      </c>
      <c r="I1106" s="216">
        <v>65.98</v>
      </c>
      <c r="J1106" s="226">
        <v>4144725.0420000004</v>
      </c>
      <c r="K1106" s="202"/>
      <c r="L1106" s="203"/>
      <c r="M1106" s="194" t="s">
        <v>417</v>
      </c>
    </row>
    <row r="1107" spans="2:13">
      <c r="B1107" s="211"/>
      <c r="C1107" s="197" t="s">
        <v>2306</v>
      </c>
      <c r="D1107" s="198">
        <v>100011</v>
      </c>
      <c r="E1107" s="198" t="s">
        <v>2307</v>
      </c>
      <c r="F1107" s="180">
        <v>-32517.200000000001</v>
      </c>
      <c r="G1107" s="199"/>
      <c r="H1107" s="199">
        <v>-32517.200000000001</v>
      </c>
      <c r="I1107" s="216">
        <v>65.98</v>
      </c>
      <c r="J1107" s="226">
        <v>-2145484.8560000001</v>
      </c>
      <c r="K1107" s="202"/>
      <c r="L1107" s="203"/>
      <c r="M1107" s="194" t="s">
        <v>431</v>
      </c>
    </row>
    <row r="1108" spans="2:13">
      <c r="B1108" s="211"/>
      <c r="C1108" s="197" t="s">
        <v>2308</v>
      </c>
      <c r="D1108" s="198">
        <v>100011</v>
      </c>
      <c r="E1108" s="198" t="s">
        <v>2309</v>
      </c>
      <c r="F1108" s="180">
        <v>-39000</v>
      </c>
      <c r="G1108" s="199"/>
      <c r="H1108" s="199">
        <v>-39000</v>
      </c>
      <c r="I1108" s="216">
        <v>65.98</v>
      </c>
      <c r="J1108" s="226">
        <v>-2573220</v>
      </c>
      <c r="K1108" s="202"/>
      <c r="L1108" s="203"/>
      <c r="M1108" s="194" t="s">
        <v>414</v>
      </c>
    </row>
    <row r="1109" spans="2:13">
      <c r="B1109" s="211"/>
      <c r="C1109" s="197" t="s">
        <v>2310</v>
      </c>
      <c r="D1109" s="198">
        <v>100011</v>
      </c>
      <c r="E1109" s="198" t="s">
        <v>2311</v>
      </c>
      <c r="F1109" s="180">
        <v>-4753063.01</v>
      </c>
      <c r="G1109" s="199"/>
      <c r="H1109" s="199">
        <v>-4753063.01</v>
      </c>
      <c r="I1109" s="216">
        <v>65.98</v>
      </c>
      <c r="J1109" s="226">
        <v>-313607097.3998</v>
      </c>
      <c r="K1109" s="202"/>
      <c r="L1109" s="203"/>
      <c r="M1109" s="194" t="s">
        <v>411</v>
      </c>
    </row>
    <row r="1110" spans="2:13">
      <c r="B1110" s="211"/>
      <c r="C1110" s="197" t="s">
        <v>1934</v>
      </c>
      <c r="D1110" s="198">
        <v>100011</v>
      </c>
      <c r="E1110" s="198" t="s">
        <v>2312</v>
      </c>
      <c r="F1110" s="180">
        <v>-119588.60000000056</v>
      </c>
      <c r="G1110" s="199"/>
      <c r="H1110" s="199">
        <v>-119588.60000000056</v>
      </c>
      <c r="I1110" s="216">
        <v>65.98</v>
      </c>
      <c r="J1110" s="226">
        <v>-7890455.828000037</v>
      </c>
      <c r="K1110" s="202"/>
      <c r="L1110" s="203"/>
      <c r="M1110" s="194" t="s">
        <v>420</v>
      </c>
    </row>
    <row r="1111" spans="2:13">
      <c r="B1111" s="211"/>
      <c r="C1111" s="197"/>
      <c r="D1111" s="198">
        <v>100011</v>
      </c>
      <c r="E1111" s="198" t="s">
        <v>2296</v>
      </c>
      <c r="F1111" s="180"/>
      <c r="G1111" s="199"/>
      <c r="H1111" s="199">
        <v>0</v>
      </c>
      <c r="I1111" s="216"/>
      <c r="J1111" s="226">
        <v>0</v>
      </c>
      <c r="K1111" s="202"/>
      <c r="L1111" s="203"/>
      <c r="M1111" s="194"/>
    </row>
    <row r="1112" spans="2:13">
      <c r="B1112" s="211"/>
      <c r="C1112" s="197" t="s">
        <v>2313</v>
      </c>
      <c r="D1112" s="198">
        <v>100011</v>
      </c>
      <c r="E1112" s="198" t="s">
        <v>2314</v>
      </c>
      <c r="F1112" s="180">
        <v>-5059852.2199999988</v>
      </c>
      <c r="G1112" s="199"/>
      <c r="H1112" s="199">
        <v>-5059852.2199999988</v>
      </c>
      <c r="I1112" s="216">
        <v>64.66</v>
      </c>
      <c r="J1112" s="226">
        <v>-327170044.54519993</v>
      </c>
      <c r="K1112" s="202"/>
      <c r="L1112" s="203"/>
      <c r="M1112" s="194" t="s">
        <v>528</v>
      </c>
    </row>
    <row r="1113" spans="2:13">
      <c r="B1113" s="211"/>
      <c r="C1113" s="197" t="s">
        <v>2315</v>
      </c>
      <c r="D1113" s="198">
        <v>100011</v>
      </c>
      <c r="E1113" s="198" t="s">
        <v>2314</v>
      </c>
      <c r="F1113" s="180">
        <v>-506090.44999999995</v>
      </c>
      <c r="G1113" s="199"/>
      <c r="H1113" s="199">
        <v>-506090.44999999995</v>
      </c>
      <c r="I1113" s="216">
        <v>64.66</v>
      </c>
      <c r="J1113" s="226">
        <v>-32723808.496999994</v>
      </c>
      <c r="K1113" s="202"/>
      <c r="L1113" s="203"/>
      <c r="M1113" s="194" t="s">
        <v>528</v>
      </c>
    </row>
    <row r="1114" spans="2:13">
      <c r="B1114" s="211"/>
      <c r="C1114" s="197" t="s">
        <v>2316</v>
      </c>
      <c r="D1114" s="198">
        <v>100011</v>
      </c>
      <c r="E1114" s="198" t="s">
        <v>2317</v>
      </c>
      <c r="F1114" s="180">
        <v>-75</v>
      </c>
      <c r="G1114" s="199"/>
      <c r="H1114" s="199">
        <v>-75</v>
      </c>
      <c r="I1114" s="216">
        <v>64.66</v>
      </c>
      <c r="J1114" s="226">
        <v>-4849.5</v>
      </c>
      <c r="K1114" s="202"/>
      <c r="L1114" s="203"/>
      <c r="M1114" s="194" t="s">
        <v>530</v>
      </c>
    </row>
    <row r="1115" spans="2:13">
      <c r="B1115" s="211"/>
      <c r="C1115" s="197" t="s">
        <v>2318</v>
      </c>
      <c r="D1115" s="198">
        <v>100011</v>
      </c>
      <c r="E1115" s="198" t="s">
        <v>2319</v>
      </c>
      <c r="F1115" s="180">
        <v>0</v>
      </c>
      <c r="G1115" s="199"/>
      <c r="H1115" s="199">
        <v>0</v>
      </c>
      <c r="I1115" s="216">
        <v>64.66</v>
      </c>
      <c r="J1115" s="226">
        <v>0</v>
      </c>
      <c r="K1115" s="202"/>
      <c r="L1115" s="203"/>
      <c r="M1115" s="194" t="s">
        <v>529</v>
      </c>
    </row>
    <row r="1116" spans="2:13">
      <c r="B1116" s="211"/>
      <c r="C1116" s="197" t="s">
        <v>218</v>
      </c>
      <c r="D1116" s="198">
        <v>100011</v>
      </c>
      <c r="E1116" s="198" t="s">
        <v>2320</v>
      </c>
      <c r="F1116" s="180">
        <v>0</v>
      </c>
      <c r="G1116" s="199"/>
      <c r="H1116" s="199">
        <v>0</v>
      </c>
      <c r="I1116" s="216">
        <v>64.66</v>
      </c>
      <c r="J1116" s="226">
        <v>0</v>
      </c>
      <c r="K1116" s="202"/>
      <c r="L1116" s="203"/>
      <c r="M1116" s="194" t="s">
        <v>538</v>
      </c>
    </row>
    <row r="1117" spans="2:13">
      <c r="B1117" s="211"/>
      <c r="C1117" s="197" t="s">
        <v>2827</v>
      </c>
      <c r="D1117" s="198">
        <v>100011</v>
      </c>
      <c r="E1117" s="198" t="s">
        <v>2855</v>
      </c>
      <c r="F1117" s="180">
        <v>-1500.61</v>
      </c>
      <c r="G1117" s="199"/>
      <c r="H1117" s="199">
        <v>-1500.61</v>
      </c>
      <c r="I1117" s="216">
        <v>64.66</v>
      </c>
      <c r="J1117" s="226">
        <v>-97029.442599999995</v>
      </c>
      <c r="K1117" s="201"/>
      <c r="L1117" s="215"/>
      <c r="M1117" s="194" t="s">
        <v>539</v>
      </c>
    </row>
    <row r="1118" spans="2:13">
      <c r="B1118" s="211"/>
      <c r="C1118" s="197" t="s">
        <v>2190</v>
      </c>
      <c r="D1118" s="198">
        <v>100011</v>
      </c>
      <c r="E1118" s="198" t="s">
        <v>2321</v>
      </c>
      <c r="F1118" s="180">
        <v>0</v>
      </c>
      <c r="G1118" s="199"/>
      <c r="H1118" s="199">
        <v>0</v>
      </c>
      <c r="I1118" s="216">
        <v>64.66</v>
      </c>
      <c r="J1118" s="226">
        <v>0</v>
      </c>
      <c r="K1118" s="201"/>
      <c r="L1118" s="215"/>
      <c r="M1118" s="194" t="s">
        <v>532</v>
      </c>
    </row>
    <row r="1119" spans="2:13">
      <c r="B1119" s="211"/>
      <c r="C1119" s="197" t="s">
        <v>2323</v>
      </c>
      <c r="D1119" s="198">
        <v>100011</v>
      </c>
      <c r="E1119" s="198" t="s">
        <v>2324</v>
      </c>
      <c r="F1119" s="180"/>
      <c r="G1119" s="199"/>
      <c r="H1119" s="199">
        <v>0</v>
      </c>
      <c r="I1119" s="216">
        <v>64.66</v>
      </c>
      <c r="J1119" s="226">
        <v>0</v>
      </c>
      <c r="K1119" s="201"/>
      <c r="L1119" s="215"/>
      <c r="M1119" s="194" t="s">
        <v>2322</v>
      </c>
    </row>
    <row r="1120" spans="2:13">
      <c r="B1120" s="211"/>
      <c r="C1120" s="197" t="s">
        <v>2325</v>
      </c>
      <c r="D1120" s="198">
        <v>100011</v>
      </c>
      <c r="E1120" s="198" t="s">
        <v>2324</v>
      </c>
      <c r="F1120" s="180"/>
      <c r="G1120" s="199"/>
      <c r="H1120" s="199">
        <v>0</v>
      </c>
      <c r="I1120" s="216">
        <v>64.66</v>
      </c>
      <c r="J1120" s="226">
        <v>0</v>
      </c>
      <c r="K1120" s="201"/>
      <c r="L1120" s="215"/>
      <c r="M1120" s="194" t="s">
        <v>2322</v>
      </c>
    </row>
    <row r="1121" spans="2:13">
      <c r="B1121" s="211"/>
      <c r="C1121" s="197" t="s">
        <v>2326</v>
      </c>
      <c r="D1121" s="198">
        <v>100011</v>
      </c>
      <c r="E1121" s="198" t="s">
        <v>2327</v>
      </c>
      <c r="F1121" s="180">
        <v>0</v>
      </c>
      <c r="G1121" s="199"/>
      <c r="H1121" s="199">
        <v>0</v>
      </c>
      <c r="I1121" s="216">
        <v>64.66</v>
      </c>
      <c r="J1121" s="226">
        <v>0</v>
      </c>
      <c r="K1121" s="201"/>
      <c r="L1121" s="215"/>
      <c r="M1121" s="194" t="s">
        <v>600</v>
      </c>
    </row>
    <row r="1122" spans="2:13">
      <c r="B1122" s="211"/>
      <c r="C1122" s="197" t="s">
        <v>2328</v>
      </c>
      <c r="D1122" s="198">
        <v>100011</v>
      </c>
      <c r="E1122" s="198" t="s">
        <v>2329</v>
      </c>
      <c r="F1122" s="180">
        <v>0</v>
      </c>
      <c r="G1122" s="199"/>
      <c r="H1122" s="199">
        <v>0</v>
      </c>
      <c r="I1122" s="216">
        <v>64.66</v>
      </c>
      <c r="J1122" s="226">
        <v>0</v>
      </c>
      <c r="K1122" s="201"/>
      <c r="L1122" s="215"/>
      <c r="M1122" s="194" t="s">
        <v>555</v>
      </c>
    </row>
    <row r="1123" spans="2:13">
      <c r="B1123" s="211"/>
      <c r="C1123" s="197" t="s">
        <v>2330</v>
      </c>
      <c r="D1123" s="198">
        <v>100011</v>
      </c>
      <c r="E1123" s="198" t="s">
        <v>2331</v>
      </c>
      <c r="F1123" s="180">
        <v>0</v>
      </c>
      <c r="G1123" s="199"/>
      <c r="H1123" s="199">
        <v>0</v>
      </c>
      <c r="I1123" s="216">
        <v>64.66</v>
      </c>
      <c r="J1123" s="226">
        <v>0</v>
      </c>
      <c r="K1123" s="201"/>
      <c r="L1123" s="215"/>
      <c r="M1123" s="194" t="s">
        <v>608</v>
      </c>
    </row>
    <row r="1124" spans="2:13">
      <c r="B1124" s="211"/>
      <c r="C1124" s="197" t="s">
        <v>1862</v>
      </c>
      <c r="D1124" s="198">
        <v>100011</v>
      </c>
      <c r="E1124" s="198" t="s">
        <v>2332</v>
      </c>
      <c r="F1124" s="180">
        <v>11720.41</v>
      </c>
      <c r="G1124" s="199"/>
      <c r="H1124" s="199">
        <v>11720.41</v>
      </c>
      <c r="I1124" s="216">
        <v>64.66</v>
      </c>
      <c r="J1124" s="226">
        <v>757841.71059999999</v>
      </c>
      <c r="K1124" s="201"/>
      <c r="L1124" s="215"/>
      <c r="M1124" s="194" t="s">
        <v>595</v>
      </c>
    </row>
    <row r="1125" spans="2:13">
      <c r="B1125" s="211"/>
      <c r="C1125" s="197" t="s">
        <v>2333</v>
      </c>
      <c r="D1125" s="198">
        <v>100011</v>
      </c>
      <c r="E1125" s="198" t="s">
        <v>2334</v>
      </c>
      <c r="F1125" s="180">
        <v>0</v>
      </c>
      <c r="G1125" s="199"/>
      <c r="H1125" s="199">
        <v>0</v>
      </c>
      <c r="I1125" s="216">
        <v>64.66</v>
      </c>
      <c r="J1125" s="226">
        <v>0</v>
      </c>
      <c r="K1125" s="201"/>
      <c r="L1125" s="215"/>
      <c r="M1125" s="194" t="s">
        <v>616</v>
      </c>
    </row>
    <row r="1126" spans="2:13">
      <c r="B1126" s="211"/>
      <c r="C1126" s="197" t="s">
        <v>2213</v>
      </c>
      <c r="D1126" s="198">
        <v>100011</v>
      </c>
      <c r="E1126" s="198" t="s">
        <v>2334</v>
      </c>
      <c r="F1126" s="180">
        <v>373775.48</v>
      </c>
      <c r="G1126" s="199">
        <v>-373775.48</v>
      </c>
      <c r="H1126" s="199">
        <v>0</v>
      </c>
      <c r="I1126" s="216">
        <v>64.66</v>
      </c>
      <c r="J1126" s="226">
        <v>0</v>
      </c>
      <c r="K1126" s="201"/>
      <c r="L1126" s="215"/>
      <c r="M1126" s="194" t="s">
        <v>616</v>
      </c>
    </row>
    <row r="1127" spans="2:13">
      <c r="B1127" s="211"/>
      <c r="C1127" s="197" t="s">
        <v>2335</v>
      </c>
      <c r="D1127" s="198">
        <v>100011</v>
      </c>
      <c r="E1127" s="198" t="s">
        <v>2336</v>
      </c>
      <c r="F1127" s="180">
        <v>29913.7</v>
      </c>
      <c r="G1127" s="199"/>
      <c r="H1127" s="199">
        <v>29913.7</v>
      </c>
      <c r="I1127" s="216">
        <v>64.66</v>
      </c>
      <c r="J1127" s="226">
        <v>1934219.8419999999</v>
      </c>
      <c r="K1127" s="201"/>
      <c r="L1127" s="215"/>
      <c r="M1127" s="194" t="s">
        <v>593</v>
      </c>
    </row>
    <row r="1128" spans="2:13">
      <c r="B1128" s="211"/>
      <c r="C1128" s="197" t="s">
        <v>1504</v>
      </c>
      <c r="D1128" s="198">
        <v>100011</v>
      </c>
      <c r="E1128" s="198" t="s">
        <v>2337</v>
      </c>
      <c r="F1128" s="180">
        <v>172109.19</v>
      </c>
      <c r="G1128" s="199"/>
      <c r="H1128" s="199">
        <v>172109.19</v>
      </c>
      <c r="I1128" s="216">
        <v>64.66</v>
      </c>
      <c r="J1128" s="226">
        <v>11128580.225399999</v>
      </c>
      <c r="K1128" s="201"/>
      <c r="L1128" s="215"/>
      <c r="M1128" s="194" t="s">
        <v>592</v>
      </c>
    </row>
    <row r="1129" spans="2:13">
      <c r="B1129" s="211"/>
      <c r="C1129" s="197" t="s">
        <v>1644</v>
      </c>
      <c r="D1129" s="198">
        <v>100011</v>
      </c>
      <c r="E1129" s="198" t="s">
        <v>2338</v>
      </c>
      <c r="F1129" s="180">
        <v>62612.68</v>
      </c>
      <c r="G1129" s="199"/>
      <c r="H1129" s="199">
        <v>62612.68</v>
      </c>
      <c r="I1129" s="216">
        <v>64.66</v>
      </c>
      <c r="J1129" s="226">
        <v>4048535.8887999998</v>
      </c>
      <c r="K1129" s="201"/>
      <c r="L1129" s="215"/>
      <c r="M1129" s="194" t="s">
        <v>603</v>
      </c>
    </row>
    <row r="1130" spans="2:13">
      <c r="B1130" s="211"/>
      <c r="C1130" s="197" t="s">
        <v>2339</v>
      </c>
      <c r="D1130" s="198">
        <v>100011</v>
      </c>
      <c r="E1130" s="198" t="s">
        <v>2329</v>
      </c>
      <c r="F1130" s="180">
        <v>1162572.55</v>
      </c>
      <c r="G1130" s="199"/>
      <c r="H1130" s="199">
        <v>1162572.55</v>
      </c>
      <c r="I1130" s="216">
        <v>64.66</v>
      </c>
      <c r="J1130" s="226">
        <v>75171941.083000004</v>
      </c>
      <c r="K1130" s="201"/>
      <c r="L1130" s="215"/>
      <c r="M1130" s="194" t="s">
        <v>555</v>
      </c>
    </row>
    <row r="1131" spans="2:13">
      <c r="B1131" s="211"/>
      <c r="C1131" s="197" t="s">
        <v>1846</v>
      </c>
      <c r="D1131" s="198">
        <v>100011</v>
      </c>
      <c r="E1131" s="198" t="s">
        <v>2340</v>
      </c>
      <c r="F1131" s="181">
        <v>21875.03</v>
      </c>
      <c r="G1131" s="199"/>
      <c r="H1131" s="199">
        <v>21875.03</v>
      </c>
      <c r="I1131" s="216">
        <v>64.66</v>
      </c>
      <c r="J1131" s="226">
        <v>1414439.4397999998</v>
      </c>
      <c r="K1131" s="201"/>
      <c r="L1131" s="215"/>
      <c r="M1131" s="194" t="s">
        <v>564</v>
      </c>
    </row>
    <row r="1132" spans="2:13">
      <c r="B1132" s="211"/>
      <c r="C1132" s="197" t="s">
        <v>2341</v>
      </c>
      <c r="D1132" s="198">
        <v>100011</v>
      </c>
      <c r="E1132" s="198" t="s">
        <v>2329</v>
      </c>
      <c r="F1132" s="181">
        <v>190886.39999999999</v>
      </c>
      <c r="G1132" s="199"/>
      <c r="H1132" s="199">
        <v>190886.39999999999</v>
      </c>
      <c r="I1132" s="216">
        <v>64.66</v>
      </c>
      <c r="J1132" s="226">
        <v>12342714.624</v>
      </c>
      <c r="K1132" s="201"/>
      <c r="L1132" s="215"/>
      <c r="M1132" s="194" t="s">
        <v>555</v>
      </c>
    </row>
    <row r="1133" spans="2:13">
      <c r="B1133" s="211"/>
      <c r="C1133" s="197" t="s">
        <v>347</v>
      </c>
      <c r="D1133" s="198">
        <v>100011</v>
      </c>
      <c r="E1133" s="198" t="s">
        <v>2342</v>
      </c>
      <c r="F1133" s="181">
        <v>87331.01999999999</v>
      </c>
      <c r="G1133" s="199"/>
      <c r="H1133" s="199">
        <v>87331.01999999999</v>
      </c>
      <c r="I1133" s="216">
        <v>64.66</v>
      </c>
      <c r="J1133" s="226">
        <v>5646823.7531999992</v>
      </c>
      <c r="K1133" s="201"/>
      <c r="L1133" s="215"/>
      <c r="M1133" s="194" t="s">
        <v>614</v>
      </c>
    </row>
    <row r="1134" spans="2:13">
      <c r="B1134" s="211"/>
      <c r="C1134" s="197" t="s">
        <v>2343</v>
      </c>
      <c r="D1134" s="198">
        <v>100011</v>
      </c>
      <c r="E1134" s="198" t="s">
        <v>2344</v>
      </c>
      <c r="F1134" s="181">
        <v>0</v>
      </c>
      <c r="G1134" s="199"/>
      <c r="H1134" s="199">
        <v>0</v>
      </c>
      <c r="I1134" s="216">
        <v>64.66</v>
      </c>
      <c r="J1134" s="226">
        <v>0</v>
      </c>
      <c r="K1134" s="201"/>
      <c r="L1134" s="215"/>
      <c r="M1134" s="194" t="s">
        <v>598</v>
      </c>
    </row>
    <row r="1135" spans="2:13">
      <c r="B1135" s="211"/>
      <c r="C1135" s="197" t="s">
        <v>2345</v>
      </c>
      <c r="D1135" s="198">
        <v>100011</v>
      </c>
      <c r="E1135" s="198" t="s">
        <v>2346</v>
      </c>
      <c r="F1135" s="181">
        <v>1595.35</v>
      </c>
      <c r="G1135" s="199"/>
      <c r="H1135" s="199">
        <v>1595.35</v>
      </c>
      <c r="I1135" s="216">
        <v>64.66</v>
      </c>
      <c r="J1135" s="226">
        <v>103155.33099999999</v>
      </c>
      <c r="K1135" s="201"/>
      <c r="L1135" s="215"/>
      <c r="M1135" s="194" t="s">
        <v>597</v>
      </c>
    </row>
    <row r="1136" spans="2:13">
      <c r="B1136" s="211"/>
      <c r="C1136" s="197" t="s">
        <v>2347</v>
      </c>
      <c r="D1136" s="198">
        <v>100011</v>
      </c>
      <c r="E1136" s="198" t="s">
        <v>2348</v>
      </c>
      <c r="F1136" s="181">
        <v>168.84</v>
      </c>
      <c r="G1136" s="199"/>
      <c r="H1136" s="199">
        <v>168.84</v>
      </c>
      <c r="I1136" s="216">
        <v>64.66</v>
      </c>
      <c r="J1136" s="226">
        <v>10917.1944</v>
      </c>
      <c r="K1136" s="201"/>
      <c r="L1136" s="215"/>
      <c r="M1136" s="194" t="s">
        <v>599</v>
      </c>
    </row>
    <row r="1137" spans="2:13">
      <c r="B1137" s="211"/>
      <c r="C1137" s="197" t="s">
        <v>2349</v>
      </c>
      <c r="D1137" s="198">
        <v>100011</v>
      </c>
      <c r="E1137" s="198" t="s">
        <v>2348</v>
      </c>
      <c r="F1137" s="181">
        <v>34447.199999999997</v>
      </c>
      <c r="G1137" s="199"/>
      <c r="H1137" s="199">
        <v>34447.199999999997</v>
      </c>
      <c r="I1137" s="216">
        <v>64.66</v>
      </c>
      <c r="J1137" s="226">
        <v>2227355.9519999996</v>
      </c>
      <c r="K1137" s="201"/>
      <c r="L1137" s="215"/>
      <c r="M1137" s="194" t="s">
        <v>599</v>
      </c>
    </row>
    <row r="1138" spans="2:13">
      <c r="B1138" s="211"/>
      <c r="C1138" s="197" t="s">
        <v>2350</v>
      </c>
      <c r="D1138" s="198">
        <v>100011</v>
      </c>
      <c r="E1138" s="198" t="s">
        <v>2351</v>
      </c>
      <c r="F1138" s="181">
        <v>5035.05</v>
      </c>
      <c r="G1138" s="199"/>
      <c r="H1138" s="199">
        <v>5035.05</v>
      </c>
      <c r="I1138" s="216">
        <v>64.66</v>
      </c>
      <c r="J1138" s="226">
        <v>325566.33299999998</v>
      </c>
      <c r="K1138" s="201"/>
      <c r="L1138" s="215"/>
      <c r="M1138" s="194" t="s">
        <v>604</v>
      </c>
    </row>
    <row r="1139" spans="2:13">
      <c r="B1139" s="211"/>
      <c r="C1139" s="197" t="s">
        <v>1526</v>
      </c>
      <c r="D1139" s="198">
        <v>100011</v>
      </c>
      <c r="E1139" s="198" t="s">
        <v>2352</v>
      </c>
      <c r="F1139" s="181">
        <v>0</v>
      </c>
      <c r="G1139" s="199"/>
      <c r="H1139" s="199">
        <v>0</v>
      </c>
      <c r="I1139" s="216">
        <v>64.66</v>
      </c>
      <c r="J1139" s="226">
        <v>0</v>
      </c>
      <c r="K1139" s="201"/>
      <c r="L1139" s="215"/>
      <c r="M1139" s="194" t="s">
        <v>602</v>
      </c>
    </row>
    <row r="1140" spans="2:13">
      <c r="B1140" s="211"/>
      <c r="C1140" s="197" t="s">
        <v>1854</v>
      </c>
      <c r="D1140" s="198">
        <v>100011</v>
      </c>
      <c r="E1140" s="198" t="s">
        <v>2353</v>
      </c>
      <c r="F1140" s="181">
        <v>320960.41000000003</v>
      </c>
      <c r="G1140" s="199"/>
      <c r="H1140" s="199">
        <v>320960.41000000003</v>
      </c>
      <c r="I1140" s="216">
        <v>64.66</v>
      </c>
      <c r="J1140" s="226">
        <v>20753300.110600002</v>
      </c>
      <c r="K1140" s="201"/>
      <c r="L1140" s="215"/>
      <c r="M1140" s="194" t="s">
        <v>586</v>
      </c>
    </row>
    <row r="1141" spans="2:13">
      <c r="B1141" s="211"/>
      <c r="C1141" s="197" t="s">
        <v>654</v>
      </c>
      <c r="D1141" s="198">
        <v>100011</v>
      </c>
      <c r="E1141" s="198" t="s">
        <v>2354</v>
      </c>
      <c r="F1141" s="181">
        <v>0</v>
      </c>
      <c r="G1141" s="199"/>
      <c r="H1141" s="199">
        <v>0</v>
      </c>
      <c r="I1141" s="216">
        <v>64.66</v>
      </c>
      <c r="J1141" s="226">
        <v>0</v>
      </c>
      <c r="K1141" s="201"/>
      <c r="L1141" s="215"/>
      <c r="M1141" s="194" t="s">
        <v>607</v>
      </c>
    </row>
    <row r="1142" spans="2:13">
      <c r="B1142" s="211"/>
      <c r="C1142" s="197" t="s">
        <v>1500</v>
      </c>
      <c r="D1142" s="198">
        <v>100011</v>
      </c>
      <c r="E1142" s="198" t="s">
        <v>2355</v>
      </c>
      <c r="F1142" s="181">
        <v>6306.73</v>
      </c>
      <c r="G1142" s="199"/>
      <c r="H1142" s="199">
        <v>6306.73</v>
      </c>
      <c r="I1142" s="216">
        <v>64.66</v>
      </c>
      <c r="J1142" s="226">
        <v>407793.16179999994</v>
      </c>
      <c r="K1142" s="201"/>
      <c r="L1142" s="215"/>
      <c r="M1142" s="194" t="s">
        <v>605</v>
      </c>
    </row>
    <row r="1143" spans="2:13">
      <c r="B1143" s="211"/>
      <c r="C1143" s="197" t="s">
        <v>2828</v>
      </c>
      <c r="D1143" s="198">
        <v>100011</v>
      </c>
      <c r="E1143" s="198" t="s">
        <v>2353</v>
      </c>
      <c r="F1143" s="181">
        <v>-229473.77</v>
      </c>
      <c r="G1143" s="199"/>
      <c r="H1143" s="199">
        <v>-229473.77</v>
      </c>
      <c r="I1143" s="216">
        <v>64.66</v>
      </c>
      <c r="J1143" s="226">
        <v>-14837773.968199998</v>
      </c>
      <c r="K1143" s="201"/>
      <c r="L1143" s="215"/>
      <c r="M1143" s="194" t="s">
        <v>586</v>
      </c>
    </row>
    <row r="1144" spans="2:13">
      <c r="B1144" s="211"/>
      <c r="C1144" s="197" t="s">
        <v>2357</v>
      </c>
      <c r="D1144" s="198">
        <v>100011</v>
      </c>
      <c r="E1144" s="198" t="s">
        <v>2358</v>
      </c>
      <c r="F1144" s="181">
        <v>1276.8</v>
      </c>
      <c r="G1144" s="199"/>
      <c r="H1144" s="199">
        <v>1276.8</v>
      </c>
      <c r="I1144" s="216">
        <v>64.66</v>
      </c>
      <c r="J1144" s="226">
        <v>82557.887999999992</v>
      </c>
      <c r="K1144" s="201"/>
      <c r="L1144" s="215"/>
      <c r="M1144" s="194" t="s">
        <v>590</v>
      </c>
    </row>
    <row r="1145" spans="2:13">
      <c r="B1145" s="211"/>
      <c r="C1145" s="197" t="s">
        <v>1864</v>
      </c>
      <c r="D1145" s="198">
        <v>100011</v>
      </c>
      <c r="E1145" s="198" t="s">
        <v>2359</v>
      </c>
      <c r="F1145" s="181">
        <v>52428.160000000003</v>
      </c>
      <c r="G1145" s="199"/>
      <c r="H1145" s="199">
        <v>52428.160000000003</v>
      </c>
      <c r="I1145" s="216">
        <v>64.66</v>
      </c>
      <c r="J1145" s="226">
        <v>3390004.8256000001</v>
      </c>
      <c r="K1145" s="201"/>
      <c r="L1145" s="215"/>
      <c r="M1145" s="194" t="s">
        <v>596</v>
      </c>
    </row>
    <row r="1146" spans="2:13">
      <c r="B1146" s="211"/>
      <c r="C1146" s="197" t="s">
        <v>2360</v>
      </c>
      <c r="D1146" s="198">
        <v>100011</v>
      </c>
      <c r="E1146" s="198" t="s">
        <v>2361</v>
      </c>
      <c r="F1146" s="181">
        <v>77064.109999999986</v>
      </c>
      <c r="G1146" s="199"/>
      <c r="H1146" s="199">
        <v>77064.109999999986</v>
      </c>
      <c r="I1146" s="216">
        <v>64.66</v>
      </c>
      <c r="J1146" s="226">
        <v>4982965.3525999989</v>
      </c>
      <c r="K1146" s="201"/>
      <c r="L1146" s="215"/>
      <c r="M1146" s="194" t="s">
        <v>594</v>
      </c>
    </row>
    <row r="1147" spans="2:13">
      <c r="B1147" s="211"/>
      <c r="C1147" s="197" t="s">
        <v>2239</v>
      </c>
      <c r="D1147" s="198">
        <v>100011</v>
      </c>
      <c r="E1147" s="198" t="s">
        <v>2856</v>
      </c>
      <c r="F1147" s="181">
        <v>2589</v>
      </c>
      <c r="G1147" s="199"/>
      <c r="H1147" s="199">
        <v>2589</v>
      </c>
      <c r="I1147" s="216">
        <v>64.66</v>
      </c>
      <c r="J1147" s="226">
        <v>167404.74</v>
      </c>
      <c r="K1147" s="201"/>
      <c r="L1147" s="215"/>
      <c r="M1147" s="194" t="s">
        <v>571</v>
      </c>
    </row>
    <row r="1148" spans="2:13">
      <c r="B1148" s="211"/>
      <c r="C1148" s="197" t="s">
        <v>2249</v>
      </c>
      <c r="D1148" s="198">
        <v>100011</v>
      </c>
      <c r="E1148" s="198" t="s">
        <v>2362</v>
      </c>
      <c r="F1148" s="181">
        <v>0</v>
      </c>
      <c r="G1148" s="199"/>
      <c r="H1148" s="199">
        <v>0</v>
      </c>
      <c r="I1148" s="216">
        <v>64.66</v>
      </c>
      <c r="J1148" s="226">
        <v>0</v>
      </c>
      <c r="K1148" s="201"/>
      <c r="L1148" s="215"/>
      <c r="M1148" s="194" t="s">
        <v>610</v>
      </c>
    </row>
    <row r="1149" spans="2:13">
      <c r="B1149" s="211"/>
      <c r="C1149" s="197" t="s">
        <v>1852</v>
      </c>
      <c r="D1149" s="198">
        <v>100011</v>
      </c>
      <c r="E1149" s="198" t="s">
        <v>2363</v>
      </c>
      <c r="F1149" s="181">
        <v>0</v>
      </c>
      <c r="G1149" s="199"/>
      <c r="H1149" s="199">
        <v>0</v>
      </c>
      <c r="I1149" s="216">
        <v>64.66</v>
      </c>
      <c r="J1149" s="226">
        <v>0</v>
      </c>
      <c r="K1149" s="201"/>
      <c r="L1149" s="215"/>
      <c r="M1149" s="194" t="s">
        <v>580</v>
      </c>
    </row>
    <row r="1150" spans="2:13">
      <c r="B1150" s="211"/>
      <c r="C1150" s="197" t="s">
        <v>1884</v>
      </c>
      <c r="D1150" s="198">
        <v>100011</v>
      </c>
      <c r="E1150" s="198" t="s">
        <v>2364</v>
      </c>
      <c r="F1150" s="181">
        <v>0</v>
      </c>
      <c r="G1150" s="199"/>
      <c r="H1150" s="199">
        <v>0</v>
      </c>
      <c r="I1150" s="216">
        <v>64.66</v>
      </c>
      <c r="J1150" s="226">
        <v>0</v>
      </c>
      <c r="K1150" s="201"/>
      <c r="L1150" s="215"/>
      <c r="M1150" s="194" t="s">
        <v>620</v>
      </c>
    </row>
    <row r="1151" spans="2:13">
      <c r="B1151" s="211"/>
      <c r="C1151" s="197" t="s">
        <v>1965</v>
      </c>
      <c r="D1151" s="198">
        <v>100011</v>
      </c>
      <c r="E1151" s="198" t="s">
        <v>2365</v>
      </c>
      <c r="F1151" s="181">
        <v>0</v>
      </c>
      <c r="G1151" s="199"/>
      <c r="H1151" s="199">
        <v>0</v>
      </c>
      <c r="I1151" s="216">
        <v>64.66</v>
      </c>
      <c r="J1151" s="226">
        <v>0</v>
      </c>
      <c r="K1151" s="201"/>
      <c r="L1151" s="215"/>
      <c r="M1151" s="194" t="s">
        <v>615</v>
      </c>
    </row>
    <row r="1152" spans="2:13">
      <c r="B1152" s="211"/>
      <c r="C1152" s="197" t="s">
        <v>2250</v>
      </c>
      <c r="D1152" s="198">
        <v>100011</v>
      </c>
      <c r="E1152" s="198" t="s">
        <v>2264</v>
      </c>
      <c r="F1152" s="182">
        <v>0</v>
      </c>
      <c r="G1152" s="199"/>
      <c r="H1152" s="199">
        <v>0</v>
      </c>
      <c r="I1152" s="216">
        <v>64.66</v>
      </c>
      <c r="J1152" s="226">
        <v>0</v>
      </c>
      <c r="K1152" s="201"/>
      <c r="L1152" s="215"/>
      <c r="M1152" s="194" t="s">
        <v>999</v>
      </c>
    </row>
    <row r="1153" spans="1:13">
      <c r="B1153" s="211"/>
      <c r="C1153" s="197" t="s">
        <v>1848</v>
      </c>
      <c r="D1153" s="198">
        <v>100011</v>
      </c>
      <c r="E1153" s="198" t="s">
        <v>2366</v>
      </c>
      <c r="F1153" s="180">
        <v>677325.97</v>
      </c>
      <c r="G1153" s="199"/>
      <c r="H1153" s="199">
        <v>677325.97</v>
      </c>
      <c r="I1153" s="216">
        <v>64.66</v>
      </c>
      <c r="J1153" s="226">
        <v>43795897.220199995</v>
      </c>
      <c r="K1153" s="201"/>
      <c r="L1153" s="215"/>
      <c r="M1153" s="194" t="s">
        <v>568</v>
      </c>
    </row>
    <row r="1154" spans="1:13">
      <c r="B1154" s="211"/>
      <c r="C1154" s="197" t="s">
        <v>2367</v>
      </c>
      <c r="D1154" s="198">
        <v>100011</v>
      </c>
      <c r="E1154" s="198" t="s">
        <v>2368</v>
      </c>
      <c r="F1154" s="199">
        <v>0</v>
      </c>
      <c r="G1154" s="199"/>
      <c r="H1154" s="199">
        <v>0</v>
      </c>
      <c r="I1154" s="216">
        <v>64.66</v>
      </c>
      <c r="J1154" s="226">
        <v>0</v>
      </c>
      <c r="K1154" s="201"/>
      <c r="L1154" s="215"/>
      <c r="M1154" s="194" t="s">
        <v>556</v>
      </c>
    </row>
    <row r="1155" spans="1:13">
      <c r="B1155" s="211"/>
      <c r="C1155" s="197" t="s">
        <v>2369</v>
      </c>
      <c r="D1155" s="198">
        <v>100011</v>
      </c>
      <c r="E1155" s="198" t="s">
        <v>2368</v>
      </c>
      <c r="F1155" s="199">
        <v>0</v>
      </c>
      <c r="G1155" s="199"/>
      <c r="H1155" s="199">
        <v>0</v>
      </c>
      <c r="I1155" s="216">
        <v>64.66</v>
      </c>
      <c r="J1155" s="226">
        <v>0</v>
      </c>
      <c r="K1155" s="201"/>
      <c r="L1155" s="215"/>
      <c r="M1155" s="194" t="s">
        <v>556</v>
      </c>
    </row>
    <row r="1156" spans="1:13">
      <c r="B1156" s="211"/>
      <c r="C1156" s="197" t="s">
        <v>1485</v>
      </c>
      <c r="D1156" s="198">
        <v>100011</v>
      </c>
      <c r="E1156" s="198" t="s">
        <v>2370</v>
      </c>
      <c r="F1156" s="199">
        <v>33801.68</v>
      </c>
      <c r="G1156" s="199"/>
      <c r="H1156" s="199">
        <v>33801.68</v>
      </c>
      <c r="I1156" s="216">
        <v>64.66</v>
      </c>
      <c r="J1156" s="226">
        <v>2185616.6288000001</v>
      </c>
      <c r="K1156" s="201"/>
      <c r="L1156" s="215"/>
      <c r="M1156" s="194" t="s">
        <v>362</v>
      </c>
    </row>
    <row r="1157" spans="1:13">
      <c r="B1157" s="211"/>
      <c r="C1157" s="197" t="s">
        <v>2235</v>
      </c>
      <c r="D1157" s="198">
        <v>100011</v>
      </c>
      <c r="E1157" s="198" t="s">
        <v>2371</v>
      </c>
      <c r="F1157" s="199">
        <v>-329210.40000000002</v>
      </c>
      <c r="G1157" s="199"/>
      <c r="H1157" s="199">
        <v>-329210.40000000002</v>
      </c>
      <c r="I1157" s="216">
        <v>64.66</v>
      </c>
      <c r="J1157" s="226">
        <v>-21286744.464000002</v>
      </c>
      <c r="K1157" s="201"/>
      <c r="L1157" s="215"/>
      <c r="M1157" s="194" t="s">
        <v>364</v>
      </c>
    </row>
    <row r="1158" spans="1:13">
      <c r="B1158" s="211"/>
      <c r="C1158" s="197"/>
      <c r="D1158" s="198">
        <v>100011</v>
      </c>
      <c r="E1158" s="198" t="s">
        <v>2296</v>
      </c>
      <c r="F1158" s="199"/>
      <c r="G1158" s="199"/>
      <c r="H1158" s="199">
        <v>0</v>
      </c>
      <c r="I1158" s="216"/>
      <c r="J1158" s="226">
        <v>0</v>
      </c>
      <c r="K1158" s="201"/>
      <c r="L1158" s="215"/>
      <c r="M1158" s="194"/>
    </row>
    <row r="1159" spans="1:13">
      <c r="B1159" s="211"/>
      <c r="C1159" s="197" t="s">
        <v>2372</v>
      </c>
      <c r="D1159" s="198">
        <v>100011</v>
      </c>
      <c r="E1159" s="198" t="s">
        <v>2373</v>
      </c>
      <c r="F1159" s="199">
        <v>3307768.91</v>
      </c>
      <c r="G1159" s="199"/>
      <c r="H1159" s="199">
        <v>3307768.91</v>
      </c>
      <c r="I1159" s="216">
        <v>64.66</v>
      </c>
      <c r="J1159" s="226">
        <v>213880337.72060001</v>
      </c>
      <c r="K1159" s="201">
        <v>0</v>
      </c>
      <c r="L1159" s="215"/>
      <c r="M1159" s="194" t="s">
        <v>551</v>
      </c>
    </row>
    <row r="1160" spans="1:13">
      <c r="B1160" s="211"/>
      <c r="C1160" s="197" t="s">
        <v>2374</v>
      </c>
      <c r="D1160" s="198">
        <v>100011</v>
      </c>
      <c r="E1160" s="198" t="s">
        <v>2375</v>
      </c>
      <c r="F1160" s="199">
        <v>2924871.45</v>
      </c>
      <c r="G1160" s="199">
        <v>373775.48</v>
      </c>
      <c r="H1160" s="199">
        <v>3298646.93</v>
      </c>
      <c r="I1160" s="216">
        <v>64.66</v>
      </c>
      <c r="J1160" s="226">
        <v>213290510.49380001</v>
      </c>
      <c r="K1160" s="201">
        <v>0</v>
      </c>
      <c r="L1160" s="215"/>
      <c r="M1160" s="194" t="s">
        <v>548</v>
      </c>
    </row>
    <row r="1161" spans="1:13">
      <c r="B1161" s="211"/>
      <c r="C1161" s="197" t="s">
        <v>2376</v>
      </c>
      <c r="D1161" s="198">
        <v>100011</v>
      </c>
      <c r="E1161" s="198" t="s">
        <v>2377</v>
      </c>
      <c r="F1161" s="199">
        <v>-2904900.88</v>
      </c>
      <c r="G1161" s="199"/>
      <c r="H1161" s="199">
        <v>-2904900.88</v>
      </c>
      <c r="I1161" s="216">
        <v>64.66</v>
      </c>
      <c r="J1161" s="226">
        <v>-187830890.90079999</v>
      </c>
      <c r="K1161" s="201">
        <v>0</v>
      </c>
      <c r="L1161" s="215"/>
      <c r="M1161" s="194" t="s">
        <v>554</v>
      </c>
    </row>
    <row r="1162" spans="1:13">
      <c r="B1162" s="211"/>
      <c r="C1162" s="197" t="s">
        <v>780</v>
      </c>
      <c r="D1162" s="198">
        <v>100011</v>
      </c>
      <c r="E1162" s="198" t="s">
        <v>2378</v>
      </c>
      <c r="F1162" s="199">
        <v>0</v>
      </c>
      <c r="G1162" s="199"/>
      <c r="H1162" s="199">
        <v>0</v>
      </c>
      <c r="I1162" s="216"/>
      <c r="J1162" s="226">
        <v>3070503.1</v>
      </c>
      <c r="K1162" s="201">
        <v>0</v>
      </c>
      <c r="L1162" s="215"/>
      <c r="M1162" s="194" t="s">
        <v>379</v>
      </c>
    </row>
    <row r="1163" spans="1:13">
      <c r="B1163" s="211"/>
      <c r="C1163" s="197"/>
      <c r="D1163" s="198">
        <v>100011</v>
      </c>
      <c r="E1163" s="198" t="s">
        <v>2296</v>
      </c>
      <c r="F1163" s="199"/>
      <c r="G1163" s="199"/>
      <c r="H1163" s="199">
        <v>0</v>
      </c>
      <c r="I1163" s="216"/>
      <c r="J1163" s="226">
        <v>0</v>
      </c>
      <c r="K1163" s="201">
        <v>0</v>
      </c>
      <c r="L1163" s="215"/>
      <c r="M1163" s="194"/>
    </row>
    <row r="1164" spans="1:13">
      <c r="B1164" s="211"/>
      <c r="C1164" s="197"/>
      <c r="D1164" s="198">
        <v>100011</v>
      </c>
      <c r="E1164" s="198" t="s">
        <v>2296</v>
      </c>
      <c r="F1164" s="199"/>
      <c r="G1164" s="199"/>
      <c r="H1164" s="199">
        <v>0</v>
      </c>
      <c r="I1164" s="216"/>
      <c r="J1164" s="226">
        <v>0</v>
      </c>
      <c r="K1164" s="201">
        <v>0</v>
      </c>
      <c r="L1164" s="215"/>
      <c r="M1164" s="194"/>
    </row>
    <row r="1165" spans="1:13">
      <c r="B1165" s="211"/>
      <c r="C1165" s="197"/>
      <c r="D1165" s="198">
        <v>100011</v>
      </c>
      <c r="E1165" s="198" t="s">
        <v>2296</v>
      </c>
      <c r="F1165" s="199"/>
      <c r="G1165" s="199"/>
      <c r="H1165" s="199">
        <v>0</v>
      </c>
      <c r="I1165" s="216"/>
      <c r="J1165" s="226">
        <v>0</v>
      </c>
      <c r="K1165" s="201">
        <v>0</v>
      </c>
      <c r="L1165" s="215"/>
      <c r="M1165" s="194"/>
    </row>
    <row r="1166" spans="1:13">
      <c r="B1166" s="211"/>
      <c r="C1166" s="197"/>
      <c r="D1166" s="198">
        <v>100011</v>
      </c>
      <c r="E1166" s="198" t="s">
        <v>2296</v>
      </c>
      <c r="F1166" s="199"/>
      <c r="G1166" s="199"/>
      <c r="H1166" s="199">
        <v>0</v>
      </c>
      <c r="I1166" s="216"/>
      <c r="J1166" s="226">
        <v>0</v>
      </c>
      <c r="K1166" s="201">
        <v>0</v>
      </c>
      <c r="L1166" s="215"/>
      <c r="M1166" s="194"/>
    </row>
    <row r="1167" spans="1:13" s="205" customFormat="1">
      <c r="A1167" s="196"/>
      <c r="B1167" s="320"/>
      <c r="C1167" s="256"/>
      <c r="D1167" s="256"/>
      <c r="E1167" s="256"/>
      <c r="F1167" s="338">
        <v>0</v>
      </c>
      <c r="G1167" s="338"/>
      <c r="H1167" s="338">
        <v>0</v>
      </c>
      <c r="I1167" s="338"/>
      <c r="J1167" s="339">
        <v>0</v>
      </c>
      <c r="K1167" s="338">
        <v>0</v>
      </c>
      <c r="L1167" s="340"/>
      <c r="M1167" s="194"/>
    </row>
    <row r="1168" spans="1:13">
      <c r="B1168" s="211"/>
      <c r="C1168" s="208"/>
      <c r="D1168" s="208"/>
      <c r="E1168" s="208"/>
      <c r="F1168" s="244"/>
      <c r="G1168" s="244"/>
      <c r="H1168" s="244"/>
      <c r="I1168" s="244"/>
      <c r="J1168" s="245"/>
      <c r="K1168" s="245"/>
      <c r="L1168" s="215"/>
      <c r="M1168" s="194"/>
    </row>
    <row r="1169" spans="1:13" ht="13.5" thickBot="1">
      <c r="B1169" s="266"/>
      <c r="C1169" s="267"/>
      <c r="D1169" s="267"/>
      <c r="E1169" s="267"/>
      <c r="F1169" s="268"/>
      <c r="G1169" s="268"/>
      <c r="H1169" s="268"/>
      <c r="I1169" s="268"/>
      <c r="J1169" s="269"/>
      <c r="K1169" s="269"/>
      <c r="L1169" s="280"/>
      <c r="M1169" s="194"/>
    </row>
    <row r="1170" spans="1:13" s="284" customFormat="1" ht="14.25" thickTop="1" thickBot="1">
      <c r="A1170" s="283"/>
      <c r="F1170" s="285"/>
      <c r="G1170" s="285"/>
      <c r="H1170" s="285"/>
      <c r="I1170" s="285"/>
      <c r="J1170" s="286"/>
      <c r="K1170" s="286"/>
      <c r="M1170" s="212"/>
    </row>
    <row r="1171" spans="1:13" ht="13.5" thickTop="1">
      <c r="B1171" s="238"/>
      <c r="C1171" s="239"/>
      <c r="D1171" s="239"/>
      <c r="E1171" s="239"/>
      <c r="F1171" s="240"/>
      <c r="G1171" s="240"/>
      <c r="H1171" s="240"/>
      <c r="I1171" s="240"/>
      <c r="J1171" s="241"/>
      <c r="K1171" s="241"/>
      <c r="L1171" s="271"/>
      <c r="M1171" s="194"/>
    </row>
    <row r="1172" spans="1:13">
      <c r="B1172" s="211"/>
      <c r="C1172" s="208" t="s">
        <v>632</v>
      </c>
      <c r="D1172" s="208"/>
      <c r="E1172" s="243">
        <v>100012</v>
      </c>
      <c r="F1172" s="243">
        <v>100012</v>
      </c>
      <c r="G1172" s="244"/>
      <c r="H1172" s="243">
        <v>100012</v>
      </c>
      <c r="I1172" s="244"/>
      <c r="J1172" s="245"/>
      <c r="K1172" s="253">
        <v>100012</v>
      </c>
      <c r="L1172" s="215"/>
      <c r="M1172" s="194"/>
    </row>
    <row r="1173" spans="1:13" s="210" customFormat="1">
      <c r="A1173" s="196"/>
      <c r="B1173" s="247"/>
      <c r="C1173" s="248" t="s">
        <v>2</v>
      </c>
      <c r="D1173" s="248"/>
      <c r="E1173" s="331" t="s">
        <v>771</v>
      </c>
      <c r="F1173" s="331" t="s">
        <v>771</v>
      </c>
      <c r="G1173" s="249"/>
      <c r="H1173" s="331" t="s">
        <v>771</v>
      </c>
      <c r="I1173" s="249"/>
      <c r="J1173" s="250"/>
      <c r="K1173" s="250" t="s">
        <v>771</v>
      </c>
      <c r="L1173" s="281"/>
    </row>
    <row r="1174" spans="1:13">
      <c r="A1174" s="237">
        <v>100012</v>
      </c>
      <c r="B1174" s="211"/>
      <c r="C1174" s="208" t="s">
        <v>634</v>
      </c>
      <c r="D1174" s="208"/>
      <c r="E1174" s="253" t="s">
        <v>1016</v>
      </c>
      <c r="F1174" s="253" t="s">
        <v>1016</v>
      </c>
      <c r="G1174" s="244"/>
      <c r="H1174" s="253" t="s">
        <v>1016</v>
      </c>
      <c r="I1174" s="244"/>
      <c r="J1174" s="245"/>
      <c r="K1174" s="245" t="s">
        <v>1016</v>
      </c>
      <c r="L1174" s="215"/>
      <c r="M1174" s="194"/>
    </row>
    <row r="1175" spans="1:13">
      <c r="B1175" s="211"/>
      <c r="C1175" s="208"/>
      <c r="D1175" s="208"/>
      <c r="E1175" s="208"/>
      <c r="F1175" s="335">
        <v>0</v>
      </c>
      <c r="G1175" s="244"/>
      <c r="H1175" s="334" t="s">
        <v>2833</v>
      </c>
      <c r="I1175" s="253"/>
      <c r="J1175" s="335">
        <v>0</v>
      </c>
      <c r="K1175" s="255" t="s">
        <v>1021</v>
      </c>
      <c r="L1175" s="215"/>
      <c r="M1175" s="194"/>
    </row>
    <row r="1176" spans="1:13" ht="25.5">
      <c r="B1176" s="211"/>
      <c r="C1176" s="256" t="s">
        <v>3</v>
      </c>
      <c r="D1176" s="256" t="s">
        <v>1</v>
      </c>
      <c r="E1176" s="256" t="s">
        <v>635</v>
      </c>
      <c r="F1176" s="257" t="s">
        <v>2254</v>
      </c>
      <c r="G1176" s="257" t="s">
        <v>636</v>
      </c>
      <c r="H1176" s="257" t="s">
        <v>2254</v>
      </c>
      <c r="I1176" s="336" t="s">
        <v>637</v>
      </c>
      <c r="J1176" s="337" t="s">
        <v>638</v>
      </c>
      <c r="K1176" s="259" t="s">
        <v>638</v>
      </c>
      <c r="L1176" s="203"/>
      <c r="M1176" s="194"/>
    </row>
    <row r="1177" spans="1:13">
      <c r="B1177" s="211"/>
      <c r="C1177" s="197" t="s">
        <v>1787</v>
      </c>
      <c r="D1177" s="198">
        <v>100012</v>
      </c>
      <c r="E1177" s="198" t="s">
        <v>2379</v>
      </c>
      <c r="F1177" s="199">
        <v>0</v>
      </c>
      <c r="G1177" s="199"/>
      <c r="H1177" s="199">
        <v>0</v>
      </c>
      <c r="I1177" s="216">
        <v>55.963799999999999</v>
      </c>
      <c r="J1177" s="226">
        <v>0</v>
      </c>
      <c r="K1177" s="202"/>
      <c r="L1177" s="203"/>
      <c r="M1177" s="194" t="s">
        <v>365</v>
      </c>
    </row>
    <row r="1178" spans="1:13">
      <c r="B1178" s="211"/>
      <c r="C1178" s="197" t="s">
        <v>2256</v>
      </c>
      <c r="D1178" s="198">
        <v>100012</v>
      </c>
      <c r="E1178" s="198" t="s">
        <v>2380</v>
      </c>
      <c r="F1178" s="199">
        <v>-13625295.059999999</v>
      </c>
      <c r="G1178" s="199"/>
      <c r="H1178" s="199">
        <v>-13625295.059999999</v>
      </c>
      <c r="I1178" s="216">
        <v>62.794552283731697</v>
      </c>
      <c r="J1178" s="226">
        <v>-855594303.0264411</v>
      </c>
      <c r="K1178" s="202"/>
      <c r="L1178" s="203"/>
      <c r="M1178" s="194" t="s">
        <v>380</v>
      </c>
    </row>
    <row r="1179" spans="1:13">
      <c r="B1179" s="211"/>
      <c r="C1179" s="197" t="s">
        <v>2108</v>
      </c>
      <c r="D1179" s="198">
        <v>100012</v>
      </c>
      <c r="E1179" s="198" t="s">
        <v>2381</v>
      </c>
      <c r="F1179" s="199">
        <v>-4408445.22</v>
      </c>
      <c r="G1179" s="199"/>
      <c r="H1179" s="199">
        <v>-4408445.22</v>
      </c>
      <c r="I1179" s="216">
        <v>65.98</v>
      </c>
      <c r="J1179" s="226">
        <v>-290869215.61559999</v>
      </c>
      <c r="K1179" s="202"/>
      <c r="L1179" s="203"/>
      <c r="M1179" s="194" t="s">
        <v>376</v>
      </c>
    </row>
    <row r="1180" spans="1:13">
      <c r="B1180" s="211"/>
      <c r="C1180" s="197" t="s">
        <v>1907</v>
      </c>
      <c r="D1180" s="198">
        <v>100012</v>
      </c>
      <c r="E1180" s="198" t="s">
        <v>2382</v>
      </c>
      <c r="F1180" s="199">
        <v>-171731.74</v>
      </c>
      <c r="G1180" s="199"/>
      <c r="H1180" s="199">
        <v>-171731.74</v>
      </c>
      <c r="I1180" s="216">
        <v>65.98</v>
      </c>
      <c r="J1180" s="226">
        <v>-11330860.2052</v>
      </c>
      <c r="K1180" s="202"/>
      <c r="L1180" s="203"/>
      <c r="M1180" s="194" t="s">
        <v>387</v>
      </c>
    </row>
    <row r="1181" spans="1:13">
      <c r="B1181" s="211"/>
      <c r="C1181" s="197" t="s">
        <v>2144</v>
      </c>
      <c r="D1181" s="198">
        <v>100012</v>
      </c>
      <c r="E1181" s="198" t="s">
        <v>2383</v>
      </c>
      <c r="F1181" s="199">
        <v>0</v>
      </c>
      <c r="G1181" s="199"/>
      <c r="H1181" s="199">
        <v>0</v>
      </c>
      <c r="I1181" s="216">
        <v>65.98</v>
      </c>
      <c r="J1181" s="226">
        <v>0</v>
      </c>
      <c r="K1181" s="202"/>
      <c r="L1181" s="203"/>
      <c r="M1181" s="194" t="s">
        <v>999</v>
      </c>
    </row>
    <row r="1182" spans="1:13">
      <c r="B1182" s="211"/>
      <c r="C1182" s="197" t="s">
        <v>1797</v>
      </c>
      <c r="D1182" s="198">
        <v>100012</v>
      </c>
      <c r="E1182" s="198" t="s">
        <v>2384</v>
      </c>
      <c r="F1182" s="199">
        <v>-1303027.399</v>
      </c>
      <c r="G1182" s="199"/>
      <c r="H1182" s="199">
        <v>-1303027.399</v>
      </c>
      <c r="I1182" s="216">
        <v>65.98</v>
      </c>
      <c r="J1182" s="226">
        <v>-85973747.786020011</v>
      </c>
      <c r="K1182" s="202"/>
      <c r="L1182" s="203"/>
      <c r="M1182" s="194" t="s">
        <v>410</v>
      </c>
    </row>
    <row r="1183" spans="1:13">
      <c r="B1183" s="211"/>
      <c r="C1183" s="197" t="s">
        <v>2829</v>
      </c>
      <c r="D1183" s="198">
        <v>100012</v>
      </c>
      <c r="E1183" s="198" t="s">
        <v>2384</v>
      </c>
      <c r="F1183" s="199">
        <v>-1E-3</v>
      </c>
      <c r="G1183" s="199"/>
      <c r="H1183" s="199">
        <v>-1E-3</v>
      </c>
      <c r="I1183" s="216">
        <v>65.98</v>
      </c>
      <c r="J1183" s="226">
        <v>-6.5980000000000011E-2</v>
      </c>
      <c r="K1183" s="202"/>
      <c r="L1183" s="203"/>
      <c r="M1183" s="194" t="s">
        <v>410</v>
      </c>
    </row>
    <row r="1184" spans="1:13">
      <c r="B1184" s="211"/>
      <c r="C1184" s="197" t="s">
        <v>2263</v>
      </c>
      <c r="D1184" s="198">
        <v>100012</v>
      </c>
      <c r="E1184" s="198" t="s">
        <v>2385</v>
      </c>
      <c r="F1184" s="199">
        <v>14592607.629999999</v>
      </c>
      <c r="G1184" s="199"/>
      <c r="H1184" s="199">
        <v>14592607.629999999</v>
      </c>
      <c r="I1184" s="216">
        <v>65.98</v>
      </c>
      <c r="J1184" s="226">
        <v>962820251.42739999</v>
      </c>
      <c r="K1184" s="202"/>
      <c r="L1184" s="203"/>
      <c r="M1184" s="194" t="s">
        <v>502</v>
      </c>
    </row>
    <row r="1185" spans="2:13">
      <c r="B1185" s="211"/>
      <c r="C1185" s="197" t="s">
        <v>2265</v>
      </c>
      <c r="D1185" s="198">
        <v>100012</v>
      </c>
      <c r="E1185" s="198" t="s">
        <v>2386</v>
      </c>
      <c r="F1185" s="199">
        <v>-6869395.71</v>
      </c>
      <c r="G1185" s="199"/>
      <c r="H1185" s="199">
        <v>-6869395.71</v>
      </c>
      <c r="I1185" s="216">
        <v>65.98</v>
      </c>
      <c r="J1185" s="226">
        <v>-453242728.94580001</v>
      </c>
      <c r="K1185" s="202"/>
      <c r="L1185" s="203"/>
      <c r="M1185" s="194" t="s">
        <v>405</v>
      </c>
    </row>
    <row r="1186" spans="2:13">
      <c r="B1186" s="211"/>
      <c r="C1186" s="197" t="s">
        <v>2387</v>
      </c>
      <c r="D1186" s="198">
        <v>100012</v>
      </c>
      <c r="E1186" s="198" t="s">
        <v>2383</v>
      </c>
      <c r="F1186" s="199">
        <v>0</v>
      </c>
      <c r="G1186" s="199"/>
      <c r="H1186" s="199">
        <v>0</v>
      </c>
      <c r="I1186" s="216">
        <v>65.98</v>
      </c>
      <c r="J1186" s="226">
        <v>0</v>
      </c>
      <c r="K1186" s="202"/>
      <c r="L1186" s="203"/>
      <c r="M1186" s="194" t="s">
        <v>999</v>
      </c>
    </row>
    <row r="1187" spans="2:13">
      <c r="B1187" s="211"/>
      <c r="C1187" s="197" t="s">
        <v>2388</v>
      </c>
      <c r="D1187" s="198">
        <v>100012</v>
      </c>
      <c r="E1187" s="198" t="s">
        <v>2383</v>
      </c>
      <c r="F1187" s="199">
        <v>0</v>
      </c>
      <c r="G1187" s="199"/>
      <c r="H1187" s="199">
        <v>0</v>
      </c>
      <c r="I1187" s="216">
        <v>65.98</v>
      </c>
      <c r="J1187" s="226">
        <v>0</v>
      </c>
      <c r="K1187" s="202"/>
      <c r="L1187" s="203"/>
      <c r="M1187" s="194" t="s">
        <v>999</v>
      </c>
    </row>
    <row r="1188" spans="2:13">
      <c r="B1188" s="211"/>
      <c r="C1188" s="197" t="s">
        <v>1934</v>
      </c>
      <c r="D1188" s="198">
        <v>100012</v>
      </c>
      <c r="E1188" s="198" t="s">
        <v>2389</v>
      </c>
      <c r="F1188" s="199">
        <v>-676736.7300000001</v>
      </c>
      <c r="G1188" s="199"/>
      <c r="H1188" s="199">
        <v>-676736.7300000001</v>
      </c>
      <c r="I1188" s="216">
        <v>65.98</v>
      </c>
      <c r="J1188" s="226">
        <v>-44651089.445400007</v>
      </c>
      <c r="K1188" s="202"/>
      <c r="L1188" s="203"/>
      <c r="M1188" s="194" t="s">
        <v>420</v>
      </c>
    </row>
    <row r="1189" spans="2:13">
      <c r="B1189" s="211"/>
      <c r="C1189" s="197" t="s">
        <v>2171</v>
      </c>
      <c r="D1189" s="198">
        <v>100012</v>
      </c>
      <c r="E1189" s="198" t="s">
        <v>2390</v>
      </c>
      <c r="F1189" s="199">
        <v>-138485.46000000002</v>
      </c>
      <c r="G1189" s="199"/>
      <c r="H1189" s="199">
        <v>-138485.46000000002</v>
      </c>
      <c r="I1189" s="216">
        <v>65.98</v>
      </c>
      <c r="J1189" s="226">
        <v>-9137270.6508000027</v>
      </c>
      <c r="K1189" s="202"/>
      <c r="L1189" s="203"/>
      <c r="M1189" s="194" t="s">
        <v>421</v>
      </c>
    </row>
    <row r="1190" spans="2:13">
      <c r="B1190" s="211"/>
      <c r="C1190" s="197" t="s">
        <v>1904</v>
      </c>
      <c r="D1190" s="198">
        <v>100012</v>
      </c>
      <c r="E1190" s="198" t="s">
        <v>2391</v>
      </c>
      <c r="F1190" s="199">
        <v>-4279543.72</v>
      </c>
      <c r="G1190" s="199"/>
      <c r="H1190" s="199">
        <v>-4279543.72</v>
      </c>
      <c r="I1190" s="216">
        <v>65.98</v>
      </c>
      <c r="J1190" s="226">
        <v>-282364294.64560002</v>
      </c>
      <c r="K1190" s="202"/>
      <c r="L1190" s="203"/>
      <c r="M1190" s="194" t="s">
        <v>358</v>
      </c>
    </row>
    <row r="1191" spans="2:13">
      <c r="B1191" s="211"/>
      <c r="C1191" s="197" t="s">
        <v>1911</v>
      </c>
      <c r="D1191" s="198">
        <v>100012</v>
      </c>
      <c r="E1191" s="198" t="s">
        <v>2392</v>
      </c>
      <c r="F1191" s="199">
        <v>7485555.1999999993</v>
      </c>
      <c r="G1191" s="199"/>
      <c r="H1191" s="199">
        <v>7485555.1999999993</v>
      </c>
      <c r="I1191" s="216">
        <v>65.98</v>
      </c>
      <c r="J1191" s="226">
        <v>493896932.09599996</v>
      </c>
      <c r="K1191" s="202"/>
      <c r="L1191" s="203"/>
      <c r="M1191" s="194" t="s">
        <v>357</v>
      </c>
    </row>
    <row r="1192" spans="2:13">
      <c r="B1192" s="211"/>
      <c r="C1192" s="197" t="s">
        <v>676</v>
      </c>
      <c r="D1192" s="198">
        <v>100012</v>
      </c>
      <c r="E1192" s="198" t="s">
        <v>2391</v>
      </c>
      <c r="F1192" s="199">
        <v>0</v>
      </c>
      <c r="G1192" s="199"/>
      <c r="H1192" s="199">
        <v>0</v>
      </c>
      <c r="I1192" s="216">
        <v>65.98</v>
      </c>
      <c r="J1192" s="226">
        <v>0</v>
      </c>
      <c r="K1192" s="202"/>
      <c r="L1192" s="203"/>
      <c r="M1192" s="194" t="s">
        <v>358</v>
      </c>
    </row>
    <row r="1193" spans="2:13">
      <c r="B1193" s="211"/>
      <c r="C1193" s="197" t="s">
        <v>2272</v>
      </c>
      <c r="D1193" s="198">
        <v>100012</v>
      </c>
      <c r="E1193" s="198" t="s">
        <v>2392</v>
      </c>
      <c r="F1193" s="199">
        <v>-1685609.42</v>
      </c>
      <c r="G1193" s="199"/>
      <c r="H1193" s="199">
        <v>-1685609.42</v>
      </c>
      <c r="I1193" s="216">
        <v>65.98</v>
      </c>
      <c r="J1193" s="226">
        <v>-111216509.5316</v>
      </c>
      <c r="K1193" s="202"/>
      <c r="L1193" s="203"/>
      <c r="M1193" s="194" t="s">
        <v>357</v>
      </c>
    </row>
    <row r="1194" spans="2:13">
      <c r="B1194" s="211"/>
      <c r="C1194" s="197" t="s">
        <v>1913</v>
      </c>
      <c r="D1194" s="198">
        <v>100012</v>
      </c>
      <c r="E1194" s="198" t="s">
        <v>2393</v>
      </c>
      <c r="F1194" s="199">
        <v>0</v>
      </c>
      <c r="G1194" s="199"/>
      <c r="H1194" s="199">
        <v>0</v>
      </c>
      <c r="I1194" s="216">
        <v>65.98</v>
      </c>
      <c r="J1194" s="226">
        <v>0</v>
      </c>
      <c r="K1194" s="202"/>
      <c r="L1194" s="203"/>
      <c r="M1194" s="194" t="s">
        <v>442</v>
      </c>
    </row>
    <row r="1195" spans="2:13">
      <c r="B1195" s="211"/>
      <c r="C1195" s="197" t="s">
        <v>2273</v>
      </c>
      <c r="D1195" s="198">
        <v>100012</v>
      </c>
      <c r="E1195" s="198" t="s">
        <v>2857</v>
      </c>
      <c r="F1195" s="199">
        <v>4125</v>
      </c>
      <c r="G1195" s="199"/>
      <c r="H1195" s="199">
        <v>4125</v>
      </c>
      <c r="I1195" s="216">
        <v>65.98</v>
      </c>
      <c r="J1195" s="226">
        <v>272167.5</v>
      </c>
      <c r="K1195" s="202"/>
      <c r="L1195" s="203"/>
      <c r="M1195" s="194" t="s">
        <v>522</v>
      </c>
    </row>
    <row r="1196" spans="2:13">
      <c r="B1196" s="211"/>
      <c r="C1196" s="197" t="s">
        <v>2151</v>
      </c>
      <c r="D1196" s="198">
        <v>100012</v>
      </c>
      <c r="E1196" s="198" t="s">
        <v>2394</v>
      </c>
      <c r="F1196" s="199">
        <v>5104070.12</v>
      </c>
      <c r="G1196" s="199"/>
      <c r="H1196" s="199">
        <v>5104070.12</v>
      </c>
      <c r="I1196" s="216">
        <v>65.98</v>
      </c>
      <c r="J1196" s="226">
        <v>336766546.5176</v>
      </c>
      <c r="K1196" s="202"/>
      <c r="L1196" s="203"/>
      <c r="M1196" s="194" t="s">
        <v>478</v>
      </c>
    </row>
    <row r="1197" spans="2:13">
      <c r="B1197" s="211"/>
      <c r="C1197" s="197" t="s">
        <v>2275</v>
      </c>
      <c r="D1197" s="198">
        <v>100012</v>
      </c>
      <c r="E1197" s="198" t="s">
        <v>2395</v>
      </c>
      <c r="F1197" s="199">
        <v>474327.38</v>
      </c>
      <c r="G1197" s="199"/>
      <c r="H1197" s="199">
        <v>474327.38</v>
      </c>
      <c r="I1197" s="216">
        <v>65.98</v>
      </c>
      <c r="J1197" s="226">
        <v>31296120.532400001</v>
      </c>
      <c r="K1197" s="202"/>
      <c r="L1197" s="203"/>
      <c r="M1197" s="194" t="s">
        <v>477</v>
      </c>
    </row>
    <row r="1198" spans="2:13">
      <c r="B1198" s="211"/>
      <c r="C1198" s="197" t="s">
        <v>2276</v>
      </c>
      <c r="D1198" s="198">
        <v>100012</v>
      </c>
      <c r="E1198" s="198" t="s">
        <v>2394</v>
      </c>
      <c r="F1198" s="199">
        <v>20501.46</v>
      </c>
      <c r="G1198" s="199"/>
      <c r="H1198" s="199">
        <v>20501.46</v>
      </c>
      <c r="I1198" s="216">
        <v>65.98</v>
      </c>
      <c r="J1198" s="226">
        <v>1352686.3308000001</v>
      </c>
      <c r="K1198" s="202"/>
      <c r="L1198" s="203"/>
      <c r="M1198" s="194" t="s">
        <v>478</v>
      </c>
    </row>
    <row r="1199" spans="2:13">
      <c r="B1199" s="211"/>
      <c r="C1199" s="197" t="s">
        <v>1802</v>
      </c>
      <c r="D1199" s="198">
        <v>100012</v>
      </c>
      <c r="E1199" s="198" t="s">
        <v>2396</v>
      </c>
      <c r="F1199" s="199"/>
      <c r="G1199" s="199"/>
      <c r="H1199" s="199">
        <v>0</v>
      </c>
      <c r="I1199" s="216">
        <v>65.98</v>
      </c>
      <c r="J1199" s="226">
        <v>0</v>
      </c>
      <c r="K1199" s="202"/>
      <c r="L1199" s="203"/>
      <c r="M1199" s="194" t="s">
        <v>2278</v>
      </c>
    </row>
    <row r="1200" spans="2:13">
      <c r="B1200" s="211"/>
      <c r="C1200" s="197" t="s">
        <v>1806</v>
      </c>
      <c r="D1200" s="198">
        <v>100012</v>
      </c>
      <c r="E1200" s="198" t="s">
        <v>2397</v>
      </c>
      <c r="F1200" s="199">
        <v>1650</v>
      </c>
      <c r="G1200" s="199"/>
      <c r="H1200" s="199">
        <v>1650</v>
      </c>
      <c r="I1200" s="216">
        <v>65.98</v>
      </c>
      <c r="J1200" s="226">
        <v>108867</v>
      </c>
      <c r="K1200" s="202"/>
      <c r="L1200" s="203"/>
      <c r="M1200" s="194" t="s">
        <v>494</v>
      </c>
    </row>
    <row r="1201" spans="2:13">
      <c r="B1201" s="211"/>
      <c r="C1201" s="197" t="s">
        <v>1808</v>
      </c>
      <c r="D1201" s="198">
        <v>100012</v>
      </c>
      <c r="E1201" s="198" t="s">
        <v>2398</v>
      </c>
      <c r="F1201" s="199">
        <v>59524.55</v>
      </c>
      <c r="G1201" s="199"/>
      <c r="H1201" s="199">
        <v>59524.55</v>
      </c>
      <c r="I1201" s="216">
        <v>65.98</v>
      </c>
      <c r="J1201" s="226">
        <v>3927429.8090000004</v>
      </c>
      <c r="K1201" s="202"/>
      <c r="L1201" s="203"/>
      <c r="M1201" s="194" t="s">
        <v>496</v>
      </c>
    </row>
    <row r="1202" spans="2:13">
      <c r="B1202" s="211"/>
      <c r="C1202" s="197" t="s">
        <v>1928</v>
      </c>
      <c r="D1202" s="198">
        <v>100012</v>
      </c>
      <c r="E1202" s="198" t="s">
        <v>2399</v>
      </c>
      <c r="F1202" s="199">
        <v>0</v>
      </c>
      <c r="G1202" s="199"/>
      <c r="H1202" s="199">
        <v>0</v>
      </c>
      <c r="I1202" s="216">
        <v>65.98</v>
      </c>
      <c r="J1202" s="226">
        <v>0</v>
      </c>
      <c r="K1202" s="206"/>
      <c r="L1202" s="203"/>
      <c r="M1202" s="194" t="s">
        <v>527</v>
      </c>
    </row>
    <row r="1203" spans="2:13">
      <c r="B1203" s="211"/>
      <c r="C1203" s="197" t="s">
        <v>2282</v>
      </c>
      <c r="D1203" s="198">
        <v>100012</v>
      </c>
      <c r="E1203" s="198" t="s">
        <v>2400</v>
      </c>
      <c r="F1203" s="199">
        <v>-16447.240000000002</v>
      </c>
      <c r="G1203" s="199"/>
      <c r="H1203" s="199">
        <v>-16447.240000000002</v>
      </c>
      <c r="I1203" s="216">
        <v>65.98</v>
      </c>
      <c r="J1203" s="226">
        <v>-1085188.8952000001</v>
      </c>
      <c r="K1203" s="202"/>
      <c r="L1203" s="203"/>
      <c r="M1203" s="194" t="s">
        <v>424</v>
      </c>
    </row>
    <row r="1204" spans="2:13">
      <c r="B1204" s="211"/>
      <c r="C1204" s="197" t="s">
        <v>1816</v>
      </c>
      <c r="D1204" s="198">
        <v>100012</v>
      </c>
      <c r="E1204" s="198" t="s">
        <v>2401</v>
      </c>
      <c r="F1204" s="199">
        <v>16369.94</v>
      </c>
      <c r="G1204" s="199"/>
      <c r="H1204" s="199">
        <v>16369.94</v>
      </c>
      <c r="I1204" s="216">
        <v>65.98</v>
      </c>
      <c r="J1204" s="226">
        <v>1080088.6412000002</v>
      </c>
      <c r="K1204" s="206"/>
      <c r="L1204" s="203"/>
      <c r="M1204" s="194" t="s">
        <v>514</v>
      </c>
    </row>
    <row r="1205" spans="2:13">
      <c r="B1205" s="211"/>
      <c r="C1205" s="197" t="s">
        <v>2121</v>
      </c>
      <c r="D1205" s="198">
        <v>100012</v>
      </c>
      <c r="E1205" s="198" t="s">
        <v>2858</v>
      </c>
      <c r="F1205" s="199">
        <v>289.99</v>
      </c>
      <c r="G1205" s="199"/>
      <c r="H1205" s="199">
        <v>289.99</v>
      </c>
      <c r="I1205" s="216">
        <v>65.98</v>
      </c>
      <c r="J1205" s="226">
        <v>19133.540200000003</v>
      </c>
      <c r="K1205" s="202"/>
      <c r="L1205" s="203"/>
      <c r="M1205" s="194" t="s">
        <v>508</v>
      </c>
    </row>
    <row r="1206" spans="2:13">
      <c r="B1206" s="211"/>
      <c r="C1206" s="197" t="s">
        <v>2403</v>
      </c>
      <c r="D1206" s="198">
        <v>100012</v>
      </c>
      <c r="E1206" s="198" t="s">
        <v>2404</v>
      </c>
      <c r="F1206" s="199">
        <v>290117.92999999993</v>
      </c>
      <c r="G1206" s="199"/>
      <c r="H1206" s="199">
        <v>290117.92999999993</v>
      </c>
      <c r="I1206" s="216">
        <v>65.98</v>
      </c>
      <c r="J1206" s="226">
        <v>19141981.021399997</v>
      </c>
      <c r="K1206" s="202"/>
      <c r="L1206" s="203"/>
      <c r="M1206" s="194" t="s">
        <v>443</v>
      </c>
    </row>
    <row r="1207" spans="2:13">
      <c r="B1207" s="211"/>
      <c r="C1207" s="197" t="s">
        <v>1814</v>
      </c>
      <c r="D1207" s="198">
        <v>100012</v>
      </c>
      <c r="E1207" s="198" t="s">
        <v>2405</v>
      </c>
      <c r="F1207" s="199">
        <v>0</v>
      </c>
      <c r="G1207" s="199"/>
      <c r="H1207" s="199">
        <v>0</v>
      </c>
      <c r="I1207" s="216">
        <v>65.98</v>
      </c>
      <c r="J1207" s="226">
        <v>0</v>
      </c>
      <c r="K1207" s="202"/>
      <c r="L1207" s="203"/>
      <c r="M1207" s="194" t="s">
        <v>426</v>
      </c>
    </row>
    <row r="1208" spans="2:13">
      <c r="B1208" s="211"/>
      <c r="C1208" s="197" t="s">
        <v>2288</v>
      </c>
      <c r="D1208" s="198">
        <v>100012</v>
      </c>
      <c r="E1208" s="198" t="s">
        <v>2404</v>
      </c>
      <c r="F1208" s="199">
        <v>785114</v>
      </c>
      <c r="G1208" s="199"/>
      <c r="H1208" s="199">
        <v>785114</v>
      </c>
      <c r="I1208" s="216">
        <v>65.98</v>
      </c>
      <c r="J1208" s="226">
        <v>51801821.720000006</v>
      </c>
      <c r="K1208" s="202"/>
      <c r="L1208" s="203"/>
      <c r="M1208" s="194" t="s">
        <v>443</v>
      </c>
    </row>
    <row r="1209" spans="2:13">
      <c r="B1209" s="211"/>
      <c r="C1209" s="197" t="s">
        <v>2289</v>
      </c>
      <c r="D1209" s="198">
        <v>100012</v>
      </c>
      <c r="E1209" s="198" t="s">
        <v>2406</v>
      </c>
      <c r="F1209" s="199">
        <v>0</v>
      </c>
      <c r="G1209" s="199"/>
      <c r="H1209" s="199">
        <v>0</v>
      </c>
      <c r="I1209" s="216">
        <v>65.98</v>
      </c>
      <c r="J1209" s="226">
        <v>0</v>
      </c>
      <c r="K1209" s="202"/>
      <c r="L1209" s="203"/>
      <c r="M1209" s="194" t="s">
        <v>394</v>
      </c>
    </row>
    <row r="1210" spans="2:13">
      <c r="B1210" s="211"/>
      <c r="C1210" s="197" t="s">
        <v>2291</v>
      </c>
      <c r="D1210" s="198">
        <v>100012</v>
      </c>
      <c r="E1210" s="198" t="s">
        <v>2383</v>
      </c>
      <c r="F1210" s="199">
        <v>0</v>
      </c>
      <c r="G1210" s="199"/>
      <c r="H1210" s="199">
        <v>0</v>
      </c>
      <c r="I1210" s="216">
        <v>65.98</v>
      </c>
      <c r="J1210" s="226">
        <v>0</v>
      </c>
      <c r="K1210" s="202"/>
      <c r="L1210" s="203"/>
      <c r="M1210" s="194" t="s">
        <v>999</v>
      </c>
    </row>
    <row r="1211" spans="2:13">
      <c r="B1211" s="211"/>
      <c r="C1211" s="197" t="s">
        <v>2292</v>
      </c>
      <c r="D1211" s="198">
        <v>100012</v>
      </c>
      <c r="E1211" s="198" t="s">
        <v>2407</v>
      </c>
      <c r="F1211" s="199">
        <v>-40337.9</v>
      </c>
      <c r="G1211" s="199"/>
      <c r="H1211" s="199">
        <v>-40337.9</v>
      </c>
      <c r="I1211" s="216">
        <v>65.98</v>
      </c>
      <c r="J1211" s="226">
        <v>-2661494.6420000005</v>
      </c>
      <c r="K1211" s="202"/>
      <c r="L1211" s="203"/>
      <c r="M1211" s="194" t="s">
        <v>488</v>
      </c>
    </row>
    <row r="1212" spans="2:13">
      <c r="B1212" s="211"/>
      <c r="C1212" s="197" t="s">
        <v>1930</v>
      </c>
      <c r="D1212" s="198">
        <v>100012</v>
      </c>
      <c r="E1212" s="198" t="s">
        <v>2408</v>
      </c>
      <c r="F1212" s="199">
        <v>126146.82</v>
      </c>
      <c r="G1212" s="199"/>
      <c r="H1212" s="199">
        <v>126146.82</v>
      </c>
      <c r="I1212" s="216">
        <v>65.98</v>
      </c>
      <c r="J1212" s="226">
        <v>8323167.183600001</v>
      </c>
      <c r="K1212" s="202"/>
      <c r="L1212" s="203"/>
      <c r="M1212" s="194" t="s">
        <v>510</v>
      </c>
    </row>
    <row r="1213" spans="2:13">
      <c r="B1213" s="211"/>
      <c r="C1213" s="197" t="s">
        <v>2294</v>
      </c>
      <c r="D1213" s="198">
        <v>100012</v>
      </c>
      <c r="E1213" s="198" t="s">
        <v>2409</v>
      </c>
      <c r="F1213" s="199">
        <v>0</v>
      </c>
      <c r="G1213" s="199"/>
      <c r="H1213" s="199">
        <v>0</v>
      </c>
      <c r="I1213" s="216">
        <v>65.98</v>
      </c>
      <c r="J1213" s="226">
        <v>0</v>
      </c>
      <c r="K1213" s="202"/>
      <c r="L1213" s="203"/>
      <c r="M1213" s="194" t="s">
        <v>441</v>
      </c>
    </row>
    <row r="1214" spans="2:13">
      <c r="B1214" s="211"/>
      <c r="C1214" s="197"/>
      <c r="D1214" s="198">
        <v>100012</v>
      </c>
      <c r="E1214" s="198" t="s">
        <v>2410</v>
      </c>
      <c r="F1214" s="199"/>
      <c r="G1214" s="199"/>
      <c r="H1214" s="199">
        <v>0</v>
      </c>
      <c r="I1214" s="216"/>
      <c r="J1214" s="226">
        <v>0</v>
      </c>
      <c r="K1214" s="202"/>
      <c r="L1214" s="203"/>
      <c r="M1214" s="194"/>
    </row>
    <row r="1215" spans="2:13">
      <c r="B1215" s="211"/>
      <c r="C1215" s="197" t="s">
        <v>2411</v>
      </c>
      <c r="D1215" s="198">
        <v>100012</v>
      </c>
      <c r="E1215" s="198" t="s">
        <v>2412</v>
      </c>
      <c r="F1215" s="199">
        <v>3972648.6799999997</v>
      </c>
      <c r="G1215" s="199"/>
      <c r="H1215" s="199">
        <v>3972648.6799999997</v>
      </c>
      <c r="I1215" s="216">
        <v>65.98</v>
      </c>
      <c r="J1215" s="226">
        <v>262115359.9064</v>
      </c>
      <c r="K1215" s="202"/>
      <c r="L1215" s="203"/>
      <c r="M1215" s="194" t="s">
        <v>484</v>
      </c>
    </row>
    <row r="1216" spans="2:13">
      <c r="B1216" s="211"/>
      <c r="C1216" s="197" t="s">
        <v>2153</v>
      </c>
      <c r="D1216" s="198">
        <v>100012</v>
      </c>
      <c r="E1216" s="198" t="s">
        <v>2407</v>
      </c>
      <c r="F1216" s="199">
        <v>241782</v>
      </c>
      <c r="G1216" s="199"/>
      <c r="H1216" s="199">
        <v>241782</v>
      </c>
      <c r="I1216" s="216">
        <v>65.98</v>
      </c>
      <c r="J1216" s="226">
        <v>15952776.360000001</v>
      </c>
      <c r="K1216" s="202"/>
      <c r="L1216" s="203"/>
      <c r="M1216" s="194" t="s">
        <v>488</v>
      </c>
    </row>
    <row r="1217" spans="2:13">
      <c r="B1217" s="211"/>
      <c r="C1217" s="197"/>
      <c r="D1217" s="198">
        <v>100012</v>
      </c>
      <c r="E1217" s="198" t="s">
        <v>2410</v>
      </c>
      <c r="F1217" s="199"/>
      <c r="G1217" s="199"/>
      <c r="H1217" s="199">
        <v>0</v>
      </c>
      <c r="I1217" s="216"/>
      <c r="J1217" s="226">
        <v>0</v>
      </c>
      <c r="K1217" s="202"/>
      <c r="L1217" s="203"/>
      <c r="M1217" s="194"/>
    </row>
    <row r="1218" spans="2:13">
      <c r="B1218" s="211"/>
      <c r="C1218" s="197" t="s">
        <v>2313</v>
      </c>
      <c r="D1218" s="198">
        <v>100012</v>
      </c>
      <c r="E1218" s="198" t="s">
        <v>2413</v>
      </c>
      <c r="F1218" s="199">
        <v>-9158580.9299999997</v>
      </c>
      <c r="G1218" s="199"/>
      <c r="H1218" s="199">
        <v>-9158580.9299999997</v>
      </c>
      <c r="I1218" s="216">
        <v>64.66</v>
      </c>
      <c r="J1218" s="226">
        <v>-592193842.93379998</v>
      </c>
      <c r="K1218" s="202"/>
      <c r="L1218" s="203"/>
      <c r="M1218" s="194" t="s">
        <v>528</v>
      </c>
    </row>
    <row r="1219" spans="2:13">
      <c r="B1219" s="211"/>
      <c r="C1219" s="197" t="s">
        <v>2315</v>
      </c>
      <c r="D1219" s="198">
        <v>100012</v>
      </c>
      <c r="E1219" s="198" t="s">
        <v>2413</v>
      </c>
      <c r="F1219" s="199">
        <v>-7194414.6399999997</v>
      </c>
      <c r="G1219" s="199"/>
      <c r="H1219" s="199">
        <v>-7194414.6399999997</v>
      </c>
      <c r="I1219" s="216">
        <v>64.66</v>
      </c>
      <c r="J1219" s="226">
        <v>-465190850.62239993</v>
      </c>
      <c r="K1219" s="202"/>
      <c r="L1219" s="203"/>
      <c r="M1219" s="194" t="s">
        <v>528</v>
      </c>
    </row>
    <row r="1220" spans="2:13">
      <c r="B1220" s="211"/>
      <c r="C1220" s="197" t="s">
        <v>2316</v>
      </c>
      <c r="D1220" s="198">
        <v>100012</v>
      </c>
      <c r="E1220" s="198" t="s">
        <v>2414</v>
      </c>
      <c r="F1220" s="199">
        <v>-59249.919999999998</v>
      </c>
      <c r="G1220" s="199"/>
      <c r="H1220" s="199">
        <v>-59249.919999999998</v>
      </c>
      <c r="I1220" s="216">
        <v>64.66</v>
      </c>
      <c r="J1220" s="226">
        <v>-3831099.8271999997</v>
      </c>
      <c r="K1220" s="202"/>
      <c r="L1220" s="203"/>
      <c r="M1220" s="194" t="s">
        <v>530</v>
      </c>
    </row>
    <row r="1221" spans="2:13">
      <c r="B1221" s="211"/>
      <c r="C1221" s="197" t="s">
        <v>2318</v>
      </c>
      <c r="D1221" s="198">
        <v>100012</v>
      </c>
      <c r="E1221" s="198" t="s">
        <v>2415</v>
      </c>
      <c r="F1221" s="199">
        <v>-6136029.6999999993</v>
      </c>
      <c r="G1221" s="199"/>
      <c r="H1221" s="199">
        <v>-6136029.6999999993</v>
      </c>
      <c r="I1221" s="216">
        <v>64.66</v>
      </c>
      <c r="J1221" s="226">
        <v>-396755680.40199995</v>
      </c>
      <c r="K1221" s="202"/>
      <c r="L1221" s="203"/>
      <c r="M1221" s="194" t="s">
        <v>529</v>
      </c>
    </row>
    <row r="1222" spans="2:13">
      <c r="B1222" s="211"/>
      <c r="C1222" s="197" t="s">
        <v>218</v>
      </c>
      <c r="D1222" s="198">
        <v>100012</v>
      </c>
      <c r="E1222" s="198" t="s">
        <v>2416</v>
      </c>
      <c r="F1222" s="199">
        <v>-15194.779999999999</v>
      </c>
      <c r="G1222" s="199"/>
      <c r="H1222" s="199">
        <v>-15194.779999999999</v>
      </c>
      <c r="I1222" s="216">
        <v>64.66</v>
      </c>
      <c r="J1222" s="226">
        <v>-982494.47479999985</v>
      </c>
      <c r="K1222" s="202"/>
      <c r="L1222" s="203"/>
      <c r="M1222" s="194" t="s">
        <v>538</v>
      </c>
    </row>
    <row r="1223" spans="2:13">
      <c r="B1223" s="211"/>
      <c r="C1223" s="197" t="s">
        <v>2190</v>
      </c>
      <c r="D1223" s="198">
        <v>100012</v>
      </c>
      <c r="E1223" s="198" t="s">
        <v>2417</v>
      </c>
      <c r="F1223" s="199">
        <v>0</v>
      </c>
      <c r="G1223" s="199"/>
      <c r="H1223" s="199">
        <v>0</v>
      </c>
      <c r="I1223" s="216">
        <v>64.66</v>
      </c>
      <c r="J1223" s="226">
        <v>0</v>
      </c>
      <c r="K1223" s="202"/>
      <c r="L1223" s="203"/>
      <c r="M1223" s="194" t="s">
        <v>532</v>
      </c>
    </row>
    <row r="1224" spans="2:13">
      <c r="B1224" s="211"/>
      <c r="C1224" s="197" t="s">
        <v>2323</v>
      </c>
      <c r="D1224" s="198">
        <v>100012</v>
      </c>
      <c r="E1224" s="198" t="s">
        <v>2418</v>
      </c>
      <c r="F1224" s="199"/>
      <c r="G1224" s="199"/>
      <c r="H1224" s="199">
        <v>0</v>
      </c>
      <c r="I1224" s="216">
        <v>64.66</v>
      </c>
      <c r="J1224" s="226">
        <v>0</v>
      </c>
      <c r="K1224" s="202"/>
      <c r="L1224" s="203"/>
      <c r="M1224" s="194" t="s">
        <v>2322</v>
      </c>
    </row>
    <row r="1225" spans="2:13">
      <c r="B1225" s="211"/>
      <c r="C1225" s="197" t="s">
        <v>2326</v>
      </c>
      <c r="D1225" s="198">
        <v>100012</v>
      </c>
      <c r="E1225" s="198" t="s">
        <v>2419</v>
      </c>
      <c r="F1225" s="199">
        <v>776460</v>
      </c>
      <c r="G1225" s="199"/>
      <c r="H1225" s="199">
        <v>776460</v>
      </c>
      <c r="I1225" s="216">
        <v>64.66</v>
      </c>
      <c r="J1225" s="226">
        <v>50205903.599999994</v>
      </c>
      <c r="K1225" s="202"/>
      <c r="L1225" s="203"/>
      <c r="M1225" s="194" t="s">
        <v>600</v>
      </c>
    </row>
    <row r="1226" spans="2:13">
      <c r="B1226" s="211"/>
      <c r="C1226" s="197" t="s">
        <v>2328</v>
      </c>
      <c r="D1226" s="198">
        <v>100012</v>
      </c>
      <c r="E1226" s="198" t="s">
        <v>2420</v>
      </c>
      <c r="F1226" s="199">
        <v>1822985.78</v>
      </c>
      <c r="G1226" s="199"/>
      <c r="H1226" s="199">
        <v>1822985.78</v>
      </c>
      <c r="I1226" s="216">
        <v>64.66</v>
      </c>
      <c r="J1226" s="226">
        <v>117874260.53479999</v>
      </c>
      <c r="K1226" s="202"/>
      <c r="L1226" s="203"/>
      <c r="M1226" s="194" t="s">
        <v>555</v>
      </c>
    </row>
    <row r="1227" spans="2:13">
      <c r="B1227" s="211"/>
      <c r="C1227" s="197" t="s">
        <v>2330</v>
      </c>
      <c r="D1227" s="198">
        <v>100012</v>
      </c>
      <c r="E1227" s="198" t="s">
        <v>2421</v>
      </c>
      <c r="F1227" s="199">
        <v>247983.24</v>
      </c>
      <c r="G1227" s="199"/>
      <c r="H1227" s="199">
        <v>247983.24</v>
      </c>
      <c r="I1227" s="216">
        <v>64.66</v>
      </c>
      <c r="J1227" s="226">
        <v>16034596.298399998</v>
      </c>
      <c r="K1227" s="202"/>
      <c r="L1227" s="203"/>
      <c r="M1227" s="194" t="s">
        <v>608</v>
      </c>
    </row>
    <row r="1228" spans="2:13">
      <c r="B1228" s="211"/>
      <c r="C1228" s="197" t="s">
        <v>1862</v>
      </c>
      <c r="D1228" s="198">
        <v>100012</v>
      </c>
      <c r="E1228" s="198" t="s">
        <v>2422</v>
      </c>
      <c r="F1228" s="199">
        <v>96748.01</v>
      </c>
      <c r="G1228" s="199"/>
      <c r="H1228" s="199">
        <v>96748.01</v>
      </c>
      <c r="I1228" s="216">
        <v>64.66</v>
      </c>
      <c r="J1228" s="226">
        <v>6255726.3265999993</v>
      </c>
      <c r="K1228" s="202"/>
      <c r="L1228" s="203"/>
      <c r="M1228" s="194" t="s">
        <v>595</v>
      </c>
    </row>
    <row r="1229" spans="2:13">
      <c r="B1229" s="211"/>
      <c r="C1229" s="197" t="s">
        <v>2333</v>
      </c>
      <c r="D1229" s="198">
        <v>100012</v>
      </c>
      <c r="E1229" s="198" t="s">
        <v>2423</v>
      </c>
      <c r="F1229" s="199">
        <v>5333.97</v>
      </c>
      <c r="G1229" s="199"/>
      <c r="H1229" s="199">
        <v>5333.97</v>
      </c>
      <c r="I1229" s="216">
        <v>64.66</v>
      </c>
      <c r="J1229" s="226">
        <v>344894.50020000001</v>
      </c>
      <c r="K1229" s="202"/>
      <c r="L1229" s="203"/>
      <c r="M1229" s="194" t="s">
        <v>616</v>
      </c>
    </row>
    <row r="1230" spans="2:13">
      <c r="B1230" s="211"/>
      <c r="C1230" s="197" t="s">
        <v>2213</v>
      </c>
      <c r="D1230" s="198">
        <v>100012</v>
      </c>
      <c r="E1230" s="198" t="s">
        <v>2423</v>
      </c>
      <c r="F1230" s="199">
        <v>588523.5</v>
      </c>
      <c r="G1230" s="199"/>
      <c r="H1230" s="199">
        <v>588523.5</v>
      </c>
      <c r="I1230" s="216">
        <v>64.66</v>
      </c>
      <c r="J1230" s="226">
        <v>38053929.509999998</v>
      </c>
      <c r="K1230" s="202"/>
      <c r="L1230" s="203"/>
      <c r="M1230" s="194" t="s">
        <v>616</v>
      </c>
    </row>
    <row r="1231" spans="2:13">
      <c r="B1231" s="211"/>
      <c r="C1231" s="197" t="s">
        <v>2335</v>
      </c>
      <c r="D1231" s="198">
        <v>100012</v>
      </c>
      <c r="E1231" s="198" t="s">
        <v>2424</v>
      </c>
      <c r="F1231" s="199">
        <v>152754.34999999998</v>
      </c>
      <c r="G1231" s="199"/>
      <c r="H1231" s="199">
        <v>152754.34999999998</v>
      </c>
      <c r="I1231" s="216">
        <v>64.66</v>
      </c>
      <c r="J1231" s="226">
        <v>9877096.2709999979</v>
      </c>
      <c r="K1231" s="202"/>
      <c r="L1231" s="203"/>
      <c r="M1231" s="194" t="s">
        <v>593</v>
      </c>
    </row>
    <row r="1232" spans="2:13">
      <c r="B1232" s="211"/>
      <c r="C1232" s="197" t="s">
        <v>1504</v>
      </c>
      <c r="D1232" s="198">
        <v>100012</v>
      </c>
      <c r="E1232" s="198" t="s">
        <v>2425</v>
      </c>
      <c r="F1232" s="199">
        <v>271730.26999999996</v>
      </c>
      <c r="G1232" s="199"/>
      <c r="H1232" s="199">
        <v>271730.26999999996</v>
      </c>
      <c r="I1232" s="216">
        <v>64.66</v>
      </c>
      <c r="J1232" s="226">
        <v>17570079.258199997</v>
      </c>
      <c r="K1232" s="202"/>
      <c r="L1232" s="203"/>
      <c r="M1232" s="194" t="s">
        <v>592</v>
      </c>
    </row>
    <row r="1233" spans="2:13">
      <c r="B1233" s="211"/>
      <c r="C1233" s="197" t="s">
        <v>1644</v>
      </c>
      <c r="D1233" s="198">
        <v>100012</v>
      </c>
      <c r="E1233" s="198" t="s">
        <v>2426</v>
      </c>
      <c r="F1233" s="199">
        <v>156809.16000000003</v>
      </c>
      <c r="G1233" s="199"/>
      <c r="H1233" s="199">
        <v>156809.16000000003</v>
      </c>
      <c r="I1233" s="216">
        <v>64.66</v>
      </c>
      <c r="J1233" s="226">
        <v>10139280.285600001</v>
      </c>
      <c r="K1233" s="202"/>
      <c r="L1233" s="203"/>
      <c r="M1233" s="194" t="s">
        <v>603</v>
      </c>
    </row>
    <row r="1234" spans="2:13">
      <c r="B1234" s="211"/>
      <c r="C1234" s="197" t="s">
        <v>2339</v>
      </c>
      <c r="D1234" s="198">
        <v>100012</v>
      </c>
      <c r="E1234" s="198" t="s">
        <v>2420</v>
      </c>
      <c r="F1234" s="199">
        <v>7739968.080000001</v>
      </c>
      <c r="G1234" s="199"/>
      <c r="H1234" s="199">
        <v>7739968.080000001</v>
      </c>
      <c r="I1234" s="216">
        <v>64.66</v>
      </c>
      <c r="J1234" s="226">
        <v>500466336.05280006</v>
      </c>
      <c r="K1234" s="202"/>
      <c r="L1234" s="203"/>
      <c r="M1234" s="194" t="s">
        <v>555</v>
      </c>
    </row>
    <row r="1235" spans="2:13">
      <c r="B1235" s="211"/>
      <c r="C1235" s="197" t="s">
        <v>2339</v>
      </c>
      <c r="D1235" s="198">
        <v>100012</v>
      </c>
      <c r="E1235" s="198" t="s">
        <v>2420</v>
      </c>
      <c r="F1235" s="199">
        <v>-2634288.3199999998</v>
      </c>
      <c r="G1235" s="199"/>
      <c r="H1235" s="199">
        <v>-2634288.3199999998</v>
      </c>
      <c r="I1235" s="216">
        <v>64.66</v>
      </c>
      <c r="J1235" s="226">
        <v>-170333082.77119997</v>
      </c>
      <c r="K1235" s="202"/>
      <c r="L1235" s="203"/>
      <c r="M1235" s="194" t="s">
        <v>555</v>
      </c>
    </row>
    <row r="1236" spans="2:13">
      <c r="B1236" s="211"/>
      <c r="C1236" s="197" t="s">
        <v>347</v>
      </c>
      <c r="D1236" s="198">
        <v>100012</v>
      </c>
      <c r="E1236" s="198" t="s">
        <v>2427</v>
      </c>
      <c r="F1236" s="199">
        <v>45880.240000000005</v>
      </c>
      <c r="G1236" s="199"/>
      <c r="H1236" s="199">
        <v>45880.240000000005</v>
      </c>
      <c r="I1236" s="216">
        <v>64.66</v>
      </c>
      <c r="J1236" s="226">
        <v>2966616.3184000002</v>
      </c>
      <c r="K1236" s="202"/>
      <c r="L1236" s="203"/>
      <c r="M1236" s="194" t="s">
        <v>614</v>
      </c>
    </row>
    <row r="1237" spans="2:13">
      <c r="B1237" s="211"/>
      <c r="C1237" s="197" t="s">
        <v>2343</v>
      </c>
      <c r="D1237" s="198">
        <v>100012</v>
      </c>
      <c r="E1237" s="198" t="s">
        <v>2428</v>
      </c>
      <c r="F1237" s="199">
        <v>0</v>
      </c>
      <c r="G1237" s="199"/>
      <c r="H1237" s="199">
        <v>0</v>
      </c>
      <c r="I1237" s="216">
        <v>64.66</v>
      </c>
      <c r="J1237" s="226">
        <v>0</v>
      </c>
      <c r="K1237" s="202"/>
      <c r="L1237" s="203"/>
      <c r="M1237" s="194" t="s">
        <v>598</v>
      </c>
    </row>
    <row r="1238" spans="2:13">
      <c r="B1238" s="211"/>
      <c r="C1238" s="197" t="s">
        <v>2345</v>
      </c>
      <c r="D1238" s="198">
        <v>100012</v>
      </c>
      <c r="E1238" s="198" t="s">
        <v>2429</v>
      </c>
      <c r="F1238" s="199">
        <v>114199.68000000001</v>
      </c>
      <c r="G1238" s="199"/>
      <c r="H1238" s="199">
        <v>114199.68000000001</v>
      </c>
      <c r="I1238" s="216">
        <v>64.66</v>
      </c>
      <c r="J1238" s="226">
        <v>7384151.3087999998</v>
      </c>
      <c r="K1238" s="202"/>
      <c r="L1238" s="203"/>
      <c r="M1238" s="194" t="s">
        <v>597</v>
      </c>
    </row>
    <row r="1239" spans="2:13">
      <c r="B1239" s="211"/>
      <c r="C1239" s="197" t="s">
        <v>2347</v>
      </c>
      <c r="D1239" s="198">
        <v>100012</v>
      </c>
      <c r="E1239" s="198" t="s">
        <v>2430</v>
      </c>
      <c r="F1239" s="199">
        <v>339842.68</v>
      </c>
      <c r="G1239" s="199"/>
      <c r="H1239" s="199">
        <v>339842.68</v>
      </c>
      <c r="I1239" s="216">
        <v>64.66</v>
      </c>
      <c r="J1239" s="226">
        <v>21974227.6888</v>
      </c>
      <c r="K1239" s="202"/>
      <c r="L1239" s="203"/>
      <c r="M1239" s="194" t="s">
        <v>599</v>
      </c>
    </row>
    <row r="1240" spans="2:13">
      <c r="B1240" s="211"/>
      <c r="C1240" s="197" t="s">
        <v>2349</v>
      </c>
      <c r="D1240" s="198">
        <v>100012</v>
      </c>
      <c r="E1240" s="198" t="s">
        <v>2430</v>
      </c>
      <c r="F1240" s="199">
        <v>264145.28000000003</v>
      </c>
      <c r="G1240" s="199"/>
      <c r="H1240" s="199">
        <v>264145.28000000003</v>
      </c>
      <c r="I1240" s="216">
        <v>64.66</v>
      </c>
      <c r="J1240" s="226">
        <v>17079633.8048</v>
      </c>
      <c r="K1240" s="202"/>
      <c r="L1240" s="203"/>
      <c r="M1240" s="194" t="s">
        <v>599</v>
      </c>
    </row>
    <row r="1241" spans="2:13">
      <c r="B1241" s="211"/>
      <c r="C1241" s="197" t="s">
        <v>2350</v>
      </c>
      <c r="D1241" s="198">
        <v>100012</v>
      </c>
      <c r="E1241" s="198" t="s">
        <v>2431</v>
      </c>
      <c r="F1241" s="199">
        <v>76076.560000000012</v>
      </c>
      <c r="G1241" s="199"/>
      <c r="H1241" s="199">
        <v>76076.560000000012</v>
      </c>
      <c r="I1241" s="216">
        <v>64.66</v>
      </c>
      <c r="J1241" s="226">
        <v>4919110.3696000008</v>
      </c>
      <c r="K1241" s="202"/>
      <c r="L1241" s="203"/>
      <c r="M1241" s="194" t="s">
        <v>604</v>
      </c>
    </row>
    <row r="1242" spans="2:13">
      <c r="B1242" s="211"/>
      <c r="C1242" s="197" t="s">
        <v>1526</v>
      </c>
      <c r="D1242" s="198">
        <v>100012</v>
      </c>
      <c r="E1242" s="198" t="s">
        <v>2432</v>
      </c>
      <c r="F1242" s="199">
        <v>0</v>
      </c>
      <c r="G1242" s="199"/>
      <c r="H1242" s="199">
        <v>0</v>
      </c>
      <c r="I1242" s="216">
        <v>64.66</v>
      </c>
      <c r="J1242" s="226">
        <v>0</v>
      </c>
      <c r="K1242" s="202"/>
      <c r="L1242" s="203"/>
      <c r="M1242" s="194" t="s">
        <v>602</v>
      </c>
    </row>
    <row r="1243" spans="2:13">
      <c r="B1243" s="211"/>
      <c r="C1243" s="197" t="s">
        <v>654</v>
      </c>
      <c r="D1243" s="198">
        <v>100012</v>
      </c>
      <c r="E1243" s="198" t="s">
        <v>2433</v>
      </c>
      <c r="F1243" s="199">
        <v>0</v>
      </c>
      <c r="G1243" s="199"/>
      <c r="H1243" s="199">
        <v>0</v>
      </c>
      <c r="I1243" s="216">
        <v>64.66</v>
      </c>
      <c r="J1243" s="226">
        <v>0</v>
      </c>
      <c r="K1243" s="202"/>
      <c r="L1243" s="203"/>
      <c r="M1243" s="194" t="s">
        <v>607</v>
      </c>
    </row>
    <row r="1244" spans="2:13">
      <c r="B1244" s="211"/>
      <c r="C1244" s="197" t="s">
        <v>1500</v>
      </c>
      <c r="D1244" s="198">
        <v>100012</v>
      </c>
      <c r="E1244" s="198" t="s">
        <v>2434</v>
      </c>
      <c r="F1244" s="199">
        <v>92362.849999999991</v>
      </c>
      <c r="G1244" s="199"/>
      <c r="H1244" s="199">
        <v>92362.849999999991</v>
      </c>
      <c r="I1244" s="216">
        <v>64.66</v>
      </c>
      <c r="J1244" s="226">
        <v>5972181.8809999991</v>
      </c>
      <c r="K1244" s="202"/>
      <c r="L1244" s="203"/>
      <c r="M1244" s="194" t="s">
        <v>605</v>
      </c>
    </row>
    <row r="1245" spans="2:13">
      <c r="B1245" s="211"/>
      <c r="C1245" s="197" t="s">
        <v>2356</v>
      </c>
      <c r="D1245" s="198">
        <v>100012</v>
      </c>
      <c r="E1245" s="198" t="s">
        <v>2435</v>
      </c>
      <c r="F1245" s="199">
        <v>1208.0300000000002</v>
      </c>
      <c r="G1245" s="199"/>
      <c r="H1245" s="199">
        <v>1208.0300000000002</v>
      </c>
      <c r="I1245" s="216">
        <v>64.66</v>
      </c>
      <c r="J1245" s="226">
        <v>78111.219800000006</v>
      </c>
      <c r="K1245" s="202"/>
      <c r="L1245" s="203"/>
      <c r="M1245" s="194" t="s">
        <v>619</v>
      </c>
    </row>
    <row r="1246" spans="2:13">
      <c r="B1246" s="211"/>
      <c r="C1246" s="197" t="s">
        <v>2357</v>
      </c>
      <c r="D1246" s="198">
        <v>100012</v>
      </c>
      <c r="E1246" s="198" t="s">
        <v>2436</v>
      </c>
      <c r="F1246" s="199">
        <v>4447.76</v>
      </c>
      <c r="G1246" s="199"/>
      <c r="H1246" s="199">
        <v>4447.76</v>
      </c>
      <c r="I1246" s="216">
        <v>64.66</v>
      </c>
      <c r="J1246" s="226">
        <v>287592.16159999999</v>
      </c>
      <c r="K1246" s="202"/>
      <c r="L1246" s="203"/>
      <c r="M1246" s="194" t="s">
        <v>590</v>
      </c>
    </row>
    <row r="1247" spans="2:13">
      <c r="B1247" s="211"/>
      <c r="C1247" s="197" t="s">
        <v>1864</v>
      </c>
      <c r="D1247" s="198">
        <v>100012</v>
      </c>
      <c r="E1247" s="198" t="s">
        <v>2437</v>
      </c>
      <c r="F1247" s="199">
        <v>98800.34</v>
      </c>
      <c r="G1247" s="199"/>
      <c r="H1247" s="199">
        <v>98800.34</v>
      </c>
      <c r="I1247" s="216">
        <v>64.66</v>
      </c>
      <c r="J1247" s="226">
        <v>6388429.9843999995</v>
      </c>
      <c r="K1247" s="202"/>
      <c r="L1247" s="203"/>
      <c r="M1247" s="194" t="s">
        <v>596</v>
      </c>
    </row>
    <row r="1248" spans="2:13">
      <c r="B1248" s="211"/>
      <c r="C1248" s="197" t="s">
        <v>2360</v>
      </c>
      <c r="D1248" s="198">
        <v>100012</v>
      </c>
      <c r="E1248" s="198" t="s">
        <v>2438</v>
      </c>
      <c r="F1248" s="199">
        <v>426922.32</v>
      </c>
      <c r="G1248" s="199"/>
      <c r="H1248" s="199">
        <v>426922.32</v>
      </c>
      <c r="I1248" s="216">
        <v>64.66</v>
      </c>
      <c r="J1248" s="226">
        <v>27604797.211199999</v>
      </c>
      <c r="K1248" s="202"/>
      <c r="L1248" s="203"/>
      <c r="M1248" s="194" t="s">
        <v>594</v>
      </c>
    </row>
    <row r="1249" spans="2:13">
      <c r="B1249" s="211"/>
      <c r="C1249" s="197" t="s">
        <v>2239</v>
      </c>
      <c r="D1249" s="198">
        <v>100012</v>
      </c>
      <c r="E1249" s="198" t="s">
        <v>2859</v>
      </c>
      <c r="F1249" s="199">
        <v>8664</v>
      </c>
      <c r="G1249" s="199"/>
      <c r="H1249" s="199">
        <v>8664</v>
      </c>
      <c r="I1249" s="216">
        <v>64.66</v>
      </c>
      <c r="J1249" s="226">
        <v>560214.24</v>
      </c>
      <c r="K1249" s="202"/>
      <c r="L1249" s="203"/>
      <c r="M1249" s="194" t="s">
        <v>571</v>
      </c>
    </row>
    <row r="1250" spans="2:13">
      <c r="B1250" s="211"/>
      <c r="C1250" s="197" t="s">
        <v>2249</v>
      </c>
      <c r="D1250" s="198">
        <v>100012</v>
      </c>
      <c r="E1250" s="198" t="s">
        <v>2439</v>
      </c>
      <c r="F1250" s="199">
        <v>0</v>
      </c>
      <c r="G1250" s="199"/>
      <c r="H1250" s="199">
        <v>0</v>
      </c>
      <c r="I1250" s="216">
        <v>64.66</v>
      </c>
      <c r="J1250" s="226">
        <v>0</v>
      </c>
      <c r="K1250" s="202"/>
      <c r="L1250" s="203"/>
      <c r="M1250" s="194" t="s">
        <v>610</v>
      </c>
    </row>
    <row r="1251" spans="2:13">
      <c r="B1251" s="211"/>
      <c r="C1251" s="197" t="s">
        <v>1852</v>
      </c>
      <c r="D1251" s="198">
        <v>100012</v>
      </c>
      <c r="E1251" s="198" t="s">
        <v>2440</v>
      </c>
      <c r="F1251" s="199">
        <v>82535.8</v>
      </c>
      <c r="G1251" s="199"/>
      <c r="H1251" s="199">
        <v>82535.8</v>
      </c>
      <c r="I1251" s="216">
        <v>64.66</v>
      </c>
      <c r="J1251" s="226">
        <v>5336764.8279999997</v>
      </c>
      <c r="K1251" s="202"/>
      <c r="L1251" s="203"/>
      <c r="M1251" s="194" t="s">
        <v>580</v>
      </c>
    </row>
    <row r="1252" spans="2:13">
      <c r="B1252" s="211"/>
      <c r="C1252" s="197" t="s">
        <v>1884</v>
      </c>
      <c r="D1252" s="198">
        <v>100012</v>
      </c>
      <c r="E1252" s="198" t="s">
        <v>2441</v>
      </c>
      <c r="F1252" s="199">
        <v>0</v>
      </c>
      <c r="G1252" s="199"/>
      <c r="H1252" s="199">
        <v>0</v>
      </c>
      <c r="I1252" s="216">
        <v>64.66</v>
      </c>
      <c r="J1252" s="226">
        <v>0</v>
      </c>
      <c r="K1252" s="202"/>
      <c r="L1252" s="203"/>
      <c r="M1252" s="194" t="s">
        <v>620</v>
      </c>
    </row>
    <row r="1253" spans="2:13">
      <c r="B1253" s="211"/>
      <c r="C1253" s="197" t="s">
        <v>1965</v>
      </c>
      <c r="D1253" s="198">
        <v>100012</v>
      </c>
      <c r="E1253" s="198" t="s">
        <v>2442</v>
      </c>
      <c r="F1253" s="199">
        <v>0</v>
      </c>
      <c r="G1253" s="199"/>
      <c r="H1253" s="199">
        <v>0</v>
      </c>
      <c r="I1253" s="216">
        <v>64.66</v>
      </c>
      <c r="J1253" s="226">
        <v>0</v>
      </c>
      <c r="K1253" s="202"/>
      <c r="L1253" s="203"/>
      <c r="M1253" s="194" t="s">
        <v>615</v>
      </c>
    </row>
    <row r="1254" spans="2:13">
      <c r="B1254" s="211"/>
      <c r="C1254" s="197" t="s">
        <v>1854</v>
      </c>
      <c r="D1254" s="198">
        <v>100012</v>
      </c>
      <c r="E1254" s="198" t="s">
        <v>2443</v>
      </c>
      <c r="F1254" s="199">
        <v>175487.37000000002</v>
      </c>
      <c r="G1254" s="199"/>
      <c r="H1254" s="199">
        <v>175487.37000000002</v>
      </c>
      <c r="I1254" s="216">
        <v>64.66</v>
      </c>
      <c r="J1254" s="226">
        <v>11347013.3442</v>
      </c>
      <c r="K1254" s="202"/>
      <c r="L1254" s="203"/>
      <c r="M1254" s="194" t="s">
        <v>586</v>
      </c>
    </row>
    <row r="1255" spans="2:13">
      <c r="B1255" s="211"/>
      <c r="C1255" s="197" t="s">
        <v>1846</v>
      </c>
      <c r="D1255" s="198">
        <v>100012</v>
      </c>
      <c r="E1255" s="198" t="s">
        <v>2444</v>
      </c>
      <c r="F1255" s="199">
        <v>72309.440000000002</v>
      </c>
      <c r="G1255" s="199"/>
      <c r="H1255" s="199">
        <v>72309.440000000002</v>
      </c>
      <c r="I1255" s="216">
        <v>64.66</v>
      </c>
      <c r="J1255" s="226">
        <v>4675528.3903999999</v>
      </c>
      <c r="K1255" s="202"/>
      <c r="L1255" s="203"/>
      <c r="M1255" s="194" t="s">
        <v>564</v>
      </c>
    </row>
    <row r="1256" spans="2:13">
      <c r="B1256" s="211"/>
      <c r="C1256" s="197" t="s">
        <v>2250</v>
      </c>
      <c r="D1256" s="198">
        <v>100012</v>
      </c>
      <c r="E1256" s="198" t="s">
        <v>2383</v>
      </c>
      <c r="F1256" s="199">
        <v>0</v>
      </c>
      <c r="G1256" s="199"/>
      <c r="H1256" s="199">
        <v>0</v>
      </c>
      <c r="I1256" s="216">
        <v>64.66</v>
      </c>
      <c r="J1256" s="226">
        <v>0</v>
      </c>
      <c r="K1256" s="202"/>
      <c r="L1256" s="203"/>
      <c r="M1256" s="194" t="s">
        <v>999</v>
      </c>
    </row>
    <row r="1257" spans="2:13">
      <c r="B1257" s="211"/>
      <c r="C1257" s="197" t="s">
        <v>1848</v>
      </c>
      <c r="D1257" s="198">
        <v>100012</v>
      </c>
      <c r="E1257" s="198" t="s">
        <v>2445</v>
      </c>
      <c r="F1257" s="199">
        <v>915.5</v>
      </c>
      <c r="G1257" s="199"/>
      <c r="H1257" s="199">
        <v>915.5</v>
      </c>
      <c r="I1257" s="216">
        <v>64.66</v>
      </c>
      <c r="J1257" s="226">
        <v>59196.229999999996</v>
      </c>
      <c r="K1257" s="202"/>
      <c r="L1257" s="203"/>
      <c r="M1257" s="194" t="s">
        <v>568</v>
      </c>
    </row>
    <row r="1258" spans="2:13">
      <c r="B1258" s="211"/>
      <c r="C1258" s="197" t="s">
        <v>2367</v>
      </c>
      <c r="D1258" s="198">
        <v>100012</v>
      </c>
      <c r="E1258" s="198" t="s">
        <v>2446</v>
      </c>
      <c r="F1258" s="199">
        <v>0</v>
      </c>
      <c r="G1258" s="199"/>
      <c r="H1258" s="199">
        <v>0</v>
      </c>
      <c r="I1258" s="216">
        <v>64.66</v>
      </c>
      <c r="J1258" s="226">
        <v>0</v>
      </c>
      <c r="K1258" s="202"/>
      <c r="L1258" s="203"/>
      <c r="M1258" s="194" t="s">
        <v>556</v>
      </c>
    </row>
    <row r="1259" spans="2:13">
      <c r="B1259" s="211"/>
      <c r="C1259" s="197" t="s">
        <v>2369</v>
      </c>
      <c r="D1259" s="198">
        <v>100012</v>
      </c>
      <c r="E1259" s="198" t="s">
        <v>2446</v>
      </c>
      <c r="F1259" s="199">
        <v>0</v>
      </c>
      <c r="G1259" s="199"/>
      <c r="H1259" s="199">
        <v>0</v>
      </c>
      <c r="I1259" s="216">
        <v>64.66</v>
      </c>
      <c r="J1259" s="226">
        <v>0</v>
      </c>
      <c r="K1259" s="202"/>
      <c r="L1259" s="203"/>
      <c r="M1259" s="194" t="s">
        <v>556</v>
      </c>
    </row>
    <row r="1260" spans="2:13">
      <c r="B1260" s="211"/>
      <c r="C1260" s="197" t="s">
        <v>2447</v>
      </c>
      <c r="D1260" s="198">
        <v>100012</v>
      </c>
      <c r="E1260" s="198" t="s">
        <v>2448</v>
      </c>
      <c r="F1260" s="199">
        <v>0</v>
      </c>
      <c r="G1260" s="199"/>
      <c r="H1260" s="199">
        <v>0</v>
      </c>
      <c r="I1260" s="216">
        <v>64.66</v>
      </c>
      <c r="J1260" s="226">
        <v>0</v>
      </c>
      <c r="K1260" s="202"/>
      <c r="L1260" s="203"/>
      <c r="M1260" s="194" t="s">
        <v>2449</v>
      </c>
    </row>
    <row r="1261" spans="2:13">
      <c r="B1261" s="211"/>
      <c r="C1261" s="197" t="s">
        <v>1485</v>
      </c>
      <c r="D1261" s="198">
        <v>100012</v>
      </c>
      <c r="E1261" s="198" t="s">
        <v>2450</v>
      </c>
      <c r="F1261" s="199">
        <v>279926.95999999996</v>
      </c>
      <c r="G1261" s="199"/>
      <c r="H1261" s="199">
        <v>279926.95999999996</v>
      </c>
      <c r="I1261" s="216">
        <v>64.66</v>
      </c>
      <c r="J1261" s="226">
        <v>18100077.233599998</v>
      </c>
      <c r="K1261" s="202"/>
      <c r="L1261" s="203"/>
      <c r="M1261" s="194" t="s">
        <v>362</v>
      </c>
    </row>
    <row r="1262" spans="2:13">
      <c r="B1262" s="211"/>
      <c r="C1262" s="197" t="s">
        <v>2451</v>
      </c>
      <c r="D1262" s="198">
        <v>100012</v>
      </c>
      <c r="E1262" s="198" t="s">
        <v>2450</v>
      </c>
      <c r="F1262" s="199">
        <v>0</v>
      </c>
      <c r="G1262" s="199"/>
      <c r="H1262" s="199">
        <v>0</v>
      </c>
      <c r="I1262" s="216">
        <v>64.66</v>
      </c>
      <c r="J1262" s="226">
        <v>0</v>
      </c>
      <c r="K1262" s="202"/>
      <c r="L1262" s="203"/>
      <c r="M1262" s="194" t="s">
        <v>362</v>
      </c>
    </row>
    <row r="1263" spans="2:13">
      <c r="B1263" s="211"/>
      <c r="C1263" s="197" t="s">
        <v>2235</v>
      </c>
      <c r="D1263" s="198">
        <v>100012</v>
      </c>
      <c r="E1263" s="198" t="s">
        <v>2452</v>
      </c>
      <c r="F1263" s="199">
        <v>19885.340000000004</v>
      </c>
      <c r="G1263" s="199"/>
      <c r="H1263" s="199">
        <v>19885.340000000004</v>
      </c>
      <c r="I1263" s="216">
        <v>64.66</v>
      </c>
      <c r="J1263" s="226">
        <v>1285786.0844000003</v>
      </c>
      <c r="K1263" s="202"/>
      <c r="L1263" s="203"/>
      <c r="M1263" s="194" t="s">
        <v>364</v>
      </c>
    </row>
    <row r="1264" spans="2:13">
      <c r="B1264" s="211"/>
      <c r="C1264" s="197"/>
      <c r="D1264" s="198">
        <v>100012</v>
      </c>
      <c r="E1264" s="198" t="s">
        <v>2410</v>
      </c>
      <c r="F1264" s="199"/>
      <c r="G1264" s="199"/>
      <c r="H1264" s="199">
        <v>0</v>
      </c>
      <c r="I1264" s="216"/>
      <c r="J1264" s="226">
        <v>0</v>
      </c>
      <c r="K1264" s="202"/>
      <c r="L1264" s="203"/>
      <c r="M1264" s="194"/>
    </row>
    <row r="1265" spans="1:13">
      <c r="B1265" s="211"/>
      <c r="C1265" s="197" t="s">
        <v>2372</v>
      </c>
      <c r="D1265" s="198">
        <v>100012</v>
      </c>
      <c r="E1265" s="198" t="s">
        <v>2453</v>
      </c>
      <c r="F1265" s="199">
        <v>5592510.2300000004</v>
      </c>
      <c r="G1265" s="199"/>
      <c r="H1265" s="199">
        <v>5592510.2300000004</v>
      </c>
      <c r="I1265" s="216">
        <v>64.66</v>
      </c>
      <c r="J1265" s="226">
        <v>361611711.47180003</v>
      </c>
      <c r="K1265" s="202"/>
      <c r="L1265" s="203"/>
      <c r="M1265" s="194" t="s">
        <v>549</v>
      </c>
    </row>
    <row r="1266" spans="1:13">
      <c r="B1266" s="211"/>
      <c r="C1266" s="197" t="s">
        <v>2454</v>
      </c>
      <c r="D1266" s="198">
        <v>100012</v>
      </c>
      <c r="E1266" s="198" t="s">
        <v>2455</v>
      </c>
      <c r="F1266" s="199">
        <v>547296.49</v>
      </c>
      <c r="G1266" s="199"/>
      <c r="H1266" s="199">
        <v>547296.49</v>
      </c>
      <c r="I1266" s="216">
        <v>64.66</v>
      </c>
      <c r="J1266" s="226">
        <v>35388191.043399997</v>
      </c>
      <c r="K1266" s="202"/>
      <c r="L1266" s="203"/>
      <c r="M1266" s="194" t="s">
        <v>550</v>
      </c>
    </row>
    <row r="1267" spans="1:13">
      <c r="B1267" s="211"/>
      <c r="C1267" s="197" t="s">
        <v>2374</v>
      </c>
      <c r="D1267" s="198">
        <v>100012</v>
      </c>
      <c r="E1267" s="198" t="s">
        <v>2456</v>
      </c>
      <c r="F1267" s="199">
        <v>10734168.919999998</v>
      </c>
      <c r="G1267" s="199"/>
      <c r="H1267" s="199">
        <v>10734168.919999998</v>
      </c>
      <c r="I1267" s="216">
        <v>64.66</v>
      </c>
      <c r="J1267" s="226">
        <v>694071362.3671999</v>
      </c>
      <c r="K1267" s="202"/>
      <c r="L1267" s="203"/>
      <c r="M1267" s="194" t="s">
        <v>548</v>
      </c>
    </row>
    <row r="1268" spans="1:13">
      <c r="B1268" s="211"/>
      <c r="C1268" s="197" t="s">
        <v>2457</v>
      </c>
      <c r="D1268" s="198">
        <v>100012</v>
      </c>
      <c r="E1268" s="198" t="s">
        <v>2458</v>
      </c>
      <c r="F1268" s="199">
        <v>-474327.38</v>
      </c>
      <c r="G1268" s="199"/>
      <c r="H1268" s="199">
        <v>-474327.38</v>
      </c>
      <c r="I1268" s="216">
        <v>64.66</v>
      </c>
      <c r="J1268" s="226">
        <v>-30670008.390799999</v>
      </c>
      <c r="K1268" s="202"/>
      <c r="L1268" s="203"/>
      <c r="M1268" s="194" t="s">
        <v>553</v>
      </c>
    </row>
    <row r="1269" spans="1:13">
      <c r="B1269" s="211"/>
      <c r="C1269" s="197" t="s">
        <v>2376</v>
      </c>
      <c r="D1269" s="198">
        <v>100012</v>
      </c>
      <c r="E1269" s="198" t="s">
        <v>2460</v>
      </c>
      <c r="F1269" s="199">
        <v>-5124571.58</v>
      </c>
      <c r="G1269" s="199"/>
      <c r="H1269" s="199">
        <v>-5124571.58</v>
      </c>
      <c r="I1269" s="216">
        <v>64.66</v>
      </c>
      <c r="J1269" s="226">
        <v>-331354798.3628</v>
      </c>
      <c r="K1269" s="202"/>
      <c r="L1269" s="203"/>
      <c r="M1269" s="194" t="s">
        <v>552</v>
      </c>
    </row>
    <row r="1270" spans="1:13">
      <c r="B1270" s="211"/>
      <c r="C1270" s="197"/>
      <c r="D1270" s="198">
        <v>100012</v>
      </c>
      <c r="E1270" s="198" t="s">
        <v>2410</v>
      </c>
      <c r="F1270" s="199"/>
      <c r="G1270" s="199"/>
      <c r="H1270" s="199">
        <v>0</v>
      </c>
      <c r="I1270" s="216"/>
      <c r="J1270" s="226">
        <v>0</v>
      </c>
      <c r="K1270" s="202"/>
      <c r="L1270" s="203"/>
      <c r="M1270" s="194"/>
    </row>
    <row r="1271" spans="1:13">
      <c r="B1271" s="211"/>
      <c r="C1271" s="197" t="s">
        <v>2462</v>
      </c>
      <c r="D1271" s="198">
        <v>100012</v>
      </c>
      <c r="E1271" s="198" t="s">
        <v>2463</v>
      </c>
      <c r="F1271" s="199">
        <v>0</v>
      </c>
      <c r="G1271" s="199"/>
      <c r="H1271" s="199">
        <v>0</v>
      </c>
      <c r="I1271" s="216">
        <v>62.794552283731697</v>
      </c>
      <c r="J1271" s="226">
        <v>0</v>
      </c>
      <c r="K1271" s="202"/>
      <c r="L1271" s="203"/>
      <c r="M1271" s="194" t="s">
        <v>2459</v>
      </c>
    </row>
    <row r="1272" spans="1:13">
      <c r="B1272" s="211"/>
      <c r="C1272" s="197" t="s">
        <v>2464</v>
      </c>
      <c r="D1272" s="198">
        <v>100012</v>
      </c>
      <c r="E1272" s="198" t="s">
        <v>2465</v>
      </c>
      <c r="F1272" s="199">
        <v>0</v>
      </c>
      <c r="G1272" s="199"/>
      <c r="H1272" s="199">
        <v>0</v>
      </c>
      <c r="I1272" s="216">
        <v>64.66</v>
      </c>
      <c r="J1272" s="226">
        <v>0</v>
      </c>
      <c r="K1272" s="202"/>
      <c r="L1272" s="203"/>
      <c r="M1272" s="194" t="s">
        <v>2461</v>
      </c>
    </row>
    <row r="1273" spans="1:13">
      <c r="B1273" s="211"/>
      <c r="C1273" s="197" t="s">
        <v>780</v>
      </c>
      <c r="D1273" s="198">
        <v>100012</v>
      </c>
      <c r="E1273" s="198" t="s">
        <v>2466</v>
      </c>
      <c r="F1273" s="199"/>
      <c r="G1273" s="199"/>
      <c r="H1273" s="199">
        <v>0</v>
      </c>
      <c r="I1273" s="216"/>
      <c r="J1273" s="341">
        <v>-43349568</v>
      </c>
      <c r="K1273" s="202"/>
      <c r="L1273" s="203"/>
      <c r="M1273" s="194" t="s">
        <v>379</v>
      </c>
    </row>
    <row r="1274" spans="1:13">
      <c r="B1274" s="211"/>
      <c r="C1274" s="197"/>
      <c r="D1274" s="198">
        <v>100012</v>
      </c>
      <c r="E1274" s="198" t="s">
        <v>2410</v>
      </c>
      <c r="F1274" s="199"/>
      <c r="G1274" s="199"/>
      <c r="H1274" s="199">
        <v>0</v>
      </c>
      <c r="I1274" s="216"/>
      <c r="J1274" s="226">
        <v>0</v>
      </c>
      <c r="K1274" s="202"/>
      <c r="L1274" s="203"/>
      <c r="M1274" s="194"/>
    </row>
    <row r="1275" spans="1:13">
      <c r="B1275" s="211"/>
      <c r="C1275" s="197"/>
      <c r="D1275" s="198">
        <v>100012</v>
      </c>
      <c r="E1275" s="198" t="s">
        <v>2410</v>
      </c>
      <c r="F1275" s="199"/>
      <c r="G1275" s="199"/>
      <c r="H1275" s="199">
        <v>0</v>
      </c>
      <c r="I1275" s="216"/>
      <c r="J1275" s="226">
        <v>0</v>
      </c>
      <c r="K1275" s="202"/>
      <c r="L1275" s="203"/>
      <c r="M1275" s="194"/>
    </row>
    <row r="1276" spans="1:13">
      <c r="B1276" s="211"/>
      <c r="C1276" s="197"/>
      <c r="D1276" s="198">
        <v>100012</v>
      </c>
      <c r="E1276" s="198" t="s">
        <v>2410</v>
      </c>
      <c r="F1276" s="199"/>
      <c r="G1276" s="199"/>
      <c r="H1276" s="199">
        <v>0</v>
      </c>
      <c r="I1276" s="216"/>
      <c r="J1276" s="226">
        <v>0</v>
      </c>
      <c r="K1276" s="202"/>
      <c r="L1276" s="203"/>
      <c r="M1276" s="194"/>
    </row>
    <row r="1277" spans="1:13">
      <c r="B1277" s="211"/>
      <c r="C1277" s="262"/>
      <c r="D1277" s="262"/>
      <c r="E1277" s="262"/>
      <c r="F1277" s="265">
        <v>0</v>
      </c>
      <c r="G1277" s="265">
        <v>0</v>
      </c>
      <c r="H1277" s="265">
        <v>0</v>
      </c>
      <c r="I1277" s="265"/>
      <c r="J1277" s="265">
        <v>0</v>
      </c>
      <c r="K1277" s="263">
        <v>0</v>
      </c>
      <c r="L1277" s="246"/>
      <c r="M1277" s="194"/>
    </row>
    <row r="1278" spans="1:13">
      <c r="B1278" s="211"/>
      <c r="C1278" s="208"/>
      <c r="D1278" s="208"/>
      <c r="E1278" s="208"/>
      <c r="F1278" s="244"/>
      <c r="G1278" s="244"/>
      <c r="H1278" s="244"/>
      <c r="I1278" s="244"/>
      <c r="J1278" s="245"/>
      <c r="K1278" s="245"/>
      <c r="L1278" s="215"/>
      <c r="M1278" s="194"/>
    </row>
    <row r="1279" spans="1:13" ht="13.5" thickBot="1">
      <c r="B1279" s="266"/>
      <c r="C1279" s="267"/>
      <c r="D1279" s="267"/>
      <c r="E1279" s="267"/>
      <c r="F1279" s="268"/>
      <c r="G1279" s="268"/>
      <c r="H1279" s="268"/>
      <c r="I1279" s="268"/>
      <c r="J1279" s="269"/>
      <c r="K1279" s="269"/>
      <c r="L1279" s="280"/>
      <c r="M1279" s="194"/>
    </row>
    <row r="1280" spans="1:13" s="284" customFormat="1" ht="14.25" thickTop="1" thickBot="1">
      <c r="A1280" s="283"/>
      <c r="F1280" s="285"/>
      <c r="G1280" s="285"/>
      <c r="H1280" s="285"/>
      <c r="I1280" s="285"/>
      <c r="J1280" s="286"/>
      <c r="K1280" s="286"/>
      <c r="M1280" s="212"/>
    </row>
    <row r="1281" spans="1:13" ht="13.5" thickTop="1">
      <c r="B1281" s="238"/>
      <c r="C1281" s="239"/>
      <c r="D1281" s="239"/>
      <c r="E1281" s="239"/>
      <c r="F1281" s="240"/>
      <c r="G1281" s="240"/>
      <c r="H1281" s="240"/>
      <c r="I1281" s="240"/>
      <c r="J1281" s="241"/>
      <c r="K1281" s="241"/>
      <c r="L1281" s="271"/>
      <c r="M1281" s="194"/>
    </row>
    <row r="1282" spans="1:13">
      <c r="B1282" s="211"/>
      <c r="C1282" s="208" t="s">
        <v>632</v>
      </c>
      <c r="D1282" s="208"/>
      <c r="E1282" s="208"/>
      <c r="F1282" s="243">
        <v>100013</v>
      </c>
      <c r="G1282" s="244"/>
      <c r="H1282" s="243">
        <v>100013</v>
      </c>
      <c r="I1282" s="244"/>
      <c r="J1282" s="245"/>
      <c r="K1282" s="245">
        <v>100013</v>
      </c>
      <c r="L1282" s="215"/>
      <c r="M1282" s="194"/>
    </row>
    <row r="1283" spans="1:13" s="210" customFormat="1">
      <c r="A1283" s="196"/>
      <c r="B1283" s="247"/>
      <c r="C1283" s="248" t="s">
        <v>2</v>
      </c>
      <c r="D1283" s="248"/>
      <c r="E1283" s="248"/>
      <c r="F1283" s="193" t="s">
        <v>772</v>
      </c>
      <c r="G1283" s="249"/>
      <c r="H1283" s="193" t="s">
        <v>772</v>
      </c>
      <c r="I1283" s="249"/>
      <c r="J1283" s="250"/>
      <c r="K1283" s="251" t="s">
        <v>772</v>
      </c>
      <c r="L1283" s="281"/>
    </row>
    <row r="1284" spans="1:13">
      <c r="A1284" s="237">
        <v>100013</v>
      </c>
      <c r="B1284" s="211"/>
      <c r="C1284" s="208" t="s">
        <v>634</v>
      </c>
      <c r="D1284" s="208"/>
      <c r="E1284" s="208"/>
      <c r="F1284" s="253" t="s">
        <v>1016</v>
      </c>
      <c r="G1284" s="244"/>
      <c r="H1284" s="253" t="s">
        <v>1016</v>
      </c>
      <c r="I1284" s="244"/>
      <c r="J1284" s="245"/>
      <c r="K1284" s="245" t="s">
        <v>1016</v>
      </c>
      <c r="L1284" s="215"/>
      <c r="M1284" s="194"/>
    </row>
    <row r="1285" spans="1:13">
      <c r="B1285" s="211"/>
      <c r="C1285" s="208"/>
      <c r="D1285" s="208"/>
      <c r="E1285" s="208"/>
      <c r="F1285" s="254">
        <v>0</v>
      </c>
      <c r="G1285" s="244"/>
      <c r="H1285" s="334" t="s">
        <v>2833</v>
      </c>
      <c r="I1285" s="253"/>
      <c r="K1285" s="255" t="s">
        <v>1021</v>
      </c>
      <c r="L1285" s="215"/>
      <c r="M1285" s="194"/>
    </row>
    <row r="1286" spans="1:13" ht="25.5">
      <c r="B1286" s="211"/>
      <c r="C1286" s="256" t="s">
        <v>3</v>
      </c>
      <c r="D1286" s="256" t="s">
        <v>1</v>
      </c>
      <c r="E1286" s="256" t="s">
        <v>635</v>
      </c>
      <c r="F1286" s="257" t="s">
        <v>2254</v>
      </c>
      <c r="G1286" s="257" t="s">
        <v>636</v>
      </c>
      <c r="H1286" s="257" t="s">
        <v>2254</v>
      </c>
      <c r="I1286" s="282"/>
      <c r="J1286" s="259"/>
      <c r="K1286" s="259" t="s">
        <v>638</v>
      </c>
      <c r="L1286" s="203"/>
      <c r="M1286" s="194"/>
    </row>
    <row r="1287" spans="1:13">
      <c r="B1287" s="211"/>
      <c r="C1287" s="197"/>
      <c r="D1287" s="198">
        <v>100013</v>
      </c>
      <c r="E1287" s="198" t="s">
        <v>2467</v>
      </c>
      <c r="F1287" s="199"/>
      <c r="G1287" s="199">
        <v>0</v>
      </c>
      <c r="H1287" s="199">
        <v>0</v>
      </c>
      <c r="I1287" s="216">
        <v>1</v>
      </c>
      <c r="J1287" s="201">
        <v>0</v>
      </c>
      <c r="K1287" s="202"/>
      <c r="L1287" s="203"/>
      <c r="M1287" s="194"/>
    </row>
    <row r="1288" spans="1:13">
      <c r="B1288" s="211"/>
      <c r="C1288" s="197"/>
      <c r="D1288" s="198">
        <v>100013</v>
      </c>
      <c r="E1288" s="198" t="s">
        <v>2467</v>
      </c>
      <c r="F1288" s="199"/>
      <c r="G1288" s="199">
        <v>0</v>
      </c>
      <c r="H1288" s="199">
        <v>0</v>
      </c>
      <c r="I1288" s="216">
        <v>1</v>
      </c>
      <c r="J1288" s="201">
        <v>0</v>
      </c>
      <c r="K1288" s="202"/>
      <c r="L1288" s="203"/>
      <c r="M1288" s="194"/>
    </row>
    <row r="1289" spans="1:13">
      <c r="B1289" s="211"/>
      <c r="C1289" s="197"/>
      <c r="D1289" s="198">
        <v>100013</v>
      </c>
      <c r="E1289" s="198" t="s">
        <v>2467</v>
      </c>
      <c r="F1289" s="199"/>
      <c r="G1289" s="199">
        <v>0</v>
      </c>
      <c r="H1289" s="199">
        <v>0</v>
      </c>
      <c r="I1289" s="216">
        <v>1</v>
      </c>
      <c r="J1289" s="201">
        <v>0</v>
      </c>
      <c r="K1289" s="202"/>
      <c r="L1289" s="203"/>
      <c r="M1289" s="194"/>
    </row>
    <row r="1290" spans="1:13">
      <c r="B1290" s="211"/>
      <c r="C1290" s="197"/>
      <c r="D1290" s="198">
        <v>100013</v>
      </c>
      <c r="E1290" s="198" t="s">
        <v>2467</v>
      </c>
      <c r="F1290" s="199"/>
      <c r="G1290" s="199">
        <v>0</v>
      </c>
      <c r="H1290" s="199">
        <v>0</v>
      </c>
      <c r="I1290" s="216">
        <v>1</v>
      </c>
      <c r="J1290" s="201">
        <v>0</v>
      </c>
      <c r="K1290" s="202"/>
      <c r="L1290" s="203"/>
      <c r="M1290" s="194"/>
    </row>
    <row r="1291" spans="1:13">
      <c r="B1291" s="211"/>
      <c r="C1291" s="197"/>
      <c r="D1291" s="198">
        <v>100013</v>
      </c>
      <c r="E1291" s="198" t="s">
        <v>2467</v>
      </c>
      <c r="F1291" s="199"/>
      <c r="G1291" s="199">
        <v>0</v>
      </c>
      <c r="H1291" s="199">
        <v>0</v>
      </c>
      <c r="I1291" s="216">
        <v>1</v>
      </c>
      <c r="J1291" s="201">
        <v>0</v>
      </c>
      <c r="K1291" s="202"/>
      <c r="L1291" s="203"/>
      <c r="M1291" s="194"/>
    </row>
    <row r="1292" spans="1:13">
      <c r="B1292" s="211"/>
      <c r="C1292" s="197"/>
      <c r="D1292" s="198">
        <v>100013</v>
      </c>
      <c r="E1292" s="198" t="s">
        <v>2467</v>
      </c>
      <c r="F1292" s="199"/>
      <c r="G1292" s="199">
        <v>0</v>
      </c>
      <c r="H1292" s="199">
        <v>0</v>
      </c>
      <c r="I1292" s="216">
        <v>1</v>
      </c>
      <c r="J1292" s="201">
        <v>0</v>
      </c>
      <c r="K1292" s="201"/>
      <c r="L1292" s="215"/>
      <c r="M1292" s="194"/>
    </row>
    <row r="1293" spans="1:13">
      <c r="B1293" s="211"/>
      <c r="C1293" s="197"/>
      <c r="D1293" s="198">
        <v>100013</v>
      </c>
      <c r="E1293" s="198" t="s">
        <v>2467</v>
      </c>
      <c r="F1293" s="199"/>
      <c r="G1293" s="199">
        <v>0</v>
      </c>
      <c r="H1293" s="199">
        <v>0</v>
      </c>
      <c r="I1293" s="216">
        <v>1</v>
      </c>
      <c r="J1293" s="201">
        <v>0</v>
      </c>
      <c r="K1293" s="201"/>
      <c r="L1293" s="215"/>
      <c r="M1293" s="194"/>
    </row>
    <row r="1294" spans="1:13">
      <c r="B1294" s="211"/>
      <c r="C1294" s="262"/>
      <c r="D1294" s="262"/>
      <c r="E1294" s="262"/>
      <c r="F1294" s="265">
        <v>0</v>
      </c>
      <c r="G1294" s="265"/>
      <c r="H1294" s="265">
        <v>0</v>
      </c>
      <c r="I1294" s="265"/>
      <c r="J1294" s="263">
        <v>0</v>
      </c>
      <c r="K1294" s="263">
        <v>0</v>
      </c>
      <c r="L1294" s="246"/>
      <c r="M1294" s="194"/>
    </row>
    <row r="1295" spans="1:13">
      <c r="B1295" s="211"/>
      <c r="C1295" s="208"/>
      <c r="D1295" s="208"/>
      <c r="E1295" s="208"/>
      <c r="F1295" s="244"/>
      <c r="G1295" s="244"/>
      <c r="H1295" s="244"/>
      <c r="I1295" s="244"/>
      <c r="J1295" s="245"/>
      <c r="K1295" s="245"/>
      <c r="L1295" s="215"/>
      <c r="M1295" s="194"/>
    </row>
    <row r="1296" spans="1:13" ht="13.5" thickBot="1">
      <c r="B1296" s="266"/>
      <c r="C1296" s="267"/>
      <c r="D1296" s="267"/>
      <c r="E1296" s="267"/>
      <c r="F1296" s="268"/>
      <c r="G1296" s="268"/>
      <c r="H1296" s="268"/>
      <c r="I1296" s="268"/>
      <c r="J1296" s="269"/>
      <c r="K1296" s="269"/>
      <c r="L1296" s="280"/>
      <c r="M1296" s="194"/>
    </row>
    <row r="1297" spans="1:13" s="284" customFormat="1" ht="14.25" thickTop="1" thickBot="1">
      <c r="A1297" s="283"/>
      <c r="F1297" s="285"/>
      <c r="G1297" s="285"/>
      <c r="H1297" s="285"/>
      <c r="I1297" s="285"/>
      <c r="J1297" s="286"/>
      <c r="K1297" s="286"/>
      <c r="M1297" s="212"/>
    </row>
    <row r="1298" spans="1:13" ht="13.5" thickTop="1">
      <c r="B1298" s="238"/>
      <c r="C1298" s="239"/>
      <c r="D1298" s="239"/>
      <c r="E1298" s="239"/>
      <c r="F1298" s="240"/>
      <c r="G1298" s="240"/>
      <c r="H1298" s="240"/>
      <c r="I1298" s="240"/>
      <c r="J1298" s="241"/>
      <c r="K1298" s="241"/>
      <c r="L1298" s="271"/>
      <c r="M1298" s="194"/>
    </row>
    <row r="1299" spans="1:13">
      <c r="B1299" s="211"/>
      <c r="C1299" s="208" t="s">
        <v>632</v>
      </c>
      <c r="D1299" s="208"/>
      <c r="E1299" s="243">
        <v>100014</v>
      </c>
      <c r="F1299" s="244"/>
      <c r="G1299" s="243">
        <v>100014</v>
      </c>
      <c r="H1299" s="244"/>
      <c r="I1299" s="243">
        <v>100014</v>
      </c>
      <c r="J1299" s="245"/>
      <c r="K1299" s="245">
        <v>100014</v>
      </c>
      <c r="L1299" s="215"/>
      <c r="M1299" s="194"/>
    </row>
    <row r="1300" spans="1:13" s="210" customFormat="1">
      <c r="A1300" s="196"/>
      <c r="B1300" s="247"/>
      <c r="C1300" s="248" t="s">
        <v>2</v>
      </c>
      <c r="D1300" s="248"/>
      <c r="E1300" s="193" t="s">
        <v>1017</v>
      </c>
      <c r="F1300" s="249"/>
      <c r="G1300" s="193" t="s">
        <v>1017</v>
      </c>
      <c r="H1300" s="249"/>
      <c r="I1300" s="193" t="s">
        <v>1017</v>
      </c>
      <c r="J1300" s="250"/>
      <c r="K1300" s="251" t="s">
        <v>1017</v>
      </c>
      <c r="L1300" s="281"/>
    </row>
    <row r="1301" spans="1:13">
      <c r="A1301" s="237">
        <v>100014</v>
      </c>
      <c r="B1301" s="211"/>
      <c r="C1301" s="208" t="s">
        <v>634</v>
      </c>
      <c r="D1301" s="208"/>
      <c r="E1301" s="253" t="s">
        <v>1000</v>
      </c>
      <c r="F1301" s="244"/>
      <c r="G1301" s="253" t="s">
        <v>1000</v>
      </c>
      <c r="H1301" s="244"/>
      <c r="I1301" s="253" t="s">
        <v>1000</v>
      </c>
      <c r="J1301" s="245"/>
      <c r="K1301" s="245" t="s">
        <v>1000</v>
      </c>
      <c r="L1301" s="215"/>
      <c r="M1301" s="194"/>
    </row>
    <row r="1302" spans="1:13">
      <c r="B1302" s="211"/>
      <c r="C1302" s="208"/>
      <c r="D1302" s="208"/>
      <c r="E1302" s="208"/>
      <c r="F1302" s="342">
        <v>-1.7080232501029968E-3</v>
      </c>
      <c r="G1302" s="244"/>
      <c r="H1302" s="244"/>
      <c r="J1302" s="255" t="s">
        <v>2833</v>
      </c>
      <c r="K1302" s="255" t="s">
        <v>1021</v>
      </c>
      <c r="L1302" s="215"/>
      <c r="M1302" s="194"/>
    </row>
    <row r="1303" spans="1:13" ht="25.5">
      <c r="B1303" s="211"/>
      <c r="C1303" s="256" t="s">
        <v>3</v>
      </c>
      <c r="D1303" s="256" t="s">
        <v>1</v>
      </c>
      <c r="E1303" s="256" t="s">
        <v>635</v>
      </c>
      <c r="F1303" s="257" t="s">
        <v>2468</v>
      </c>
      <c r="G1303" s="257" t="s">
        <v>636</v>
      </c>
      <c r="H1303" s="257" t="s">
        <v>2468</v>
      </c>
      <c r="I1303" s="257" t="s">
        <v>637</v>
      </c>
      <c r="J1303" s="259" t="s">
        <v>638</v>
      </c>
      <c r="K1303" s="259" t="s">
        <v>638</v>
      </c>
      <c r="L1303" s="203"/>
      <c r="M1303" s="194"/>
    </row>
    <row r="1304" spans="1:13">
      <c r="B1304" s="211"/>
      <c r="C1304" s="197" t="s">
        <v>1988</v>
      </c>
      <c r="D1304" s="198">
        <v>100014</v>
      </c>
      <c r="E1304" s="198" t="s">
        <v>2469</v>
      </c>
      <c r="F1304" s="199">
        <v>302784921.05000001</v>
      </c>
      <c r="G1304" s="199"/>
      <c r="H1304" s="199">
        <v>302784921.05000001</v>
      </c>
      <c r="I1304" s="227">
        <v>4.7904402E-3</v>
      </c>
      <c r="J1304" s="201">
        <v>1450473.0577517464</v>
      </c>
      <c r="K1304" s="201">
        <v>953645.63700799993</v>
      </c>
      <c r="L1304" s="215"/>
      <c r="M1304" s="194" t="s">
        <v>357</v>
      </c>
    </row>
    <row r="1305" spans="1:13">
      <c r="B1305" s="211"/>
      <c r="C1305" s="197" t="s">
        <v>1990</v>
      </c>
      <c r="D1305" s="198">
        <v>100014</v>
      </c>
      <c r="E1305" s="198" t="s">
        <v>2469</v>
      </c>
      <c r="F1305" s="199">
        <v>-146639009.32000002</v>
      </c>
      <c r="G1305" s="199"/>
      <c r="H1305" s="199">
        <v>-146639009.32000002</v>
      </c>
      <c r="I1305" s="227">
        <v>4.7904402E-3</v>
      </c>
      <c r="J1305" s="201">
        <v>-702465.4051347028</v>
      </c>
      <c r="K1305" s="201">
        <v>-441111.80411377002</v>
      </c>
      <c r="L1305" s="215"/>
      <c r="M1305" s="194" t="s">
        <v>357</v>
      </c>
    </row>
    <row r="1306" spans="1:13">
      <c r="B1306" s="211"/>
      <c r="C1306" s="197" t="s">
        <v>2470</v>
      </c>
      <c r="D1306" s="198">
        <v>100014</v>
      </c>
      <c r="E1306" s="198" t="s">
        <v>2471</v>
      </c>
      <c r="F1306" s="199">
        <v>-37789590</v>
      </c>
      <c r="G1306" s="199"/>
      <c r="H1306" s="199">
        <v>-37789590</v>
      </c>
      <c r="I1306" s="227">
        <v>4.7904402E-3</v>
      </c>
      <c r="J1306" s="201">
        <v>-181028.771077518</v>
      </c>
      <c r="K1306" s="201">
        <v>-95555.518276000003</v>
      </c>
      <c r="L1306" s="215"/>
      <c r="M1306" s="194" t="s">
        <v>420</v>
      </c>
    </row>
    <row r="1307" spans="1:13">
      <c r="B1307" s="211"/>
      <c r="C1307" s="197" t="s">
        <v>2472</v>
      </c>
      <c r="D1307" s="198">
        <v>100014</v>
      </c>
      <c r="E1307" s="198" t="s">
        <v>2473</v>
      </c>
      <c r="F1307" s="199">
        <v>8000000</v>
      </c>
      <c r="G1307" s="199"/>
      <c r="H1307" s="199">
        <v>8000000</v>
      </c>
      <c r="I1307" s="227">
        <v>4.7904402E-3</v>
      </c>
      <c r="J1307" s="201">
        <v>38323.5216</v>
      </c>
      <c r="K1307" s="201">
        <v>38152</v>
      </c>
      <c r="L1307" s="215"/>
      <c r="M1307" s="194" t="s">
        <v>358</v>
      </c>
    </row>
    <row r="1308" spans="1:13">
      <c r="B1308" s="211"/>
      <c r="C1308" s="197" t="s">
        <v>2474</v>
      </c>
      <c r="D1308" s="198">
        <v>100014</v>
      </c>
      <c r="E1308" s="198" t="s">
        <v>2473</v>
      </c>
      <c r="F1308" s="199">
        <v>-4166675</v>
      </c>
      <c r="G1308" s="199"/>
      <c r="H1308" s="199">
        <v>-4166675</v>
      </c>
      <c r="I1308" s="227">
        <v>4.7904402E-3</v>
      </c>
      <c r="J1308" s="201">
        <v>-19960.207420334998</v>
      </c>
      <c r="K1308" s="201">
        <v>-12717.358768</v>
      </c>
      <c r="L1308" s="215"/>
      <c r="M1308" s="194" t="s">
        <v>358</v>
      </c>
    </row>
    <row r="1309" spans="1:13">
      <c r="B1309" s="211"/>
      <c r="C1309" s="197" t="s">
        <v>2475</v>
      </c>
      <c r="D1309" s="198">
        <v>100014</v>
      </c>
      <c r="E1309" s="198" t="s">
        <v>2476</v>
      </c>
      <c r="F1309" s="199">
        <v>129796750.5999999</v>
      </c>
      <c r="G1309" s="199"/>
      <c r="H1309" s="199">
        <v>129796750.5999999</v>
      </c>
      <c r="I1309" s="227">
        <v>4.7904402E-3</v>
      </c>
      <c r="J1309" s="201">
        <v>621783.57190361363</v>
      </c>
      <c r="K1309" s="201">
        <v>332289.60823099996</v>
      </c>
      <c r="L1309" s="215"/>
      <c r="M1309" s="194" t="s">
        <v>496</v>
      </c>
    </row>
    <row r="1310" spans="1:13">
      <c r="B1310" s="211"/>
      <c r="C1310" s="197" t="s">
        <v>2477</v>
      </c>
      <c r="D1310" s="198">
        <v>100014</v>
      </c>
      <c r="E1310" s="198" t="s">
        <v>2476</v>
      </c>
      <c r="F1310" s="199">
        <v>253253300.29999971</v>
      </c>
      <c r="G1310" s="199"/>
      <c r="H1310" s="199">
        <v>253253300.29999971</v>
      </c>
      <c r="I1310" s="227">
        <v>4.7904402E-3</v>
      </c>
      <c r="J1310" s="201">
        <v>1213194.7905397906</v>
      </c>
      <c r="K1310" s="201">
        <v>1487193.0387274406</v>
      </c>
      <c r="L1310" s="215"/>
      <c r="M1310" s="194" t="s">
        <v>496</v>
      </c>
    </row>
    <row r="1311" spans="1:13">
      <c r="B1311" s="211"/>
      <c r="C1311" s="197" t="s">
        <v>2478</v>
      </c>
      <c r="D1311" s="198">
        <v>100014</v>
      </c>
      <c r="E1311" s="198" t="s">
        <v>2479</v>
      </c>
      <c r="F1311" s="199">
        <v>0</v>
      </c>
      <c r="G1311" s="199"/>
      <c r="H1311" s="199">
        <v>0</v>
      </c>
      <c r="I1311" s="227">
        <v>4.7904402E-3</v>
      </c>
      <c r="J1311" s="201">
        <v>0</v>
      </c>
      <c r="K1311" s="201">
        <v>953800</v>
      </c>
      <c r="L1311" s="215"/>
      <c r="M1311" s="194" t="s">
        <v>497</v>
      </c>
    </row>
    <row r="1312" spans="1:13">
      <c r="B1312" s="211"/>
      <c r="C1312" s="197" t="s">
        <v>2480</v>
      </c>
      <c r="D1312" s="198">
        <v>100014</v>
      </c>
      <c r="E1312" s="198" t="s">
        <v>2481</v>
      </c>
      <c r="F1312" s="199">
        <v>650000</v>
      </c>
      <c r="G1312" s="199"/>
      <c r="H1312" s="199">
        <v>650000</v>
      </c>
      <c r="I1312" s="227">
        <v>4.7904402E-3</v>
      </c>
      <c r="J1312" s="201">
        <v>3113.78613</v>
      </c>
      <c r="K1312" s="201">
        <v>15553.488504660074</v>
      </c>
      <c r="L1312" s="215"/>
      <c r="M1312" s="194" t="s">
        <v>494</v>
      </c>
    </row>
    <row r="1313" spans="2:13" ht="13.5" customHeight="1">
      <c r="B1313" s="211"/>
      <c r="C1313" s="197" t="s">
        <v>2482</v>
      </c>
      <c r="D1313" s="198">
        <v>100014</v>
      </c>
      <c r="E1313" s="198" t="s">
        <v>2476</v>
      </c>
      <c r="F1313" s="199">
        <v>976584713</v>
      </c>
      <c r="G1313" s="199"/>
      <c r="H1313" s="199">
        <v>976584713</v>
      </c>
      <c r="I1313" s="227">
        <v>4.7904402E-3</v>
      </c>
      <c r="J1313" s="201">
        <v>4678270.6678606626</v>
      </c>
      <c r="K1313" s="201">
        <v>1154667.7650678498</v>
      </c>
      <c r="L1313" s="215"/>
      <c r="M1313" s="194" t="s">
        <v>496</v>
      </c>
    </row>
    <row r="1314" spans="2:13">
      <c r="B1314" s="211"/>
      <c r="C1314" s="197" t="s">
        <v>2483</v>
      </c>
      <c r="D1314" s="198">
        <v>100014</v>
      </c>
      <c r="E1314" s="198" t="s">
        <v>2484</v>
      </c>
      <c r="F1314" s="199">
        <v>2724857936.9099998</v>
      </c>
      <c r="G1314" s="199"/>
      <c r="H1314" s="199">
        <v>2724857936.9099998</v>
      </c>
      <c r="I1314" s="227">
        <v>4.7904402E-3</v>
      </c>
      <c r="J1314" s="201">
        <v>13053269.000262728</v>
      </c>
      <c r="K1314" s="201">
        <v>-155283.40566170221</v>
      </c>
      <c r="L1314" s="215"/>
      <c r="M1314" s="194" t="s">
        <v>484</v>
      </c>
    </row>
    <row r="1315" spans="2:13">
      <c r="B1315" s="211"/>
      <c r="C1315" s="197" t="s">
        <v>2485</v>
      </c>
      <c r="D1315" s="198">
        <v>100014</v>
      </c>
      <c r="E1315" s="198" t="s">
        <v>2486</v>
      </c>
      <c r="F1315" s="199">
        <v>307922310.58000004</v>
      </c>
      <c r="G1315" s="199"/>
      <c r="H1315" s="199">
        <v>307922310.58000004</v>
      </c>
      <c r="I1315" s="227">
        <v>4.7904402E-3</v>
      </c>
      <c r="J1315" s="201">
        <v>1475083.4150793175</v>
      </c>
      <c r="K1315" s="201">
        <v>3178311.8055849997</v>
      </c>
      <c r="L1315" s="215"/>
      <c r="M1315" s="194" t="s">
        <v>510</v>
      </c>
    </row>
    <row r="1316" spans="2:13">
      <c r="B1316" s="211"/>
      <c r="C1316" s="197" t="s">
        <v>1995</v>
      </c>
      <c r="D1316" s="198">
        <v>100014</v>
      </c>
      <c r="E1316" s="198" t="s">
        <v>2487</v>
      </c>
      <c r="F1316" s="199">
        <v>4668163033.8399982</v>
      </c>
      <c r="G1316" s="199"/>
      <c r="H1316" s="199">
        <v>4668163033.8399982</v>
      </c>
      <c r="I1316" s="227">
        <v>4.7904402E-3</v>
      </c>
      <c r="J1316" s="201">
        <v>22362555.857461087</v>
      </c>
      <c r="K1316" s="201">
        <v>13217924.672926309</v>
      </c>
      <c r="L1316" s="215"/>
      <c r="M1316" s="194" t="s">
        <v>479</v>
      </c>
    </row>
    <row r="1317" spans="2:13">
      <c r="B1317" s="211"/>
      <c r="C1317" s="197" t="s">
        <v>2488</v>
      </c>
      <c r="D1317" s="198">
        <v>100014</v>
      </c>
      <c r="E1317" s="198" t="s">
        <v>2484</v>
      </c>
      <c r="F1317" s="199">
        <v>0</v>
      </c>
      <c r="G1317" s="199"/>
      <c r="H1317" s="199">
        <v>0</v>
      </c>
      <c r="I1317" s="227">
        <v>4.7904402E-3</v>
      </c>
      <c r="J1317" s="201">
        <v>0</v>
      </c>
      <c r="K1317" s="201">
        <v>5882315.5445954911</v>
      </c>
      <c r="L1317" s="215"/>
      <c r="M1317" s="194" t="s">
        <v>484</v>
      </c>
    </row>
    <row r="1318" spans="2:13">
      <c r="B1318" s="211"/>
      <c r="C1318" s="197" t="s">
        <v>2001</v>
      </c>
      <c r="D1318" s="198">
        <v>100014</v>
      </c>
      <c r="E1318" s="198" t="s">
        <v>2489</v>
      </c>
      <c r="F1318" s="199">
        <v>-130874841.68999982</v>
      </c>
      <c r="G1318" s="199"/>
      <c r="H1318" s="199">
        <v>-130874841.68999982</v>
      </c>
      <c r="I1318" s="227">
        <v>4.7904402E-3</v>
      </c>
      <c r="J1318" s="201">
        <v>-626948.10280041106</v>
      </c>
      <c r="K1318" s="201">
        <v>-178366.61575967039</v>
      </c>
      <c r="L1318" s="215"/>
      <c r="M1318" s="194" t="s">
        <v>419</v>
      </c>
    </row>
    <row r="1319" spans="2:13">
      <c r="B1319" s="211"/>
      <c r="C1319" s="197" t="s">
        <v>2490</v>
      </c>
      <c r="D1319" s="198">
        <v>100014</v>
      </c>
      <c r="E1319" s="198" t="s">
        <v>2491</v>
      </c>
      <c r="F1319" s="199">
        <v>278607805.06000006</v>
      </c>
      <c r="G1319" s="199"/>
      <c r="H1319" s="199">
        <v>278607805.06000006</v>
      </c>
      <c r="I1319" s="227">
        <v>4.7904402E-3</v>
      </c>
      <c r="J1319" s="201">
        <v>1334654.0293931877</v>
      </c>
      <c r="K1319" s="201">
        <v>302750.6225290001</v>
      </c>
      <c r="L1319" s="215"/>
      <c r="M1319" s="194" t="s">
        <v>461</v>
      </c>
    </row>
    <row r="1320" spans="2:13">
      <c r="B1320" s="211"/>
      <c r="C1320" s="197" t="s">
        <v>2492</v>
      </c>
      <c r="D1320" s="198">
        <v>100014</v>
      </c>
      <c r="E1320" s="198" t="s">
        <v>2491</v>
      </c>
      <c r="F1320" s="199">
        <v>-94908543.329999924</v>
      </c>
      <c r="G1320" s="199"/>
      <c r="H1320" s="199">
        <v>-94908543.329999924</v>
      </c>
      <c r="I1320" s="227">
        <v>4.7904402E-3</v>
      </c>
      <c r="J1320" s="201">
        <v>-454653.70129147352</v>
      </c>
      <c r="K1320" s="201">
        <v>-398447.14105899981</v>
      </c>
      <c r="L1320" s="215"/>
      <c r="M1320" s="194" t="s">
        <v>461</v>
      </c>
    </row>
    <row r="1321" spans="2:13">
      <c r="B1321" s="211"/>
      <c r="C1321" s="197" t="s">
        <v>2493</v>
      </c>
      <c r="D1321" s="198">
        <v>100014</v>
      </c>
      <c r="E1321" s="198" t="s">
        <v>2491</v>
      </c>
      <c r="F1321" s="199">
        <v>391673000</v>
      </c>
      <c r="G1321" s="199"/>
      <c r="H1321" s="199">
        <v>391673000</v>
      </c>
      <c r="I1321" s="227">
        <v>4.7904402E-3</v>
      </c>
      <c r="J1321" s="201">
        <v>1876286.0844546</v>
      </c>
      <c r="K1321" s="201">
        <v>764175.022</v>
      </c>
      <c r="L1321" s="215"/>
      <c r="M1321" s="194" t="s">
        <v>461</v>
      </c>
    </row>
    <row r="1322" spans="2:13">
      <c r="B1322" s="211"/>
      <c r="C1322" s="197" t="s">
        <v>2494</v>
      </c>
      <c r="D1322" s="198">
        <v>100014</v>
      </c>
      <c r="E1322" s="198" t="s">
        <v>2491</v>
      </c>
      <c r="F1322" s="199">
        <v>0</v>
      </c>
      <c r="G1322" s="199"/>
      <c r="H1322" s="199">
        <v>0</v>
      </c>
      <c r="I1322" s="227">
        <v>4.7904402E-3</v>
      </c>
      <c r="J1322" s="201">
        <v>0</v>
      </c>
      <c r="K1322" s="201">
        <v>-95405.50461199999</v>
      </c>
      <c r="L1322" s="215"/>
      <c r="M1322" s="194" t="s">
        <v>461</v>
      </c>
    </row>
    <row r="1323" spans="2:13">
      <c r="B1323" s="211"/>
      <c r="C1323" s="197" t="s">
        <v>2495</v>
      </c>
      <c r="D1323" s="198">
        <v>100014</v>
      </c>
      <c r="E1323" s="198" t="s">
        <v>2491</v>
      </c>
      <c r="F1323" s="199">
        <v>-102500.20000000019</v>
      </c>
      <c r="G1323" s="199"/>
      <c r="H1323" s="199">
        <v>-102500.20000000019</v>
      </c>
      <c r="I1323" s="227">
        <v>4.7904402E-3</v>
      </c>
      <c r="J1323" s="201">
        <v>-491.02107858804089</v>
      </c>
      <c r="K1323" s="201">
        <v>-2485.9013393999999</v>
      </c>
      <c r="L1323" s="215"/>
      <c r="M1323" s="194" t="s">
        <v>461</v>
      </c>
    </row>
    <row r="1324" spans="2:13">
      <c r="B1324" s="211"/>
      <c r="C1324" s="197" t="s">
        <v>2007</v>
      </c>
      <c r="D1324" s="198">
        <v>100014</v>
      </c>
      <c r="E1324" s="198" t="s">
        <v>2471</v>
      </c>
      <c r="F1324" s="199">
        <v>-20673129</v>
      </c>
      <c r="G1324" s="199"/>
      <c r="H1324" s="199">
        <v>-20673129</v>
      </c>
      <c r="I1324" s="227">
        <v>4.7904402E-3</v>
      </c>
      <c r="J1324" s="201">
        <v>-99033.388221385801</v>
      </c>
      <c r="K1324" s="201">
        <v>-138539.82198199999</v>
      </c>
      <c r="L1324" s="215"/>
      <c r="M1324" s="194" t="s">
        <v>420</v>
      </c>
    </row>
    <row r="1325" spans="2:13">
      <c r="B1325" s="211"/>
      <c r="C1325" s="197" t="s">
        <v>2496</v>
      </c>
      <c r="D1325" s="198">
        <v>100014</v>
      </c>
      <c r="E1325" s="198" t="s">
        <v>2471</v>
      </c>
      <c r="F1325" s="199">
        <v>-15425582.75</v>
      </c>
      <c r="G1325" s="199"/>
      <c r="H1325" s="199">
        <v>-15425582.75</v>
      </c>
      <c r="I1325" s="227">
        <v>4.7904402E-3</v>
      </c>
      <c r="J1325" s="201">
        <v>-73895.331714026557</v>
      </c>
      <c r="K1325" s="201">
        <v>-119214.617887</v>
      </c>
      <c r="L1325" s="215"/>
      <c r="M1325" s="194" t="s">
        <v>420</v>
      </c>
    </row>
    <row r="1326" spans="2:13">
      <c r="B1326" s="211"/>
      <c r="C1326" s="197" t="s">
        <v>2497</v>
      </c>
      <c r="D1326" s="198">
        <v>100014</v>
      </c>
      <c r="E1326" s="198" t="s">
        <v>2471</v>
      </c>
      <c r="F1326" s="199">
        <v>-3080000.4200000018</v>
      </c>
      <c r="G1326" s="199"/>
      <c r="H1326" s="199">
        <v>-3080000.4200000018</v>
      </c>
      <c r="I1326" s="227">
        <v>4.7904402E-3</v>
      </c>
      <c r="J1326" s="201">
        <v>-14754.557827984892</v>
      </c>
      <c r="K1326" s="201">
        <v>-5634.90733</v>
      </c>
      <c r="L1326" s="215"/>
      <c r="M1326" s="194" t="s">
        <v>420</v>
      </c>
    </row>
    <row r="1327" spans="2:13">
      <c r="B1327" s="211"/>
      <c r="C1327" s="197" t="s">
        <v>2011</v>
      </c>
      <c r="D1327" s="198">
        <v>100014</v>
      </c>
      <c r="E1327" s="198" t="s">
        <v>2498</v>
      </c>
      <c r="F1327" s="199">
        <v>-6987599341.0500011</v>
      </c>
      <c r="G1327" s="199"/>
      <c r="H1327" s="199">
        <v>-6987599341.0500011</v>
      </c>
      <c r="I1327" s="227">
        <v>4.7904402E-3</v>
      </c>
      <c r="J1327" s="201">
        <v>-33473676.784859437</v>
      </c>
      <c r="K1327" s="201">
        <v>-19980351.688489862</v>
      </c>
      <c r="L1327" s="215"/>
      <c r="M1327" s="194" t="s">
        <v>410</v>
      </c>
    </row>
    <row r="1328" spans="2:13">
      <c r="B1328" s="211"/>
      <c r="C1328" s="197" t="s">
        <v>2499</v>
      </c>
      <c r="D1328" s="198">
        <v>100014</v>
      </c>
      <c r="E1328" s="198" t="s">
        <v>2498</v>
      </c>
      <c r="F1328" s="199">
        <v>-210190451.58000001</v>
      </c>
      <c r="G1328" s="199"/>
      <c r="H1328" s="199">
        <v>-210190451.58000001</v>
      </c>
      <c r="I1328" s="227">
        <v>4.7904402E-3</v>
      </c>
      <c r="J1328" s="201">
        <v>-1006904.7889049856</v>
      </c>
      <c r="K1328" s="201">
        <v>-58373.521430400004</v>
      </c>
      <c r="L1328" s="215"/>
      <c r="M1328" s="194" t="s">
        <v>410</v>
      </c>
    </row>
    <row r="1329" spans="2:13">
      <c r="B1329" s="211"/>
      <c r="C1329" s="197" t="s">
        <v>2500</v>
      </c>
      <c r="D1329" s="198">
        <v>100014</v>
      </c>
      <c r="E1329" s="198" t="s">
        <v>2498</v>
      </c>
      <c r="F1329" s="199">
        <v>31654614</v>
      </c>
      <c r="G1329" s="199"/>
      <c r="H1329" s="199">
        <v>31654614</v>
      </c>
      <c r="I1329" s="227">
        <v>4.7904402E-3</v>
      </c>
      <c r="J1329" s="201">
        <v>151639.53542108281</v>
      </c>
      <c r="K1329" s="201">
        <v>395481.79116600001</v>
      </c>
      <c r="L1329" s="215"/>
      <c r="M1329" s="194" t="s">
        <v>410</v>
      </c>
    </row>
    <row r="1330" spans="2:13">
      <c r="B1330" s="211"/>
      <c r="C1330" s="197" t="s">
        <v>2013</v>
      </c>
      <c r="D1330" s="198">
        <v>100014</v>
      </c>
      <c r="E1330" s="198" t="s">
        <v>2501</v>
      </c>
      <c r="F1330" s="199">
        <v>-5649456</v>
      </c>
      <c r="G1330" s="199"/>
      <c r="H1330" s="199">
        <v>-5649456</v>
      </c>
      <c r="I1330" s="227">
        <v>4.7904402E-3</v>
      </c>
      <c r="J1330" s="201">
        <v>-27063.381130531201</v>
      </c>
      <c r="K1330" s="201">
        <v>-22695.771149</v>
      </c>
      <c r="L1330" s="215"/>
      <c r="M1330" s="194" t="s">
        <v>421</v>
      </c>
    </row>
    <row r="1331" spans="2:13">
      <c r="B1331" s="211"/>
      <c r="C1331" s="197" t="s">
        <v>2021</v>
      </c>
      <c r="D1331" s="198">
        <v>100014</v>
      </c>
      <c r="E1331" s="198" t="s">
        <v>2502</v>
      </c>
      <c r="F1331" s="199">
        <v>-3291050000</v>
      </c>
      <c r="G1331" s="199"/>
      <c r="H1331" s="199">
        <v>-3291050000</v>
      </c>
      <c r="I1331" s="227">
        <v>5.7899219507765469E-3</v>
      </c>
      <c r="J1331" s="201">
        <v>-19054922.636103153</v>
      </c>
      <c r="K1331" s="201">
        <v>-19054922.636103153</v>
      </c>
      <c r="L1331" s="215"/>
      <c r="M1331" s="194" t="s">
        <v>365</v>
      </c>
    </row>
    <row r="1332" spans="2:13">
      <c r="B1332" s="211"/>
      <c r="C1332" s="197" t="s">
        <v>2023</v>
      </c>
      <c r="D1332" s="198">
        <v>100014</v>
      </c>
      <c r="E1332" s="198" t="s">
        <v>2503</v>
      </c>
      <c r="F1332" s="199">
        <v>1829092059.4482987</v>
      </c>
      <c r="G1332" s="199"/>
      <c r="H1332" s="199">
        <v>1829092059.4482987</v>
      </c>
      <c r="I1332" s="227">
        <v>5.502124077980214E-3</v>
      </c>
      <c r="J1332" s="201">
        <v>10063891.461132901</v>
      </c>
      <c r="K1332" s="201">
        <v>9116842.4822619949</v>
      </c>
      <c r="L1332" s="215"/>
      <c r="M1332" s="194" t="s">
        <v>380</v>
      </c>
    </row>
    <row r="1333" spans="2:13">
      <c r="B1333" s="211"/>
      <c r="C1333" s="197" t="s">
        <v>2027</v>
      </c>
      <c r="D1333" s="198">
        <v>100014</v>
      </c>
      <c r="E1333" s="198" t="s">
        <v>2504</v>
      </c>
      <c r="F1333" s="199">
        <v>-10835225293.389999</v>
      </c>
      <c r="G1333" s="199"/>
      <c r="H1333" s="199">
        <v>-10835225293.389999</v>
      </c>
      <c r="I1333" s="227">
        <v>4.7575264666666669E-3</v>
      </c>
      <c r="J1333" s="201">
        <v>-51548871.105599023</v>
      </c>
      <c r="K1333" s="201">
        <v>-47929107.698107839</v>
      </c>
      <c r="L1333" s="215"/>
      <c r="M1333" s="194" t="s">
        <v>528</v>
      </c>
    </row>
    <row r="1334" spans="2:13">
      <c r="B1334" s="211"/>
      <c r="C1334" s="197" t="s">
        <v>2029</v>
      </c>
      <c r="D1334" s="198">
        <v>100014</v>
      </c>
      <c r="E1334" s="198" t="s">
        <v>2504</v>
      </c>
      <c r="F1334" s="199">
        <v>-730681818</v>
      </c>
      <c r="G1334" s="199"/>
      <c r="H1334" s="199">
        <v>-730681818</v>
      </c>
      <c r="I1334" s="227">
        <v>4.7575264666666669E-3</v>
      </c>
      <c r="J1334" s="201">
        <v>-3476238.0878471164</v>
      </c>
      <c r="K1334" s="201">
        <v>-1.2280839258393335</v>
      </c>
      <c r="L1334" s="215"/>
      <c r="M1334" s="194" t="s">
        <v>528</v>
      </c>
    </row>
    <row r="1335" spans="2:13">
      <c r="B1335" s="211"/>
      <c r="C1335" s="197" t="s">
        <v>2505</v>
      </c>
      <c r="D1335" s="198">
        <v>100014</v>
      </c>
      <c r="E1335" s="198" t="s">
        <v>2506</v>
      </c>
      <c r="F1335" s="199">
        <v>0</v>
      </c>
      <c r="G1335" s="199"/>
      <c r="H1335" s="199">
        <v>0</v>
      </c>
      <c r="I1335" s="227">
        <v>4.7575264666666669E-3</v>
      </c>
      <c r="J1335" s="201">
        <v>0</v>
      </c>
      <c r="K1335" s="201">
        <v>-643953.60035575845</v>
      </c>
      <c r="L1335" s="215"/>
      <c r="M1335" s="194" t="s">
        <v>530</v>
      </c>
    </row>
    <row r="1336" spans="2:13">
      <c r="B1336" s="211"/>
      <c r="C1336" s="197" t="s">
        <v>2030</v>
      </c>
      <c r="D1336" s="198">
        <v>100014</v>
      </c>
      <c r="E1336" s="198" t="s">
        <v>2507</v>
      </c>
      <c r="F1336" s="199">
        <v>-2360161</v>
      </c>
      <c r="G1336" s="199"/>
      <c r="H1336" s="199">
        <v>-2360161</v>
      </c>
      <c r="I1336" s="227">
        <v>4.7575264666666669E-3</v>
      </c>
      <c r="J1336" s="201">
        <v>-11228.528423094467</v>
      </c>
      <c r="K1336" s="201">
        <v>-44655.367792109915</v>
      </c>
      <c r="L1336" s="215"/>
      <c r="M1336" s="194" t="s">
        <v>531</v>
      </c>
    </row>
    <row r="1337" spans="2:13">
      <c r="B1337" s="211"/>
      <c r="C1337" s="197" t="s">
        <v>2508</v>
      </c>
      <c r="D1337" s="198">
        <v>100014</v>
      </c>
      <c r="E1337" s="198" t="s">
        <v>2509</v>
      </c>
      <c r="F1337" s="199">
        <v>246998700.35999751</v>
      </c>
      <c r="G1337" s="199"/>
      <c r="H1337" s="199">
        <v>246998700.35999751</v>
      </c>
      <c r="I1337" s="227">
        <v>4.7710457705342759E-3</v>
      </c>
      <c r="J1337" s="201">
        <v>1178442.104680029</v>
      </c>
      <c r="K1337" s="201">
        <v>565982.20074103028</v>
      </c>
      <c r="L1337" s="215"/>
      <c r="M1337" s="194" t="s">
        <v>548</v>
      </c>
    </row>
    <row r="1338" spans="2:13">
      <c r="B1338" s="211"/>
      <c r="C1338" s="197" t="s">
        <v>2510</v>
      </c>
      <c r="D1338" s="198">
        <v>100014</v>
      </c>
      <c r="E1338" s="198" t="s">
        <v>2509</v>
      </c>
      <c r="F1338" s="199">
        <v>4844104.6399999997</v>
      </c>
      <c r="G1338" s="199"/>
      <c r="H1338" s="199">
        <v>4844104.6399999997</v>
      </c>
      <c r="I1338" s="227">
        <v>4.7710457705342759E-3</v>
      </c>
      <c r="J1338" s="201">
        <v>23111.444954697461</v>
      </c>
      <c r="K1338" s="201">
        <v>-26167.469815236152</v>
      </c>
      <c r="L1338" s="215"/>
      <c r="M1338" s="194" t="s">
        <v>548</v>
      </c>
    </row>
    <row r="1339" spans="2:13">
      <c r="B1339" s="211"/>
      <c r="C1339" s="197" t="s">
        <v>2034</v>
      </c>
      <c r="D1339" s="198">
        <v>100014</v>
      </c>
      <c r="E1339" s="198" t="s">
        <v>2509</v>
      </c>
      <c r="F1339" s="199">
        <v>8346745342.1799984</v>
      </c>
      <c r="G1339" s="199"/>
      <c r="H1339" s="199">
        <v>8346745342.1799984</v>
      </c>
      <c r="I1339" s="227">
        <v>4.7710457705342759E-3</v>
      </c>
      <c r="J1339" s="201">
        <v>39822704.062534548</v>
      </c>
      <c r="K1339" s="201">
        <v>29864756.747989215</v>
      </c>
      <c r="L1339" s="215"/>
      <c r="M1339" s="194" t="s">
        <v>548</v>
      </c>
    </row>
    <row r="1340" spans="2:13">
      <c r="B1340" s="211"/>
      <c r="C1340" s="197" t="s">
        <v>2036</v>
      </c>
      <c r="D1340" s="198">
        <v>100014</v>
      </c>
      <c r="E1340" s="198" t="s">
        <v>2509</v>
      </c>
      <c r="F1340" s="199">
        <v>414171255.35000002</v>
      </c>
      <c r="G1340" s="199"/>
      <c r="H1340" s="199">
        <v>414171255.35000002</v>
      </c>
      <c r="I1340" s="227">
        <v>4.7710457705342759E-3</v>
      </c>
      <c r="J1340" s="201">
        <v>1976030.0161144892</v>
      </c>
      <c r="K1340" s="201">
        <v>1974770.5064231961</v>
      </c>
      <c r="L1340" s="215"/>
      <c r="M1340" s="194" t="s">
        <v>548</v>
      </c>
    </row>
    <row r="1341" spans="2:13">
      <c r="B1341" s="211"/>
      <c r="C1341" s="197" t="s">
        <v>2037</v>
      </c>
      <c r="D1341" s="198">
        <v>100014</v>
      </c>
      <c r="E1341" s="198" t="s">
        <v>2511</v>
      </c>
      <c r="F1341" s="199">
        <v>2771634445.9899998</v>
      </c>
      <c r="G1341" s="199"/>
      <c r="H1341" s="199">
        <v>2771634445.9899998</v>
      </c>
      <c r="I1341" s="227">
        <v>4.7689999999999998E-3</v>
      </c>
      <c r="J1341" s="201">
        <v>13217924.672926309</v>
      </c>
      <c r="K1341" s="201">
        <v>7792917.9007863002</v>
      </c>
      <c r="L1341" s="215"/>
      <c r="M1341" s="194" t="s">
        <v>551</v>
      </c>
    </row>
    <row r="1342" spans="2:13">
      <c r="B1342" s="211"/>
      <c r="C1342" s="197" t="s">
        <v>1995</v>
      </c>
      <c r="D1342" s="198">
        <v>100014</v>
      </c>
      <c r="E1342" s="198" t="s">
        <v>2512</v>
      </c>
      <c r="F1342" s="199">
        <v>-4668163033.8399982</v>
      </c>
      <c r="G1342" s="199"/>
      <c r="H1342" s="199">
        <v>-4668163033.8399982</v>
      </c>
      <c r="I1342" s="227">
        <v>4.7904402E-3</v>
      </c>
      <c r="J1342" s="201">
        <v>-22362555.857461087</v>
      </c>
      <c r="K1342" s="201">
        <v>-13217924.672926309</v>
      </c>
      <c r="L1342" s="215"/>
      <c r="M1342" s="194" t="s">
        <v>554</v>
      </c>
    </row>
    <row r="1343" spans="2:13">
      <c r="B1343" s="211"/>
      <c r="C1343" s="197" t="s">
        <v>2040</v>
      </c>
      <c r="D1343" s="198">
        <v>100014</v>
      </c>
      <c r="E1343" s="198" t="s">
        <v>2513</v>
      </c>
      <c r="F1343" s="199">
        <v>1625591843</v>
      </c>
      <c r="G1343" s="199"/>
      <c r="H1343" s="199">
        <v>1625591843</v>
      </c>
      <c r="I1343" s="227">
        <v>4.7575264666666669E-3</v>
      </c>
      <c r="J1343" s="201">
        <v>7733796.2170699453</v>
      </c>
      <c r="K1343" s="201">
        <v>9920294.174875332</v>
      </c>
      <c r="L1343" s="215"/>
      <c r="M1343" s="194" t="s">
        <v>555</v>
      </c>
    </row>
    <row r="1344" spans="2:13">
      <c r="B1344" s="211"/>
      <c r="C1344" s="197" t="s">
        <v>2514</v>
      </c>
      <c r="D1344" s="198">
        <v>100014</v>
      </c>
      <c r="E1344" s="198" t="s">
        <v>2513</v>
      </c>
      <c r="F1344" s="199">
        <v>76266355</v>
      </c>
      <c r="G1344" s="199"/>
      <c r="H1344" s="199">
        <v>76266355</v>
      </c>
      <c r="I1344" s="227">
        <v>4.7575264666666669E-3</v>
      </c>
      <c r="J1344" s="201">
        <v>362839.20242869569</v>
      </c>
      <c r="K1344" s="201">
        <v>380804.39664249454</v>
      </c>
      <c r="L1344" s="215"/>
      <c r="M1344" s="194" t="s">
        <v>555</v>
      </c>
    </row>
    <row r="1345" spans="2:13">
      <c r="B1345" s="211"/>
      <c r="C1345" s="197" t="s">
        <v>2515</v>
      </c>
      <c r="D1345" s="198">
        <v>100014</v>
      </c>
      <c r="E1345" s="198" t="s">
        <v>2513</v>
      </c>
      <c r="F1345" s="199">
        <v>111899805</v>
      </c>
      <c r="G1345" s="199"/>
      <c r="H1345" s="199">
        <v>111899805</v>
      </c>
      <c r="I1345" s="227">
        <v>4.7575264666666669E-3</v>
      </c>
      <c r="J1345" s="201">
        <v>532366.28390233906</v>
      </c>
      <c r="K1345" s="201">
        <v>745384.07366674033</v>
      </c>
      <c r="L1345" s="215"/>
      <c r="M1345" s="194" t="s">
        <v>555</v>
      </c>
    </row>
    <row r="1346" spans="2:13">
      <c r="B1346" s="211"/>
      <c r="C1346" s="197" t="s">
        <v>2516</v>
      </c>
      <c r="D1346" s="198">
        <v>100014</v>
      </c>
      <c r="E1346" s="198" t="s">
        <v>2517</v>
      </c>
      <c r="F1346" s="199">
        <v>36775124</v>
      </c>
      <c r="G1346" s="199"/>
      <c r="H1346" s="199">
        <v>36775124</v>
      </c>
      <c r="I1346" s="227">
        <v>4.7575264666666669E-3</v>
      </c>
      <c r="J1346" s="201">
        <v>174958.62574494854</v>
      </c>
      <c r="K1346" s="201">
        <v>229520.25612372332</v>
      </c>
      <c r="L1346" s="215"/>
      <c r="M1346" s="194" t="s">
        <v>560</v>
      </c>
    </row>
    <row r="1347" spans="2:13">
      <c r="B1347" s="211"/>
      <c r="C1347" s="197" t="s">
        <v>2518</v>
      </c>
      <c r="D1347" s="198">
        <v>100014</v>
      </c>
      <c r="E1347" s="198" t="s">
        <v>2519</v>
      </c>
      <c r="F1347" s="199">
        <v>141201890.34999999</v>
      </c>
      <c r="G1347" s="199"/>
      <c r="H1347" s="199">
        <v>141201890.34999999</v>
      </c>
      <c r="I1347" s="227">
        <v>4.7575264666666669E-3</v>
      </c>
      <c r="J1347" s="201">
        <v>671771.73048348958</v>
      </c>
      <c r="K1347" s="201">
        <v>104734.37251315742</v>
      </c>
      <c r="L1347" s="215"/>
      <c r="M1347" s="194" t="s">
        <v>564</v>
      </c>
    </row>
    <row r="1348" spans="2:13">
      <c r="B1348" s="211"/>
      <c r="C1348" s="197" t="s">
        <v>2046</v>
      </c>
      <c r="D1348" s="198">
        <v>100014</v>
      </c>
      <c r="E1348" s="198" t="s">
        <v>2520</v>
      </c>
      <c r="F1348" s="199">
        <v>0</v>
      </c>
      <c r="G1348" s="199"/>
      <c r="H1348" s="199">
        <v>0</v>
      </c>
      <c r="I1348" s="227">
        <v>4.7575264666666669E-3</v>
      </c>
      <c r="J1348" s="201">
        <v>0</v>
      </c>
      <c r="K1348" s="201">
        <v>9959.4273360156258</v>
      </c>
      <c r="L1348" s="215"/>
      <c r="M1348" s="194" t="s">
        <v>600</v>
      </c>
    </row>
    <row r="1349" spans="2:13">
      <c r="B1349" s="211"/>
      <c r="C1349" s="197" t="s">
        <v>2521</v>
      </c>
      <c r="D1349" s="198">
        <v>100014</v>
      </c>
      <c r="E1349" s="198" t="s">
        <v>2522</v>
      </c>
      <c r="F1349" s="199">
        <v>4000000</v>
      </c>
      <c r="G1349" s="199"/>
      <c r="H1349" s="199">
        <v>4000000</v>
      </c>
      <c r="I1349" s="227">
        <v>4.7575264666666669E-3</v>
      </c>
      <c r="J1349" s="201">
        <v>19030.105866666669</v>
      </c>
      <c r="K1349" s="201">
        <v>150036.49143166668</v>
      </c>
      <c r="L1349" s="215"/>
      <c r="M1349" s="194" t="s">
        <v>608</v>
      </c>
    </row>
    <row r="1350" spans="2:13">
      <c r="B1350" s="211"/>
      <c r="C1350" s="197" t="s">
        <v>2048</v>
      </c>
      <c r="D1350" s="198">
        <v>100014</v>
      </c>
      <c r="E1350" s="198" t="s">
        <v>2523</v>
      </c>
      <c r="F1350" s="199">
        <v>9778000</v>
      </c>
      <c r="G1350" s="199"/>
      <c r="H1350" s="199">
        <v>9778000</v>
      </c>
      <c r="I1350" s="227">
        <v>4.7575264666666669E-3</v>
      </c>
      <c r="J1350" s="201">
        <v>46519.093791066669</v>
      </c>
      <c r="K1350" s="201">
        <v>68362.264451650015</v>
      </c>
      <c r="L1350" s="215"/>
      <c r="M1350" s="194" t="s">
        <v>595</v>
      </c>
    </row>
    <row r="1351" spans="2:13">
      <c r="B1351" s="211"/>
      <c r="C1351" s="197" t="s">
        <v>2050</v>
      </c>
      <c r="D1351" s="198">
        <v>100014</v>
      </c>
      <c r="E1351" s="198" t="s">
        <v>2524</v>
      </c>
      <c r="F1351" s="199">
        <v>403393106.25</v>
      </c>
      <c r="G1351" s="199"/>
      <c r="H1351" s="199">
        <v>403393106.25</v>
      </c>
      <c r="I1351" s="227">
        <v>4.7575264666666669E-3</v>
      </c>
      <c r="J1351" s="201">
        <v>1919153.3794552539</v>
      </c>
      <c r="K1351" s="201">
        <v>2256662.4283919288</v>
      </c>
      <c r="L1351" s="215"/>
      <c r="M1351" s="194" t="s">
        <v>596</v>
      </c>
    </row>
    <row r="1352" spans="2:13">
      <c r="B1352" s="211"/>
      <c r="C1352" s="197" t="s">
        <v>2052</v>
      </c>
      <c r="D1352" s="198">
        <v>100014</v>
      </c>
      <c r="E1352" s="198" t="s">
        <v>2525</v>
      </c>
      <c r="F1352" s="199">
        <v>0</v>
      </c>
      <c r="G1352" s="199"/>
      <c r="H1352" s="199">
        <v>0</v>
      </c>
      <c r="I1352" s="227">
        <v>4.7575264666666669E-3</v>
      </c>
      <c r="J1352" s="201">
        <v>0</v>
      </c>
      <c r="K1352" s="201">
        <v>5763.3144879808342</v>
      </c>
      <c r="L1352" s="215"/>
      <c r="M1352" s="194" t="s">
        <v>605</v>
      </c>
    </row>
    <row r="1353" spans="2:13">
      <c r="B1353" s="211"/>
      <c r="C1353" s="207" t="s">
        <v>2830</v>
      </c>
      <c r="D1353" s="198">
        <v>100014</v>
      </c>
      <c r="E1353" s="198" t="s">
        <v>2525</v>
      </c>
      <c r="F1353" s="199">
        <v>4500000</v>
      </c>
      <c r="G1353" s="199"/>
      <c r="H1353" s="199">
        <v>4500000</v>
      </c>
      <c r="I1353" s="227">
        <v>4.7575264666666669E-3</v>
      </c>
      <c r="J1353" s="201">
        <v>21408.8691</v>
      </c>
      <c r="K1353" s="201">
        <v>293190.72844485735</v>
      </c>
      <c r="L1353" s="215"/>
      <c r="M1353" s="194" t="s">
        <v>605</v>
      </c>
    </row>
    <row r="1354" spans="2:13">
      <c r="B1354" s="211"/>
      <c r="C1354" s="197" t="s">
        <v>2055</v>
      </c>
      <c r="D1354" s="198">
        <v>100014</v>
      </c>
      <c r="E1354" s="198" t="s">
        <v>2526</v>
      </c>
      <c r="F1354" s="199">
        <v>27883245</v>
      </c>
      <c r="G1354" s="199"/>
      <c r="H1354" s="199">
        <v>27883245</v>
      </c>
      <c r="I1354" s="227">
        <v>4.7575264666666669E-3</v>
      </c>
      <c r="J1354" s="201">
        <v>132655.276064051</v>
      </c>
      <c r="K1354" s="201">
        <v>196226.57967515342</v>
      </c>
      <c r="L1354" s="215"/>
      <c r="M1354" s="194" t="s">
        <v>593</v>
      </c>
    </row>
    <row r="1355" spans="2:13">
      <c r="B1355" s="211"/>
      <c r="C1355" s="197" t="s">
        <v>2057</v>
      </c>
      <c r="D1355" s="198">
        <v>100014</v>
      </c>
      <c r="E1355" s="198" t="s">
        <v>2527</v>
      </c>
      <c r="F1355" s="199">
        <v>3341080</v>
      </c>
      <c r="G1355" s="199"/>
      <c r="H1355" s="199">
        <v>3341080</v>
      </c>
      <c r="I1355" s="227">
        <v>4.7575264666666669E-3</v>
      </c>
      <c r="J1355" s="201">
        <v>15895.276527250668</v>
      </c>
      <c r="K1355" s="201">
        <v>23423.817877070003</v>
      </c>
      <c r="L1355" s="215"/>
      <c r="M1355" s="194" t="s">
        <v>577</v>
      </c>
    </row>
    <row r="1356" spans="2:13">
      <c r="B1356" s="211"/>
      <c r="C1356" s="197" t="s">
        <v>2059</v>
      </c>
      <c r="D1356" s="198">
        <v>100014</v>
      </c>
      <c r="E1356" s="198" t="s">
        <v>2526</v>
      </c>
      <c r="F1356" s="199">
        <v>11590000</v>
      </c>
      <c r="G1356" s="199"/>
      <c r="H1356" s="199">
        <v>11590000</v>
      </c>
      <c r="I1356" s="227">
        <v>4.7575264666666669E-3</v>
      </c>
      <c r="J1356" s="201">
        <v>55139.731748666673</v>
      </c>
      <c r="K1356" s="201">
        <v>64133.047914650007</v>
      </c>
      <c r="L1356" s="215"/>
      <c r="M1356" s="194" t="s">
        <v>593</v>
      </c>
    </row>
    <row r="1357" spans="2:13">
      <c r="B1357" s="211"/>
      <c r="C1357" s="197" t="s">
        <v>2060</v>
      </c>
      <c r="D1357" s="198">
        <v>100014</v>
      </c>
      <c r="E1357" s="198" t="s">
        <v>2528</v>
      </c>
      <c r="F1357" s="199">
        <v>66601727.039999992</v>
      </c>
      <c r="G1357" s="199"/>
      <c r="H1357" s="199">
        <v>66601727.039999992</v>
      </c>
      <c r="I1357" s="227">
        <v>4.7575264666666669E-3</v>
      </c>
      <c r="J1357" s="201">
        <v>316859.47911850899</v>
      </c>
      <c r="K1357" s="201">
        <v>459934.84050157439</v>
      </c>
      <c r="L1357" s="215"/>
      <c r="M1357" s="194" t="s">
        <v>592</v>
      </c>
    </row>
    <row r="1358" spans="2:13">
      <c r="B1358" s="211"/>
      <c r="C1358" s="197" t="s">
        <v>2529</v>
      </c>
      <c r="D1358" s="198">
        <v>100014</v>
      </c>
      <c r="E1358" s="198" t="s">
        <v>2528</v>
      </c>
      <c r="F1358" s="199">
        <v>53696040</v>
      </c>
      <c r="G1358" s="199"/>
      <c r="H1358" s="199">
        <v>53696040</v>
      </c>
      <c r="I1358" s="227">
        <v>4.7575264666666669E-3</v>
      </c>
      <c r="J1358" s="201">
        <v>255460.331455192</v>
      </c>
      <c r="K1358" s="201">
        <v>474819.04081086977</v>
      </c>
      <c r="L1358" s="215"/>
      <c r="M1358" s="194" t="s">
        <v>592</v>
      </c>
    </row>
    <row r="1359" spans="2:13">
      <c r="B1359" s="211"/>
      <c r="C1359" s="197" t="s">
        <v>2062</v>
      </c>
      <c r="D1359" s="198">
        <v>100014</v>
      </c>
      <c r="E1359" s="198" t="s">
        <v>2528</v>
      </c>
      <c r="F1359" s="199">
        <v>60278416</v>
      </c>
      <c r="G1359" s="199"/>
      <c r="H1359" s="199">
        <v>60278416</v>
      </c>
      <c r="I1359" s="227">
        <v>4.7575264666666669E-3</v>
      </c>
      <c r="J1359" s="201">
        <v>286776.15948874346</v>
      </c>
      <c r="K1359" s="201">
        <v>775232.35341128241</v>
      </c>
      <c r="L1359" s="215"/>
      <c r="M1359" s="194" t="s">
        <v>592</v>
      </c>
    </row>
    <row r="1360" spans="2:13">
      <c r="B1360" s="211"/>
      <c r="C1360" s="197" t="s">
        <v>2530</v>
      </c>
      <c r="D1360" s="198">
        <v>100014</v>
      </c>
      <c r="E1360" s="198" t="s">
        <v>2528</v>
      </c>
      <c r="F1360" s="199">
        <v>225700</v>
      </c>
      <c r="G1360" s="199"/>
      <c r="H1360" s="199">
        <v>225700</v>
      </c>
      <c r="I1360" s="227">
        <v>4.7575264666666669E-3</v>
      </c>
      <c r="J1360" s="201">
        <v>1073.7737235266668</v>
      </c>
      <c r="K1360" s="201">
        <v>2205.3853805977501</v>
      </c>
      <c r="L1360" s="215"/>
      <c r="M1360" s="194" t="s">
        <v>592</v>
      </c>
    </row>
    <row r="1361" spans="2:13">
      <c r="B1361" s="211"/>
      <c r="C1361" s="197" t="s">
        <v>2531</v>
      </c>
      <c r="D1361" s="198">
        <v>100014</v>
      </c>
      <c r="E1361" s="198" t="s">
        <v>2528</v>
      </c>
      <c r="F1361" s="199">
        <v>0</v>
      </c>
      <c r="G1361" s="199"/>
      <c r="H1361" s="199">
        <v>0</v>
      </c>
      <c r="I1361" s="227">
        <v>4.7575264666666669E-3</v>
      </c>
      <c r="J1361" s="201">
        <v>0</v>
      </c>
      <c r="K1361" s="201">
        <v>251.73907958333336</v>
      </c>
      <c r="L1361" s="215"/>
      <c r="M1361" s="194" t="s">
        <v>592</v>
      </c>
    </row>
    <row r="1362" spans="2:13">
      <c r="B1362" s="211"/>
      <c r="C1362" s="197" t="s">
        <v>2063</v>
      </c>
      <c r="D1362" s="198">
        <v>100014</v>
      </c>
      <c r="E1362" s="198" t="s">
        <v>2532</v>
      </c>
      <c r="F1362" s="199">
        <v>52166812.82</v>
      </c>
      <c r="G1362" s="199"/>
      <c r="H1362" s="199">
        <v>52166812.82</v>
      </c>
      <c r="I1362" s="227">
        <v>4.7575264666666669E-3</v>
      </c>
      <c r="J1362" s="201">
        <v>248184.99267279598</v>
      </c>
      <c r="K1362" s="201">
        <v>155225.04406401064</v>
      </c>
      <c r="L1362" s="215"/>
      <c r="M1362" s="194" t="s">
        <v>616</v>
      </c>
    </row>
    <row r="1363" spans="2:13">
      <c r="B1363" s="211"/>
      <c r="C1363" s="197" t="s">
        <v>2065</v>
      </c>
      <c r="D1363" s="198">
        <v>100014</v>
      </c>
      <c r="E1363" s="198" t="s">
        <v>2533</v>
      </c>
      <c r="F1363" s="199">
        <v>107301989.19999999</v>
      </c>
      <c r="G1363" s="199"/>
      <c r="H1363" s="199">
        <v>107301989.19999999</v>
      </c>
      <c r="I1363" s="227">
        <v>4.7575264666666669E-3</v>
      </c>
      <c r="J1363" s="201">
        <v>510492.05354498076</v>
      </c>
      <c r="K1363" s="201">
        <v>895643.94828806608</v>
      </c>
      <c r="L1363" s="215"/>
      <c r="M1363" s="194" t="s">
        <v>594</v>
      </c>
    </row>
    <row r="1364" spans="2:13">
      <c r="B1364" s="211"/>
      <c r="C1364" s="197" t="s">
        <v>2067</v>
      </c>
      <c r="D1364" s="198">
        <v>100014</v>
      </c>
      <c r="E1364" s="198" t="s">
        <v>2533</v>
      </c>
      <c r="F1364" s="199">
        <v>-17250000</v>
      </c>
      <c r="G1364" s="199"/>
      <c r="H1364" s="199">
        <v>-17250000</v>
      </c>
      <c r="I1364" s="227">
        <v>4.7575264666666669E-3</v>
      </c>
      <c r="J1364" s="201">
        <v>-82067.331550000003</v>
      </c>
      <c r="K1364" s="201">
        <v>124610.84439375001</v>
      </c>
      <c r="L1364" s="215"/>
      <c r="M1364" s="194" t="s">
        <v>594</v>
      </c>
    </row>
    <row r="1365" spans="2:13">
      <c r="B1365" s="211"/>
      <c r="C1365" s="197" t="s">
        <v>2069</v>
      </c>
      <c r="D1365" s="198">
        <v>100014</v>
      </c>
      <c r="E1365" s="198" t="s">
        <v>2534</v>
      </c>
      <c r="F1365" s="199">
        <v>1527250</v>
      </c>
      <c r="G1365" s="199"/>
      <c r="H1365" s="199">
        <v>1527250</v>
      </c>
      <c r="I1365" s="227">
        <v>4.7575264666666669E-3</v>
      </c>
      <c r="J1365" s="201">
        <v>7265.9322962166671</v>
      </c>
      <c r="K1365" s="201">
        <v>35553.110209554172</v>
      </c>
      <c r="L1365" s="215"/>
      <c r="M1365" s="194" t="s">
        <v>614</v>
      </c>
    </row>
    <row r="1366" spans="2:13">
      <c r="B1366" s="211"/>
      <c r="C1366" s="197" t="s">
        <v>2535</v>
      </c>
      <c r="D1366" s="198">
        <v>100014</v>
      </c>
      <c r="E1366" s="198" t="s">
        <v>2534</v>
      </c>
      <c r="F1366" s="199">
        <v>104741310</v>
      </c>
      <c r="G1366" s="199"/>
      <c r="H1366" s="199">
        <v>104741310</v>
      </c>
      <c r="I1366" s="227">
        <v>4.7575264666666669E-3</v>
      </c>
      <c r="J1366" s="201">
        <v>498309.55447833805</v>
      </c>
      <c r="K1366" s="201">
        <v>698274.79350440914</v>
      </c>
      <c r="L1366" s="215"/>
      <c r="M1366" s="194" t="s">
        <v>614</v>
      </c>
    </row>
    <row r="1367" spans="2:13">
      <c r="B1367" s="211"/>
      <c r="C1367" s="197" t="s">
        <v>2071</v>
      </c>
      <c r="D1367" s="198">
        <v>100014</v>
      </c>
      <c r="E1367" s="198" t="s">
        <v>2536</v>
      </c>
      <c r="F1367" s="199">
        <v>0</v>
      </c>
      <c r="G1367" s="199"/>
      <c r="H1367" s="199">
        <v>0</v>
      </c>
      <c r="I1367" s="227">
        <v>4.7575264666666669E-3</v>
      </c>
      <c r="J1367" s="201">
        <v>0</v>
      </c>
      <c r="K1367" s="201">
        <v>9447.9086306470672</v>
      </c>
      <c r="L1367" s="215"/>
      <c r="M1367" s="194" t="s">
        <v>603</v>
      </c>
    </row>
    <row r="1368" spans="2:13">
      <c r="B1368" s="211"/>
      <c r="C1368" s="197" t="s">
        <v>2537</v>
      </c>
      <c r="D1368" s="198">
        <v>100014</v>
      </c>
      <c r="E1368" s="198" t="s">
        <v>2538</v>
      </c>
      <c r="F1368" s="199"/>
      <c r="G1368" s="199"/>
      <c r="H1368" s="199">
        <v>0</v>
      </c>
      <c r="I1368" s="227">
        <v>4.7575264666666669E-3</v>
      </c>
      <c r="J1368" s="201">
        <v>0</v>
      </c>
      <c r="K1368" s="201">
        <v>0</v>
      </c>
      <c r="L1368" s="215"/>
      <c r="M1368" s="194" t="s">
        <v>568</v>
      </c>
    </row>
    <row r="1369" spans="2:13">
      <c r="B1369" s="211"/>
      <c r="C1369" s="197" t="s">
        <v>2076</v>
      </c>
      <c r="D1369" s="198">
        <v>100014</v>
      </c>
      <c r="E1369" s="198" t="s">
        <v>2539</v>
      </c>
      <c r="F1369" s="199">
        <v>22419234.039999999</v>
      </c>
      <c r="G1369" s="199"/>
      <c r="H1369" s="199">
        <v>22419234.039999999</v>
      </c>
      <c r="I1369" s="227">
        <v>4.7575264666666669E-3</v>
      </c>
      <c r="J1369" s="201">
        <v>106660.09930769425</v>
      </c>
      <c r="K1369" s="201">
        <v>82829.039125178679</v>
      </c>
      <c r="L1369" s="215"/>
      <c r="M1369" s="194" t="s">
        <v>607</v>
      </c>
    </row>
    <row r="1370" spans="2:13">
      <c r="B1370" s="211"/>
      <c r="C1370" s="197" t="s">
        <v>2080</v>
      </c>
      <c r="D1370" s="198">
        <v>100014</v>
      </c>
      <c r="E1370" s="198" t="s">
        <v>2540</v>
      </c>
      <c r="F1370" s="199">
        <v>3396783</v>
      </c>
      <c r="G1370" s="199"/>
      <c r="H1370" s="199">
        <v>3396783</v>
      </c>
      <c r="I1370" s="227">
        <v>4.7575264666666669E-3</v>
      </c>
      <c r="J1370" s="201">
        <v>16160.2850240234</v>
      </c>
      <c r="K1370" s="201">
        <v>42932.234032183995</v>
      </c>
      <c r="L1370" s="215"/>
      <c r="M1370" s="194" t="s">
        <v>597</v>
      </c>
    </row>
    <row r="1371" spans="2:13">
      <c r="B1371" s="211"/>
      <c r="C1371" s="197" t="s">
        <v>2541</v>
      </c>
      <c r="D1371" s="198">
        <v>100014</v>
      </c>
      <c r="E1371" s="198" t="s">
        <v>2520</v>
      </c>
      <c r="F1371" s="199">
        <v>480000</v>
      </c>
      <c r="G1371" s="199"/>
      <c r="H1371" s="199">
        <v>480000</v>
      </c>
      <c r="I1371" s="227">
        <v>4.7575264666666669E-3</v>
      </c>
      <c r="J1371" s="201">
        <v>2283.6127040000001</v>
      </c>
      <c r="K1371" s="201">
        <v>421511.91485433339</v>
      </c>
      <c r="L1371" s="215"/>
      <c r="M1371" s="194" t="s">
        <v>600</v>
      </c>
    </row>
    <row r="1372" spans="2:13">
      <c r="B1372" s="211"/>
      <c r="C1372" s="197" t="s">
        <v>2081</v>
      </c>
      <c r="D1372" s="198">
        <v>100014</v>
      </c>
      <c r="E1372" s="198" t="s">
        <v>2520</v>
      </c>
      <c r="F1372" s="199">
        <v>41674777.019999996</v>
      </c>
      <c r="G1372" s="199"/>
      <c r="H1372" s="199">
        <v>41674777.019999996</v>
      </c>
      <c r="I1372" s="227">
        <v>4.7575264666666669E-3</v>
      </c>
      <c r="J1372" s="201">
        <v>198268.85466508177</v>
      </c>
      <c r="K1372" s="201">
        <v>2360876.8892188044</v>
      </c>
      <c r="L1372" s="215"/>
      <c r="M1372" s="194" t="s">
        <v>600</v>
      </c>
    </row>
    <row r="1373" spans="2:13">
      <c r="B1373" s="211"/>
      <c r="C1373" s="197" t="s">
        <v>2082</v>
      </c>
      <c r="D1373" s="198">
        <v>100014</v>
      </c>
      <c r="E1373" s="198" t="s">
        <v>2542</v>
      </c>
      <c r="F1373" s="199">
        <v>48485146</v>
      </c>
      <c r="G1373" s="199"/>
      <c r="H1373" s="199">
        <v>48485146</v>
      </c>
      <c r="I1373" s="227">
        <v>4.7575264666666669E-3</v>
      </c>
      <c r="J1373" s="201">
        <v>230669.36533519748</v>
      </c>
      <c r="K1373" s="201">
        <v>118060.42236041756</v>
      </c>
      <c r="L1373" s="215"/>
      <c r="M1373" s="194" t="s">
        <v>604</v>
      </c>
    </row>
    <row r="1374" spans="2:13">
      <c r="B1374" s="211"/>
      <c r="C1374" s="197" t="s">
        <v>2084</v>
      </c>
      <c r="D1374" s="198">
        <v>100014</v>
      </c>
      <c r="E1374" s="198" t="s">
        <v>2543</v>
      </c>
      <c r="F1374" s="199">
        <v>60506324</v>
      </c>
      <c r="G1374" s="199"/>
      <c r="H1374" s="199">
        <v>60506324</v>
      </c>
      <c r="I1374" s="227">
        <v>4.7575264666666669E-3</v>
      </c>
      <c r="J1374" s="201">
        <v>287860.43783070857</v>
      </c>
      <c r="K1374" s="201">
        <v>-3483961.5115320622</v>
      </c>
      <c r="L1374" s="215"/>
      <c r="M1374" s="194" t="s">
        <v>620</v>
      </c>
    </row>
    <row r="1375" spans="2:13">
      <c r="B1375" s="211"/>
      <c r="C1375" s="197" t="s">
        <v>1203</v>
      </c>
      <c r="D1375" s="198">
        <v>100014</v>
      </c>
      <c r="E1375" s="198" t="s">
        <v>2544</v>
      </c>
      <c r="F1375" s="199">
        <v>54143348.989999995</v>
      </c>
      <c r="G1375" s="199"/>
      <c r="H1375" s="199">
        <v>54143348.989999995</v>
      </c>
      <c r="I1375" s="227">
        <v>4.7575264666666669E-3</v>
      </c>
      <c r="J1375" s="201">
        <v>257588.41581389491</v>
      </c>
      <c r="K1375" s="201">
        <v>234635.06073539919</v>
      </c>
      <c r="L1375" s="215"/>
      <c r="M1375" s="194" t="s">
        <v>362</v>
      </c>
    </row>
    <row r="1376" spans="2:13">
      <c r="B1376" s="211"/>
      <c r="C1376" s="197" t="s">
        <v>2545</v>
      </c>
      <c r="D1376" s="198">
        <v>100014</v>
      </c>
      <c r="E1376" s="198" t="s">
        <v>2544</v>
      </c>
      <c r="F1376" s="199">
        <v>1500003</v>
      </c>
      <c r="G1376" s="199"/>
      <c r="H1376" s="199">
        <v>1500003</v>
      </c>
      <c r="I1376" s="227">
        <v>4.7575264666666669E-3</v>
      </c>
      <c r="J1376" s="201">
        <v>7136.3039725794006</v>
      </c>
      <c r="K1376" s="201">
        <v>10069.583322459701</v>
      </c>
      <c r="L1376" s="215"/>
      <c r="M1376" s="194" t="s">
        <v>362</v>
      </c>
    </row>
    <row r="1377" spans="2:13">
      <c r="B1377" s="211"/>
      <c r="C1377" s="197" t="s">
        <v>2087</v>
      </c>
      <c r="D1377" s="198">
        <v>100014</v>
      </c>
      <c r="E1377" s="198" t="s">
        <v>2546</v>
      </c>
      <c r="F1377" s="199">
        <v>0</v>
      </c>
      <c r="G1377" s="199"/>
      <c r="H1377" s="199">
        <v>0</v>
      </c>
      <c r="I1377" s="227">
        <v>4.7575264666666669E-3</v>
      </c>
      <c r="J1377" s="201">
        <v>0</v>
      </c>
      <c r="K1377" s="201">
        <v>-33.158417041109757</v>
      </c>
      <c r="L1377" s="215"/>
      <c r="M1377" s="194" t="s">
        <v>619</v>
      </c>
    </row>
    <row r="1378" spans="2:13">
      <c r="B1378" s="211"/>
      <c r="C1378" s="197" t="s">
        <v>2089</v>
      </c>
      <c r="D1378" s="198">
        <v>100014</v>
      </c>
      <c r="E1378" s="198" t="s">
        <v>2532</v>
      </c>
      <c r="F1378" s="199">
        <v>100000</v>
      </c>
      <c r="G1378" s="199"/>
      <c r="H1378" s="199">
        <v>100000</v>
      </c>
      <c r="I1378" s="227">
        <v>4.7575264666666669E-3</v>
      </c>
      <c r="J1378" s="201">
        <v>475.75264666666669</v>
      </c>
      <c r="K1378" s="201">
        <v>29876.393964950003</v>
      </c>
      <c r="L1378" s="215"/>
      <c r="M1378" s="194" t="s">
        <v>616</v>
      </c>
    </row>
    <row r="1379" spans="2:13">
      <c r="B1379" s="211"/>
      <c r="C1379" s="197" t="s">
        <v>2547</v>
      </c>
      <c r="D1379" s="198">
        <v>100014</v>
      </c>
      <c r="E1379" s="198" t="s">
        <v>2548</v>
      </c>
      <c r="F1379" s="199">
        <v>2395000</v>
      </c>
      <c r="G1379" s="199"/>
      <c r="H1379" s="199">
        <v>2395000</v>
      </c>
      <c r="I1379" s="227">
        <v>4.7575264666666669E-3</v>
      </c>
      <c r="J1379" s="201">
        <v>11394.275887666667</v>
      </c>
      <c r="K1379" s="201">
        <v>6368.9987134583344</v>
      </c>
      <c r="L1379" s="215"/>
      <c r="M1379" s="194" t="s">
        <v>599</v>
      </c>
    </row>
    <row r="1380" spans="2:13">
      <c r="B1380" s="211"/>
      <c r="C1380" s="197" t="s">
        <v>2090</v>
      </c>
      <c r="D1380" s="198">
        <v>100014</v>
      </c>
      <c r="E1380" s="198" t="s">
        <v>2540</v>
      </c>
      <c r="F1380" s="199">
        <v>21064173</v>
      </c>
      <c r="G1380" s="199"/>
      <c r="H1380" s="199">
        <v>21064173</v>
      </c>
      <c r="I1380" s="227">
        <v>4.7575264666666669E-3</v>
      </c>
      <c r="J1380" s="201">
        <v>100213.3605459454</v>
      </c>
      <c r="K1380" s="201">
        <v>167158.73639035397</v>
      </c>
      <c r="L1380" s="215"/>
      <c r="M1380" s="194" t="s">
        <v>597</v>
      </c>
    </row>
    <row r="1381" spans="2:13">
      <c r="B1381" s="211"/>
      <c r="C1381" s="197" t="s">
        <v>2093</v>
      </c>
      <c r="D1381" s="198">
        <v>100014</v>
      </c>
      <c r="E1381" s="198" t="s">
        <v>2543</v>
      </c>
      <c r="F1381" s="199">
        <v>308163196.22999996</v>
      </c>
      <c r="G1381" s="199"/>
      <c r="H1381" s="199">
        <v>308163196.22999996</v>
      </c>
      <c r="I1381" s="227">
        <v>4.7575264666666669E-3</v>
      </c>
      <c r="J1381" s="201">
        <v>1466094.5621168185</v>
      </c>
      <c r="K1381" s="201">
        <v>4454293.3059489634</v>
      </c>
      <c r="L1381" s="215"/>
      <c r="M1381" s="194" t="s">
        <v>620</v>
      </c>
    </row>
    <row r="1382" spans="2:13">
      <c r="B1382" s="211"/>
      <c r="C1382" s="197" t="s">
        <v>2549</v>
      </c>
      <c r="D1382" s="198">
        <v>100014</v>
      </c>
      <c r="E1382" s="198" t="s">
        <v>2507</v>
      </c>
      <c r="F1382" s="199">
        <v>-11423263.5</v>
      </c>
      <c r="G1382" s="199"/>
      <c r="H1382" s="199">
        <v>-11423263.5</v>
      </c>
      <c r="I1382" s="227">
        <v>4.7575264666666669E-3</v>
      </c>
      <c r="J1382" s="201">
        <v>-54346.478436957303</v>
      </c>
      <c r="K1382" s="201">
        <v>-94359.312376752045</v>
      </c>
      <c r="L1382" s="215"/>
      <c r="M1382" s="194" t="s">
        <v>531</v>
      </c>
    </row>
    <row r="1383" spans="2:13">
      <c r="B1383" s="211"/>
      <c r="C1383" s="197" t="s">
        <v>2098</v>
      </c>
      <c r="D1383" s="198">
        <v>100014</v>
      </c>
      <c r="E1383" s="198" t="s">
        <v>2536</v>
      </c>
      <c r="F1383" s="199">
        <v>56496767.82</v>
      </c>
      <c r="G1383" s="199"/>
      <c r="H1383" s="199">
        <v>56496767.82</v>
      </c>
      <c r="I1383" s="227">
        <v>4.7575264666666669E-3</v>
      </c>
      <c r="J1383" s="201">
        <v>268784.86818477162</v>
      </c>
      <c r="K1383" s="201">
        <v>167779.59796493954</v>
      </c>
      <c r="L1383" s="215"/>
      <c r="M1383" s="194" t="s">
        <v>603</v>
      </c>
    </row>
    <row r="1384" spans="2:13">
      <c r="B1384" s="211"/>
      <c r="C1384" s="197" t="s">
        <v>2831</v>
      </c>
      <c r="D1384" s="198">
        <v>100014</v>
      </c>
      <c r="E1384" s="198" t="s">
        <v>2860</v>
      </c>
      <c r="F1384" s="199">
        <v>1933950</v>
      </c>
      <c r="G1384" s="199"/>
      <c r="H1384" s="199">
        <v>1933950</v>
      </c>
      <c r="I1384" s="227">
        <v>4.7575264666666669E-3</v>
      </c>
      <c r="J1384" s="201">
        <v>9200.8183102100011</v>
      </c>
      <c r="K1384" s="201"/>
      <c r="L1384" s="215"/>
      <c r="M1384" s="194" t="s">
        <v>602</v>
      </c>
    </row>
    <row r="1385" spans="2:13">
      <c r="B1385" s="211"/>
      <c r="C1385" s="197" t="s">
        <v>2832</v>
      </c>
      <c r="D1385" s="198">
        <v>100014</v>
      </c>
      <c r="E1385" s="198" t="s">
        <v>2534</v>
      </c>
      <c r="F1385" s="199">
        <v>300000</v>
      </c>
      <c r="G1385" s="199"/>
      <c r="H1385" s="199">
        <v>300000</v>
      </c>
      <c r="I1385" s="227">
        <v>4.7575264666666669E-3</v>
      </c>
      <c r="J1385" s="201">
        <v>1427.25794</v>
      </c>
      <c r="K1385" s="201">
        <v>12699.083599994678</v>
      </c>
      <c r="L1385" s="215"/>
      <c r="M1385" s="194" t="s">
        <v>614</v>
      </c>
    </row>
    <row r="1386" spans="2:13">
      <c r="B1386" s="211"/>
      <c r="C1386" s="197" t="s">
        <v>2550</v>
      </c>
      <c r="D1386" s="198">
        <v>100014</v>
      </c>
      <c r="E1386" s="198" t="s">
        <v>2534</v>
      </c>
      <c r="F1386" s="199">
        <v>0</v>
      </c>
      <c r="G1386" s="199"/>
      <c r="H1386" s="199">
        <v>0</v>
      </c>
      <c r="I1386" s="227">
        <v>4.7575264666666669E-3</v>
      </c>
      <c r="J1386" s="201">
        <v>0</v>
      </c>
      <c r="K1386" s="201"/>
      <c r="L1386" s="215"/>
      <c r="M1386" s="194" t="s">
        <v>614</v>
      </c>
    </row>
    <row r="1387" spans="2:13">
      <c r="B1387" s="211"/>
      <c r="C1387" s="197" t="s">
        <v>1697</v>
      </c>
      <c r="D1387" s="198">
        <v>100014</v>
      </c>
      <c r="E1387" s="198" t="s">
        <v>2551</v>
      </c>
      <c r="F1387" s="199"/>
      <c r="G1387" s="199"/>
      <c r="H1387" s="199">
        <v>0</v>
      </c>
      <c r="I1387" s="227"/>
      <c r="J1387" s="201">
        <v>2018953.7564873099</v>
      </c>
      <c r="K1387" s="201">
        <v>149112</v>
      </c>
      <c r="L1387" s="215"/>
      <c r="M1387" s="194" t="s">
        <v>378</v>
      </c>
    </row>
    <row r="1388" spans="2:13">
      <c r="B1388" s="211"/>
      <c r="C1388" s="197" t="s">
        <v>2552</v>
      </c>
      <c r="D1388" s="198">
        <v>100014</v>
      </c>
      <c r="E1388" s="198" t="s">
        <v>2553</v>
      </c>
      <c r="F1388" s="199"/>
      <c r="G1388" s="199"/>
      <c r="H1388" s="199">
        <v>0</v>
      </c>
      <c r="I1388" s="227"/>
      <c r="J1388" s="201">
        <v>-62773.71</v>
      </c>
      <c r="K1388" s="201">
        <v>1869841.7564873099</v>
      </c>
      <c r="L1388" s="215"/>
      <c r="M1388" s="194" t="s">
        <v>379</v>
      </c>
    </row>
    <row r="1389" spans="2:13">
      <c r="B1389" s="211"/>
      <c r="C1389" s="197"/>
      <c r="D1389" s="198">
        <v>100014</v>
      </c>
      <c r="E1389" s="198" t="s">
        <v>2554</v>
      </c>
      <c r="F1389" s="199"/>
      <c r="G1389" s="199"/>
      <c r="H1389" s="199">
        <v>0</v>
      </c>
      <c r="I1389" s="227"/>
      <c r="J1389" s="201">
        <v>0</v>
      </c>
      <c r="K1389" s="201"/>
      <c r="L1389" s="215"/>
      <c r="M1389" s="194"/>
    </row>
    <row r="1390" spans="2:13">
      <c r="B1390" s="211"/>
      <c r="C1390" s="197"/>
      <c r="D1390" s="198">
        <v>100014</v>
      </c>
      <c r="E1390" s="198" t="s">
        <v>2554</v>
      </c>
      <c r="F1390" s="199"/>
      <c r="G1390" s="199"/>
      <c r="H1390" s="199">
        <v>0</v>
      </c>
      <c r="I1390" s="227"/>
      <c r="J1390" s="201">
        <v>0</v>
      </c>
      <c r="K1390" s="201"/>
      <c r="L1390" s="215"/>
      <c r="M1390" s="194"/>
    </row>
    <row r="1391" spans="2:13">
      <c r="B1391" s="211"/>
      <c r="C1391" s="197"/>
      <c r="D1391" s="198">
        <v>100014</v>
      </c>
      <c r="E1391" s="198" t="s">
        <v>2554</v>
      </c>
      <c r="F1391" s="199"/>
      <c r="G1391" s="199"/>
      <c r="H1391" s="199">
        <v>0</v>
      </c>
      <c r="I1391" s="227"/>
      <c r="J1391" s="201">
        <v>0</v>
      </c>
      <c r="K1391" s="201"/>
      <c r="L1391" s="215"/>
      <c r="M1391" s="194"/>
    </row>
    <row r="1392" spans="2:13">
      <c r="B1392" s="211"/>
      <c r="C1392" s="197"/>
      <c r="D1392" s="198">
        <v>100014</v>
      </c>
      <c r="E1392" s="198" t="s">
        <v>2554</v>
      </c>
      <c r="F1392" s="199"/>
      <c r="G1392" s="199"/>
      <c r="H1392" s="199">
        <v>0</v>
      </c>
      <c r="I1392" s="227"/>
      <c r="J1392" s="201">
        <v>0</v>
      </c>
      <c r="K1392" s="201"/>
      <c r="L1392" s="215"/>
      <c r="M1392" s="194"/>
    </row>
    <row r="1393" spans="1:13">
      <c r="B1393" s="211"/>
      <c r="C1393" s="197"/>
      <c r="D1393" s="198">
        <v>100014</v>
      </c>
      <c r="E1393" s="198" t="s">
        <v>2554</v>
      </c>
      <c r="F1393" s="199"/>
      <c r="G1393" s="199"/>
      <c r="H1393" s="199">
        <v>0</v>
      </c>
      <c r="I1393" s="227"/>
      <c r="J1393" s="201">
        <v>0</v>
      </c>
      <c r="K1393" s="201"/>
      <c r="L1393" s="215"/>
      <c r="M1393" s="194"/>
    </row>
    <row r="1394" spans="1:13">
      <c r="B1394" s="211"/>
      <c r="C1394" s="197"/>
      <c r="D1394" s="198">
        <v>100014</v>
      </c>
      <c r="E1394" s="198" t="s">
        <v>2554</v>
      </c>
      <c r="F1394" s="199"/>
      <c r="G1394" s="199"/>
      <c r="H1394" s="199">
        <v>0</v>
      </c>
      <c r="I1394" s="227"/>
      <c r="J1394" s="201">
        <v>0</v>
      </c>
      <c r="K1394" s="201"/>
      <c r="L1394" s="215"/>
      <c r="M1394" s="194"/>
    </row>
    <row r="1395" spans="1:13">
      <c r="B1395" s="211"/>
      <c r="C1395" s="197"/>
      <c r="D1395" s="198">
        <v>100014</v>
      </c>
      <c r="E1395" s="198" t="s">
        <v>2554</v>
      </c>
      <c r="F1395" s="199"/>
      <c r="G1395" s="199"/>
      <c r="H1395" s="199">
        <v>0</v>
      </c>
      <c r="I1395" s="227"/>
      <c r="J1395" s="201">
        <v>0</v>
      </c>
      <c r="K1395" s="201"/>
      <c r="L1395" s="215"/>
      <c r="M1395" s="194"/>
    </row>
    <row r="1396" spans="1:13">
      <c r="B1396" s="211"/>
      <c r="C1396" s="197"/>
      <c r="D1396" s="198">
        <v>100014</v>
      </c>
      <c r="E1396" s="198" t="s">
        <v>2554</v>
      </c>
      <c r="F1396" s="199"/>
      <c r="G1396" s="199"/>
      <c r="H1396" s="199">
        <v>0</v>
      </c>
      <c r="I1396" s="227"/>
      <c r="J1396" s="201">
        <v>0</v>
      </c>
      <c r="K1396" s="201"/>
      <c r="L1396" s="215"/>
      <c r="M1396" s="194"/>
    </row>
    <row r="1397" spans="1:13">
      <c r="B1397" s="211"/>
      <c r="C1397" s="197"/>
      <c r="D1397" s="198"/>
      <c r="E1397" s="198"/>
      <c r="F1397" s="199"/>
      <c r="G1397" s="199"/>
      <c r="H1397" s="199"/>
      <c r="I1397" s="227"/>
      <c r="J1397" s="201">
        <v>0</v>
      </c>
      <c r="K1397" s="201"/>
      <c r="L1397" s="215"/>
      <c r="M1397" s="194"/>
    </row>
    <row r="1398" spans="1:13">
      <c r="B1398" s="211"/>
      <c r="C1398" s="262"/>
      <c r="D1398" s="262"/>
      <c r="E1398" s="262"/>
      <c r="F1398" s="265">
        <v>-1.7080232501029968E-3</v>
      </c>
      <c r="G1398" s="265"/>
      <c r="H1398" s="265">
        <v>-1.7080232501029968E-3</v>
      </c>
      <c r="I1398" s="343"/>
      <c r="J1398" s="263">
        <v>-9.4776022160658613E-4</v>
      </c>
      <c r="K1398" s="263">
        <v>4.8894435167312622E-9</v>
      </c>
      <c r="L1398" s="246"/>
      <c r="M1398" s="194"/>
    </row>
    <row r="1399" spans="1:13">
      <c r="B1399" s="211"/>
      <c r="C1399" s="208"/>
      <c r="D1399" s="208"/>
      <c r="E1399" s="208"/>
      <c r="F1399" s="244"/>
      <c r="G1399" s="244"/>
      <c r="H1399" s="244"/>
      <c r="I1399" s="244"/>
      <c r="J1399" s="245"/>
      <c r="K1399" s="245"/>
      <c r="L1399" s="215"/>
      <c r="M1399" s="194"/>
    </row>
    <row r="1400" spans="1:13" ht="13.5" thickBot="1">
      <c r="B1400" s="266"/>
      <c r="C1400" s="267"/>
      <c r="D1400" s="267"/>
      <c r="E1400" s="267"/>
      <c r="F1400" s="268"/>
      <c r="G1400" s="268"/>
      <c r="H1400" s="268"/>
      <c r="I1400" s="268"/>
      <c r="J1400" s="269"/>
      <c r="K1400" s="269"/>
      <c r="L1400" s="280"/>
      <c r="M1400" s="194"/>
    </row>
    <row r="1401" spans="1:13" s="284" customFormat="1" ht="13.5" thickTop="1">
      <c r="A1401" s="283"/>
      <c r="F1401" s="285"/>
      <c r="G1401" s="285"/>
      <c r="H1401" s="285"/>
      <c r="I1401" s="285"/>
      <c r="J1401" s="286"/>
      <c r="K1401" s="286"/>
      <c r="M1401" s="212"/>
    </row>
    <row r="1402" spans="1:13" ht="13.5" hidden="1" thickTop="1">
      <c r="B1402" s="238"/>
      <c r="C1402" s="239"/>
      <c r="D1402" s="239"/>
      <c r="E1402" s="239"/>
      <c r="F1402" s="240"/>
      <c r="G1402" s="240"/>
      <c r="H1402" s="240"/>
      <c r="I1402" s="240"/>
      <c r="J1402" s="241"/>
      <c r="K1402" s="241"/>
      <c r="L1402" s="271"/>
      <c r="M1402" s="194"/>
    </row>
    <row r="1403" spans="1:13" hidden="1">
      <c r="B1403" s="211"/>
      <c r="C1403" s="208" t="s">
        <v>632</v>
      </c>
      <c r="D1403" s="208"/>
      <c r="E1403" s="208"/>
      <c r="F1403" s="244"/>
      <c r="G1403" s="244"/>
      <c r="H1403" s="244"/>
      <c r="J1403" s="335"/>
      <c r="K1403" s="344">
        <v>100015</v>
      </c>
      <c r="L1403" s="215"/>
      <c r="M1403" s="194"/>
    </row>
    <row r="1404" spans="1:13" hidden="1">
      <c r="B1404" s="211"/>
      <c r="C1404" s="208" t="s">
        <v>2</v>
      </c>
      <c r="D1404" s="208"/>
      <c r="E1404" s="208"/>
      <c r="F1404" s="244"/>
      <c r="G1404" s="244"/>
      <c r="H1404" s="244"/>
      <c r="J1404" s="335"/>
      <c r="K1404" s="344" t="s">
        <v>774</v>
      </c>
      <c r="L1404" s="215"/>
      <c r="M1404" s="194"/>
    </row>
    <row r="1405" spans="1:13" hidden="1">
      <c r="B1405" s="211"/>
      <c r="C1405" s="208" t="s">
        <v>634</v>
      </c>
      <c r="D1405" s="208"/>
      <c r="E1405" s="208"/>
      <c r="F1405" s="244"/>
      <c r="G1405" s="244"/>
      <c r="H1405" s="244"/>
      <c r="J1405" s="335"/>
      <c r="K1405" s="344" t="s">
        <v>1000</v>
      </c>
      <c r="L1405" s="215"/>
      <c r="M1405" s="194"/>
    </row>
    <row r="1406" spans="1:13" hidden="1">
      <c r="B1406" s="211"/>
      <c r="C1406" s="208"/>
      <c r="D1406" s="208"/>
      <c r="E1406" s="208"/>
      <c r="F1406" s="254">
        <v>0</v>
      </c>
      <c r="G1406" s="244"/>
      <c r="H1406" s="244"/>
      <c r="J1406" s="345" t="s">
        <v>2833</v>
      </c>
      <c r="K1406" s="345" t="s">
        <v>1021</v>
      </c>
      <c r="L1406" s="215"/>
      <c r="M1406" s="194"/>
    </row>
    <row r="1407" spans="1:13" ht="25.5" hidden="1">
      <c r="B1407" s="211"/>
      <c r="C1407" s="256" t="s">
        <v>3</v>
      </c>
      <c r="D1407" s="256" t="s">
        <v>1</v>
      </c>
      <c r="E1407" s="256" t="s">
        <v>635</v>
      </c>
      <c r="F1407" s="257" t="s">
        <v>2468</v>
      </c>
      <c r="G1407" s="257" t="s">
        <v>636</v>
      </c>
      <c r="H1407" s="257" t="s">
        <v>2468</v>
      </c>
      <c r="I1407" s="257" t="s">
        <v>637</v>
      </c>
      <c r="J1407" s="346" t="s">
        <v>1022</v>
      </c>
      <c r="K1407" s="346" t="s">
        <v>1022</v>
      </c>
      <c r="L1407" s="203"/>
      <c r="M1407" s="194"/>
    </row>
    <row r="1408" spans="1:13" hidden="1">
      <c r="B1408" s="211"/>
      <c r="C1408" s="197"/>
      <c r="D1408" s="198">
        <v>100015</v>
      </c>
      <c r="E1408" s="198" t="s">
        <v>2555</v>
      </c>
      <c r="F1408" s="199"/>
      <c r="G1408" s="199"/>
      <c r="H1408" s="199">
        <v>0</v>
      </c>
      <c r="I1408" s="199"/>
      <c r="J1408" s="201">
        <v>0</v>
      </c>
      <c r="K1408" s="201"/>
      <c r="L1408" s="215"/>
      <c r="M1408" s="194"/>
    </row>
    <row r="1409" spans="2:13" hidden="1">
      <c r="B1409" s="211"/>
      <c r="C1409" s="197"/>
      <c r="D1409" s="198">
        <v>100015</v>
      </c>
      <c r="E1409" s="198" t="s">
        <v>2555</v>
      </c>
      <c r="F1409" s="199"/>
      <c r="G1409" s="199"/>
      <c r="H1409" s="199">
        <v>0</v>
      </c>
      <c r="I1409" s="199"/>
      <c r="J1409" s="201">
        <v>0</v>
      </c>
      <c r="K1409" s="201"/>
      <c r="L1409" s="215"/>
      <c r="M1409" s="194"/>
    </row>
    <row r="1410" spans="2:13" hidden="1">
      <c r="B1410" s="211"/>
      <c r="C1410" s="197"/>
      <c r="D1410" s="198">
        <v>100015</v>
      </c>
      <c r="E1410" s="198" t="s">
        <v>2555</v>
      </c>
      <c r="F1410" s="199"/>
      <c r="G1410" s="199"/>
      <c r="H1410" s="199">
        <v>0</v>
      </c>
      <c r="I1410" s="199"/>
      <c r="J1410" s="201">
        <v>0</v>
      </c>
      <c r="K1410" s="201"/>
      <c r="L1410" s="215"/>
      <c r="M1410" s="194"/>
    </row>
    <row r="1411" spans="2:13" hidden="1">
      <c r="B1411" s="211"/>
      <c r="C1411" s="197"/>
      <c r="D1411" s="198">
        <v>100015</v>
      </c>
      <c r="E1411" s="198" t="s">
        <v>2555</v>
      </c>
      <c r="F1411" s="199"/>
      <c r="G1411" s="199"/>
      <c r="H1411" s="199">
        <v>0</v>
      </c>
      <c r="I1411" s="199"/>
      <c r="J1411" s="201">
        <v>0</v>
      </c>
      <c r="K1411" s="201"/>
      <c r="L1411" s="215"/>
      <c r="M1411" s="194"/>
    </row>
    <row r="1412" spans="2:13" hidden="1">
      <c r="B1412" s="211"/>
      <c r="C1412" s="197"/>
      <c r="D1412" s="198">
        <v>100015</v>
      </c>
      <c r="E1412" s="198" t="s">
        <v>2555</v>
      </c>
      <c r="F1412" s="199"/>
      <c r="G1412" s="199"/>
      <c r="H1412" s="199">
        <v>0</v>
      </c>
      <c r="I1412" s="199"/>
      <c r="J1412" s="201">
        <v>0</v>
      </c>
      <c r="K1412" s="201"/>
      <c r="L1412" s="215"/>
      <c r="M1412" s="194"/>
    </row>
    <row r="1413" spans="2:13" hidden="1">
      <c r="B1413" s="211"/>
      <c r="C1413" s="197"/>
      <c r="D1413" s="198">
        <v>100015</v>
      </c>
      <c r="E1413" s="198" t="s">
        <v>2555</v>
      </c>
      <c r="F1413" s="199"/>
      <c r="G1413" s="199"/>
      <c r="H1413" s="199">
        <v>0</v>
      </c>
      <c r="I1413" s="199"/>
      <c r="J1413" s="201">
        <v>0</v>
      </c>
      <c r="K1413" s="201"/>
      <c r="L1413" s="215"/>
      <c r="M1413" s="194"/>
    </row>
    <row r="1414" spans="2:13" hidden="1">
      <c r="B1414" s="211"/>
      <c r="C1414" s="197"/>
      <c r="D1414" s="198">
        <v>100015</v>
      </c>
      <c r="E1414" s="198" t="s">
        <v>2555</v>
      </c>
      <c r="F1414" s="199"/>
      <c r="G1414" s="199"/>
      <c r="H1414" s="199">
        <v>0</v>
      </c>
      <c r="I1414" s="199"/>
      <c r="J1414" s="201">
        <v>0</v>
      </c>
      <c r="K1414" s="201"/>
      <c r="L1414" s="215"/>
      <c r="M1414" s="194"/>
    </row>
    <row r="1415" spans="2:13" hidden="1">
      <c r="B1415" s="211"/>
      <c r="C1415" s="197"/>
      <c r="D1415" s="198">
        <v>100015</v>
      </c>
      <c r="E1415" s="198" t="s">
        <v>2555</v>
      </c>
      <c r="F1415" s="199"/>
      <c r="G1415" s="199"/>
      <c r="H1415" s="199">
        <v>0</v>
      </c>
      <c r="I1415" s="199"/>
      <c r="J1415" s="201">
        <v>0</v>
      </c>
      <c r="K1415" s="201"/>
      <c r="L1415" s="215"/>
      <c r="M1415" s="194"/>
    </row>
    <row r="1416" spans="2:13" hidden="1">
      <c r="B1416" s="211"/>
      <c r="C1416" s="197"/>
      <c r="D1416" s="198">
        <v>100015</v>
      </c>
      <c r="E1416" s="198" t="s">
        <v>2555</v>
      </c>
      <c r="F1416" s="199"/>
      <c r="G1416" s="199"/>
      <c r="H1416" s="199">
        <v>0</v>
      </c>
      <c r="I1416" s="199"/>
      <c r="J1416" s="201">
        <v>0</v>
      </c>
      <c r="K1416" s="201"/>
      <c r="L1416" s="215"/>
      <c r="M1416" s="194"/>
    </row>
    <row r="1417" spans="2:13" hidden="1">
      <c r="B1417" s="211"/>
      <c r="C1417" s="197"/>
      <c r="D1417" s="198">
        <v>100015</v>
      </c>
      <c r="E1417" s="198" t="s">
        <v>2555</v>
      </c>
      <c r="F1417" s="199"/>
      <c r="G1417" s="199"/>
      <c r="H1417" s="199">
        <v>0</v>
      </c>
      <c r="I1417" s="199"/>
      <c r="J1417" s="201">
        <v>0</v>
      </c>
      <c r="K1417" s="201"/>
      <c r="L1417" s="215"/>
      <c r="M1417" s="194"/>
    </row>
    <row r="1418" spans="2:13" hidden="1">
      <c r="B1418" s="211"/>
      <c r="C1418" s="197"/>
      <c r="D1418" s="198">
        <v>100015</v>
      </c>
      <c r="E1418" s="198" t="s">
        <v>2555</v>
      </c>
      <c r="F1418" s="199"/>
      <c r="G1418" s="199"/>
      <c r="H1418" s="199">
        <v>0</v>
      </c>
      <c r="I1418" s="199"/>
      <c r="J1418" s="201">
        <v>0</v>
      </c>
      <c r="K1418" s="201"/>
      <c r="L1418" s="215"/>
      <c r="M1418" s="194"/>
    </row>
    <row r="1419" spans="2:13" hidden="1">
      <c r="B1419" s="211"/>
      <c r="C1419" s="197"/>
      <c r="D1419" s="198">
        <v>100015</v>
      </c>
      <c r="E1419" s="198" t="s">
        <v>2555</v>
      </c>
      <c r="F1419" s="199"/>
      <c r="G1419" s="199"/>
      <c r="H1419" s="199">
        <v>0</v>
      </c>
      <c r="I1419" s="199"/>
      <c r="J1419" s="201">
        <v>0</v>
      </c>
      <c r="K1419" s="201"/>
      <c r="L1419" s="215"/>
      <c r="M1419" s="194"/>
    </row>
    <row r="1420" spans="2:13" hidden="1">
      <c r="B1420" s="211"/>
      <c r="C1420" s="197"/>
      <c r="D1420" s="198">
        <v>100015</v>
      </c>
      <c r="E1420" s="198" t="s">
        <v>2555</v>
      </c>
      <c r="F1420" s="199"/>
      <c r="G1420" s="199"/>
      <c r="H1420" s="199">
        <v>0</v>
      </c>
      <c r="I1420" s="199"/>
      <c r="J1420" s="201">
        <v>0</v>
      </c>
      <c r="K1420" s="201"/>
      <c r="L1420" s="215"/>
      <c r="M1420" s="194"/>
    </row>
    <row r="1421" spans="2:13" hidden="1">
      <c r="B1421" s="211"/>
      <c r="C1421" s="197"/>
      <c r="D1421" s="198">
        <v>100015</v>
      </c>
      <c r="E1421" s="198" t="s">
        <v>2555</v>
      </c>
      <c r="F1421" s="199"/>
      <c r="G1421" s="199"/>
      <c r="H1421" s="199">
        <v>0</v>
      </c>
      <c r="I1421" s="199"/>
      <c r="J1421" s="201">
        <v>0</v>
      </c>
      <c r="K1421" s="201"/>
      <c r="L1421" s="215"/>
      <c r="M1421" s="194"/>
    </row>
    <row r="1422" spans="2:13" hidden="1">
      <c r="B1422" s="211"/>
      <c r="C1422" s="262"/>
      <c r="D1422" s="262"/>
      <c r="E1422" s="262"/>
      <c r="F1422" s="265">
        <v>0</v>
      </c>
      <c r="G1422" s="265"/>
      <c r="H1422" s="265">
        <v>0</v>
      </c>
      <c r="I1422" s="265"/>
      <c r="J1422" s="263">
        <v>0</v>
      </c>
      <c r="K1422" s="263">
        <v>0</v>
      </c>
      <c r="L1422" s="246"/>
      <c r="M1422" s="194"/>
    </row>
    <row r="1423" spans="2:13" hidden="1">
      <c r="B1423" s="211"/>
      <c r="C1423" s="208"/>
      <c r="D1423" s="208"/>
      <c r="E1423" s="208"/>
      <c r="F1423" s="244"/>
      <c r="G1423" s="244"/>
      <c r="H1423" s="244"/>
      <c r="I1423" s="244"/>
      <c r="J1423" s="245"/>
      <c r="K1423" s="245"/>
      <c r="L1423" s="215"/>
      <c r="M1423" s="194"/>
    </row>
    <row r="1424" spans="2:13" ht="13.5" hidden="1" thickBot="1">
      <c r="B1424" s="266"/>
      <c r="C1424" s="267"/>
      <c r="D1424" s="267"/>
      <c r="E1424" s="267"/>
      <c r="F1424" s="268"/>
      <c r="G1424" s="268"/>
      <c r="H1424" s="268"/>
      <c r="I1424" s="268"/>
      <c r="J1424" s="269"/>
      <c r="K1424" s="269"/>
      <c r="L1424" s="280"/>
      <c r="M1424" s="194"/>
    </row>
    <row r="1425" spans="1:13" ht="13.5" thickBot="1"/>
    <row r="1426" spans="1:13" ht="13.5" thickTop="1">
      <c r="B1426" s="238"/>
      <c r="C1426" s="239"/>
      <c r="D1426" s="239"/>
      <c r="E1426" s="239"/>
      <c r="F1426" s="240"/>
      <c r="G1426" s="240"/>
      <c r="H1426" s="240"/>
      <c r="I1426" s="240"/>
      <c r="J1426" s="241"/>
      <c r="K1426" s="241"/>
      <c r="L1426" s="271"/>
      <c r="M1426" s="194"/>
    </row>
    <row r="1427" spans="1:13">
      <c r="B1427" s="211"/>
      <c r="C1427" s="208" t="s">
        <v>632</v>
      </c>
      <c r="D1427" s="208"/>
      <c r="E1427" s="208"/>
      <c r="F1427" s="347">
        <v>100016</v>
      </c>
      <c r="G1427" s="347"/>
      <c r="H1427" s="347"/>
      <c r="I1427" s="244"/>
      <c r="K1427" s="344">
        <v>100016</v>
      </c>
      <c r="L1427" s="215"/>
      <c r="M1427" s="194"/>
    </row>
    <row r="1428" spans="1:13" s="210" customFormat="1">
      <c r="A1428" s="196"/>
      <c r="B1428" s="247"/>
      <c r="C1428" s="248" t="s">
        <v>2</v>
      </c>
      <c r="D1428" s="248"/>
      <c r="E1428" s="248"/>
      <c r="F1428" s="193" t="s">
        <v>775</v>
      </c>
      <c r="G1428" s="193"/>
      <c r="H1428" s="193"/>
      <c r="I1428" s="249"/>
      <c r="J1428" s="348"/>
      <c r="K1428" s="251" t="s">
        <v>775</v>
      </c>
      <c r="L1428" s="281"/>
    </row>
    <row r="1429" spans="1:13">
      <c r="A1429" s="349">
        <v>100016</v>
      </c>
      <c r="B1429" s="211"/>
      <c r="C1429" s="208" t="s">
        <v>634</v>
      </c>
      <c r="D1429" s="208"/>
      <c r="E1429" s="208"/>
      <c r="F1429" s="190" t="s">
        <v>1000</v>
      </c>
      <c r="G1429" s="190"/>
      <c r="H1429" s="190"/>
      <c r="I1429" s="244"/>
      <c r="K1429" s="344" t="s">
        <v>1000</v>
      </c>
      <c r="L1429" s="215"/>
      <c r="M1429" s="194"/>
    </row>
    <row r="1430" spans="1:13">
      <c r="B1430" s="211"/>
      <c r="C1430" s="208"/>
      <c r="D1430" s="208"/>
      <c r="E1430" s="208"/>
      <c r="F1430" s="254">
        <v>0</v>
      </c>
      <c r="G1430" s="244"/>
      <c r="H1430" s="244"/>
      <c r="I1430" s="244"/>
      <c r="J1430" s="350" t="s">
        <v>2833</v>
      </c>
      <c r="K1430" s="350" t="s">
        <v>1021</v>
      </c>
      <c r="L1430" s="215"/>
      <c r="M1430" s="194"/>
    </row>
    <row r="1431" spans="1:13" ht="25.5">
      <c r="B1431" s="211"/>
      <c r="C1431" s="256" t="s">
        <v>3</v>
      </c>
      <c r="D1431" s="256" t="s">
        <v>1</v>
      </c>
      <c r="E1431" s="256" t="s">
        <v>635</v>
      </c>
      <c r="F1431" s="257" t="s">
        <v>2468</v>
      </c>
      <c r="G1431" s="257" t="s">
        <v>636</v>
      </c>
      <c r="H1431" s="257" t="s">
        <v>2468</v>
      </c>
      <c r="I1431" s="351" t="s">
        <v>2556</v>
      </c>
      <c r="J1431" s="346" t="s">
        <v>1022</v>
      </c>
      <c r="K1431" s="346" t="s">
        <v>1022</v>
      </c>
      <c r="L1431" s="203"/>
      <c r="M1431" s="194"/>
    </row>
    <row r="1432" spans="1:13">
      <c r="B1432" s="211"/>
      <c r="C1432" s="197" t="s">
        <v>705</v>
      </c>
      <c r="D1432" s="197">
        <v>100016</v>
      </c>
      <c r="E1432" s="198" t="s">
        <v>2557</v>
      </c>
      <c r="F1432" s="199">
        <v>-6500000</v>
      </c>
      <c r="G1432" s="199"/>
      <c r="H1432" s="199">
        <v>-6500000</v>
      </c>
      <c r="I1432" s="228">
        <v>0.26</v>
      </c>
      <c r="J1432" s="201">
        <v>-1690000</v>
      </c>
      <c r="K1432" s="229">
        <v>-1690000</v>
      </c>
      <c r="L1432" s="203"/>
      <c r="M1432" s="194" t="s">
        <v>365</v>
      </c>
    </row>
    <row r="1433" spans="1:13">
      <c r="B1433" s="211"/>
      <c r="C1433" s="197" t="s">
        <v>674</v>
      </c>
      <c r="D1433" s="197">
        <v>100016</v>
      </c>
      <c r="E1433" s="198" t="s">
        <v>2558</v>
      </c>
      <c r="F1433" s="199">
        <v>-21757933</v>
      </c>
      <c r="G1433" s="199"/>
      <c r="H1433" s="199">
        <v>-21757933</v>
      </c>
      <c r="I1433" s="228">
        <v>0.26</v>
      </c>
      <c r="J1433" s="201">
        <v>-5657062.5800000001</v>
      </c>
      <c r="K1433" s="229">
        <v>-5657064</v>
      </c>
      <c r="L1433" s="203"/>
      <c r="M1433" s="194" t="s">
        <v>376</v>
      </c>
    </row>
    <row r="1434" spans="1:13">
      <c r="B1434" s="211"/>
      <c r="C1434" s="197" t="s">
        <v>723</v>
      </c>
      <c r="D1434" s="197">
        <v>100016</v>
      </c>
      <c r="E1434" s="198" t="s">
        <v>2559</v>
      </c>
      <c r="F1434" s="199">
        <v>0</v>
      </c>
      <c r="G1434" s="199"/>
      <c r="H1434" s="199">
        <v>0</v>
      </c>
      <c r="I1434" s="228">
        <v>0.26</v>
      </c>
      <c r="J1434" s="201">
        <v>0</v>
      </c>
      <c r="K1434" s="229">
        <v>9295000</v>
      </c>
      <c r="L1434" s="203"/>
      <c r="M1434" s="194" t="s">
        <v>382</v>
      </c>
    </row>
    <row r="1435" spans="1:13">
      <c r="B1435" s="211"/>
      <c r="C1435" s="197" t="s">
        <v>68</v>
      </c>
      <c r="D1435" s="197">
        <v>100016</v>
      </c>
      <c r="E1435" s="198" t="s">
        <v>2560</v>
      </c>
      <c r="F1435" s="199">
        <v>251063</v>
      </c>
      <c r="G1435" s="199"/>
      <c r="H1435" s="199">
        <v>251063</v>
      </c>
      <c r="I1435" s="228">
        <v>0.26</v>
      </c>
      <c r="J1435" s="201">
        <v>65276.380000000005</v>
      </c>
      <c r="K1435" s="229">
        <v>1858453</v>
      </c>
      <c r="L1435" s="203"/>
      <c r="M1435" s="194" t="s">
        <v>383</v>
      </c>
    </row>
    <row r="1436" spans="1:13">
      <c r="B1436" s="211"/>
      <c r="C1436" s="197" t="s">
        <v>726</v>
      </c>
      <c r="D1436" s="197">
        <v>100016</v>
      </c>
      <c r="E1436" s="198" t="s">
        <v>2561</v>
      </c>
      <c r="F1436" s="199">
        <v>0</v>
      </c>
      <c r="G1436" s="199"/>
      <c r="H1436" s="199">
        <v>0</v>
      </c>
      <c r="I1436" s="228">
        <v>0.26</v>
      </c>
      <c r="J1436" s="201">
        <v>0</v>
      </c>
      <c r="K1436" s="229" t="s">
        <v>2562</v>
      </c>
      <c r="L1436" s="203"/>
      <c r="M1436" s="194" t="s">
        <v>377</v>
      </c>
    </row>
    <row r="1437" spans="1:13">
      <c r="B1437" s="211"/>
      <c r="C1437" s="197" t="s">
        <v>667</v>
      </c>
      <c r="D1437" s="197">
        <v>100016</v>
      </c>
      <c r="E1437" s="198" t="s">
        <v>2563</v>
      </c>
      <c r="F1437" s="199">
        <v>-275000</v>
      </c>
      <c r="G1437" s="199"/>
      <c r="H1437" s="199">
        <v>-275000</v>
      </c>
      <c r="I1437" s="228">
        <v>0.26</v>
      </c>
      <c r="J1437" s="201">
        <v>-71500</v>
      </c>
      <c r="K1437" s="229" t="s">
        <v>2562</v>
      </c>
      <c r="L1437" s="203"/>
      <c r="M1437" s="194" t="s">
        <v>394</v>
      </c>
    </row>
    <row r="1438" spans="1:13">
      <c r="B1438" s="211"/>
      <c r="C1438" s="197"/>
      <c r="D1438" s="197">
        <v>100016</v>
      </c>
      <c r="E1438" s="198" t="s">
        <v>2564</v>
      </c>
      <c r="F1438" s="199"/>
      <c r="G1438" s="199"/>
      <c r="H1438" s="199">
        <v>0</v>
      </c>
      <c r="I1438" s="228">
        <v>0.26</v>
      </c>
      <c r="J1438" s="201">
        <v>0</v>
      </c>
      <c r="K1438" s="229" t="s">
        <v>2562</v>
      </c>
      <c r="L1438" s="203"/>
      <c r="M1438" s="194" t="s">
        <v>401</v>
      </c>
    </row>
    <row r="1439" spans="1:13">
      <c r="B1439" s="211"/>
      <c r="C1439" s="197" t="s">
        <v>714</v>
      </c>
      <c r="D1439" s="197">
        <v>100016</v>
      </c>
      <c r="E1439" s="198" t="s">
        <v>2565</v>
      </c>
      <c r="F1439" s="199">
        <v>-45525347.259999998</v>
      </c>
      <c r="G1439" s="199"/>
      <c r="H1439" s="199">
        <v>-45525347.259999998</v>
      </c>
      <c r="I1439" s="228">
        <v>0.26</v>
      </c>
      <c r="J1439" s="201">
        <v>-11836590.287599999</v>
      </c>
      <c r="K1439" s="229">
        <v>-10336846</v>
      </c>
      <c r="L1439" s="203"/>
      <c r="M1439" s="194" t="s">
        <v>410</v>
      </c>
    </row>
    <row r="1440" spans="1:13">
      <c r="B1440" s="211"/>
      <c r="C1440" s="197" t="s">
        <v>665</v>
      </c>
      <c r="D1440" s="197">
        <v>100016</v>
      </c>
      <c r="E1440" s="198" t="s">
        <v>2566</v>
      </c>
      <c r="F1440" s="199">
        <v>-2706512.39</v>
      </c>
      <c r="G1440" s="199"/>
      <c r="H1440" s="199">
        <v>-2706512.39</v>
      </c>
      <c r="I1440" s="228">
        <v>0.26</v>
      </c>
      <c r="J1440" s="201">
        <v>-703693.22140000004</v>
      </c>
      <c r="K1440" s="229">
        <v>-71010</v>
      </c>
      <c r="L1440" s="203"/>
      <c r="M1440" s="194" t="s">
        <v>419</v>
      </c>
    </row>
    <row r="1441" spans="2:13">
      <c r="B1441" s="211"/>
      <c r="C1441" s="197" t="s">
        <v>648</v>
      </c>
      <c r="D1441" s="197">
        <v>100016</v>
      </c>
      <c r="E1441" s="198" t="s">
        <v>2567</v>
      </c>
      <c r="F1441" s="199">
        <v>-138980</v>
      </c>
      <c r="G1441" s="199"/>
      <c r="H1441" s="199">
        <v>-138980</v>
      </c>
      <c r="I1441" s="228">
        <v>0.26</v>
      </c>
      <c r="J1441" s="201">
        <v>-36134.800000000003</v>
      </c>
      <c r="K1441" s="229">
        <v>-22082</v>
      </c>
      <c r="L1441" s="203"/>
      <c r="M1441" s="194" t="s">
        <v>421</v>
      </c>
    </row>
    <row r="1442" spans="2:13">
      <c r="B1442" s="211"/>
      <c r="C1442" s="197" t="s">
        <v>707</v>
      </c>
      <c r="D1442" s="197">
        <v>100016</v>
      </c>
      <c r="E1442" s="198" t="s">
        <v>2568</v>
      </c>
      <c r="F1442" s="199">
        <v>-708639.29</v>
      </c>
      <c r="G1442" s="199"/>
      <c r="H1442" s="199">
        <v>-708639.29</v>
      </c>
      <c r="I1442" s="228">
        <v>0.26</v>
      </c>
      <c r="J1442" s="201">
        <v>-184246.21540000002</v>
      </c>
      <c r="K1442" s="229">
        <v>-151230</v>
      </c>
      <c r="L1442" s="203"/>
      <c r="M1442" s="194" t="s">
        <v>424</v>
      </c>
    </row>
    <row r="1443" spans="2:13">
      <c r="B1443" s="211"/>
      <c r="C1443" s="197" t="s">
        <v>697</v>
      </c>
      <c r="D1443" s="197">
        <v>100016</v>
      </c>
      <c r="E1443" s="198" t="s">
        <v>2569</v>
      </c>
      <c r="F1443" s="199">
        <v>-4677419.7300000004</v>
      </c>
      <c r="G1443" s="199"/>
      <c r="H1443" s="199">
        <v>-4677419.7300000004</v>
      </c>
      <c r="I1443" s="228">
        <v>0.26</v>
      </c>
      <c r="J1443" s="201">
        <v>-1216129.1298000002</v>
      </c>
      <c r="K1443" s="229">
        <v>-1437124</v>
      </c>
      <c r="L1443" s="203"/>
      <c r="M1443" s="194" t="s">
        <v>425</v>
      </c>
    </row>
    <row r="1444" spans="2:13">
      <c r="B1444" s="211"/>
      <c r="C1444" s="197" t="s">
        <v>699</v>
      </c>
      <c r="D1444" s="197">
        <v>100016</v>
      </c>
      <c r="E1444" s="198" t="s">
        <v>2570</v>
      </c>
      <c r="F1444" s="199">
        <v>0</v>
      </c>
      <c r="G1444" s="199"/>
      <c r="H1444" s="199">
        <v>0</v>
      </c>
      <c r="I1444" s="228">
        <v>0.26</v>
      </c>
      <c r="J1444" s="201">
        <v>0</v>
      </c>
      <c r="K1444" s="229" t="s">
        <v>2562</v>
      </c>
      <c r="L1444" s="203"/>
      <c r="M1444" s="194" t="s">
        <v>426</v>
      </c>
    </row>
    <row r="1445" spans="2:13">
      <c r="B1445" s="211"/>
      <c r="C1445" s="197"/>
      <c r="D1445" s="197">
        <v>100016</v>
      </c>
      <c r="E1445" s="198" t="s">
        <v>2571</v>
      </c>
      <c r="F1445" s="199">
        <v>0</v>
      </c>
      <c r="G1445" s="199"/>
      <c r="H1445" s="199">
        <v>0</v>
      </c>
      <c r="I1445" s="228">
        <v>0.26</v>
      </c>
      <c r="J1445" s="201">
        <v>0</v>
      </c>
      <c r="K1445" s="229">
        <v>-1858453</v>
      </c>
      <c r="L1445" s="203"/>
      <c r="M1445" s="194" t="s">
        <v>429</v>
      </c>
    </row>
    <row r="1446" spans="2:13">
      <c r="B1446" s="211"/>
      <c r="C1446" s="197" t="s">
        <v>699</v>
      </c>
      <c r="D1446" s="197">
        <v>100016</v>
      </c>
      <c r="E1446" s="198" t="s">
        <v>2572</v>
      </c>
      <c r="F1446" s="199">
        <v>0</v>
      </c>
      <c r="G1446" s="199"/>
      <c r="H1446" s="199">
        <v>0</v>
      </c>
      <c r="I1446" s="228">
        <v>0.26</v>
      </c>
      <c r="J1446" s="201">
        <v>0</v>
      </c>
      <c r="K1446" s="229" t="s">
        <v>2562</v>
      </c>
      <c r="L1446" s="203"/>
      <c r="M1446" s="194"/>
    </row>
    <row r="1447" spans="2:13">
      <c r="B1447" s="211"/>
      <c r="C1447" s="197"/>
      <c r="D1447" s="197">
        <v>100016</v>
      </c>
      <c r="E1447" s="198" t="s">
        <v>2573</v>
      </c>
      <c r="F1447" s="199">
        <v>0</v>
      </c>
      <c r="G1447" s="199"/>
      <c r="H1447" s="199">
        <v>0</v>
      </c>
      <c r="I1447" s="228">
        <v>0.26</v>
      </c>
      <c r="J1447" s="201">
        <v>0</v>
      </c>
      <c r="K1447" s="229">
        <v>-9295000</v>
      </c>
      <c r="L1447" s="203"/>
      <c r="M1447" s="194" t="s">
        <v>428</v>
      </c>
    </row>
    <row r="1448" spans="2:13">
      <c r="B1448" s="211"/>
      <c r="C1448" s="197" t="s">
        <v>809</v>
      </c>
      <c r="D1448" s="197">
        <v>100016</v>
      </c>
      <c r="E1448" s="198" t="s">
        <v>2574</v>
      </c>
      <c r="F1448" s="199">
        <v>22905101.460000001</v>
      </c>
      <c r="G1448" s="199"/>
      <c r="H1448" s="199">
        <v>22905101.460000001</v>
      </c>
      <c r="I1448" s="228">
        <v>0.26</v>
      </c>
      <c r="J1448" s="201">
        <v>5955326.3796000006</v>
      </c>
      <c r="K1448" s="229">
        <v>5955326</v>
      </c>
      <c r="L1448" s="203"/>
      <c r="M1448" s="194" t="s">
        <v>435</v>
      </c>
    </row>
    <row r="1449" spans="2:13">
      <c r="B1449" s="211"/>
      <c r="C1449" s="197"/>
      <c r="D1449" s="197">
        <v>100016</v>
      </c>
      <c r="E1449" s="198" t="s">
        <v>2575</v>
      </c>
      <c r="F1449" s="199"/>
      <c r="G1449" s="199"/>
      <c r="H1449" s="199">
        <v>0</v>
      </c>
      <c r="I1449" s="228">
        <v>0.26</v>
      </c>
      <c r="J1449" s="201">
        <v>0</v>
      </c>
      <c r="K1449" s="229">
        <v>126698</v>
      </c>
      <c r="L1449" s="203"/>
      <c r="M1449" s="194" t="s">
        <v>443</v>
      </c>
    </row>
    <row r="1450" spans="2:13">
      <c r="B1450" s="211"/>
      <c r="C1450" s="197" t="s">
        <v>816</v>
      </c>
      <c r="D1450" s="197">
        <v>100016</v>
      </c>
      <c r="E1450" s="198" t="s">
        <v>2576</v>
      </c>
      <c r="F1450" s="199">
        <v>0</v>
      </c>
      <c r="G1450" s="199"/>
      <c r="H1450" s="199">
        <v>0</v>
      </c>
      <c r="I1450" s="228">
        <v>0.26</v>
      </c>
      <c r="J1450" s="201">
        <v>0</v>
      </c>
      <c r="K1450" s="229" t="s">
        <v>2562</v>
      </c>
      <c r="L1450" s="203"/>
      <c r="M1450" s="194" t="s">
        <v>444</v>
      </c>
    </row>
    <row r="1451" spans="2:13">
      <c r="B1451" s="211"/>
      <c r="C1451" s="197" t="s">
        <v>720</v>
      </c>
      <c r="D1451" s="197">
        <v>100016</v>
      </c>
      <c r="E1451" s="198" t="s">
        <v>2577</v>
      </c>
      <c r="F1451" s="199">
        <v>0</v>
      </c>
      <c r="G1451" s="199"/>
      <c r="H1451" s="199">
        <v>0</v>
      </c>
      <c r="I1451" s="228">
        <v>0.26</v>
      </c>
      <c r="J1451" s="201">
        <v>0</v>
      </c>
      <c r="K1451" s="229" t="s">
        <v>2562</v>
      </c>
      <c r="L1451" s="203"/>
      <c r="M1451" s="194" t="s">
        <v>445</v>
      </c>
    </row>
    <row r="1452" spans="2:13">
      <c r="B1452" s="211"/>
      <c r="C1452" s="197" t="s">
        <v>827</v>
      </c>
      <c r="D1452" s="197">
        <v>100016</v>
      </c>
      <c r="E1452" s="198" t="s">
        <v>2578</v>
      </c>
      <c r="F1452" s="199">
        <v>225270</v>
      </c>
      <c r="G1452" s="199"/>
      <c r="H1452" s="199">
        <v>225270</v>
      </c>
      <c r="I1452" s="228">
        <v>0.26</v>
      </c>
      <c r="J1452" s="201">
        <v>58570.200000000004</v>
      </c>
      <c r="K1452" s="229">
        <v>11700</v>
      </c>
      <c r="L1452" s="203"/>
      <c r="M1452" s="194" t="s">
        <v>457</v>
      </c>
    </row>
    <row r="1453" spans="2:13">
      <c r="B1453" s="211"/>
      <c r="C1453" s="197" t="s">
        <v>701</v>
      </c>
      <c r="D1453" s="197">
        <v>100016</v>
      </c>
      <c r="E1453" s="198" t="s">
        <v>2579</v>
      </c>
      <c r="F1453" s="199">
        <v>46719311</v>
      </c>
      <c r="G1453" s="199"/>
      <c r="H1453" s="199">
        <v>46719311</v>
      </c>
      <c r="I1453" s="228">
        <v>0.26</v>
      </c>
      <c r="J1453" s="201">
        <v>12147020.860000001</v>
      </c>
      <c r="K1453" s="229">
        <v>9027781</v>
      </c>
      <c r="L1453" s="203"/>
      <c r="M1453" s="194" t="s">
        <v>476</v>
      </c>
    </row>
    <row r="1454" spans="2:13">
      <c r="B1454" s="211"/>
      <c r="C1454" s="197" t="s">
        <v>843</v>
      </c>
      <c r="D1454" s="197">
        <v>100016</v>
      </c>
      <c r="E1454" s="198" t="s">
        <v>2580</v>
      </c>
      <c r="F1454" s="199">
        <v>18657079</v>
      </c>
      <c r="G1454" s="199"/>
      <c r="H1454" s="199">
        <v>18657079</v>
      </c>
      <c r="I1454" s="228">
        <v>0.26</v>
      </c>
      <c r="J1454" s="201">
        <v>4850840.54</v>
      </c>
      <c r="K1454" s="229">
        <v>2423425</v>
      </c>
      <c r="L1454" s="203"/>
      <c r="M1454" s="194" t="s">
        <v>479</v>
      </c>
    </row>
    <row r="1455" spans="2:13">
      <c r="B1455" s="211"/>
      <c r="C1455" s="197" t="s">
        <v>716</v>
      </c>
      <c r="D1455" s="197">
        <v>100016</v>
      </c>
      <c r="E1455" s="198" t="s">
        <v>2581</v>
      </c>
      <c r="F1455" s="199">
        <v>0</v>
      </c>
      <c r="G1455" s="199"/>
      <c r="H1455" s="199">
        <v>0</v>
      </c>
      <c r="I1455" s="228">
        <v>0.26</v>
      </c>
      <c r="J1455" s="201">
        <v>0</v>
      </c>
      <c r="K1455" s="229" t="s">
        <v>2562</v>
      </c>
      <c r="L1455" s="203"/>
      <c r="M1455" s="194" t="s">
        <v>484</v>
      </c>
    </row>
    <row r="1456" spans="2:13">
      <c r="B1456" s="211"/>
      <c r="C1456" s="197" t="s">
        <v>848</v>
      </c>
      <c r="D1456" s="197">
        <v>100016</v>
      </c>
      <c r="E1456" s="198" t="s">
        <v>2582</v>
      </c>
      <c r="F1456" s="199">
        <v>33477848.329999998</v>
      </c>
      <c r="G1456" s="199"/>
      <c r="H1456" s="199">
        <v>33477848.329999998</v>
      </c>
      <c r="I1456" s="228">
        <v>0.26</v>
      </c>
      <c r="J1456" s="201">
        <v>8704240.5658</v>
      </c>
      <c r="K1456" s="229">
        <v>8901615</v>
      </c>
      <c r="L1456" s="203"/>
      <c r="M1456" s="194" t="s">
        <v>488</v>
      </c>
    </row>
    <row r="1457" spans="2:13">
      <c r="B1457" s="211"/>
      <c r="C1457" s="197" t="s">
        <v>658</v>
      </c>
      <c r="D1457" s="197">
        <v>100016</v>
      </c>
      <c r="E1457" s="198" t="s">
        <v>2583</v>
      </c>
      <c r="F1457" s="199">
        <v>11578</v>
      </c>
      <c r="G1457" s="199"/>
      <c r="H1457" s="199">
        <v>11578</v>
      </c>
      <c r="I1457" s="228">
        <v>0.26</v>
      </c>
      <c r="J1457" s="201">
        <v>3010.28</v>
      </c>
      <c r="K1457" s="229">
        <v>2469</v>
      </c>
      <c r="L1457" s="203"/>
      <c r="M1457" s="194" t="s">
        <v>494</v>
      </c>
    </row>
    <row r="1458" spans="2:13">
      <c r="B1458" s="211"/>
      <c r="C1458" s="197" t="s">
        <v>653</v>
      </c>
      <c r="D1458" s="197">
        <v>100016</v>
      </c>
      <c r="E1458" s="198" t="s">
        <v>2584</v>
      </c>
      <c r="F1458" s="199">
        <v>8706511.8599999994</v>
      </c>
      <c r="G1458" s="199"/>
      <c r="H1458" s="199">
        <v>8706511.8599999994</v>
      </c>
      <c r="I1458" s="228">
        <v>0.26</v>
      </c>
      <c r="J1458" s="201">
        <v>2263693.0836</v>
      </c>
      <c r="K1458" s="229">
        <v>3875439</v>
      </c>
      <c r="L1458" s="203"/>
      <c r="M1458" s="194" t="s">
        <v>496</v>
      </c>
    </row>
    <row r="1459" spans="2:13">
      <c r="B1459" s="211"/>
      <c r="C1459" s="197" t="s">
        <v>719</v>
      </c>
      <c r="D1459" s="197">
        <v>100016</v>
      </c>
      <c r="E1459" s="198" t="s">
        <v>2585</v>
      </c>
      <c r="F1459" s="199">
        <v>0</v>
      </c>
      <c r="G1459" s="199"/>
      <c r="H1459" s="199">
        <v>0</v>
      </c>
      <c r="I1459" s="228">
        <v>0.26</v>
      </c>
      <c r="J1459" s="201">
        <v>0</v>
      </c>
      <c r="K1459" s="229" t="s">
        <v>2562</v>
      </c>
      <c r="L1459" s="203"/>
      <c r="M1459" s="194" t="s">
        <v>502</v>
      </c>
    </row>
    <row r="1460" spans="2:13">
      <c r="B1460" s="211"/>
      <c r="C1460" s="197" t="s">
        <v>652</v>
      </c>
      <c r="D1460" s="197">
        <v>100016</v>
      </c>
      <c r="E1460" s="198" t="s">
        <v>2586</v>
      </c>
      <c r="F1460" s="199">
        <v>0</v>
      </c>
      <c r="G1460" s="199"/>
      <c r="H1460" s="199">
        <v>0</v>
      </c>
      <c r="I1460" s="228">
        <v>0.26</v>
      </c>
      <c r="J1460" s="201">
        <v>0</v>
      </c>
      <c r="K1460" s="229" t="s">
        <v>2562</v>
      </c>
      <c r="L1460" s="203"/>
      <c r="M1460" s="194" t="s">
        <v>508</v>
      </c>
    </row>
    <row r="1461" spans="2:13">
      <c r="B1461" s="211"/>
      <c r="C1461" s="197" t="s">
        <v>651</v>
      </c>
      <c r="D1461" s="197">
        <v>100016</v>
      </c>
      <c r="E1461" s="198" t="s">
        <v>2587</v>
      </c>
      <c r="F1461" s="199">
        <v>2128444.2400000002</v>
      </c>
      <c r="G1461" s="199"/>
      <c r="H1461" s="199">
        <v>2128444.2400000002</v>
      </c>
      <c r="I1461" s="228">
        <v>0.26</v>
      </c>
      <c r="J1461" s="201">
        <v>553395.50240000011</v>
      </c>
      <c r="K1461" s="229">
        <v>353449</v>
      </c>
      <c r="L1461" s="203"/>
      <c r="M1461" s="194" t="s">
        <v>511</v>
      </c>
    </row>
    <row r="1462" spans="2:13">
      <c r="B1462" s="211"/>
      <c r="C1462" s="197" t="s">
        <v>650</v>
      </c>
      <c r="D1462" s="197">
        <v>100016</v>
      </c>
      <c r="E1462" s="198" t="s">
        <v>2588</v>
      </c>
      <c r="F1462" s="199">
        <v>2992090.4900000095</v>
      </c>
      <c r="G1462" s="199"/>
      <c r="H1462" s="199">
        <v>2992090.4900000095</v>
      </c>
      <c r="I1462" s="228">
        <v>0.26</v>
      </c>
      <c r="J1462" s="201">
        <v>777943.52740000247</v>
      </c>
      <c r="K1462" s="229">
        <v>737690</v>
      </c>
      <c r="L1462" s="203"/>
      <c r="M1462" s="194" t="s">
        <v>512</v>
      </c>
    </row>
    <row r="1463" spans="2:13">
      <c r="B1463" s="211"/>
      <c r="C1463" s="197" t="s">
        <v>213</v>
      </c>
      <c r="D1463" s="197">
        <v>100016</v>
      </c>
      <c r="E1463" s="198" t="s">
        <v>2589</v>
      </c>
      <c r="F1463" s="199">
        <v>790302</v>
      </c>
      <c r="G1463" s="199"/>
      <c r="H1463" s="199">
        <v>790302</v>
      </c>
      <c r="I1463" s="228">
        <v>0.26</v>
      </c>
      <c r="J1463" s="201">
        <v>205478.52000000002</v>
      </c>
      <c r="K1463" s="229">
        <v>254701</v>
      </c>
      <c r="L1463" s="203"/>
      <c r="M1463" s="194" t="s">
        <v>526</v>
      </c>
    </row>
    <row r="1464" spans="2:13">
      <c r="B1464" s="211"/>
      <c r="C1464" s="197" t="s">
        <v>649</v>
      </c>
      <c r="D1464" s="197">
        <v>100016</v>
      </c>
      <c r="E1464" s="198" t="s">
        <v>2590</v>
      </c>
      <c r="F1464" s="199">
        <v>0</v>
      </c>
      <c r="G1464" s="199"/>
      <c r="H1464" s="199">
        <v>0</v>
      </c>
      <c r="I1464" s="228">
        <v>0.26</v>
      </c>
      <c r="J1464" s="201">
        <v>0</v>
      </c>
      <c r="K1464" s="229" t="s">
        <v>2562</v>
      </c>
      <c r="L1464" s="203"/>
      <c r="M1464" s="194" t="s">
        <v>514</v>
      </c>
    </row>
    <row r="1465" spans="2:13">
      <c r="B1465" s="211"/>
      <c r="C1465" s="197" t="s">
        <v>666</v>
      </c>
      <c r="D1465" s="197">
        <v>100016</v>
      </c>
      <c r="E1465" s="198" t="s">
        <v>2591</v>
      </c>
      <c r="F1465" s="199">
        <v>-2009213</v>
      </c>
      <c r="G1465" s="199"/>
      <c r="H1465" s="199">
        <v>-2009213</v>
      </c>
      <c r="I1465" s="228">
        <v>0.26</v>
      </c>
      <c r="J1465" s="201">
        <v>-522395.38</v>
      </c>
      <c r="K1465" s="229">
        <v>-485995</v>
      </c>
      <c r="L1465" s="203"/>
      <c r="M1465" s="194" t="s">
        <v>418</v>
      </c>
    </row>
    <row r="1466" spans="2:13">
      <c r="B1466" s="211"/>
      <c r="C1466" s="197" t="s">
        <v>1930</v>
      </c>
      <c r="D1466" s="197">
        <v>100016</v>
      </c>
      <c r="E1466" s="198" t="s">
        <v>2592</v>
      </c>
      <c r="F1466" s="199">
        <v>24863</v>
      </c>
      <c r="G1466" s="199"/>
      <c r="H1466" s="199">
        <v>24863</v>
      </c>
      <c r="I1466" s="228">
        <v>0.26</v>
      </c>
      <c r="J1466" s="201">
        <v>6464.38</v>
      </c>
      <c r="K1466" s="229">
        <v>4869</v>
      </c>
      <c r="L1466" s="203"/>
      <c r="M1466" s="194" t="s">
        <v>510</v>
      </c>
    </row>
    <row r="1467" spans="2:13">
      <c r="B1467" s="211"/>
      <c r="C1467" s="197" t="s">
        <v>693</v>
      </c>
      <c r="D1467" s="197">
        <v>100016</v>
      </c>
      <c r="E1467" s="198" t="s">
        <v>2593</v>
      </c>
      <c r="F1467" s="199">
        <v>4474028.8599999994</v>
      </c>
      <c r="G1467" s="199"/>
      <c r="H1467" s="199">
        <v>4474028.8599999994</v>
      </c>
      <c r="I1467" s="228">
        <v>0.26</v>
      </c>
      <c r="J1467" s="201">
        <v>1163247.5035999999</v>
      </c>
      <c r="K1467" s="229">
        <v>1091889</v>
      </c>
      <c r="L1467" s="203"/>
      <c r="M1467" s="194" t="s">
        <v>518</v>
      </c>
    </row>
    <row r="1468" spans="2:13">
      <c r="B1468" s="211"/>
      <c r="C1468" s="197" t="s">
        <v>206</v>
      </c>
      <c r="D1468" s="197">
        <v>100016</v>
      </c>
      <c r="E1468" s="198" t="s">
        <v>2594</v>
      </c>
      <c r="F1468" s="199">
        <v>127989.45</v>
      </c>
      <c r="G1468" s="199"/>
      <c r="H1468" s="199">
        <v>127989.45</v>
      </c>
      <c r="I1468" s="228">
        <v>0.26</v>
      </c>
      <c r="J1468" s="201">
        <v>33277.256999999998</v>
      </c>
      <c r="K1468" s="229">
        <v>116162</v>
      </c>
      <c r="L1468" s="203"/>
      <c r="M1468" s="194" t="s">
        <v>516</v>
      </c>
    </row>
    <row r="1469" spans="2:13">
      <c r="B1469" s="211"/>
      <c r="C1469" s="197" t="s">
        <v>686</v>
      </c>
      <c r="D1469" s="197">
        <v>100016</v>
      </c>
      <c r="E1469" s="198" t="s">
        <v>2595</v>
      </c>
      <c r="F1469" s="199">
        <v>70000000</v>
      </c>
      <c r="G1469" s="199"/>
      <c r="H1469" s="199">
        <v>70000000</v>
      </c>
      <c r="I1469" s="228">
        <v>0.26</v>
      </c>
      <c r="J1469" s="201">
        <v>18200000</v>
      </c>
      <c r="K1469" s="229">
        <v>22154777</v>
      </c>
      <c r="L1469" s="203"/>
      <c r="M1469" s="194" t="s">
        <v>497</v>
      </c>
    </row>
    <row r="1470" spans="2:13">
      <c r="B1470" s="211"/>
      <c r="C1470" s="197" t="s">
        <v>979</v>
      </c>
      <c r="D1470" s="197">
        <v>100016</v>
      </c>
      <c r="E1470" s="198" t="s">
        <v>2596</v>
      </c>
      <c r="F1470" s="199">
        <v>-97016958.5</v>
      </c>
      <c r="G1470" s="199"/>
      <c r="H1470" s="199">
        <v>-97016958.5</v>
      </c>
      <c r="I1470" s="228">
        <v>0.26</v>
      </c>
      <c r="J1470" s="201">
        <v>-25224409.210000001</v>
      </c>
      <c r="K1470" s="229">
        <v>-27857485</v>
      </c>
      <c r="L1470" s="203"/>
      <c r="M1470" s="194" t="s">
        <v>380</v>
      </c>
    </row>
    <row r="1471" spans="2:13">
      <c r="B1471" s="211"/>
      <c r="C1471" s="197" t="s">
        <v>981</v>
      </c>
      <c r="D1471" s="197">
        <v>100016</v>
      </c>
      <c r="E1471" s="198" t="s">
        <v>2597</v>
      </c>
      <c r="F1471" s="199">
        <v>5236212.4899999993</v>
      </c>
      <c r="G1471" s="199"/>
      <c r="H1471" s="199">
        <v>5236212.4899999993</v>
      </c>
      <c r="I1471" s="228">
        <v>0.26</v>
      </c>
      <c r="J1471" s="201">
        <v>1361415.2473999998</v>
      </c>
      <c r="K1471" s="229">
        <v>1225014</v>
      </c>
      <c r="L1471" s="203"/>
      <c r="M1471" s="194" t="s">
        <v>357</v>
      </c>
    </row>
    <row r="1472" spans="2:13">
      <c r="B1472" s="211"/>
      <c r="C1472" s="197" t="s">
        <v>703</v>
      </c>
      <c r="D1472" s="197">
        <v>100016</v>
      </c>
      <c r="E1472" s="198" t="s">
        <v>2598</v>
      </c>
      <c r="F1472" s="199">
        <v>-181975118.40000001</v>
      </c>
      <c r="G1472" s="199"/>
      <c r="H1472" s="199">
        <v>-181975118.40000001</v>
      </c>
      <c r="I1472" s="228">
        <v>0.26</v>
      </c>
      <c r="J1472" s="201">
        <v>-47313530.784000002</v>
      </c>
      <c r="K1472" s="229">
        <v>-47462222</v>
      </c>
      <c r="L1472" s="203"/>
      <c r="M1472" s="194" t="s">
        <v>528</v>
      </c>
    </row>
    <row r="1473" spans="2:13">
      <c r="B1473" s="211"/>
      <c r="C1473" s="197" t="s">
        <v>250</v>
      </c>
      <c r="D1473" s="197">
        <v>100016</v>
      </c>
      <c r="E1473" s="198" t="s">
        <v>2599</v>
      </c>
      <c r="F1473" s="199">
        <v>-896280.82</v>
      </c>
      <c r="G1473" s="199"/>
      <c r="H1473" s="199">
        <v>-896280.82</v>
      </c>
      <c r="I1473" s="228">
        <v>0.26</v>
      </c>
      <c r="J1473" s="201">
        <v>-233033.01319999999</v>
      </c>
      <c r="K1473" s="229">
        <v>-1914276</v>
      </c>
      <c r="L1473" s="203"/>
      <c r="M1473" s="194" t="s">
        <v>529</v>
      </c>
    </row>
    <row r="1474" spans="2:13">
      <c r="B1474" s="211"/>
      <c r="C1474" s="197" t="s">
        <v>670</v>
      </c>
      <c r="D1474" s="197">
        <v>100016</v>
      </c>
      <c r="E1474" s="198" t="s">
        <v>2600</v>
      </c>
      <c r="F1474" s="199">
        <v>0</v>
      </c>
      <c r="G1474" s="199"/>
      <c r="H1474" s="199">
        <v>0</v>
      </c>
      <c r="I1474" s="228">
        <v>0.26</v>
      </c>
      <c r="J1474" s="201">
        <v>0</v>
      </c>
      <c r="K1474" s="229" t="s">
        <v>2562</v>
      </c>
      <c r="L1474" s="203"/>
      <c r="M1474" s="194" t="s">
        <v>361</v>
      </c>
    </row>
    <row r="1475" spans="2:13">
      <c r="B1475" s="211"/>
      <c r="C1475" s="197" t="s">
        <v>253</v>
      </c>
      <c r="D1475" s="197">
        <v>100016</v>
      </c>
      <c r="E1475" s="198" t="s">
        <v>2601</v>
      </c>
      <c r="F1475" s="199">
        <v>-3693222</v>
      </c>
      <c r="G1475" s="199"/>
      <c r="H1475" s="199">
        <v>-3693222</v>
      </c>
      <c r="I1475" s="228">
        <v>0.26</v>
      </c>
      <c r="J1475" s="201">
        <v>-960237.72000000009</v>
      </c>
      <c r="K1475" s="229">
        <v>-1233904</v>
      </c>
      <c r="L1475" s="203"/>
      <c r="M1475" s="194" t="s">
        <v>531</v>
      </c>
    </row>
    <row r="1476" spans="2:13">
      <c r="B1476" s="211"/>
      <c r="C1476" s="197" t="s">
        <v>254</v>
      </c>
      <c r="D1476" s="197">
        <v>100016</v>
      </c>
      <c r="E1476" s="198" t="s">
        <v>2602</v>
      </c>
      <c r="F1476" s="199">
        <v>-9672.3799999999992</v>
      </c>
      <c r="G1476" s="199"/>
      <c r="H1476" s="199">
        <v>-9672.3799999999992</v>
      </c>
      <c r="I1476" s="228">
        <v>0.26</v>
      </c>
      <c r="J1476" s="201">
        <v>-2514.8188</v>
      </c>
      <c r="K1476" s="229">
        <v>-14530</v>
      </c>
      <c r="L1476" s="203"/>
      <c r="M1476" s="194" t="s">
        <v>532</v>
      </c>
    </row>
    <row r="1477" spans="2:13">
      <c r="B1477" s="211"/>
      <c r="C1477" s="197" t="s">
        <v>668</v>
      </c>
      <c r="D1477" s="197">
        <v>100016</v>
      </c>
      <c r="E1477" s="198" t="s">
        <v>2603</v>
      </c>
      <c r="F1477" s="199">
        <v>-270037</v>
      </c>
      <c r="G1477" s="199"/>
      <c r="H1477" s="199">
        <v>-270037</v>
      </c>
      <c r="I1477" s="228">
        <v>0.26</v>
      </c>
      <c r="J1477" s="201">
        <v>-70209.62</v>
      </c>
      <c r="K1477" s="229">
        <v>-70210</v>
      </c>
      <c r="L1477" s="203"/>
      <c r="M1477" s="194" t="s">
        <v>533</v>
      </c>
    </row>
    <row r="1478" spans="2:13">
      <c r="B1478" s="211"/>
      <c r="C1478" s="197" t="s">
        <v>263</v>
      </c>
      <c r="D1478" s="197">
        <v>100016</v>
      </c>
      <c r="E1478" s="198" t="s">
        <v>2604</v>
      </c>
      <c r="F1478" s="199">
        <v>-39062</v>
      </c>
      <c r="G1478" s="199"/>
      <c r="H1478" s="199">
        <v>-39062</v>
      </c>
      <c r="I1478" s="228">
        <v>0.26</v>
      </c>
      <c r="J1478" s="201">
        <v>-10156.120000000001</v>
      </c>
      <c r="K1478" s="229">
        <v>-136935</v>
      </c>
      <c r="L1478" s="203"/>
      <c r="M1478" s="194" t="s">
        <v>538</v>
      </c>
    </row>
    <row r="1479" spans="2:13">
      <c r="B1479" s="211"/>
      <c r="C1479" s="197" t="s">
        <v>267</v>
      </c>
      <c r="D1479" s="197">
        <v>100016</v>
      </c>
      <c r="E1479" s="198" t="s">
        <v>2861</v>
      </c>
      <c r="F1479" s="199">
        <v>226929.09</v>
      </c>
      <c r="G1479" s="199"/>
      <c r="H1479" s="199">
        <v>226929.09</v>
      </c>
      <c r="I1479" s="228">
        <v>0.26</v>
      </c>
      <c r="J1479" s="201">
        <v>59001.563399999999</v>
      </c>
      <c r="K1479" s="229" t="s">
        <v>2562</v>
      </c>
      <c r="L1479" s="203"/>
      <c r="M1479" s="194" t="s">
        <v>542</v>
      </c>
    </row>
    <row r="1480" spans="2:13">
      <c r="B1480" s="211"/>
      <c r="C1480" s="197" t="s">
        <v>270</v>
      </c>
      <c r="D1480" s="197">
        <v>100016</v>
      </c>
      <c r="E1480" s="198" t="s">
        <v>2606</v>
      </c>
      <c r="F1480" s="199">
        <v>35557641.989999987</v>
      </c>
      <c r="G1480" s="199"/>
      <c r="H1480" s="199">
        <v>35557641.989999987</v>
      </c>
      <c r="I1480" s="228">
        <v>0.26</v>
      </c>
      <c r="J1480" s="201">
        <v>9244986.9173999969</v>
      </c>
      <c r="K1480" s="229">
        <v>10726247</v>
      </c>
      <c r="L1480" s="203"/>
      <c r="M1480" s="194" t="s">
        <v>544</v>
      </c>
    </row>
    <row r="1481" spans="2:13">
      <c r="B1481" s="211"/>
      <c r="C1481" s="197" t="s">
        <v>700</v>
      </c>
      <c r="D1481" s="197">
        <v>100016</v>
      </c>
      <c r="E1481" s="198" t="s">
        <v>2607</v>
      </c>
      <c r="F1481" s="199">
        <v>72383324.890000001</v>
      </c>
      <c r="G1481" s="199"/>
      <c r="H1481" s="199">
        <v>72383324.890000001</v>
      </c>
      <c r="I1481" s="228">
        <v>0.26</v>
      </c>
      <c r="J1481" s="201">
        <v>18819664.4714</v>
      </c>
      <c r="K1481" s="229">
        <v>15423988</v>
      </c>
      <c r="L1481" s="203"/>
      <c r="M1481" s="194" t="s">
        <v>548</v>
      </c>
    </row>
    <row r="1482" spans="2:13">
      <c r="B1482" s="211"/>
      <c r="C1482" s="197" t="s">
        <v>283</v>
      </c>
      <c r="D1482" s="197">
        <v>100016</v>
      </c>
      <c r="E1482" s="198" t="s">
        <v>2608</v>
      </c>
      <c r="F1482" s="199">
        <v>15974288.620000001</v>
      </c>
      <c r="G1482" s="199"/>
      <c r="H1482" s="199">
        <v>15974288.620000001</v>
      </c>
      <c r="I1482" s="228">
        <v>0.26</v>
      </c>
      <c r="J1482" s="201">
        <v>4153315.0412000003</v>
      </c>
      <c r="K1482" s="229">
        <v>4848430</v>
      </c>
      <c r="L1482" s="203"/>
      <c r="M1482" s="194" t="s">
        <v>555</v>
      </c>
    </row>
    <row r="1483" spans="2:13">
      <c r="B1483" s="211"/>
      <c r="C1483" s="197" t="s">
        <v>664</v>
      </c>
      <c r="D1483" s="197">
        <v>100016</v>
      </c>
      <c r="E1483" s="198" t="s">
        <v>2609</v>
      </c>
      <c r="F1483" s="199">
        <v>667405</v>
      </c>
      <c r="G1483" s="199"/>
      <c r="H1483" s="199">
        <v>667405</v>
      </c>
      <c r="I1483" s="228">
        <v>0.26</v>
      </c>
      <c r="J1483" s="201">
        <v>173525.30000000002</v>
      </c>
      <c r="K1483" s="229">
        <v>315415</v>
      </c>
      <c r="L1483" s="203"/>
      <c r="M1483" s="194" t="s">
        <v>558</v>
      </c>
    </row>
    <row r="1484" spans="2:13">
      <c r="B1484" s="211"/>
      <c r="C1484" s="197" t="s">
        <v>893</v>
      </c>
      <c r="D1484" s="197">
        <v>100016</v>
      </c>
      <c r="E1484" s="198" t="s">
        <v>2610</v>
      </c>
      <c r="F1484" s="199">
        <v>231043</v>
      </c>
      <c r="G1484" s="199"/>
      <c r="H1484" s="199">
        <v>231043</v>
      </c>
      <c r="I1484" s="228">
        <v>0.26</v>
      </c>
      <c r="J1484" s="201">
        <v>60071.18</v>
      </c>
      <c r="K1484" s="229">
        <v>76625</v>
      </c>
      <c r="L1484" s="203"/>
      <c r="M1484" s="194" t="s">
        <v>559</v>
      </c>
    </row>
    <row r="1485" spans="2:13">
      <c r="B1485" s="211"/>
      <c r="C1485" s="197" t="s">
        <v>675</v>
      </c>
      <c r="D1485" s="197">
        <v>100016</v>
      </c>
      <c r="E1485" s="198" t="s">
        <v>2611</v>
      </c>
      <c r="F1485" s="199">
        <v>938391</v>
      </c>
      <c r="G1485" s="199"/>
      <c r="H1485" s="199">
        <v>938391</v>
      </c>
      <c r="I1485" s="228">
        <v>0.26</v>
      </c>
      <c r="J1485" s="201">
        <v>243981.66</v>
      </c>
      <c r="K1485" s="229">
        <v>152719</v>
      </c>
      <c r="L1485" s="203"/>
      <c r="M1485" s="194" t="s">
        <v>561</v>
      </c>
    </row>
    <row r="1486" spans="2:13">
      <c r="B1486" s="211"/>
      <c r="C1486" s="197" t="s">
        <v>706</v>
      </c>
      <c r="D1486" s="197">
        <v>100016</v>
      </c>
      <c r="E1486" s="198" t="s">
        <v>2612</v>
      </c>
      <c r="F1486" s="199">
        <v>671022.42000000004</v>
      </c>
      <c r="G1486" s="199"/>
      <c r="H1486" s="199">
        <v>671022.42000000004</v>
      </c>
      <c r="I1486" s="228">
        <v>0.26</v>
      </c>
      <c r="J1486" s="201">
        <v>174465.82920000001</v>
      </c>
      <c r="K1486" s="229">
        <v>189275</v>
      </c>
      <c r="L1486" s="203"/>
      <c r="M1486" s="194" t="s">
        <v>564</v>
      </c>
    </row>
    <row r="1487" spans="2:13">
      <c r="B1487" s="211"/>
      <c r="C1487" s="197"/>
      <c r="D1487" s="197">
        <v>100016</v>
      </c>
      <c r="E1487" s="198" t="s">
        <v>2613</v>
      </c>
      <c r="F1487" s="199"/>
      <c r="G1487" s="199"/>
      <c r="H1487" s="199">
        <v>0</v>
      </c>
      <c r="I1487" s="228">
        <v>0.26</v>
      </c>
      <c r="J1487" s="201">
        <v>0</v>
      </c>
      <c r="K1487" s="229" t="s">
        <v>2562</v>
      </c>
      <c r="L1487" s="203"/>
      <c r="M1487" s="194" t="s">
        <v>570</v>
      </c>
    </row>
    <row r="1488" spans="2:13">
      <c r="B1488" s="211"/>
      <c r="C1488" s="197" t="s">
        <v>694</v>
      </c>
      <c r="D1488" s="197">
        <v>100016</v>
      </c>
      <c r="E1488" s="198" t="s">
        <v>2614</v>
      </c>
      <c r="F1488" s="199">
        <v>51760</v>
      </c>
      <c r="G1488" s="199"/>
      <c r="H1488" s="199">
        <v>51760</v>
      </c>
      <c r="I1488" s="228">
        <v>0.26</v>
      </c>
      <c r="J1488" s="201">
        <v>13457.6</v>
      </c>
      <c r="K1488" s="229">
        <v>52000</v>
      </c>
      <c r="L1488" s="203"/>
      <c r="M1488" s="194" t="s">
        <v>571</v>
      </c>
    </row>
    <row r="1489" spans="2:13">
      <c r="B1489" s="211"/>
      <c r="C1489" s="197" t="s">
        <v>695</v>
      </c>
      <c r="D1489" s="197">
        <v>100016</v>
      </c>
      <c r="E1489" s="198" t="s">
        <v>2615</v>
      </c>
      <c r="F1489" s="199">
        <v>22600</v>
      </c>
      <c r="G1489" s="199"/>
      <c r="H1489" s="199">
        <v>22600</v>
      </c>
      <c r="I1489" s="228">
        <v>0.26</v>
      </c>
      <c r="J1489" s="201">
        <v>5876</v>
      </c>
      <c r="K1489" s="229">
        <v>26650</v>
      </c>
      <c r="L1489" s="203"/>
      <c r="M1489" s="194" t="s">
        <v>575</v>
      </c>
    </row>
    <row r="1490" spans="2:13">
      <c r="B1490" s="211"/>
      <c r="C1490" s="197" t="s">
        <v>310</v>
      </c>
      <c r="D1490" s="197">
        <v>100016</v>
      </c>
      <c r="E1490" s="198" t="s">
        <v>2616</v>
      </c>
      <c r="F1490" s="199">
        <v>0</v>
      </c>
      <c r="G1490" s="199"/>
      <c r="H1490" s="199">
        <v>0</v>
      </c>
      <c r="I1490" s="228">
        <v>0.26</v>
      </c>
      <c r="J1490" s="201">
        <v>0</v>
      </c>
      <c r="K1490" s="229" t="s">
        <v>2562</v>
      </c>
      <c r="L1490" s="203"/>
      <c r="M1490" s="194" t="s">
        <v>578</v>
      </c>
    </row>
    <row r="1491" spans="2:13">
      <c r="B1491" s="211"/>
      <c r="C1491" s="197" t="s">
        <v>671</v>
      </c>
      <c r="D1491" s="197">
        <v>100016</v>
      </c>
      <c r="E1491" s="198" t="s">
        <v>2617</v>
      </c>
      <c r="F1491" s="199">
        <v>1124191.47</v>
      </c>
      <c r="G1491" s="199"/>
      <c r="H1491" s="199">
        <v>1124191.47</v>
      </c>
      <c r="I1491" s="228">
        <v>0.26</v>
      </c>
      <c r="J1491" s="201">
        <v>292289.78220000002</v>
      </c>
      <c r="K1491" s="229">
        <v>587114</v>
      </c>
      <c r="L1491" s="203"/>
      <c r="M1491" s="194" t="s">
        <v>581</v>
      </c>
    </row>
    <row r="1492" spans="2:13">
      <c r="B1492" s="211"/>
      <c r="C1492" s="197" t="s">
        <v>316</v>
      </c>
      <c r="D1492" s="197">
        <v>100016</v>
      </c>
      <c r="E1492" s="198" t="s">
        <v>2618</v>
      </c>
      <c r="F1492" s="199">
        <v>0</v>
      </c>
      <c r="G1492" s="199"/>
      <c r="H1492" s="199">
        <v>0</v>
      </c>
      <c r="I1492" s="228">
        <v>0.26</v>
      </c>
      <c r="J1492" s="201">
        <v>0</v>
      </c>
      <c r="K1492" s="229">
        <v>499172</v>
      </c>
      <c r="L1492" s="203"/>
      <c r="M1492" s="194" t="s">
        <v>584</v>
      </c>
    </row>
    <row r="1493" spans="2:13">
      <c r="B1493" s="211"/>
      <c r="C1493" s="197" t="s">
        <v>319</v>
      </c>
      <c r="D1493" s="197">
        <v>100016</v>
      </c>
      <c r="E1493" s="198" t="s">
        <v>2619</v>
      </c>
      <c r="F1493" s="199">
        <v>29317.919999999998</v>
      </c>
      <c r="G1493" s="199"/>
      <c r="H1493" s="199">
        <v>29317.919999999998</v>
      </c>
      <c r="I1493" s="228">
        <v>0.26</v>
      </c>
      <c r="J1493" s="201">
        <v>7622.6592000000001</v>
      </c>
      <c r="K1493" s="229">
        <v>7658</v>
      </c>
      <c r="L1493" s="203"/>
      <c r="M1493" s="194" t="s">
        <v>587</v>
      </c>
    </row>
    <row r="1494" spans="2:13">
      <c r="B1494" s="211"/>
      <c r="C1494" s="197" t="s">
        <v>322</v>
      </c>
      <c r="D1494" s="197">
        <v>100016</v>
      </c>
      <c r="E1494" s="198" t="s">
        <v>2620</v>
      </c>
      <c r="F1494" s="199">
        <v>23952.98</v>
      </c>
      <c r="G1494" s="199"/>
      <c r="H1494" s="199">
        <v>23952.98</v>
      </c>
      <c r="I1494" s="228">
        <v>0.26</v>
      </c>
      <c r="J1494" s="201">
        <v>6227.7748000000001</v>
      </c>
      <c r="K1494" s="229">
        <v>4070</v>
      </c>
      <c r="L1494" s="203"/>
      <c r="M1494" s="194" t="s">
        <v>590</v>
      </c>
    </row>
    <row r="1495" spans="2:13">
      <c r="B1495" s="211"/>
      <c r="C1495" s="197" t="s">
        <v>324</v>
      </c>
      <c r="D1495" s="197">
        <v>100016</v>
      </c>
      <c r="E1495" s="198" t="s">
        <v>2621</v>
      </c>
      <c r="F1495" s="199">
        <v>3029213.4</v>
      </c>
      <c r="G1495" s="199"/>
      <c r="H1495" s="199">
        <v>3029213.4</v>
      </c>
      <c r="I1495" s="228">
        <v>0.26</v>
      </c>
      <c r="J1495" s="201">
        <v>787595.48400000005</v>
      </c>
      <c r="K1495" s="229">
        <v>1282307</v>
      </c>
      <c r="L1495" s="203"/>
      <c r="M1495" s="194" t="s">
        <v>592</v>
      </c>
    </row>
    <row r="1496" spans="2:13">
      <c r="B1496" s="211"/>
      <c r="C1496" s="197" t="s">
        <v>325</v>
      </c>
      <c r="D1496" s="197">
        <v>100016</v>
      </c>
      <c r="E1496" s="198" t="s">
        <v>2622</v>
      </c>
      <c r="F1496" s="199">
        <v>326260.26</v>
      </c>
      <c r="G1496" s="199"/>
      <c r="H1496" s="199">
        <v>326260.26</v>
      </c>
      <c r="I1496" s="228">
        <v>0.26</v>
      </c>
      <c r="J1496" s="201">
        <v>84827.667600000001</v>
      </c>
      <c r="K1496" s="229">
        <v>98444</v>
      </c>
      <c r="L1496" s="203"/>
      <c r="M1496" s="194" t="s">
        <v>593</v>
      </c>
    </row>
    <row r="1497" spans="2:13">
      <c r="B1497" s="211"/>
      <c r="C1497" s="197" t="s">
        <v>326</v>
      </c>
      <c r="D1497" s="197">
        <v>100016</v>
      </c>
      <c r="E1497" s="198" t="s">
        <v>2623</v>
      </c>
      <c r="F1497" s="199">
        <v>344506</v>
      </c>
      <c r="G1497" s="199"/>
      <c r="H1497" s="199">
        <v>344506</v>
      </c>
      <c r="I1497" s="228">
        <v>0.26</v>
      </c>
      <c r="J1497" s="201">
        <v>89571.56</v>
      </c>
      <c r="K1497" s="229">
        <v>242482</v>
      </c>
      <c r="L1497" s="203"/>
      <c r="M1497" s="194" t="s">
        <v>594</v>
      </c>
    </row>
    <row r="1498" spans="2:13">
      <c r="B1498" s="211"/>
      <c r="C1498" s="197" t="s">
        <v>327</v>
      </c>
      <c r="D1498" s="197">
        <v>100016</v>
      </c>
      <c r="E1498" s="198" t="s">
        <v>2624</v>
      </c>
      <c r="F1498" s="199">
        <v>344166.93</v>
      </c>
      <c r="G1498" s="199"/>
      <c r="H1498" s="199">
        <v>344166.93</v>
      </c>
      <c r="I1498" s="228">
        <v>0.26</v>
      </c>
      <c r="J1498" s="201">
        <v>89483.401800000007</v>
      </c>
      <c r="K1498" s="229">
        <v>95277</v>
      </c>
      <c r="L1498" s="203"/>
      <c r="M1498" s="194" t="s">
        <v>595</v>
      </c>
    </row>
    <row r="1499" spans="2:13">
      <c r="B1499" s="211"/>
      <c r="C1499" s="197" t="s">
        <v>328</v>
      </c>
      <c r="D1499" s="197">
        <v>100016</v>
      </c>
      <c r="E1499" s="198" t="s">
        <v>2625</v>
      </c>
      <c r="F1499" s="199">
        <v>1171665</v>
      </c>
      <c r="G1499" s="199"/>
      <c r="H1499" s="199">
        <v>1171665</v>
      </c>
      <c r="I1499" s="228">
        <v>0.26</v>
      </c>
      <c r="J1499" s="201">
        <v>304632.90000000002</v>
      </c>
      <c r="K1499" s="229">
        <v>356194</v>
      </c>
      <c r="L1499" s="203"/>
      <c r="M1499" s="194" t="s">
        <v>596</v>
      </c>
    </row>
    <row r="1500" spans="2:13">
      <c r="B1500" s="211"/>
      <c r="C1500" s="197" t="s">
        <v>329</v>
      </c>
      <c r="D1500" s="197">
        <v>100016</v>
      </c>
      <c r="E1500" s="198" t="s">
        <v>2626</v>
      </c>
      <c r="F1500" s="199">
        <v>24786.51</v>
      </c>
      <c r="G1500" s="199"/>
      <c r="H1500" s="199">
        <v>24786.51</v>
      </c>
      <c r="I1500" s="228">
        <v>0.26</v>
      </c>
      <c r="J1500" s="201">
        <v>6444.4925999999996</v>
      </c>
      <c r="K1500" s="229">
        <v>10811</v>
      </c>
      <c r="L1500" s="203"/>
      <c r="M1500" s="194" t="s">
        <v>597</v>
      </c>
    </row>
    <row r="1501" spans="2:13">
      <c r="B1501" s="211"/>
      <c r="C1501" s="197" t="s">
        <v>330</v>
      </c>
      <c r="D1501" s="197">
        <v>100016</v>
      </c>
      <c r="E1501" s="198" t="s">
        <v>2627</v>
      </c>
      <c r="F1501" s="199">
        <v>126276.22</v>
      </c>
      <c r="G1501" s="199"/>
      <c r="H1501" s="199">
        <v>126276.22</v>
      </c>
      <c r="I1501" s="228">
        <v>0.26</v>
      </c>
      <c r="J1501" s="201">
        <v>32831.817200000005</v>
      </c>
      <c r="K1501" s="229">
        <v>25833</v>
      </c>
      <c r="L1501" s="203"/>
      <c r="M1501" s="194" t="s">
        <v>598</v>
      </c>
    </row>
    <row r="1502" spans="2:13">
      <c r="B1502" s="211"/>
      <c r="C1502" s="197" t="s">
        <v>331</v>
      </c>
      <c r="D1502" s="197">
        <v>100016</v>
      </c>
      <c r="E1502" s="198" t="s">
        <v>2628</v>
      </c>
      <c r="F1502" s="199">
        <v>90980.26999999999</v>
      </c>
      <c r="G1502" s="199"/>
      <c r="H1502" s="199">
        <v>90980.26999999999</v>
      </c>
      <c r="I1502" s="228">
        <v>0.26</v>
      </c>
      <c r="J1502" s="201">
        <v>23654.870199999998</v>
      </c>
      <c r="K1502" s="229">
        <v>27154</v>
      </c>
      <c r="L1502" s="203"/>
      <c r="M1502" s="194" t="s">
        <v>599</v>
      </c>
    </row>
    <row r="1503" spans="2:13">
      <c r="B1503" s="211"/>
      <c r="C1503" s="197" t="s">
        <v>332</v>
      </c>
      <c r="D1503" s="197">
        <v>100016</v>
      </c>
      <c r="E1503" s="198" t="s">
        <v>2629</v>
      </c>
      <c r="F1503" s="199">
        <v>424970.04000000004</v>
      </c>
      <c r="G1503" s="199"/>
      <c r="H1503" s="199">
        <v>424970.04000000004</v>
      </c>
      <c r="I1503" s="228">
        <v>0.26</v>
      </c>
      <c r="J1503" s="201">
        <v>110492.21040000001</v>
      </c>
      <c r="K1503" s="229">
        <v>134113</v>
      </c>
      <c r="L1503" s="203"/>
      <c r="M1503" s="194" t="s">
        <v>600</v>
      </c>
    </row>
    <row r="1504" spans="2:13">
      <c r="B1504" s="211"/>
      <c r="C1504" s="197" t="s">
        <v>334</v>
      </c>
      <c r="D1504" s="197">
        <v>100016</v>
      </c>
      <c r="E1504" s="198" t="s">
        <v>2630</v>
      </c>
      <c r="F1504" s="199">
        <v>771.43</v>
      </c>
      <c r="G1504" s="199"/>
      <c r="H1504" s="199">
        <v>771.43</v>
      </c>
      <c r="I1504" s="228">
        <v>0.26</v>
      </c>
      <c r="J1504" s="201">
        <v>200.5718</v>
      </c>
      <c r="K1504" s="229">
        <v>38866</v>
      </c>
      <c r="L1504" s="203"/>
      <c r="M1504" s="194" t="s">
        <v>602</v>
      </c>
    </row>
    <row r="1505" spans="2:13">
      <c r="B1505" s="211"/>
      <c r="C1505" s="197" t="s">
        <v>335</v>
      </c>
      <c r="D1505" s="197">
        <v>100016</v>
      </c>
      <c r="E1505" s="198" t="s">
        <v>2631</v>
      </c>
      <c r="F1505" s="199">
        <v>415076</v>
      </c>
      <c r="G1505" s="199"/>
      <c r="H1505" s="199">
        <v>415076</v>
      </c>
      <c r="I1505" s="228">
        <v>0.26</v>
      </c>
      <c r="J1505" s="201">
        <v>107919.76000000001</v>
      </c>
      <c r="K1505" s="229">
        <v>98742</v>
      </c>
      <c r="L1505" s="203"/>
      <c r="M1505" s="194" t="s">
        <v>603</v>
      </c>
    </row>
    <row r="1506" spans="2:13">
      <c r="B1506" s="211"/>
      <c r="C1506" s="197" t="s">
        <v>336</v>
      </c>
      <c r="D1506" s="197">
        <v>100016</v>
      </c>
      <c r="E1506" s="198" t="s">
        <v>2632</v>
      </c>
      <c r="F1506" s="199">
        <v>206344.98</v>
      </c>
      <c r="G1506" s="199"/>
      <c r="H1506" s="199">
        <v>206344.98</v>
      </c>
      <c r="I1506" s="228">
        <v>0.26</v>
      </c>
      <c r="J1506" s="201">
        <v>53649.694800000005</v>
      </c>
      <c r="K1506" s="229">
        <v>77307</v>
      </c>
      <c r="L1506" s="203"/>
      <c r="M1506" s="194" t="s">
        <v>604</v>
      </c>
    </row>
    <row r="1507" spans="2:13">
      <c r="B1507" s="211"/>
      <c r="C1507" s="197" t="s">
        <v>337</v>
      </c>
      <c r="D1507" s="197">
        <v>100016</v>
      </c>
      <c r="E1507" s="198" t="s">
        <v>2633</v>
      </c>
      <c r="F1507" s="199">
        <v>22964.010000000002</v>
      </c>
      <c r="G1507" s="199"/>
      <c r="H1507" s="199">
        <v>22964.010000000002</v>
      </c>
      <c r="I1507" s="228">
        <v>0.26</v>
      </c>
      <c r="J1507" s="201">
        <v>5970.642600000001</v>
      </c>
      <c r="K1507" s="229">
        <v>7069</v>
      </c>
      <c r="L1507" s="203"/>
      <c r="M1507" s="194" t="s">
        <v>605</v>
      </c>
    </row>
    <row r="1508" spans="2:13">
      <c r="B1508" s="211"/>
      <c r="C1508" s="197" t="s">
        <v>340</v>
      </c>
      <c r="D1508" s="197">
        <v>100016</v>
      </c>
      <c r="E1508" s="198" t="s">
        <v>2634</v>
      </c>
      <c r="F1508" s="199">
        <v>12610198</v>
      </c>
      <c r="G1508" s="199"/>
      <c r="H1508" s="199">
        <v>12610198</v>
      </c>
      <c r="I1508" s="228">
        <v>0.26</v>
      </c>
      <c r="J1508" s="201">
        <v>3278651.48</v>
      </c>
      <c r="K1508" s="229">
        <v>3905089</v>
      </c>
      <c r="L1508" s="203"/>
      <c r="M1508" s="194" t="s">
        <v>608</v>
      </c>
    </row>
    <row r="1509" spans="2:13">
      <c r="B1509" s="211"/>
      <c r="C1509" s="197" t="s">
        <v>346</v>
      </c>
      <c r="D1509" s="197">
        <v>100016</v>
      </c>
      <c r="E1509" s="198" t="s">
        <v>2635</v>
      </c>
      <c r="F1509" s="199">
        <v>263927.27</v>
      </c>
      <c r="G1509" s="199"/>
      <c r="H1509" s="199">
        <v>263927.27</v>
      </c>
      <c r="I1509" s="228">
        <v>0.26</v>
      </c>
      <c r="J1509" s="201">
        <v>68621.090200000006</v>
      </c>
      <c r="K1509" s="229">
        <v>92925</v>
      </c>
      <c r="L1509" s="203"/>
      <c r="M1509" s="194" t="s">
        <v>613</v>
      </c>
    </row>
    <row r="1510" spans="2:13">
      <c r="B1510" s="211"/>
      <c r="C1510" s="197" t="s">
        <v>347</v>
      </c>
      <c r="D1510" s="197">
        <v>100016</v>
      </c>
      <c r="E1510" s="198" t="s">
        <v>2636</v>
      </c>
      <c r="F1510" s="199">
        <v>609695</v>
      </c>
      <c r="G1510" s="199"/>
      <c r="H1510" s="199">
        <v>609695</v>
      </c>
      <c r="I1510" s="228">
        <v>0.26</v>
      </c>
      <c r="J1510" s="201">
        <v>158520.70000000001</v>
      </c>
      <c r="K1510" s="229">
        <v>405531</v>
      </c>
      <c r="L1510" s="203"/>
      <c r="M1510" s="194" t="s">
        <v>614</v>
      </c>
    </row>
    <row r="1511" spans="2:13">
      <c r="B1511" s="211"/>
      <c r="C1511" s="197" t="s">
        <v>349</v>
      </c>
      <c r="D1511" s="197">
        <v>100016</v>
      </c>
      <c r="E1511" s="198" t="s">
        <v>2637</v>
      </c>
      <c r="F1511" s="199">
        <v>622327.78</v>
      </c>
      <c r="G1511" s="199"/>
      <c r="H1511" s="199">
        <v>622327.78</v>
      </c>
      <c r="I1511" s="228">
        <v>0.26</v>
      </c>
      <c r="J1511" s="201">
        <v>161805.22280000002</v>
      </c>
      <c r="K1511" s="229">
        <v>172610</v>
      </c>
      <c r="L1511" s="203"/>
      <c r="M1511" s="194" t="s">
        <v>616</v>
      </c>
    </row>
    <row r="1512" spans="2:13">
      <c r="B1512" s="211"/>
      <c r="C1512" s="197" t="s">
        <v>352</v>
      </c>
      <c r="D1512" s="197">
        <v>100016</v>
      </c>
      <c r="E1512" s="198" t="s">
        <v>2638</v>
      </c>
      <c r="F1512" s="199">
        <v>1575419.8199999998</v>
      </c>
      <c r="G1512" s="199"/>
      <c r="H1512" s="199">
        <v>1575419.8199999998</v>
      </c>
      <c r="I1512" s="228">
        <v>0.26</v>
      </c>
      <c r="J1512" s="201">
        <v>409609.15319999994</v>
      </c>
      <c r="K1512" s="229">
        <v>389006</v>
      </c>
      <c r="L1512" s="203"/>
      <c r="M1512" s="194" t="s">
        <v>619</v>
      </c>
    </row>
    <row r="1513" spans="2:13">
      <c r="B1513" s="211"/>
      <c r="C1513" s="197" t="s">
        <v>353</v>
      </c>
      <c r="D1513" s="197">
        <v>100016</v>
      </c>
      <c r="E1513" s="198" t="s">
        <v>2605</v>
      </c>
      <c r="F1513" s="199">
        <v>0</v>
      </c>
      <c r="G1513" s="199"/>
      <c r="H1513" s="199">
        <v>0</v>
      </c>
      <c r="I1513" s="228">
        <v>0.26</v>
      </c>
      <c r="J1513" s="201">
        <v>0</v>
      </c>
      <c r="K1513" s="229">
        <v>100176</v>
      </c>
      <c r="L1513" s="203"/>
      <c r="M1513" s="194" t="s">
        <v>620</v>
      </c>
    </row>
    <row r="1514" spans="2:13">
      <c r="B1514" s="211"/>
      <c r="C1514" s="197" t="s">
        <v>725</v>
      </c>
      <c r="D1514" s="197">
        <v>100016</v>
      </c>
      <c r="E1514" s="198" t="s">
        <v>2639</v>
      </c>
      <c r="F1514" s="199">
        <v>22000000</v>
      </c>
      <c r="G1514" s="199"/>
      <c r="H1514" s="199">
        <v>22000000</v>
      </c>
      <c r="I1514" s="228">
        <v>0.26</v>
      </c>
      <c r="J1514" s="201">
        <v>5720000</v>
      </c>
      <c r="K1514" s="229">
        <v>4290000</v>
      </c>
      <c r="L1514" s="203"/>
      <c r="M1514" s="194" t="s">
        <v>363</v>
      </c>
    </row>
    <row r="1515" spans="2:13">
      <c r="B1515" s="211"/>
      <c r="C1515" s="197" t="s">
        <v>724</v>
      </c>
      <c r="D1515" s="197">
        <v>100016</v>
      </c>
      <c r="E1515" s="198" t="s">
        <v>2640</v>
      </c>
      <c r="F1515" s="199">
        <v>762300</v>
      </c>
      <c r="G1515" s="199"/>
      <c r="H1515" s="199">
        <v>762300</v>
      </c>
      <c r="I1515" s="228">
        <v>0.26</v>
      </c>
      <c r="J1515" s="201">
        <v>198198</v>
      </c>
      <c r="K1515" s="229">
        <v>-179903</v>
      </c>
      <c r="L1515" s="203"/>
      <c r="M1515" s="194" t="s">
        <v>364</v>
      </c>
    </row>
    <row r="1516" spans="2:13">
      <c r="B1516" s="211"/>
      <c r="C1516" s="197" t="s">
        <v>672</v>
      </c>
      <c r="D1516" s="197">
        <v>100016</v>
      </c>
      <c r="E1516" s="198" t="s">
        <v>2641</v>
      </c>
      <c r="F1516" s="199">
        <v>55754.25</v>
      </c>
      <c r="G1516" s="199"/>
      <c r="H1516" s="199">
        <v>55754.25</v>
      </c>
      <c r="I1516" s="228">
        <v>0.26</v>
      </c>
      <c r="J1516" s="201">
        <v>14496.105000000001</v>
      </c>
      <c r="K1516" s="229">
        <v>11551</v>
      </c>
      <c r="L1516" s="203"/>
      <c r="M1516" s="194" t="s">
        <v>606</v>
      </c>
    </row>
    <row r="1517" spans="2:13">
      <c r="B1517" s="211"/>
      <c r="C1517" s="197" t="s">
        <v>654</v>
      </c>
      <c r="D1517" s="197">
        <v>100016</v>
      </c>
      <c r="E1517" s="198" t="s">
        <v>2642</v>
      </c>
      <c r="F1517" s="199">
        <v>335414.41000000003</v>
      </c>
      <c r="G1517" s="199"/>
      <c r="H1517" s="199">
        <v>335414.41000000003</v>
      </c>
      <c r="I1517" s="228">
        <v>0.26</v>
      </c>
      <c r="J1517" s="201">
        <v>87207.746600000013</v>
      </c>
      <c r="K1517" s="229">
        <v>94886</v>
      </c>
      <c r="L1517" s="203"/>
      <c r="M1517" s="194" t="s">
        <v>607</v>
      </c>
    </row>
    <row r="1518" spans="2:13">
      <c r="B1518" s="211"/>
      <c r="C1518" s="197" t="s">
        <v>285</v>
      </c>
      <c r="D1518" s="197">
        <v>100016</v>
      </c>
      <c r="E1518" s="198" t="s">
        <v>2643</v>
      </c>
      <c r="F1518" s="199">
        <v>1579635</v>
      </c>
      <c r="G1518" s="199"/>
      <c r="H1518" s="199">
        <v>1579635</v>
      </c>
      <c r="I1518" s="228">
        <v>0.26</v>
      </c>
      <c r="J1518" s="201">
        <v>410705.10000000003</v>
      </c>
      <c r="K1518" s="229">
        <v>937633</v>
      </c>
      <c r="L1518" s="203"/>
      <c r="M1518" s="194" t="s">
        <v>557</v>
      </c>
    </row>
    <row r="1519" spans="2:13">
      <c r="B1519" s="211"/>
      <c r="C1519" s="197" t="s">
        <v>351</v>
      </c>
      <c r="D1519" s="197">
        <v>100016</v>
      </c>
      <c r="E1519" s="198" t="s">
        <v>2644</v>
      </c>
      <c r="F1519" s="199">
        <v>0</v>
      </c>
      <c r="G1519" s="199"/>
      <c r="H1519" s="199">
        <v>0</v>
      </c>
      <c r="I1519" s="228">
        <v>0.26</v>
      </c>
      <c r="J1519" s="201">
        <v>0</v>
      </c>
      <c r="K1519" s="229">
        <v>20139</v>
      </c>
      <c r="L1519" s="203"/>
      <c r="M1519" s="194" t="s">
        <v>618</v>
      </c>
    </row>
    <row r="1520" spans="2:13">
      <c r="B1520" s="211"/>
      <c r="C1520" s="197" t="s">
        <v>266</v>
      </c>
      <c r="D1520" s="197">
        <v>100016</v>
      </c>
      <c r="E1520" s="198" t="s">
        <v>2645</v>
      </c>
      <c r="F1520" s="199">
        <v>-3317322.97</v>
      </c>
      <c r="G1520" s="199"/>
      <c r="H1520" s="199">
        <v>-3317322.97</v>
      </c>
      <c r="I1520" s="228">
        <v>0.26</v>
      </c>
      <c r="J1520" s="201">
        <v>-862503.97220000008</v>
      </c>
      <c r="K1520" s="229">
        <v>-1437259</v>
      </c>
      <c r="L1520" s="203"/>
      <c r="M1520" s="194" t="s">
        <v>541</v>
      </c>
    </row>
    <row r="1521" spans="2:13">
      <c r="B1521" s="211"/>
      <c r="C1521" s="197" t="s">
        <v>687</v>
      </c>
      <c r="D1521" s="197">
        <v>100016</v>
      </c>
      <c r="E1521" s="198" t="s">
        <v>2646</v>
      </c>
      <c r="F1521" s="199">
        <v>0</v>
      </c>
      <c r="G1521" s="199"/>
      <c r="H1521" s="199">
        <v>0</v>
      </c>
      <c r="I1521" s="228">
        <v>0.26</v>
      </c>
      <c r="J1521" s="201">
        <v>0</v>
      </c>
      <c r="K1521" s="229" t="s">
        <v>2562</v>
      </c>
      <c r="L1521" s="203"/>
      <c r="M1521" s="194" t="s">
        <v>549</v>
      </c>
    </row>
    <row r="1522" spans="2:13">
      <c r="B1522" s="211"/>
      <c r="C1522" s="197" t="s">
        <v>690</v>
      </c>
      <c r="D1522" s="197">
        <v>100016</v>
      </c>
      <c r="E1522" s="198" t="s">
        <v>2647</v>
      </c>
      <c r="F1522" s="199">
        <v>0</v>
      </c>
      <c r="G1522" s="199"/>
      <c r="H1522" s="199">
        <v>0</v>
      </c>
      <c r="I1522" s="228">
        <v>0.26</v>
      </c>
      <c r="J1522" s="201">
        <v>0</v>
      </c>
      <c r="K1522" s="229" t="s">
        <v>2562</v>
      </c>
      <c r="L1522" s="203"/>
      <c r="M1522" s="194" t="s">
        <v>550</v>
      </c>
    </row>
    <row r="1523" spans="2:13">
      <c r="B1523" s="211"/>
      <c r="C1523" s="197" t="s">
        <v>689</v>
      </c>
      <c r="D1523" s="197">
        <v>100016</v>
      </c>
      <c r="E1523" s="198" t="s">
        <v>2648</v>
      </c>
      <c r="F1523" s="199">
        <v>9320866</v>
      </c>
      <c r="G1523" s="199"/>
      <c r="H1523" s="199">
        <v>9320866</v>
      </c>
      <c r="I1523" s="228">
        <v>0.26</v>
      </c>
      <c r="J1523" s="201">
        <v>2423425.16</v>
      </c>
      <c r="K1523" s="229">
        <v>6221978</v>
      </c>
      <c r="L1523" s="203"/>
      <c r="M1523" s="194" t="s">
        <v>551</v>
      </c>
    </row>
    <row r="1524" spans="2:13">
      <c r="B1524" s="211"/>
      <c r="C1524" s="197" t="s">
        <v>662</v>
      </c>
      <c r="D1524" s="197">
        <v>100016</v>
      </c>
      <c r="E1524" s="198" t="s">
        <v>2649</v>
      </c>
      <c r="F1524" s="199">
        <v>-18657078</v>
      </c>
      <c r="G1524" s="199"/>
      <c r="H1524" s="199">
        <v>-18657078</v>
      </c>
      <c r="I1524" s="228">
        <v>0.26</v>
      </c>
      <c r="J1524" s="201">
        <v>-4850840.28</v>
      </c>
      <c r="K1524" s="229">
        <v>-2423425</v>
      </c>
      <c r="L1524" s="203"/>
      <c r="M1524" s="194" t="s">
        <v>554</v>
      </c>
    </row>
    <row r="1525" spans="2:13">
      <c r="B1525" s="211"/>
      <c r="C1525" s="197" t="s">
        <v>688</v>
      </c>
      <c r="D1525" s="197">
        <v>100016</v>
      </c>
      <c r="E1525" s="198" t="s">
        <v>2650</v>
      </c>
      <c r="F1525" s="199">
        <v>34722234</v>
      </c>
      <c r="G1525" s="199"/>
      <c r="H1525" s="199">
        <v>34722234</v>
      </c>
      <c r="I1525" s="228">
        <v>0.26</v>
      </c>
      <c r="J1525" s="201">
        <v>9027780.8399999999</v>
      </c>
      <c r="K1525" s="229">
        <v>2433526</v>
      </c>
      <c r="L1525" s="203"/>
      <c r="M1525" s="194" t="s">
        <v>543</v>
      </c>
    </row>
    <row r="1526" spans="2:13">
      <c r="B1526" s="211"/>
      <c r="C1526" s="197" t="s">
        <v>661</v>
      </c>
      <c r="D1526" s="197">
        <v>100016</v>
      </c>
      <c r="E1526" s="198" t="s">
        <v>2651</v>
      </c>
      <c r="F1526" s="199">
        <v>-46719312</v>
      </c>
      <c r="G1526" s="199"/>
      <c r="H1526" s="199">
        <v>-46719312</v>
      </c>
      <c r="I1526" s="228">
        <v>0.26</v>
      </c>
      <c r="J1526" s="201">
        <v>-12147021.120000001</v>
      </c>
      <c r="K1526" s="229">
        <v>-9027781</v>
      </c>
      <c r="L1526" s="203"/>
      <c r="M1526" s="194" t="s">
        <v>547</v>
      </c>
    </row>
    <row r="1527" spans="2:13">
      <c r="B1527" s="211"/>
      <c r="C1527" s="197" t="s">
        <v>311</v>
      </c>
      <c r="D1527" s="197">
        <v>100016</v>
      </c>
      <c r="E1527" s="198" t="s">
        <v>2652</v>
      </c>
      <c r="F1527" s="199">
        <v>30018.6</v>
      </c>
      <c r="G1527" s="199"/>
      <c r="H1527" s="199">
        <v>30018.6</v>
      </c>
      <c r="I1527" s="228">
        <v>0.26</v>
      </c>
      <c r="J1527" s="201">
        <v>7804.8360000000002</v>
      </c>
      <c r="K1527" s="229">
        <v>15462</v>
      </c>
      <c r="L1527" s="203"/>
      <c r="M1527" s="194" t="s">
        <v>579</v>
      </c>
    </row>
    <row r="1528" spans="2:13">
      <c r="B1528" s="211"/>
      <c r="C1528" s="197" t="s">
        <v>980</v>
      </c>
      <c r="D1528" s="197">
        <v>100016</v>
      </c>
      <c r="E1528" s="198" t="s">
        <v>2653</v>
      </c>
      <c r="F1528" s="199">
        <v>1247776</v>
      </c>
      <c r="G1528" s="199"/>
      <c r="H1528" s="199">
        <v>1247776</v>
      </c>
      <c r="I1528" s="228">
        <v>0.26</v>
      </c>
      <c r="J1528" s="201">
        <v>324421.76000000001</v>
      </c>
      <c r="K1528" s="229">
        <v>500803</v>
      </c>
      <c r="L1528" s="203"/>
      <c r="M1528" s="194" t="s">
        <v>362</v>
      </c>
    </row>
    <row r="1529" spans="2:13">
      <c r="B1529" s="211"/>
      <c r="C1529" s="197" t="s">
        <v>342</v>
      </c>
      <c r="D1529" s="197">
        <v>100016</v>
      </c>
      <c r="E1529" s="198" t="s">
        <v>2654</v>
      </c>
      <c r="F1529" s="199">
        <v>0</v>
      </c>
      <c r="G1529" s="199"/>
      <c r="H1529" s="199">
        <v>0</v>
      </c>
      <c r="I1529" s="228">
        <v>0.26</v>
      </c>
      <c r="J1529" s="201">
        <v>0</v>
      </c>
      <c r="K1529" s="229">
        <v>351000</v>
      </c>
      <c r="L1529" s="203"/>
      <c r="M1529" s="194" t="s">
        <v>1398</v>
      </c>
    </row>
    <row r="1530" spans="2:13">
      <c r="B1530" s="211"/>
      <c r="C1530" s="197"/>
      <c r="D1530" s="197">
        <v>100016</v>
      </c>
      <c r="E1530" s="198" t="s">
        <v>2655</v>
      </c>
      <c r="F1530" s="199">
        <v>0</v>
      </c>
      <c r="G1530" s="199"/>
      <c r="H1530" s="199">
        <v>0</v>
      </c>
      <c r="I1530" s="228">
        <v>0.26</v>
      </c>
      <c r="J1530" s="201">
        <v>0</v>
      </c>
      <c r="K1530" s="229" t="s">
        <v>2562</v>
      </c>
      <c r="L1530" s="203"/>
      <c r="M1530" s="194" t="s">
        <v>2656</v>
      </c>
    </row>
    <row r="1531" spans="2:13">
      <c r="B1531" s="211"/>
      <c r="C1531" s="197"/>
      <c r="D1531" s="197">
        <v>100016</v>
      </c>
      <c r="E1531" s="198" t="s">
        <v>2572</v>
      </c>
      <c r="F1531" s="199">
        <v>0</v>
      </c>
      <c r="G1531" s="199"/>
      <c r="H1531" s="199">
        <v>0</v>
      </c>
      <c r="I1531" s="228">
        <v>0.26</v>
      </c>
      <c r="J1531" s="201">
        <v>0</v>
      </c>
      <c r="K1531" s="229" t="s">
        <v>2562</v>
      </c>
      <c r="L1531" s="203"/>
      <c r="M1531" s="194"/>
    </row>
    <row r="1532" spans="2:13">
      <c r="B1532" s="211"/>
      <c r="C1532" s="197" t="s">
        <v>671</v>
      </c>
      <c r="D1532" s="197">
        <v>100016</v>
      </c>
      <c r="E1532" s="198" t="s">
        <v>2617</v>
      </c>
      <c r="F1532" s="199">
        <v>-371961.5</v>
      </c>
      <c r="G1532" s="199"/>
      <c r="H1532" s="199">
        <v>-371961.5</v>
      </c>
      <c r="I1532" s="228">
        <v>0.26</v>
      </c>
      <c r="J1532" s="201">
        <v>-96709.99</v>
      </c>
      <c r="K1532" s="229">
        <v>-410236</v>
      </c>
      <c r="L1532" s="203"/>
      <c r="M1532" s="194" t="s">
        <v>581</v>
      </c>
    </row>
    <row r="1533" spans="2:13">
      <c r="B1533" s="211"/>
      <c r="C1533" s="197" t="s">
        <v>703</v>
      </c>
      <c r="D1533" s="197">
        <v>100016</v>
      </c>
      <c r="E1533" s="198" t="s">
        <v>2572</v>
      </c>
      <c r="F1533" s="199">
        <v>0</v>
      </c>
      <c r="G1533" s="199"/>
      <c r="H1533" s="199">
        <v>0</v>
      </c>
      <c r="I1533" s="228">
        <v>0.26</v>
      </c>
      <c r="J1533" s="201">
        <v>0</v>
      </c>
      <c r="K1533" s="229" t="s">
        <v>2562</v>
      </c>
      <c r="L1533" s="203"/>
      <c r="M1533" s="194"/>
    </row>
    <row r="1534" spans="2:13">
      <c r="B1534" s="211"/>
      <c r="C1534" s="197" t="s">
        <v>670</v>
      </c>
      <c r="D1534" s="197">
        <v>100016</v>
      </c>
      <c r="E1534" s="198" t="s">
        <v>2600</v>
      </c>
      <c r="F1534" s="199">
        <v>371961.5</v>
      </c>
      <c r="G1534" s="199"/>
      <c r="H1534" s="199">
        <v>371961.5</v>
      </c>
      <c r="I1534" s="228">
        <v>0.26</v>
      </c>
      <c r="J1534" s="201">
        <v>96709.99</v>
      </c>
      <c r="K1534" s="229">
        <v>410236</v>
      </c>
      <c r="L1534" s="203"/>
      <c r="M1534" s="194" t="s">
        <v>361</v>
      </c>
    </row>
    <row r="1535" spans="2:13">
      <c r="B1535" s="211"/>
      <c r="C1535" s="197" t="s">
        <v>696</v>
      </c>
      <c r="D1535" s="197">
        <v>100016</v>
      </c>
      <c r="E1535" s="198" t="s">
        <v>2572</v>
      </c>
      <c r="F1535" s="199">
        <v>0</v>
      </c>
      <c r="G1535" s="199"/>
      <c r="H1535" s="199">
        <v>0</v>
      </c>
      <c r="I1535" s="228"/>
      <c r="J1535" s="201">
        <v>0</v>
      </c>
      <c r="K1535" s="229">
        <v>-410235.97940000001</v>
      </c>
      <c r="L1535" s="203"/>
      <c r="M1535" s="194"/>
    </row>
    <row r="1536" spans="2:13">
      <c r="B1536" s="211"/>
      <c r="C1536" s="197"/>
      <c r="D1536" s="197">
        <v>100016</v>
      </c>
      <c r="E1536" s="198" t="s">
        <v>2572</v>
      </c>
      <c r="F1536" s="199">
        <v>0</v>
      </c>
      <c r="G1536" s="199"/>
      <c r="H1536" s="199">
        <v>0</v>
      </c>
      <c r="I1536" s="228"/>
      <c r="J1536" s="201">
        <v>0</v>
      </c>
      <c r="K1536" s="229">
        <v>0</v>
      </c>
      <c r="L1536" s="203"/>
      <c r="M1536" s="194"/>
    </row>
    <row r="1537" spans="2:13">
      <c r="B1537" s="211"/>
      <c r="C1537" s="197"/>
      <c r="D1537" s="197">
        <v>100016</v>
      </c>
      <c r="E1537" s="198" t="s">
        <v>2572</v>
      </c>
      <c r="F1537" s="199">
        <v>0</v>
      </c>
      <c r="G1537" s="199"/>
      <c r="H1537" s="199">
        <v>0</v>
      </c>
      <c r="I1537" s="228"/>
      <c r="J1537" s="201">
        <v>0</v>
      </c>
      <c r="K1537" s="229">
        <v>410235.97940000001</v>
      </c>
      <c r="L1537" s="203"/>
      <c r="M1537" s="194"/>
    </row>
    <row r="1538" spans="2:13">
      <c r="B1538" s="211"/>
      <c r="C1538" s="197"/>
      <c r="D1538" s="197">
        <v>100016</v>
      </c>
      <c r="E1538" s="198" t="s">
        <v>2572</v>
      </c>
      <c r="F1538" s="199"/>
      <c r="G1538" s="199"/>
      <c r="H1538" s="199">
        <v>0</v>
      </c>
      <c r="I1538" s="228"/>
      <c r="J1538" s="201">
        <v>0</v>
      </c>
      <c r="K1538" s="229">
        <v>0</v>
      </c>
      <c r="L1538" s="203"/>
      <c r="M1538" s="194"/>
    </row>
    <row r="1539" spans="2:13">
      <c r="B1539" s="211"/>
      <c r="C1539" s="197"/>
      <c r="D1539" s="197">
        <v>100016</v>
      </c>
      <c r="E1539" s="198" t="s">
        <v>2572</v>
      </c>
      <c r="F1539" s="199"/>
      <c r="G1539" s="199"/>
      <c r="H1539" s="199">
        <v>0</v>
      </c>
      <c r="I1539" s="228"/>
      <c r="J1539" s="201">
        <v>0</v>
      </c>
      <c r="K1539" s="229">
        <v>0</v>
      </c>
      <c r="L1539" s="203"/>
      <c r="M1539" s="194"/>
    </row>
    <row r="1540" spans="2:13">
      <c r="B1540" s="211"/>
      <c r="C1540" s="197"/>
      <c r="D1540" s="197">
        <v>100016</v>
      </c>
      <c r="E1540" s="198" t="s">
        <v>2572</v>
      </c>
      <c r="F1540" s="199"/>
      <c r="G1540" s="199"/>
      <c r="H1540" s="199">
        <v>0</v>
      </c>
      <c r="I1540" s="228"/>
      <c r="J1540" s="201">
        <v>0</v>
      </c>
      <c r="K1540" s="229"/>
      <c r="L1540" s="203"/>
      <c r="M1540" s="194"/>
    </row>
    <row r="1541" spans="2:13">
      <c r="B1541" s="211"/>
      <c r="C1541" s="197"/>
      <c r="D1541" s="197">
        <v>100016</v>
      </c>
      <c r="E1541" s="198" t="s">
        <v>2572</v>
      </c>
      <c r="F1541" s="199"/>
      <c r="G1541" s="199"/>
      <c r="H1541" s="199">
        <v>0</v>
      </c>
      <c r="I1541" s="228"/>
      <c r="J1541" s="201">
        <v>0</v>
      </c>
      <c r="K1541" s="229"/>
      <c r="L1541" s="203"/>
      <c r="M1541" s="194"/>
    </row>
    <row r="1542" spans="2:13">
      <c r="B1542" s="211"/>
      <c r="C1542" s="197"/>
      <c r="D1542" s="197">
        <v>100016</v>
      </c>
      <c r="E1542" s="198" t="s">
        <v>2572</v>
      </c>
      <c r="F1542" s="199"/>
      <c r="G1542" s="199"/>
      <c r="H1542" s="199">
        <v>0</v>
      </c>
      <c r="I1542" s="228"/>
      <c r="J1542" s="201">
        <v>0</v>
      </c>
      <c r="K1542" s="229"/>
      <c r="L1542" s="203"/>
      <c r="M1542" s="194"/>
    </row>
    <row r="1543" spans="2:13">
      <c r="B1543" s="211"/>
      <c r="C1543" s="197"/>
      <c r="D1543" s="197">
        <v>100016</v>
      </c>
      <c r="E1543" s="198" t="s">
        <v>2572</v>
      </c>
      <c r="F1543" s="199"/>
      <c r="G1543" s="199"/>
      <c r="H1543" s="199">
        <v>0</v>
      </c>
      <c r="I1543" s="228"/>
      <c r="J1543" s="201">
        <v>0</v>
      </c>
      <c r="K1543" s="201"/>
      <c r="L1543" s="215"/>
      <c r="M1543" s="194"/>
    </row>
    <row r="1544" spans="2:13">
      <c r="B1544" s="211"/>
      <c r="C1544" s="262"/>
      <c r="D1544" s="262"/>
      <c r="E1544" s="262"/>
      <c r="F1544" s="265">
        <v>0</v>
      </c>
      <c r="G1544" s="264"/>
      <c r="H1544" s="265">
        <v>0</v>
      </c>
      <c r="I1544" s="264"/>
      <c r="J1544" s="263">
        <v>0</v>
      </c>
      <c r="K1544" s="263">
        <v>0</v>
      </c>
      <c r="L1544" s="352"/>
      <c r="M1544" s="194"/>
    </row>
    <row r="1545" spans="2:13">
      <c r="B1545" s="211"/>
      <c r="C1545" s="208"/>
      <c r="D1545" s="208"/>
      <c r="E1545" s="208"/>
      <c r="F1545" s="244"/>
      <c r="G1545" s="244"/>
      <c r="H1545" s="244"/>
      <c r="I1545" s="244"/>
      <c r="J1545" s="245"/>
      <c r="K1545" s="245"/>
      <c r="L1545" s="352"/>
      <c r="M1545" s="194"/>
    </row>
    <row r="1546" spans="2:13" ht="13.5" thickBot="1">
      <c r="B1546" s="266"/>
      <c r="C1546" s="267"/>
      <c r="D1546" s="267"/>
      <c r="E1546" s="267"/>
      <c r="F1546" s="268"/>
      <c r="G1546" s="268"/>
      <c r="H1546" s="268"/>
      <c r="I1546" s="268"/>
      <c r="J1546" s="269"/>
      <c r="K1546" s="269"/>
      <c r="L1546" s="280"/>
      <c r="M1546" s="194"/>
    </row>
    <row r="1547" spans="2:13" ht="13.5" thickTop="1"/>
  </sheetData>
  <autoFilter ref="A8:M8"/>
  <conditionalFormatting sqref="L1544:L1545 F1294 F1398 J1422:L1422 H1422 F1422 F1167 F896 F938 L1277 H1294 F778 H607 F544 L406:L407 H406 F406 J153:L153 F153 H153 H778 J778:L778 J697:L697 H938 H1056 H1544 F1544 H697 F697 F607 L544 J1294:L1294 H896 J896:L896 J322:L322 H322 H1398 J1398:L1398 H197 J1056:L1056 H1167 J1167:L1167 J938:L938 F322 F1056 F197 J197:L197 J607:L607 J1544:K1544 J406:K406">
    <cfRule type="cellIs" dxfId="46" priority="47" operator="notEqual">
      <formula>0</formula>
    </cfRule>
  </conditionalFormatting>
  <conditionalFormatting sqref="H406 F406 J153:K153 F153 H153 J322:K322 H322 H197 F322 F197 J197:K197 J406:K406">
    <cfRule type="cellIs" dxfId="45" priority="46" operator="notEqual">
      <formula>0</formula>
    </cfRule>
  </conditionalFormatting>
  <conditionalFormatting sqref="F7">
    <cfRule type="cellIs" dxfId="44" priority="44" operator="notEqual">
      <formula>0</formula>
    </cfRule>
    <cfRule type="cellIs" dxfId="43" priority="45" operator="equal">
      <formula>0</formula>
    </cfRule>
  </conditionalFormatting>
  <conditionalFormatting sqref="F161">
    <cfRule type="cellIs" dxfId="42" priority="42" operator="notEqual">
      <formula>0</formula>
    </cfRule>
    <cfRule type="cellIs" dxfId="41" priority="43" operator="equal">
      <formula>0</formula>
    </cfRule>
  </conditionalFormatting>
  <conditionalFormatting sqref="F205">
    <cfRule type="cellIs" dxfId="40" priority="40" operator="notEqual">
      <formula>0</formula>
    </cfRule>
    <cfRule type="cellIs" dxfId="39" priority="41" operator="equal">
      <formula>0</formula>
    </cfRule>
  </conditionalFormatting>
  <conditionalFormatting sqref="F330">
    <cfRule type="cellIs" dxfId="38" priority="38" operator="notEqual">
      <formula>0</formula>
    </cfRule>
    <cfRule type="cellIs" dxfId="37" priority="39" operator="equal">
      <formula>0</formula>
    </cfRule>
  </conditionalFormatting>
  <conditionalFormatting sqref="F414">
    <cfRule type="cellIs" dxfId="36" priority="36" operator="notEqual">
      <formula>0</formula>
    </cfRule>
    <cfRule type="cellIs" dxfId="35" priority="37" operator="equal">
      <formula>0</formula>
    </cfRule>
  </conditionalFormatting>
  <conditionalFormatting sqref="F615">
    <cfRule type="cellIs" dxfId="34" priority="34" operator="notEqual">
      <formula>0</formula>
    </cfRule>
    <cfRule type="cellIs" dxfId="33" priority="35" operator="equal">
      <formula>0</formula>
    </cfRule>
  </conditionalFormatting>
  <conditionalFormatting sqref="F705">
    <cfRule type="cellIs" dxfId="32" priority="32" operator="notEqual">
      <formula>0</formula>
    </cfRule>
    <cfRule type="cellIs" dxfId="31" priority="33" operator="equal">
      <formula>0</formula>
    </cfRule>
  </conditionalFormatting>
  <conditionalFormatting sqref="F786">
    <cfRule type="cellIs" dxfId="30" priority="30" operator="notEqual">
      <formula>0</formula>
    </cfRule>
    <cfRule type="cellIs" dxfId="29" priority="31" operator="equal">
      <formula>0</formula>
    </cfRule>
  </conditionalFormatting>
  <conditionalFormatting sqref="F904">
    <cfRule type="cellIs" dxfId="28" priority="28" operator="notEqual">
      <formula>0</formula>
    </cfRule>
    <cfRule type="cellIs" dxfId="27" priority="29" operator="equal">
      <formula>0</formula>
    </cfRule>
  </conditionalFormatting>
  <conditionalFormatting sqref="F946">
    <cfRule type="cellIs" dxfId="26" priority="26" operator="notEqual">
      <formula>0</formula>
    </cfRule>
    <cfRule type="cellIs" dxfId="25" priority="27" operator="equal">
      <formula>0</formula>
    </cfRule>
  </conditionalFormatting>
  <conditionalFormatting sqref="F1064">
    <cfRule type="cellIs" dxfId="24" priority="24" operator="notEqual">
      <formula>0</formula>
    </cfRule>
    <cfRule type="cellIs" dxfId="23" priority="25" operator="equal">
      <formula>0</formula>
    </cfRule>
  </conditionalFormatting>
  <conditionalFormatting sqref="F1175">
    <cfRule type="cellIs" dxfId="22" priority="22" operator="notEqual">
      <formula>0</formula>
    </cfRule>
    <cfRule type="cellIs" dxfId="21" priority="23" operator="equal">
      <formula>0</formula>
    </cfRule>
  </conditionalFormatting>
  <conditionalFormatting sqref="F1285">
    <cfRule type="cellIs" dxfId="20" priority="20" operator="notEqual">
      <formula>0</formula>
    </cfRule>
    <cfRule type="cellIs" dxfId="19" priority="21" operator="equal">
      <formula>0</formula>
    </cfRule>
  </conditionalFormatting>
  <conditionalFormatting sqref="F1302">
    <cfRule type="cellIs" dxfId="18" priority="18" operator="notEqual">
      <formula>0</formula>
    </cfRule>
    <cfRule type="cellIs" dxfId="17" priority="19" operator="equal">
      <formula>0</formula>
    </cfRule>
  </conditionalFormatting>
  <conditionalFormatting sqref="F1406">
    <cfRule type="cellIs" dxfId="16" priority="16" operator="notEqual">
      <formula>0</formula>
    </cfRule>
    <cfRule type="cellIs" dxfId="15" priority="17" operator="equal">
      <formula>0</formula>
    </cfRule>
  </conditionalFormatting>
  <conditionalFormatting sqref="F1430">
    <cfRule type="cellIs" dxfId="14" priority="14" operator="notEqual">
      <formula>0</formula>
    </cfRule>
    <cfRule type="cellIs" dxfId="13" priority="15" operator="equal">
      <formula>0</formula>
    </cfRule>
  </conditionalFormatting>
  <conditionalFormatting sqref="J1175">
    <cfRule type="cellIs" dxfId="12" priority="12" operator="notEqual">
      <formula>0</formula>
    </cfRule>
    <cfRule type="cellIs" dxfId="11" priority="13" operator="equal">
      <formula>0</formula>
    </cfRule>
  </conditionalFormatting>
  <conditionalFormatting sqref="J1064">
    <cfRule type="cellIs" dxfId="10" priority="10" operator="notEqual">
      <formula>0</formula>
    </cfRule>
    <cfRule type="cellIs" dxfId="9" priority="11" operator="equal">
      <formula>0</formula>
    </cfRule>
  </conditionalFormatting>
  <conditionalFormatting sqref="J615">
    <cfRule type="cellIs" dxfId="8" priority="8" operator="notEqual">
      <formula>0</formula>
    </cfRule>
    <cfRule type="cellIs" dxfId="7" priority="9" operator="equal">
      <formula>0</formula>
    </cfRule>
  </conditionalFormatting>
  <conditionalFormatting sqref="J786">
    <cfRule type="cellIs" dxfId="6" priority="6" operator="notEqual">
      <formula>0</formula>
    </cfRule>
    <cfRule type="cellIs" dxfId="5" priority="7" operator="equal">
      <formula>0</formula>
    </cfRule>
  </conditionalFormatting>
  <conditionalFormatting sqref="G544:H544 J544:K544">
    <cfRule type="cellIs" dxfId="4" priority="5" operator="notEqual">
      <formula>0</formula>
    </cfRule>
  </conditionalFormatting>
  <conditionalFormatting sqref="F551">
    <cfRule type="cellIs" dxfId="3" priority="3" operator="notEqual">
      <formula>0</formula>
    </cfRule>
    <cfRule type="cellIs" dxfId="2" priority="4" operator="equal">
      <formula>0</formula>
    </cfRule>
  </conditionalFormatting>
  <conditionalFormatting sqref="G7">
    <cfRule type="cellIs" dxfId="1" priority="1" operator="notEqual">
      <formula>0</formula>
    </cfRule>
    <cfRule type="cellIs" dxfId="0" priority="2" operator="equal">
      <formula>0</formula>
    </cfRule>
  </conditionalFormatting>
  <printOptions horizontalCentered="1"/>
  <pageMargins left="0.25" right="0.25" top="0.75" bottom="0.75" header="0.3" footer="0.3"/>
  <pageSetup paperSize="9" scale="63" orientation="landscape" verticalDpi="200" r:id="rId1"/>
  <rowBreaks count="16" manualBreakCount="16">
    <brk id="156" min="1" max="11" man="1"/>
    <brk id="200" min="1" max="11" man="1"/>
    <brk id="325" min="1" max="11" man="1"/>
    <brk id="409" min="1" max="11" man="1"/>
    <brk id="547" min="1" max="11" man="1"/>
    <brk id="610" min="1" max="11" man="1"/>
    <brk id="699" min="1" max="11" man="1"/>
    <brk id="781" min="1" max="11" man="1"/>
    <brk id="899" min="1" max="11" man="1"/>
    <brk id="941" min="1" max="11" man="1"/>
    <brk id="1059" min="1" max="11" man="1"/>
    <brk id="1170" min="1" max="11" man="1"/>
    <brk id="1280" min="1" max="11" man="1"/>
    <brk id="1297" min="1" max="11" man="1"/>
    <brk id="1401" min="1" max="11" man="1"/>
    <brk id="1425" min="1" max="11" man="1"/>
  </rowBreaks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56"/>
  <sheetViews>
    <sheetView workbookViewId="0">
      <selection activeCell="E8" sqref="E8"/>
    </sheetView>
  </sheetViews>
  <sheetFormatPr defaultRowHeight="15"/>
  <cols>
    <col min="2" max="2" width="47.85546875" bestFit="1" customWidth="1"/>
    <col min="4" max="4" width="19.85546875" bestFit="1" customWidth="1"/>
    <col min="5" max="5" width="13.42578125" style="353" bestFit="1" customWidth="1"/>
  </cols>
  <sheetData>
    <row r="1" spans="1:5">
      <c r="A1" s="117" t="s">
        <v>2887</v>
      </c>
      <c r="B1" s="117" t="s">
        <v>2883</v>
      </c>
      <c r="C1" s="117" t="s">
        <v>2884</v>
      </c>
      <c r="D1" s="117" t="s">
        <v>2885</v>
      </c>
      <c r="E1" s="353" t="s">
        <v>2886</v>
      </c>
    </row>
    <row r="2" spans="1:5">
      <c r="A2">
        <v>1</v>
      </c>
      <c r="B2" t="s">
        <v>2716</v>
      </c>
      <c r="C2" t="s">
        <v>2685</v>
      </c>
      <c r="D2" t="s">
        <v>2686</v>
      </c>
      <c r="E2" s="353">
        <v>647512448.92900002</v>
      </c>
    </row>
    <row r="3" spans="1:5">
      <c r="A3">
        <v>2</v>
      </c>
      <c r="B3" t="s">
        <v>2689</v>
      </c>
      <c r="C3">
        <v>100000</v>
      </c>
      <c r="D3" t="s">
        <v>1114</v>
      </c>
      <c r="E3" s="353">
        <v>209164727.94999996</v>
      </c>
    </row>
    <row r="4" spans="1:5">
      <c r="A4">
        <v>3</v>
      </c>
      <c r="B4" t="s">
        <v>2720</v>
      </c>
      <c r="C4">
        <v>100006</v>
      </c>
      <c r="D4" t="s">
        <v>1796</v>
      </c>
      <c r="E4" s="353">
        <v>186139503.45899999</v>
      </c>
    </row>
    <row r="5" spans="1:5">
      <c r="A5">
        <v>4</v>
      </c>
      <c r="B5" t="s">
        <v>2689</v>
      </c>
      <c r="C5">
        <v>100000</v>
      </c>
      <c r="D5" t="s">
        <v>1114</v>
      </c>
      <c r="E5" s="353">
        <v>185896041.57999998</v>
      </c>
    </row>
    <row r="6" spans="1:5">
      <c r="A6">
        <v>5</v>
      </c>
      <c r="B6" t="s">
        <v>2752</v>
      </c>
      <c r="C6">
        <v>100000</v>
      </c>
      <c r="D6" t="s">
        <v>1155</v>
      </c>
      <c r="E6" s="353">
        <v>180000000</v>
      </c>
    </row>
    <row r="7" spans="1:5">
      <c r="A7">
        <v>6</v>
      </c>
      <c r="B7" t="s">
        <v>2733</v>
      </c>
      <c r="C7" t="s">
        <v>2683</v>
      </c>
      <c r="D7" t="s">
        <v>2684</v>
      </c>
      <c r="E7" s="353">
        <v>137482380</v>
      </c>
    </row>
    <row r="8" spans="1:5">
      <c r="A8">
        <v>7</v>
      </c>
      <c r="B8" t="s">
        <v>2716</v>
      </c>
      <c r="C8">
        <v>100007</v>
      </c>
      <c r="D8" t="s">
        <v>1910</v>
      </c>
      <c r="E8" s="353">
        <v>110528584.73999999</v>
      </c>
    </row>
    <row r="9" spans="1:5">
      <c r="A9">
        <v>8</v>
      </c>
      <c r="B9" t="s">
        <v>2716</v>
      </c>
      <c r="C9">
        <v>100008</v>
      </c>
      <c r="D9" t="s">
        <v>2026</v>
      </c>
      <c r="E9" s="353">
        <v>100904839</v>
      </c>
    </row>
    <row r="10" spans="1:5">
      <c r="A10">
        <v>9</v>
      </c>
      <c r="B10" t="s">
        <v>2689</v>
      </c>
      <c r="C10">
        <v>100000</v>
      </c>
      <c r="D10" t="s">
        <v>1114</v>
      </c>
      <c r="E10" s="353">
        <v>98941386.210000008</v>
      </c>
    </row>
    <row r="11" spans="1:5">
      <c r="A11">
        <v>10</v>
      </c>
      <c r="B11" t="s">
        <v>2730</v>
      </c>
      <c r="C11" t="s">
        <v>2683</v>
      </c>
      <c r="D11" t="s">
        <v>2684</v>
      </c>
      <c r="E11" s="353">
        <v>89109120.379999995</v>
      </c>
    </row>
    <row r="12" spans="1:5">
      <c r="A12">
        <v>11</v>
      </c>
      <c r="B12" t="s">
        <v>2706</v>
      </c>
      <c r="C12">
        <v>100003</v>
      </c>
      <c r="D12" t="s">
        <v>1454</v>
      </c>
      <c r="E12" s="353">
        <v>84587228.7317359</v>
      </c>
    </row>
    <row r="13" spans="1:5">
      <c r="A13">
        <v>12</v>
      </c>
      <c r="B13" t="s">
        <v>2689</v>
      </c>
      <c r="C13">
        <v>100000</v>
      </c>
      <c r="D13" t="s">
        <v>1114</v>
      </c>
      <c r="E13" s="353">
        <v>82110327.120000005</v>
      </c>
    </row>
    <row r="14" spans="1:5">
      <c r="A14">
        <v>13</v>
      </c>
      <c r="B14" t="s">
        <v>2710</v>
      </c>
      <c r="C14">
        <v>100003</v>
      </c>
      <c r="D14" t="s">
        <v>1454</v>
      </c>
      <c r="E14" s="353">
        <v>77667831.084329203</v>
      </c>
    </row>
    <row r="15" spans="1:5">
      <c r="A15">
        <v>14</v>
      </c>
      <c r="B15" t="s">
        <v>2736</v>
      </c>
      <c r="C15" t="s">
        <v>2685</v>
      </c>
      <c r="D15" t="s">
        <v>2686</v>
      </c>
      <c r="E15" s="353">
        <v>73463163.333179995</v>
      </c>
    </row>
    <row r="16" spans="1:5">
      <c r="A16">
        <v>15</v>
      </c>
      <c r="B16" t="s">
        <v>2716</v>
      </c>
      <c r="C16" t="s">
        <v>2683</v>
      </c>
      <c r="D16" t="s">
        <v>2684</v>
      </c>
      <c r="E16" s="353">
        <v>66954212.066711001</v>
      </c>
    </row>
    <row r="17" spans="1:5">
      <c r="A17">
        <v>16</v>
      </c>
      <c r="B17" t="s">
        <v>2876</v>
      </c>
      <c r="C17">
        <v>100000</v>
      </c>
      <c r="D17" t="s">
        <v>1051</v>
      </c>
      <c r="E17" s="353">
        <v>57560422.237352975</v>
      </c>
    </row>
    <row r="18" spans="1:5">
      <c r="A18">
        <v>17</v>
      </c>
      <c r="B18" t="s">
        <v>2723</v>
      </c>
      <c r="C18">
        <v>100007</v>
      </c>
      <c r="D18" t="s">
        <v>1933</v>
      </c>
      <c r="E18" s="353">
        <v>55065620.924999997</v>
      </c>
    </row>
    <row r="19" spans="1:5">
      <c r="A19">
        <v>18</v>
      </c>
      <c r="B19" t="s">
        <v>2744</v>
      </c>
      <c r="C19">
        <v>100000</v>
      </c>
      <c r="D19" t="s">
        <v>1055</v>
      </c>
      <c r="E19" s="353">
        <v>49500000</v>
      </c>
    </row>
    <row r="20" spans="1:5">
      <c r="A20">
        <v>19</v>
      </c>
      <c r="B20" t="s">
        <v>2690</v>
      </c>
      <c r="C20">
        <v>100002</v>
      </c>
      <c r="D20" t="s">
        <v>1305</v>
      </c>
      <c r="E20" s="353">
        <v>48718344.460000031</v>
      </c>
    </row>
    <row r="21" spans="1:5">
      <c r="A21">
        <v>20</v>
      </c>
      <c r="B21" t="s">
        <v>2681</v>
      </c>
      <c r="C21" t="s">
        <v>2685</v>
      </c>
      <c r="D21" t="s">
        <v>2686</v>
      </c>
      <c r="E21" s="353">
        <v>48709870.860148877</v>
      </c>
    </row>
    <row r="22" spans="1:5">
      <c r="A22">
        <v>21</v>
      </c>
      <c r="B22" t="s">
        <v>1949</v>
      </c>
      <c r="C22" t="s">
        <v>2685</v>
      </c>
      <c r="D22" t="s">
        <v>2686</v>
      </c>
      <c r="E22" s="353">
        <v>47094611.516869009</v>
      </c>
    </row>
    <row r="23" spans="1:5">
      <c r="A23">
        <v>22</v>
      </c>
      <c r="B23" t="s">
        <v>2716</v>
      </c>
      <c r="C23">
        <v>100004</v>
      </c>
      <c r="D23" t="s">
        <v>1584</v>
      </c>
      <c r="E23" s="353">
        <v>46676000</v>
      </c>
    </row>
    <row r="24" spans="1:5">
      <c r="A24">
        <v>23</v>
      </c>
      <c r="B24" t="s">
        <v>2723</v>
      </c>
      <c r="C24">
        <v>100008</v>
      </c>
      <c r="D24" t="s">
        <v>2012</v>
      </c>
      <c r="E24" s="353">
        <v>42288772.329999998</v>
      </c>
    </row>
    <row r="25" spans="1:5">
      <c r="A25">
        <v>24</v>
      </c>
      <c r="B25" t="s">
        <v>2699</v>
      </c>
      <c r="C25">
        <v>100003</v>
      </c>
      <c r="D25" t="s">
        <v>1476</v>
      </c>
      <c r="E25" s="353">
        <v>36933978.659999996</v>
      </c>
    </row>
    <row r="26" spans="1:5">
      <c r="A26">
        <v>25</v>
      </c>
      <c r="B26" t="s">
        <v>2689</v>
      </c>
      <c r="C26">
        <v>100000</v>
      </c>
      <c r="D26" t="s">
        <v>1114</v>
      </c>
      <c r="E26" s="353">
        <v>33846124.850000001</v>
      </c>
    </row>
    <row r="27" spans="1:5">
      <c r="A27">
        <v>26</v>
      </c>
      <c r="B27" t="s">
        <v>2709</v>
      </c>
      <c r="C27">
        <v>100000</v>
      </c>
      <c r="D27" t="s">
        <v>1126</v>
      </c>
      <c r="E27" s="353">
        <v>32766941.356699999</v>
      </c>
    </row>
    <row r="28" spans="1:5">
      <c r="A28">
        <v>27</v>
      </c>
      <c r="B28" t="s">
        <v>2689</v>
      </c>
      <c r="C28">
        <v>100000</v>
      </c>
      <c r="D28" t="s">
        <v>1114</v>
      </c>
      <c r="E28" s="353">
        <v>31238658.969999995</v>
      </c>
    </row>
    <row r="29" spans="1:5">
      <c r="A29">
        <v>28</v>
      </c>
      <c r="B29" t="s">
        <v>2700</v>
      </c>
      <c r="C29">
        <v>100004</v>
      </c>
      <c r="D29" t="s">
        <v>1614</v>
      </c>
      <c r="E29" s="353">
        <v>30579416.390000001</v>
      </c>
    </row>
    <row r="30" spans="1:5">
      <c r="A30">
        <v>29</v>
      </c>
      <c r="B30" t="s">
        <v>2739</v>
      </c>
      <c r="C30">
        <v>100014</v>
      </c>
      <c r="D30" t="s">
        <v>2498</v>
      </c>
      <c r="E30" s="353">
        <v>28800994.491529401</v>
      </c>
    </row>
    <row r="31" spans="1:5">
      <c r="A31">
        <v>30</v>
      </c>
      <c r="B31" t="s">
        <v>2681</v>
      </c>
      <c r="C31">
        <v>100006</v>
      </c>
      <c r="D31" t="s">
        <v>1790</v>
      </c>
      <c r="E31" s="353">
        <v>28303281.888691813</v>
      </c>
    </row>
    <row r="32" spans="1:5">
      <c r="A32">
        <v>31</v>
      </c>
      <c r="B32" t="s">
        <v>2750</v>
      </c>
      <c r="C32">
        <v>100000</v>
      </c>
      <c r="D32" t="s">
        <v>1126</v>
      </c>
      <c r="E32" s="353">
        <v>20412412.890000001</v>
      </c>
    </row>
    <row r="33" spans="1:5">
      <c r="A33">
        <v>32</v>
      </c>
      <c r="B33" t="s">
        <v>2687</v>
      </c>
      <c r="C33">
        <v>100006</v>
      </c>
      <c r="D33" t="s">
        <v>1801</v>
      </c>
      <c r="E33" s="353">
        <v>20086159.993673995</v>
      </c>
    </row>
    <row r="34" spans="1:5">
      <c r="A34">
        <v>33</v>
      </c>
      <c r="B34" t="s">
        <v>2718</v>
      </c>
      <c r="C34">
        <v>100005</v>
      </c>
      <c r="D34" t="s">
        <v>1720</v>
      </c>
      <c r="E34" s="353">
        <v>17503311.928199999</v>
      </c>
    </row>
    <row r="35" spans="1:5">
      <c r="A35">
        <v>34</v>
      </c>
      <c r="B35" t="s">
        <v>1904</v>
      </c>
      <c r="C35">
        <v>100011</v>
      </c>
      <c r="D35" t="s">
        <v>2270</v>
      </c>
      <c r="E35" s="353">
        <v>16273227.66</v>
      </c>
    </row>
    <row r="36" spans="1:5">
      <c r="A36">
        <v>35</v>
      </c>
      <c r="B36" t="s">
        <v>2872</v>
      </c>
      <c r="C36" t="s">
        <v>2873</v>
      </c>
      <c r="D36" t="s">
        <v>2874</v>
      </c>
      <c r="E36" s="353">
        <v>15254167.550000001</v>
      </c>
    </row>
    <row r="37" spans="1:5">
      <c r="A37">
        <v>36</v>
      </c>
      <c r="B37" t="s">
        <v>2687</v>
      </c>
      <c r="C37">
        <v>100005</v>
      </c>
      <c r="D37" t="s">
        <v>1705</v>
      </c>
      <c r="E37" s="353">
        <v>14627083.783703044</v>
      </c>
    </row>
    <row r="38" spans="1:5">
      <c r="A38">
        <v>37</v>
      </c>
      <c r="B38" t="s">
        <v>2689</v>
      </c>
      <c r="C38">
        <v>100000</v>
      </c>
      <c r="D38" t="s">
        <v>1114</v>
      </c>
      <c r="E38" s="353">
        <v>14461921.57</v>
      </c>
    </row>
    <row r="39" spans="1:5">
      <c r="A39">
        <v>38</v>
      </c>
      <c r="B39" t="s">
        <v>2681</v>
      </c>
      <c r="C39">
        <v>100005</v>
      </c>
      <c r="D39" t="s">
        <v>1725</v>
      </c>
      <c r="E39" s="353">
        <v>12986892.188614145</v>
      </c>
    </row>
    <row r="40" spans="1:5">
      <c r="A40">
        <v>39</v>
      </c>
      <c r="B40" t="s">
        <v>2714</v>
      </c>
      <c r="C40">
        <v>100004</v>
      </c>
      <c r="D40" t="s">
        <v>1587</v>
      </c>
      <c r="E40" s="353">
        <v>12070073.484353799</v>
      </c>
    </row>
    <row r="41" spans="1:5">
      <c r="A41">
        <v>40</v>
      </c>
      <c r="B41" t="s">
        <v>2881</v>
      </c>
      <c r="C41">
        <v>100002</v>
      </c>
      <c r="D41" t="s">
        <v>1224</v>
      </c>
      <c r="E41" s="353">
        <v>9537672.9000000004</v>
      </c>
    </row>
    <row r="42" spans="1:5">
      <c r="A42">
        <v>41</v>
      </c>
      <c r="B42" t="s">
        <v>2695</v>
      </c>
      <c r="C42">
        <v>100002</v>
      </c>
      <c r="D42" t="s">
        <v>1315</v>
      </c>
      <c r="E42" s="353">
        <v>8415324</v>
      </c>
    </row>
    <row r="43" spans="1:5">
      <c r="A43">
        <v>42</v>
      </c>
      <c r="B43" t="s">
        <v>1911</v>
      </c>
      <c r="C43">
        <v>100011</v>
      </c>
      <c r="D43" t="s">
        <v>2271</v>
      </c>
      <c r="E43" s="353">
        <v>6595000</v>
      </c>
    </row>
    <row r="44" spans="1:5">
      <c r="A44">
        <v>43</v>
      </c>
      <c r="B44" t="s">
        <v>1911</v>
      </c>
      <c r="C44">
        <v>100012</v>
      </c>
      <c r="D44" t="s">
        <v>2392</v>
      </c>
      <c r="E44" s="353">
        <v>6595000</v>
      </c>
    </row>
    <row r="45" spans="1:5">
      <c r="A45">
        <v>44</v>
      </c>
      <c r="B45" t="s">
        <v>2707</v>
      </c>
      <c r="C45">
        <v>100008</v>
      </c>
      <c r="D45" t="s">
        <v>2010</v>
      </c>
      <c r="E45" s="353">
        <v>6504200.3600000003</v>
      </c>
    </row>
    <row r="46" spans="1:5">
      <c r="A46">
        <v>45</v>
      </c>
      <c r="B46" t="s">
        <v>2263</v>
      </c>
      <c r="C46">
        <v>100012</v>
      </c>
      <c r="D46" t="s">
        <v>2385</v>
      </c>
      <c r="E46" s="353">
        <v>6217177.2599999998</v>
      </c>
    </row>
    <row r="47" spans="1:5">
      <c r="A47">
        <v>46</v>
      </c>
      <c r="B47" t="s">
        <v>1949</v>
      </c>
      <c r="C47" t="s">
        <v>2683</v>
      </c>
      <c r="D47" t="s">
        <v>2684</v>
      </c>
      <c r="E47" s="353">
        <v>6016458.7884174958</v>
      </c>
    </row>
    <row r="48" spans="1:5">
      <c r="A48">
        <v>47</v>
      </c>
      <c r="B48" t="s">
        <v>2689</v>
      </c>
      <c r="C48">
        <v>100000</v>
      </c>
      <c r="D48" t="s">
        <v>1114</v>
      </c>
      <c r="E48" s="353">
        <v>5917015.629999999</v>
      </c>
    </row>
    <row r="49" spans="1:5">
      <c r="A49">
        <v>48</v>
      </c>
      <c r="B49" t="s">
        <v>1802</v>
      </c>
      <c r="C49">
        <v>100011</v>
      </c>
      <c r="D49" t="s">
        <v>2298</v>
      </c>
      <c r="E49" s="353">
        <v>5738039.5700000003</v>
      </c>
    </row>
    <row r="50" spans="1:5">
      <c r="A50">
        <v>49</v>
      </c>
      <c r="B50" t="s">
        <v>1802</v>
      </c>
      <c r="C50">
        <v>100012</v>
      </c>
      <c r="D50" t="s">
        <v>2412</v>
      </c>
      <c r="E50" s="353">
        <v>5738039.5700000003</v>
      </c>
    </row>
    <row r="51" spans="1:5">
      <c r="A51">
        <v>50</v>
      </c>
      <c r="B51" t="s">
        <v>2703</v>
      </c>
      <c r="C51" t="s">
        <v>2683</v>
      </c>
      <c r="D51" t="s">
        <v>2684</v>
      </c>
      <c r="E51" s="353">
        <v>5143463.2204000009</v>
      </c>
    </row>
    <row r="52" spans="1:5">
      <c r="A52">
        <v>51</v>
      </c>
      <c r="B52" t="s">
        <v>2687</v>
      </c>
      <c r="C52">
        <v>100014</v>
      </c>
      <c r="D52" t="s">
        <v>2487</v>
      </c>
      <c r="E52" s="353">
        <v>4899629.966070516</v>
      </c>
    </row>
    <row r="53" spans="1:5">
      <c r="A53">
        <v>52</v>
      </c>
      <c r="B53" t="s">
        <v>2681</v>
      </c>
      <c r="C53">
        <v>100007</v>
      </c>
      <c r="D53" t="s">
        <v>1906</v>
      </c>
      <c r="E53" s="353">
        <v>4830937.057599999</v>
      </c>
    </row>
    <row r="54" spans="1:5">
      <c r="A54">
        <v>53</v>
      </c>
      <c r="B54" t="s">
        <v>2717</v>
      </c>
      <c r="C54">
        <v>100000</v>
      </c>
      <c r="D54" t="s">
        <v>1126</v>
      </c>
      <c r="E54" s="353">
        <v>4804265</v>
      </c>
    </row>
    <row r="55" spans="1:5">
      <c r="A55">
        <v>54</v>
      </c>
      <c r="B55" t="s">
        <v>2151</v>
      </c>
      <c r="C55">
        <v>100011</v>
      </c>
      <c r="D55" t="s">
        <v>2667</v>
      </c>
      <c r="E55" s="353">
        <v>4728429.8100000005</v>
      </c>
    </row>
    <row r="56" spans="1:5">
      <c r="A56">
        <v>55</v>
      </c>
      <c r="B56" t="s">
        <v>2151</v>
      </c>
      <c r="C56">
        <v>100012</v>
      </c>
      <c r="D56" t="s">
        <v>2394</v>
      </c>
      <c r="E56" s="353">
        <v>4728429.8100000005</v>
      </c>
    </row>
    <row r="57" spans="1:5">
      <c r="A57">
        <v>56</v>
      </c>
      <c r="B57" t="s">
        <v>2681</v>
      </c>
      <c r="C57" t="s">
        <v>2683</v>
      </c>
      <c r="D57" t="s">
        <v>2684</v>
      </c>
      <c r="E57" s="353">
        <v>4434767.6700000055</v>
      </c>
    </row>
    <row r="58" spans="1:5">
      <c r="A58">
        <v>57</v>
      </c>
      <c r="B58" t="s">
        <v>1781</v>
      </c>
      <c r="C58" t="s">
        <v>2685</v>
      </c>
      <c r="D58" t="s">
        <v>2704</v>
      </c>
      <c r="E58" s="353">
        <v>4328234.9081564397</v>
      </c>
    </row>
    <row r="59" spans="1:5">
      <c r="A59">
        <v>58</v>
      </c>
      <c r="B59" t="s">
        <v>2691</v>
      </c>
      <c r="C59">
        <v>100000</v>
      </c>
      <c r="D59" t="s">
        <v>1131</v>
      </c>
      <c r="E59" s="353">
        <v>4002508.7</v>
      </c>
    </row>
    <row r="60" spans="1:5">
      <c r="A60">
        <v>59</v>
      </c>
      <c r="B60" t="s">
        <v>2660</v>
      </c>
      <c r="C60">
        <v>100000</v>
      </c>
      <c r="D60" t="s">
        <v>1106</v>
      </c>
      <c r="E60" s="353">
        <v>3870000</v>
      </c>
    </row>
    <row r="61" spans="1:5">
      <c r="A61">
        <v>60</v>
      </c>
      <c r="B61" t="s">
        <v>2735</v>
      </c>
      <c r="C61">
        <v>100000</v>
      </c>
      <c r="D61" t="s">
        <v>1126</v>
      </c>
      <c r="E61" s="353">
        <v>3809310</v>
      </c>
    </row>
    <row r="62" spans="1:5">
      <c r="A62">
        <v>61</v>
      </c>
      <c r="B62" t="s">
        <v>2663</v>
      </c>
      <c r="C62">
        <v>100000</v>
      </c>
      <c r="D62" t="s">
        <v>1068</v>
      </c>
      <c r="E62" s="353">
        <v>3622236.34</v>
      </c>
    </row>
    <row r="63" spans="1:5">
      <c r="A63">
        <v>62</v>
      </c>
      <c r="B63" t="s">
        <v>2742</v>
      </c>
      <c r="C63">
        <v>100000</v>
      </c>
      <c r="D63" t="s">
        <v>1126</v>
      </c>
      <c r="E63" s="353">
        <v>3589224.03</v>
      </c>
    </row>
    <row r="64" spans="1:5">
      <c r="A64">
        <v>63</v>
      </c>
      <c r="B64" t="s">
        <v>1781</v>
      </c>
      <c r="C64">
        <v>100004</v>
      </c>
      <c r="D64" t="s">
        <v>1700</v>
      </c>
      <c r="E64" s="353">
        <v>3343687.5451121442</v>
      </c>
    </row>
    <row r="65" spans="1:5">
      <c r="A65">
        <v>64</v>
      </c>
      <c r="B65" t="s">
        <v>2681</v>
      </c>
      <c r="C65">
        <v>100003</v>
      </c>
      <c r="D65" t="s">
        <v>1474</v>
      </c>
      <c r="E65" s="353">
        <v>3335171.5967347212</v>
      </c>
    </row>
    <row r="66" spans="1:5">
      <c r="A66">
        <v>65</v>
      </c>
      <c r="B66" t="s">
        <v>2689</v>
      </c>
      <c r="C66">
        <v>100000</v>
      </c>
      <c r="D66" t="s">
        <v>1114</v>
      </c>
      <c r="E66" s="353">
        <v>2900505.5399999991</v>
      </c>
    </row>
    <row r="67" spans="1:5">
      <c r="A67">
        <v>66</v>
      </c>
      <c r="B67" t="s">
        <v>2681</v>
      </c>
      <c r="C67">
        <v>100008</v>
      </c>
      <c r="D67" t="s">
        <v>2024</v>
      </c>
      <c r="E67" s="353">
        <v>2763439.8783449866</v>
      </c>
    </row>
    <row r="68" spans="1:5">
      <c r="A68">
        <v>67</v>
      </c>
      <c r="B68" t="s">
        <v>2681</v>
      </c>
      <c r="C68">
        <v>100014</v>
      </c>
      <c r="D68" t="s">
        <v>2503</v>
      </c>
      <c r="E68" s="353">
        <v>2720345.0655647907</v>
      </c>
    </row>
    <row r="69" spans="1:5">
      <c r="A69">
        <v>68</v>
      </c>
      <c r="B69" t="s">
        <v>2664</v>
      </c>
      <c r="C69">
        <v>100001</v>
      </c>
      <c r="D69" t="s">
        <v>1174</v>
      </c>
      <c r="E69" s="353">
        <v>2500000</v>
      </c>
    </row>
    <row r="70" spans="1:5">
      <c r="A70">
        <v>69</v>
      </c>
      <c r="B70" t="s">
        <v>2681</v>
      </c>
      <c r="C70">
        <v>100004</v>
      </c>
      <c r="D70" t="s">
        <v>1612</v>
      </c>
      <c r="E70" s="353">
        <v>2447045.4192188233</v>
      </c>
    </row>
    <row r="71" spans="1:5">
      <c r="A71">
        <v>70</v>
      </c>
      <c r="B71" t="s">
        <v>1781</v>
      </c>
      <c r="C71">
        <v>100004</v>
      </c>
      <c r="D71" t="s">
        <v>1700</v>
      </c>
      <c r="E71" s="353">
        <v>2315728.6499129236</v>
      </c>
    </row>
    <row r="72" spans="1:5">
      <c r="A72">
        <v>71</v>
      </c>
      <c r="B72" t="s">
        <v>2880</v>
      </c>
      <c r="C72">
        <v>100014</v>
      </c>
      <c r="D72" t="s">
        <v>2498</v>
      </c>
      <c r="E72" s="353">
        <v>2315728.6499129198</v>
      </c>
    </row>
    <row r="73" spans="1:5">
      <c r="A73">
        <v>72</v>
      </c>
      <c r="B73" t="s">
        <v>1949</v>
      </c>
      <c r="C73">
        <v>100007</v>
      </c>
      <c r="D73" t="s">
        <v>1916</v>
      </c>
      <c r="E73" s="353">
        <v>2259877.0500000007</v>
      </c>
    </row>
    <row r="74" spans="1:5">
      <c r="A74">
        <v>73</v>
      </c>
      <c r="B74" t="s">
        <v>733</v>
      </c>
      <c r="C74">
        <v>100000</v>
      </c>
      <c r="D74" t="s">
        <v>1153</v>
      </c>
      <c r="E74" s="353">
        <v>2184779</v>
      </c>
    </row>
    <row r="75" spans="1:5">
      <c r="A75">
        <v>74</v>
      </c>
      <c r="B75" t="s">
        <v>1781</v>
      </c>
      <c r="C75">
        <v>100014</v>
      </c>
      <c r="D75" t="s">
        <v>2553</v>
      </c>
      <c r="E75" s="353">
        <v>2162096.8921456598</v>
      </c>
    </row>
    <row r="76" spans="1:5">
      <c r="A76">
        <v>75</v>
      </c>
      <c r="B76" t="s">
        <v>2688</v>
      </c>
      <c r="C76">
        <v>100004</v>
      </c>
      <c r="D76" t="s">
        <v>1571</v>
      </c>
      <c r="E76" s="353">
        <v>2157122.666056918</v>
      </c>
    </row>
    <row r="77" spans="1:5">
      <c r="A77">
        <v>76</v>
      </c>
      <c r="B77" t="s">
        <v>2749</v>
      </c>
      <c r="C77">
        <v>100002</v>
      </c>
      <c r="D77" t="s">
        <v>1224</v>
      </c>
      <c r="E77" s="353">
        <v>2080423.99</v>
      </c>
    </row>
    <row r="78" spans="1:5">
      <c r="A78">
        <v>77</v>
      </c>
      <c r="B78" t="s">
        <v>2866</v>
      </c>
      <c r="C78">
        <v>100008</v>
      </c>
      <c r="D78" t="s">
        <v>2028</v>
      </c>
      <c r="E78" s="353">
        <v>2075510.34</v>
      </c>
    </row>
    <row r="79" spans="1:5">
      <c r="A79">
        <v>78</v>
      </c>
      <c r="B79" t="s">
        <v>2877</v>
      </c>
      <c r="C79">
        <v>100006</v>
      </c>
      <c r="D79" t="s">
        <v>1796</v>
      </c>
      <c r="E79" s="353">
        <v>2051532.48</v>
      </c>
    </row>
    <row r="80" spans="1:5">
      <c r="A80">
        <v>79</v>
      </c>
      <c r="B80" t="s">
        <v>1781</v>
      </c>
      <c r="C80">
        <v>100007</v>
      </c>
      <c r="D80" t="s">
        <v>1984</v>
      </c>
      <c r="E80" s="353">
        <v>1969874.5200000107</v>
      </c>
    </row>
    <row r="81" spans="1:5">
      <c r="A81">
        <v>80</v>
      </c>
      <c r="B81" t="s">
        <v>2670</v>
      </c>
      <c r="C81">
        <v>100011</v>
      </c>
      <c r="D81" t="s">
        <v>2314</v>
      </c>
      <c r="E81" s="353">
        <v>1779276.0500000003</v>
      </c>
    </row>
    <row r="82" spans="1:5">
      <c r="A82">
        <v>81</v>
      </c>
      <c r="B82" t="s">
        <v>1781</v>
      </c>
      <c r="C82">
        <v>100008</v>
      </c>
      <c r="D82" t="s">
        <v>2104</v>
      </c>
      <c r="E82" s="353">
        <v>1493330.2512343121</v>
      </c>
    </row>
    <row r="83" spans="1:5">
      <c r="A83">
        <v>82</v>
      </c>
      <c r="B83" t="s">
        <v>2687</v>
      </c>
      <c r="C83">
        <v>100008</v>
      </c>
      <c r="D83" t="s">
        <v>1996</v>
      </c>
      <c r="E83" s="353">
        <v>1278362.4981097523</v>
      </c>
    </row>
    <row r="84" spans="1:5">
      <c r="A84">
        <v>83</v>
      </c>
      <c r="B84" t="s">
        <v>2275</v>
      </c>
      <c r="C84">
        <v>100011</v>
      </c>
      <c r="D84" t="s">
        <v>2668</v>
      </c>
      <c r="E84" s="353">
        <v>1231954.23</v>
      </c>
    </row>
    <row r="85" spans="1:5">
      <c r="A85">
        <v>84</v>
      </c>
      <c r="B85" t="s">
        <v>2275</v>
      </c>
      <c r="C85">
        <v>100012</v>
      </c>
      <c r="D85" t="s">
        <v>2395</v>
      </c>
      <c r="E85" s="353">
        <v>1231954.23</v>
      </c>
    </row>
    <row r="86" spans="1:5">
      <c r="A86">
        <v>85</v>
      </c>
      <c r="C86">
        <v>100012</v>
      </c>
      <c r="D86" t="s">
        <v>2410</v>
      </c>
      <c r="E86" s="353">
        <v>1164505.6799999946</v>
      </c>
    </row>
    <row r="87" spans="1:5">
      <c r="A87">
        <v>86</v>
      </c>
      <c r="B87" t="s">
        <v>2697</v>
      </c>
      <c r="C87">
        <v>100003</v>
      </c>
      <c r="D87" t="s">
        <v>1476</v>
      </c>
      <c r="E87" s="353">
        <v>1048505.6556874</v>
      </c>
    </row>
    <row r="88" spans="1:5">
      <c r="A88">
        <v>87</v>
      </c>
      <c r="B88" t="s">
        <v>2689</v>
      </c>
      <c r="C88">
        <v>100000</v>
      </c>
      <c r="D88" t="s">
        <v>1114</v>
      </c>
      <c r="E88" s="353">
        <v>1039951.0055999999</v>
      </c>
    </row>
    <row r="89" spans="1:5">
      <c r="A89">
        <v>88</v>
      </c>
      <c r="B89" t="s">
        <v>2865</v>
      </c>
      <c r="C89">
        <v>100006</v>
      </c>
      <c r="D89" t="s">
        <v>1855</v>
      </c>
      <c r="E89" s="353">
        <v>992723</v>
      </c>
    </row>
    <row r="90" spans="1:5">
      <c r="A90">
        <v>89</v>
      </c>
      <c r="B90" t="s">
        <v>1781</v>
      </c>
      <c r="C90" t="s">
        <v>2683</v>
      </c>
      <c r="D90" t="s">
        <v>2701</v>
      </c>
      <c r="E90" s="353">
        <v>991697.12169998884</v>
      </c>
    </row>
    <row r="91" spans="1:5">
      <c r="A91">
        <v>90</v>
      </c>
      <c r="B91" t="s">
        <v>2741</v>
      </c>
      <c r="C91">
        <v>100016</v>
      </c>
      <c r="D91" t="s">
        <v>2565</v>
      </c>
      <c r="E91" s="353">
        <v>938752.46400000004</v>
      </c>
    </row>
    <row r="92" spans="1:5">
      <c r="A92">
        <v>91</v>
      </c>
      <c r="C92">
        <v>100009</v>
      </c>
      <c r="D92" t="s">
        <v>2850</v>
      </c>
      <c r="E92" s="353">
        <v>900000</v>
      </c>
    </row>
    <row r="93" spans="1:5">
      <c r="A93">
        <v>92</v>
      </c>
      <c r="B93" t="s">
        <v>1781</v>
      </c>
      <c r="C93">
        <v>100003</v>
      </c>
      <c r="D93" t="s">
        <v>1535</v>
      </c>
      <c r="E93" s="353">
        <v>867970.68376411498</v>
      </c>
    </row>
    <row r="94" spans="1:5">
      <c r="A94">
        <v>93</v>
      </c>
      <c r="B94" t="s">
        <v>2691</v>
      </c>
      <c r="C94">
        <v>100000</v>
      </c>
      <c r="D94" t="s">
        <v>1131</v>
      </c>
      <c r="E94" s="353">
        <v>676971.29999999993</v>
      </c>
    </row>
    <row r="95" spans="1:5">
      <c r="A95">
        <v>94</v>
      </c>
      <c r="B95" t="s">
        <v>2691</v>
      </c>
      <c r="C95">
        <v>100000</v>
      </c>
      <c r="D95" t="s">
        <v>1131</v>
      </c>
      <c r="E95" s="353">
        <v>508988.15</v>
      </c>
    </row>
    <row r="96" spans="1:5">
      <c r="A96">
        <v>95</v>
      </c>
      <c r="B96" t="s">
        <v>1781</v>
      </c>
      <c r="C96">
        <v>100007</v>
      </c>
      <c r="D96" t="s">
        <v>1984</v>
      </c>
      <c r="E96" s="353">
        <v>414588.4031000043</v>
      </c>
    </row>
    <row r="97" spans="1:5">
      <c r="A97">
        <v>96</v>
      </c>
      <c r="B97" t="s">
        <v>2664</v>
      </c>
      <c r="C97">
        <v>100001</v>
      </c>
      <c r="D97" t="s">
        <v>1196</v>
      </c>
      <c r="E97" s="353">
        <v>412500</v>
      </c>
    </row>
    <row r="98" spans="1:5">
      <c r="A98">
        <v>97</v>
      </c>
      <c r="B98" t="s">
        <v>2691</v>
      </c>
      <c r="C98">
        <v>100000</v>
      </c>
      <c r="D98" t="s">
        <v>1131</v>
      </c>
      <c r="E98" s="353">
        <v>398809.65</v>
      </c>
    </row>
    <row r="99" spans="1:5">
      <c r="A99">
        <v>98</v>
      </c>
      <c r="B99" t="s">
        <v>2707</v>
      </c>
      <c r="C99">
        <v>100004</v>
      </c>
      <c r="D99" t="s">
        <v>1602</v>
      </c>
      <c r="E99" s="353">
        <v>392993.76</v>
      </c>
    </row>
    <row r="100" spans="1:5">
      <c r="A100">
        <v>99</v>
      </c>
      <c r="B100" t="s">
        <v>1808</v>
      </c>
      <c r="C100">
        <v>100011</v>
      </c>
      <c r="D100" t="s">
        <v>2280</v>
      </c>
      <c r="E100" s="353">
        <v>382432.68</v>
      </c>
    </row>
    <row r="101" spans="1:5">
      <c r="A101">
        <v>100</v>
      </c>
      <c r="B101" t="s">
        <v>1808</v>
      </c>
      <c r="C101">
        <v>100012</v>
      </c>
      <c r="D101" t="s">
        <v>2398</v>
      </c>
      <c r="E101" s="353">
        <v>382432.68</v>
      </c>
    </row>
    <row r="102" spans="1:5">
      <c r="A102">
        <v>101</v>
      </c>
      <c r="B102" t="s">
        <v>2691</v>
      </c>
      <c r="C102">
        <v>100002</v>
      </c>
      <c r="D102" t="s">
        <v>1360</v>
      </c>
      <c r="E102" s="353">
        <v>355394.55</v>
      </c>
    </row>
    <row r="103" spans="1:5">
      <c r="A103">
        <v>102</v>
      </c>
      <c r="B103" t="s">
        <v>2681</v>
      </c>
      <c r="C103">
        <v>100016</v>
      </c>
      <c r="D103" t="s">
        <v>2596</v>
      </c>
      <c r="E103" s="353">
        <v>320592.16408770421</v>
      </c>
    </row>
    <row r="104" spans="1:5">
      <c r="A104">
        <v>103</v>
      </c>
      <c r="B104" t="s">
        <v>2661</v>
      </c>
      <c r="C104">
        <v>100000</v>
      </c>
      <c r="D104" t="s">
        <v>1068</v>
      </c>
      <c r="E104" s="353">
        <v>275850.63</v>
      </c>
    </row>
    <row r="105" spans="1:5">
      <c r="A105">
        <v>104</v>
      </c>
      <c r="B105" t="s">
        <v>2659</v>
      </c>
      <c r="C105">
        <v>100000</v>
      </c>
      <c r="D105" t="s">
        <v>1106</v>
      </c>
      <c r="E105" s="353">
        <v>267354.92680000002</v>
      </c>
    </row>
    <row r="106" spans="1:5">
      <c r="A106">
        <v>105</v>
      </c>
      <c r="B106" t="s">
        <v>2882</v>
      </c>
      <c r="C106">
        <v>100000</v>
      </c>
      <c r="D106" t="s">
        <v>1121</v>
      </c>
      <c r="E106" s="353">
        <v>242755</v>
      </c>
    </row>
    <row r="107" spans="1:5">
      <c r="A107">
        <v>106</v>
      </c>
      <c r="B107" t="s">
        <v>2687</v>
      </c>
      <c r="C107">
        <v>100016</v>
      </c>
      <c r="D107" t="s">
        <v>2580</v>
      </c>
      <c r="E107" s="353">
        <v>238107.44752822525</v>
      </c>
    </row>
    <row r="108" spans="1:5">
      <c r="A108">
        <v>107</v>
      </c>
      <c r="B108" t="s">
        <v>2730</v>
      </c>
      <c r="C108">
        <v>100000</v>
      </c>
      <c r="D108" t="s">
        <v>1126</v>
      </c>
      <c r="E108" s="353">
        <v>188934</v>
      </c>
    </row>
    <row r="109" spans="1:5">
      <c r="A109">
        <v>108</v>
      </c>
      <c r="B109" t="s">
        <v>2288</v>
      </c>
      <c r="C109">
        <v>100011</v>
      </c>
      <c r="D109" t="s">
        <v>2287</v>
      </c>
      <c r="E109" s="353">
        <v>182600</v>
      </c>
    </row>
    <row r="110" spans="1:5">
      <c r="A110">
        <v>109</v>
      </c>
      <c r="B110" t="s">
        <v>2288</v>
      </c>
      <c r="C110">
        <v>100012</v>
      </c>
      <c r="D110" t="s">
        <v>2404</v>
      </c>
      <c r="E110" s="353">
        <v>182600</v>
      </c>
    </row>
    <row r="111" spans="1:5">
      <c r="A111">
        <v>110</v>
      </c>
      <c r="B111" t="s">
        <v>2691</v>
      </c>
      <c r="C111">
        <v>100000</v>
      </c>
      <c r="D111" t="s">
        <v>1131</v>
      </c>
      <c r="E111" s="353">
        <v>169944.2</v>
      </c>
    </row>
    <row r="112" spans="1:5">
      <c r="A112">
        <v>111</v>
      </c>
      <c r="B112" t="s">
        <v>2691</v>
      </c>
      <c r="C112">
        <v>100000</v>
      </c>
      <c r="D112" t="s">
        <v>1131</v>
      </c>
      <c r="E112" s="353">
        <v>152216.04</v>
      </c>
    </row>
    <row r="113" spans="1:5">
      <c r="A113">
        <v>112</v>
      </c>
      <c r="B113" t="s">
        <v>2713</v>
      </c>
      <c r="C113">
        <v>100000</v>
      </c>
      <c r="D113" t="s">
        <v>1126</v>
      </c>
      <c r="E113" s="353">
        <v>150262</v>
      </c>
    </row>
    <row r="114" spans="1:5">
      <c r="A114">
        <v>113</v>
      </c>
      <c r="B114" t="s">
        <v>2691</v>
      </c>
      <c r="C114">
        <v>100000</v>
      </c>
      <c r="D114" t="s">
        <v>1131</v>
      </c>
      <c r="E114" s="353">
        <v>148440.6</v>
      </c>
    </row>
    <row r="115" spans="1:5">
      <c r="A115">
        <v>114</v>
      </c>
      <c r="B115" t="s">
        <v>1781</v>
      </c>
      <c r="C115" t="s">
        <v>2873</v>
      </c>
      <c r="D115" t="s">
        <v>2875</v>
      </c>
      <c r="E115" s="353">
        <v>128225.96999999881</v>
      </c>
    </row>
    <row r="116" spans="1:5">
      <c r="A116">
        <v>115</v>
      </c>
      <c r="B116" t="s">
        <v>2716</v>
      </c>
      <c r="C116">
        <v>100006</v>
      </c>
      <c r="D116" t="s">
        <v>1794</v>
      </c>
      <c r="E116" s="353">
        <v>116668.545</v>
      </c>
    </row>
    <row r="117" spans="1:5">
      <c r="A117">
        <v>116</v>
      </c>
      <c r="B117" t="s">
        <v>2691</v>
      </c>
      <c r="C117">
        <v>100000</v>
      </c>
      <c r="D117" t="s">
        <v>1131</v>
      </c>
      <c r="E117" s="353">
        <v>114085.5</v>
      </c>
    </row>
    <row r="118" spans="1:5">
      <c r="A118">
        <v>117</v>
      </c>
      <c r="B118" t="s">
        <v>1930</v>
      </c>
      <c r="C118">
        <v>100011</v>
      </c>
      <c r="D118" t="s">
        <v>2281</v>
      </c>
      <c r="E118" s="353">
        <v>97068.33</v>
      </c>
    </row>
    <row r="119" spans="1:5">
      <c r="A119">
        <v>118</v>
      </c>
      <c r="B119" t="s">
        <v>1930</v>
      </c>
      <c r="C119">
        <v>100012</v>
      </c>
      <c r="D119" t="s">
        <v>2408</v>
      </c>
      <c r="E119" s="353">
        <v>97068.33</v>
      </c>
    </row>
    <row r="120" spans="1:5">
      <c r="A120">
        <v>119</v>
      </c>
      <c r="B120" t="s">
        <v>1781</v>
      </c>
      <c r="C120">
        <v>100004</v>
      </c>
      <c r="D120" t="s">
        <v>1700</v>
      </c>
      <c r="E120" s="353">
        <v>89609.600201591849</v>
      </c>
    </row>
    <row r="121" spans="1:5">
      <c r="A121">
        <v>120</v>
      </c>
      <c r="B121" t="s">
        <v>1816</v>
      </c>
      <c r="C121">
        <v>100011</v>
      </c>
      <c r="D121" t="s">
        <v>2284</v>
      </c>
      <c r="E121" s="353">
        <v>46977.91</v>
      </c>
    </row>
    <row r="122" spans="1:5">
      <c r="A122">
        <v>121</v>
      </c>
      <c r="B122" t="s">
        <v>1816</v>
      </c>
      <c r="C122">
        <v>100012</v>
      </c>
      <c r="D122" t="s">
        <v>2401</v>
      </c>
      <c r="E122" s="353">
        <v>46977.91</v>
      </c>
    </row>
    <row r="123" spans="1:5">
      <c r="A123">
        <v>122</v>
      </c>
      <c r="B123" t="s">
        <v>1781</v>
      </c>
      <c r="C123">
        <v>100004</v>
      </c>
      <c r="D123" t="s">
        <v>1700</v>
      </c>
      <c r="E123" s="353">
        <v>29614.78623601899</v>
      </c>
    </row>
    <row r="124" spans="1:5">
      <c r="A124">
        <v>123</v>
      </c>
      <c r="B124" t="s">
        <v>1781</v>
      </c>
      <c r="C124">
        <v>100008</v>
      </c>
      <c r="D124" t="s">
        <v>2104</v>
      </c>
      <c r="E124" s="353">
        <v>22411.310000000056</v>
      </c>
    </row>
    <row r="125" spans="1:5">
      <c r="A125">
        <v>124</v>
      </c>
      <c r="B125" t="s">
        <v>1806</v>
      </c>
      <c r="C125">
        <v>100011</v>
      </c>
      <c r="D125" t="s">
        <v>2279</v>
      </c>
      <c r="E125" s="353">
        <v>16350</v>
      </c>
    </row>
    <row r="126" spans="1:5">
      <c r="A126">
        <v>125</v>
      </c>
      <c r="B126" t="s">
        <v>1806</v>
      </c>
      <c r="C126">
        <v>100012</v>
      </c>
      <c r="D126" t="s">
        <v>2397</v>
      </c>
      <c r="E126" s="353">
        <v>16350</v>
      </c>
    </row>
    <row r="127" spans="1:5">
      <c r="A127">
        <v>126</v>
      </c>
      <c r="B127" t="s">
        <v>2728</v>
      </c>
      <c r="C127">
        <v>100008</v>
      </c>
      <c r="D127" t="s">
        <v>2012</v>
      </c>
      <c r="E127" s="353">
        <v>15317.44</v>
      </c>
    </row>
    <row r="128" spans="1:5">
      <c r="A128">
        <v>127</v>
      </c>
      <c r="B128" t="s">
        <v>2121</v>
      </c>
      <c r="C128">
        <v>100011</v>
      </c>
      <c r="D128" t="s">
        <v>2285</v>
      </c>
      <c r="E128" s="353">
        <v>12967.75</v>
      </c>
    </row>
    <row r="129" spans="1:5">
      <c r="A129">
        <v>128</v>
      </c>
      <c r="B129" t="s">
        <v>2121</v>
      </c>
      <c r="C129">
        <v>100012</v>
      </c>
      <c r="D129" t="s">
        <v>2402</v>
      </c>
      <c r="E129" s="353">
        <v>12967.75</v>
      </c>
    </row>
    <row r="130" spans="1:5">
      <c r="A130">
        <v>129</v>
      </c>
      <c r="B130" t="s">
        <v>2675</v>
      </c>
      <c r="C130">
        <v>100012</v>
      </c>
      <c r="D130" t="s">
        <v>2394</v>
      </c>
      <c r="E130" s="353">
        <v>11153.8</v>
      </c>
    </row>
    <row r="131" spans="1:5">
      <c r="A131">
        <v>130</v>
      </c>
      <c r="B131" t="s">
        <v>2676</v>
      </c>
      <c r="C131">
        <v>100012</v>
      </c>
      <c r="D131" t="s">
        <v>2460</v>
      </c>
      <c r="E131" s="353">
        <v>-11153.8</v>
      </c>
    </row>
    <row r="132" spans="1:5">
      <c r="A132">
        <v>131</v>
      </c>
      <c r="B132" t="s">
        <v>2869</v>
      </c>
      <c r="C132">
        <v>100008</v>
      </c>
      <c r="D132" t="s">
        <v>2035</v>
      </c>
      <c r="E132" s="353">
        <v>-15132.36</v>
      </c>
    </row>
    <row r="133" spans="1:5">
      <c r="A133">
        <v>132</v>
      </c>
      <c r="B133" t="s">
        <v>2282</v>
      </c>
      <c r="C133">
        <v>100011</v>
      </c>
      <c r="D133" t="s">
        <v>2666</v>
      </c>
      <c r="E133" s="353">
        <v>-18866.93</v>
      </c>
    </row>
    <row r="134" spans="1:5">
      <c r="A134">
        <v>133</v>
      </c>
      <c r="B134" t="s">
        <v>2282</v>
      </c>
      <c r="C134">
        <v>100012</v>
      </c>
      <c r="D134" t="s">
        <v>2672</v>
      </c>
      <c r="E134" s="353">
        <v>-18866.93</v>
      </c>
    </row>
    <row r="135" spans="1:5">
      <c r="A135">
        <v>134</v>
      </c>
      <c r="B135" t="s">
        <v>1781</v>
      </c>
      <c r="C135" t="s">
        <v>2683</v>
      </c>
      <c r="D135" t="s">
        <v>2701</v>
      </c>
      <c r="E135" s="353">
        <v>-21007.666711002588</v>
      </c>
    </row>
    <row r="136" spans="1:5">
      <c r="A136">
        <v>135</v>
      </c>
      <c r="B136" t="s">
        <v>1781</v>
      </c>
      <c r="C136">
        <v>100004</v>
      </c>
      <c r="D136" t="s">
        <v>1700</v>
      </c>
      <c r="E136" s="353">
        <v>-22782.700000000012</v>
      </c>
    </row>
    <row r="137" spans="1:5">
      <c r="A137">
        <v>136</v>
      </c>
      <c r="B137" t="s">
        <v>2721</v>
      </c>
      <c r="C137">
        <v>100000</v>
      </c>
      <c r="D137" t="s">
        <v>1135</v>
      </c>
      <c r="E137" s="353">
        <v>-52784</v>
      </c>
    </row>
    <row r="138" spans="1:5">
      <c r="A138">
        <v>137</v>
      </c>
      <c r="B138" t="s">
        <v>1781</v>
      </c>
      <c r="C138" t="s">
        <v>2683</v>
      </c>
      <c r="D138" t="s">
        <v>2701</v>
      </c>
      <c r="E138" s="353">
        <v>-56499.438000001304</v>
      </c>
    </row>
    <row r="139" spans="1:5">
      <c r="A139">
        <v>138</v>
      </c>
      <c r="B139" t="s">
        <v>1781</v>
      </c>
      <c r="C139">
        <v>100004</v>
      </c>
      <c r="D139" t="s">
        <v>1700</v>
      </c>
      <c r="E139" s="353">
        <v>-59951.85551440157</v>
      </c>
    </row>
    <row r="140" spans="1:5">
      <c r="A140">
        <v>139</v>
      </c>
      <c r="B140" t="s">
        <v>2292</v>
      </c>
      <c r="C140">
        <v>100011</v>
      </c>
      <c r="D140" t="s">
        <v>2293</v>
      </c>
      <c r="E140" s="353">
        <v>-60000</v>
      </c>
    </row>
    <row r="141" spans="1:5">
      <c r="A141">
        <v>140</v>
      </c>
      <c r="B141" t="s">
        <v>2292</v>
      </c>
      <c r="C141">
        <v>100012</v>
      </c>
      <c r="D141" t="s">
        <v>2407</v>
      </c>
      <c r="E141" s="353">
        <v>-60000</v>
      </c>
    </row>
    <row r="142" spans="1:5">
      <c r="A142">
        <v>141</v>
      </c>
      <c r="B142" t="s">
        <v>1781</v>
      </c>
      <c r="C142">
        <v>100006</v>
      </c>
      <c r="D142" t="s">
        <v>1897</v>
      </c>
      <c r="E142" s="353">
        <v>-63884.544999999998</v>
      </c>
    </row>
    <row r="143" spans="1:5">
      <c r="A143">
        <v>142</v>
      </c>
      <c r="B143" t="s">
        <v>2171</v>
      </c>
      <c r="C143">
        <v>100011</v>
      </c>
      <c r="D143" t="s">
        <v>2269</v>
      </c>
      <c r="E143" s="353">
        <v>-83300</v>
      </c>
    </row>
    <row r="144" spans="1:5">
      <c r="A144">
        <v>143</v>
      </c>
      <c r="B144" t="s">
        <v>2171</v>
      </c>
      <c r="C144">
        <v>100012</v>
      </c>
      <c r="D144" t="s">
        <v>2390</v>
      </c>
      <c r="E144" s="353">
        <v>-83300</v>
      </c>
    </row>
    <row r="145" spans="1:5">
      <c r="A145">
        <v>144</v>
      </c>
      <c r="B145" t="s">
        <v>1781</v>
      </c>
      <c r="C145">
        <v>100007</v>
      </c>
      <c r="D145" t="s">
        <v>1984</v>
      </c>
      <c r="E145" s="353">
        <v>-88102.02</v>
      </c>
    </row>
    <row r="146" spans="1:5">
      <c r="A146">
        <v>145</v>
      </c>
      <c r="B146" t="s">
        <v>2864</v>
      </c>
      <c r="C146">
        <v>100000</v>
      </c>
      <c r="D146" t="s">
        <v>1139</v>
      </c>
      <c r="E146" s="353">
        <v>-95188.5</v>
      </c>
    </row>
    <row r="147" spans="1:5">
      <c r="A147">
        <v>146</v>
      </c>
      <c r="B147" t="s">
        <v>1781</v>
      </c>
      <c r="C147">
        <v>100006</v>
      </c>
      <c r="D147" t="s">
        <v>1897</v>
      </c>
      <c r="E147" s="353">
        <v>-98481.920000000042</v>
      </c>
    </row>
    <row r="148" spans="1:5">
      <c r="A148">
        <v>147</v>
      </c>
      <c r="B148" t="s">
        <v>1781</v>
      </c>
      <c r="C148" t="s">
        <v>2685</v>
      </c>
      <c r="D148" t="s">
        <v>2704</v>
      </c>
      <c r="E148" s="353">
        <v>-102695.6099999845</v>
      </c>
    </row>
    <row r="149" spans="1:5">
      <c r="A149">
        <v>148</v>
      </c>
      <c r="B149" t="s">
        <v>1781</v>
      </c>
      <c r="C149">
        <v>100008</v>
      </c>
      <c r="D149" t="s">
        <v>2104</v>
      </c>
      <c r="E149" s="353">
        <v>-107832.36000000034</v>
      </c>
    </row>
    <row r="150" spans="1:5">
      <c r="A150">
        <v>149</v>
      </c>
      <c r="B150" t="s">
        <v>2677</v>
      </c>
      <c r="C150">
        <v>100012</v>
      </c>
      <c r="D150" t="s">
        <v>2453</v>
      </c>
      <c r="E150" s="353">
        <v>-112831.83</v>
      </c>
    </row>
    <row r="151" spans="1:5">
      <c r="A151">
        <v>150</v>
      </c>
      <c r="B151" t="s">
        <v>2678</v>
      </c>
      <c r="C151">
        <v>100012</v>
      </c>
      <c r="D151" t="s">
        <v>2380</v>
      </c>
      <c r="E151" s="353">
        <v>-112831.83</v>
      </c>
    </row>
    <row r="152" spans="1:5">
      <c r="A152">
        <v>151</v>
      </c>
      <c r="B152" t="s">
        <v>2864</v>
      </c>
      <c r="C152">
        <v>100000</v>
      </c>
      <c r="D152" t="s">
        <v>1139</v>
      </c>
      <c r="E152" s="353">
        <v>-184883.83</v>
      </c>
    </row>
    <row r="153" spans="1:5">
      <c r="A153">
        <v>152</v>
      </c>
      <c r="B153" t="s">
        <v>2702</v>
      </c>
      <c r="C153">
        <v>100000</v>
      </c>
      <c r="D153" t="s">
        <v>1102</v>
      </c>
      <c r="E153" s="353">
        <v>-216703.41</v>
      </c>
    </row>
    <row r="154" spans="1:5">
      <c r="A154">
        <v>153</v>
      </c>
      <c r="B154" t="s">
        <v>1781</v>
      </c>
      <c r="C154">
        <v>100003</v>
      </c>
      <c r="D154" t="s">
        <v>1535</v>
      </c>
      <c r="E154" s="353">
        <v>-219012.16999999434</v>
      </c>
    </row>
    <row r="155" spans="1:5">
      <c r="A155">
        <v>154</v>
      </c>
      <c r="B155" t="s">
        <v>1781</v>
      </c>
      <c r="C155" t="s">
        <v>2683</v>
      </c>
      <c r="D155" t="s">
        <v>2701</v>
      </c>
      <c r="E155" s="353">
        <v>-225376.74040000112</v>
      </c>
    </row>
    <row r="156" spans="1:5">
      <c r="A156">
        <v>155</v>
      </c>
      <c r="B156" t="s">
        <v>2687</v>
      </c>
      <c r="C156">
        <v>100016</v>
      </c>
      <c r="D156" t="s">
        <v>2649</v>
      </c>
      <c r="E156" s="353">
        <v>-238107.44752822525</v>
      </c>
    </row>
    <row r="157" spans="1:5">
      <c r="A157">
        <v>156</v>
      </c>
      <c r="B157" t="s">
        <v>2868</v>
      </c>
      <c r="C157">
        <v>100005</v>
      </c>
      <c r="D157" t="s">
        <v>1731</v>
      </c>
      <c r="E157" s="353">
        <v>-239122.7</v>
      </c>
    </row>
    <row r="158" spans="1:5">
      <c r="A158">
        <v>157</v>
      </c>
      <c r="B158" t="s">
        <v>1781</v>
      </c>
      <c r="C158">
        <v>100008</v>
      </c>
      <c r="D158" t="s">
        <v>2104</v>
      </c>
      <c r="E158" s="353">
        <v>-252608.98000000091</v>
      </c>
    </row>
    <row r="159" spans="1:5">
      <c r="A159">
        <v>158</v>
      </c>
      <c r="B159" t="s">
        <v>2731</v>
      </c>
      <c r="C159" t="s">
        <v>2683</v>
      </c>
      <c r="D159" t="s">
        <v>2684</v>
      </c>
      <c r="E159" s="353">
        <v>-253954.82</v>
      </c>
    </row>
    <row r="160" spans="1:5">
      <c r="A160">
        <v>159</v>
      </c>
      <c r="B160" t="s">
        <v>2679</v>
      </c>
      <c r="C160">
        <v>100016</v>
      </c>
      <c r="D160" t="s">
        <v>2625</v>
      </c>
      <c r="E160" s="353">
        <v>-267354.92680000002</v>
      </c>
    </row>
    <row r="161" spans="1:5">
      <c r="A161">
        <v>160</v>
      </c>
      <c r="B161" t="s">
        <v>2662</v>
      </c>
      <c r="C161">
        <v>100004</v>
      </c>
      <c r="D161" t="s">
        <v>1684</v>
      </c>
      <c r="E161" s="353">
        <v>-305465.41623601899</v>
      </c>
    </row>
    <row r="162" spans="1:5">
      <c r="A162">
        <v>161</v>
      </c>
      <c r="B162" t="s">
        <v>2680</v>
      </c>
      <c r="C162">
        <v>100016</v>
      </c>
      <c r="D162" t="s">
        <v>2648</v>
      </c>
      <c r="E162" s="353">
        <v>-320592.16408770421</v>
      </c>
    </row>
    <row r="163" spans="1:5">
      <c r="A163">
        <v>162</v>
      </c>
      <c r="B163" t="s">
        <v>1781</v>
      </c>
      <c r="C163">
        <v>100014</v>
      </c>
      <c r="D163" t="s">
        <v>2553</v>
      </c>
      <c r="E163" s="353">
        <v>-335067.24954409897</v>
      </c>
    </row>
    <row r="164" spans="1:5">
      <c r="A164">
        <v>163</v>
      </c>
      <c r="B164" t="s">
        <v>1292</v>
      </c>
      <c r="C164">
        <v>100000</v>
      </c>
      <c r="D164" t="s">
        <v>1066</v>
      </c>
      <c r="E164" s="353">
        <v>-370211.06</v>
      </c>
    </row>
    <row r="165" spans="1:5">
      <c r="A165">
        <v>164</v>
      </c>
      <c r="B165" t="s">
        <v>2658</v>
      </c>
      <c r="C165">
        <v>100000</v>
      </c>
      <c r="D165" t="s">
        <v>1107</v>
      </c>
      <c r="E165" s="353">
        <v>-412500</v>
      </c>
    </row>
    <row r="166" spans="1:5">
      <c r="A166">
        <v>165</v>
      </c>
      <c r="B166" t="s">
        <v>2669</v>
      </c>
      <c r="C166">
        <v>100011</v>
      </c>
      <c r="D166" t="s">
        <v>2298</v>
      </c>
      <c r="E166" s="353">
        <v>-469421.01</v>
      </c>
    </row>
    <row r="167" spans="1:5">
      <c r="A167">
        <v>166</v>
      </c>
      <c r="B167" t="s">
        <v>2673</v>
      </c>
      <c r="C167">
        <v>100012</v>
      </c>
      <c r="D167" t="s">
        <v>2384</v>
      </c>
      <c r="E167" s="353">
        <v>-469421.01</v>
      </c>
    </row>
    <row r="168" spans="1:5">
      <c r="A168">
        <v>167</v>
      </c>
      <c r="B168" t="s">
        <v>1781</v>
      </c>
      <c r="C168">
        <v>100004</v>
      </c>
      <c r="D168" t="s">
        <v>1700</v>
      </c>
      <c r="E168" s="353">
        <v>-490000</v>
      </c>
    </row>
    <row r="169" spans="1:5">
      <c r="A169">
        <v>168</v>
      </c>
      <c r="B169" t="s">
        <v>1934</v>
      </c>
      <c r="C169">
        <v>100011</v>
      </c>
      <c r="D169" t="s">
        <v>2312</v>
      </c>
      <c r="E169" s="353">
        <v>-729533.26</v>
      </c>
    </row>
    <row r="170" spans="1:5">
      <c r="A170">
        <v>169</v>
      </c>
      <c r="B170" t="s">
        <v>1934</v>
      </c>
      <c r="C170">
        <v>100012</v>
      </c>
      <c r="D170" t="s">
        <v>2389</v>
      </c>
      <c r="E170" s="353">
        <v>-729533.26</v>
      </c>
    </row>
    <row r="171" spans="1:5">
      <c r="A171">
        <v>170</v>
      </c>
      <c r="B171" t="s">
        <v>1781</v>
      </c>
      <c r="C171">
        <v>100008</v>
      </c>
      <c r="D171" t="s">
        <v>2104</v>
      </c>
      <c r="E171" s="353">
        <v>-857445.59000000358</v>
      </c>
    </row>
    <row r="172" spans="1:5">
      <c r="A172">
        <v>171</v>
      </c>
      <c r="B172" t="s">
        <v>2864</v>
      </c>
      <c r="C172">
        <v>100000</v>
      </c>
      <c r="D172" t="s">
        <v>1139</v>
      </c>
      <c r="E172" s="353">
        <v>-894241.08</v>
      </c>
    </row>
    <row r="173" spans="1:5">
      <c r="A173">
        <v>172</v>
      </c>
      <c r="C173">
        <v>100010</v>
      </c>
      <c r="D173" t="s">
        <v>2140</v>
      </c>
      <c r="E173" s="353">
        <v>-900000</v>
      </c>
    </row>
    <row r="174" spans="1:5">
      <c r="A174">
        <v>173</v>
      </c>
      <c r="B174" t="s">
        <v>2740</v>
      </c>
      <c r="C174">
        <v>100000</v>
      </c>
      <c r="D174" t="s">
        <v>1130</v>
      </c>
      <c r="E174" s="353">
        <v>-938752.46400000004</v>
      </c>
    </row>
    <row r="175" spans="1:5">
      <c r="A175">
        <v>174</v>
      </c>
      <c r="B175" t="s">
        <v>1797</v>
      </c>
      <c r="C175">
        <v>100011</v>
      </c>
      <c r="D175" t="s">
        <v>2303</v>
      </c>
      <c r="E175" s="353">
        <v>-970645.75</v>
      </c>
    </row>
    <row r="176" spans="1:5">
      <c r="A176">
        <v>175</v>
      </c>
      <c r="B176" t="s">
        <v>1797</v>
      </c>
      <c r="C176">
        <v>100012</v>
      </c>
      <c r="D176" t="s">
        <v>2384</v>
      </c>
      <c r="E176" s="353">
        <v>-970645.75</v>
      </c>
    </row>
    <row r="177" spans="1:5">
      <c r="A177">
        <v>176</v>
      </c>
      <c r="B177" t="s">
        <v>1781</v>
      </c>
      <c r="C177">
        <v>100006</v>
      </c>
      <c r="D177" t="s">
        <v>1897</v>
      </c>
      <c r="E177" s="353">
        <f>-983705.940000013+1</f>
        <v>-983704.94000001298</v>
      </c>
    </row>
    <row r="178" spans="1:5">
      <c r="A178">
        <v>177</v>
      </c>
      <c r="B178" t="s">
        <v>2693</v>
      </c>
      <c r="C178">
        <v>100016</v>
      </c>
      <c r="D178" t="s">
        <v>2606</v>
      </c>
      <c r="E178" s="353">
        <v>-1039951.0055999999</v>
      </c>
    </row>
    <row r="179" spans="1:5">
      <c r="A179">
        <v>178</v>
      </c>
      <c r="B179" t="s">
        <v>2698</v>
      </c>
      <c r="C179">
        <v>100004</v>
      </c>
      <c r="D179" t="s">
        <v>2862</v>
      </c>
      <c r="E179" s="353">
        <v>-1048505.6556874</v>
      </c>
    </row>
    <row r="180" spans="1:5">
      <c r="A180">
        <v>179</v>
      </c>
      <c r="B180" t="s">
        <v>2687</v>
      </c>
      <c r="C180">
        <v>100008</v>
      </c>
      <c r="D180" t="s">
        <v>2039</v>
      </c>
      <c r="E180" s="353">
        <v>-1278362.4981097523</v>
      </c>
    </row>
    <row r="181" spans="1:5">
      <c r="A181">
        <v>180</v>
      </c>
      <c r="B181" t="s">
        <v>2674</v>
      </c>
      <c r="C181">
        <v>100012</v>
      </c>
      <c r="D181" t="s">
        <v>2456</v>
      </c>
      <c r="E181" s="353">
        <v>-1779276.0500000003</v>
      </c>
    </row>
    <row r="182" spans="1:5">
      <c r="A182">
        <v>181</v>
      </c>
      <c r="B182" t="s">
        <v>1781</v>
      </c>
      <c r="C182">
        <v>100006</v>
      </c>
      <c r="D182" t="s">
        <v>1897</v>
      </c>
      <c r="E182" s="353">
        <v>-1999602.7491999865</v>
      </c>
    </row>
    <row r="183" spans="1:5">
      <c r="A183">
        <v>182</v>
      </c>
      <c r="B183" t="s">
        <v>2867</v>
      </c>
      <c r="C183">
        <v>100006</v>
      </c>
      <c r="D183" t="s">
        <v>1893</v>
      </c>
      <c r="E183" s="353">
        <v>-2051532.48</v>
      </c>
    </row>
    <row r="184" spans="1:5">
      <c r="A184">
        <v>183</v>
      </c>
      <c r="B184" t="s">
        <v>2719</v>
      </c>
      <c r="C184">
        <v>100008</v>
      </c>
      <c r="D184" t="s">
        <v>2000</v>
      </c>
      <c r="E184" s="353">
        <v>-2103410.5</v>
      </c>
    </row>
    <row r="185" spans="1:5">
      <c r="A185">
        <v>184</v>
      </c>
      <c r="B185" t="s">
        <v>2688</v>
      </c>
      <c r="C185">
        <v>100004</v>
      </c>
      <c r="D185" t="s">
        <v>1692</v>
      </c>
      <c r="E185" s="353">
        <v>-2157122.666056918</v>
      </c>
    </row>
    <row r="186" spans="1:5">
      <c r="A186">
        <v>185</v>
      </c>
      <c r="B186" t="s">
        <v>1949</v>
      </c>
      <c r="C186">
        <v>100007</v>
      </c>
      <c r="D186" t="s">
        <v>1950</v>
      </c>
      <c r="E186" s="353">
        <v>-2259877.0500000007</v>
      </c>
    </row>
    <row r="187" spans="1:5">
      <c r="A187">
        <v>186</v>
      </c>
      <c r="B187" t="s">
        <v>2878</v>
      </c>
      <c r="C187">
        <v>100010</v>
      </c>
      <c r="D187" t="s">
        <v>2879</v>
      </c>
      <c r="E187" s="353">
        <v>-2331047.7199999997</v>
      </c>
    </row>
    <row r="188" spans="1:5">
      <c r="A188">
        <v>187</v>
      </c>
      <c r="B188" t="s">
        <v>2751</v>
      </c>
      <c r="C188">
        <v>100002</v>
      </c>
      <c r="D188" t="s">
        <v>1293</v>
      </c>
      <c r="E188" s="353">
        <v>-2427534</v>
      </c>
    </row>
    <row r="189" spans="1:5">
      <c r="A189">
        <v>188</v>
      </c>
      <c r="B189" t="s">
        <v>2682</v>
      </c>
      <c r="C189">
        <v>100004</v>
      </c>
      <c r="D189" t="s">
        <v>1688</v>
      </c>
      <c r="E189" s="353">
        <v>-2447045.4192188233</v>
      </c>
    </row>
    <row r="190" spans="1:5">
      <c r="A190">
        <v>189</v>
      </c>
      <c r="B190" t="s">
        <v>2664</v>
      </c>
      <c r="C190">
        <v>100000</v>
      </c>
      <c r="D190" t="s">
        <v>1135</v>
      </c>
      <c r="E190" s="353">
        <v>-2500000</v>
      </c>
    </row>
    <row r="191" spans="1:5">
      <c r="A191">
        <v>190</v>
      </c>
      <c r="B191" t="s">
        <v>2746</v>
      </c>
      <c r="C191">
        <v>100000</v>
      </c>
      <c r="D191" t="s">
        <v>1130</v>
      </c>
      <c r="E191" s="353">
        <v>-2648229.08</v>
      </c>
    </row>
    <row r="192" spans="1:5">
      <c r="A192">
        <v>191</v>
      </c>
      <c r="B192" t="s">
        <v>1781</v>
      </c>
      <c r="C192" t="s">
        <v>2685</v>
      </c>
      <c r="D192" t="s">
        <v>2704</v>
      </c>
      <c r="E192" s="353">
        <v>-2655344.949000001</v>
      </c>
    </row>
    <row r="193" spans="1:5">
      <c r="A193">
        <v>192</v>
      </c>
      <c r="B193" t="s">
        <v>2680</v>
      </c>
      <c r="C193">
        <v>100014</v>
      </c>
      <c r="D193" t="s">
        <v>2511</v>
      </c>
      <c r="E193" s="353">
        <v>-2720345.0655647907</v>
      </c>
    </row>
    <row r="194" spans="1:5">
      <c r="A194">
        <v>193</v>
      </c>
      <c r="B194" t="s">
        <v>2680</v>
      </c>
      <c r="C194">
        <v>100008</v>
      </c>
      <c r="D194" t="s">
        <v>2038</v>
      </c>
      <c r="E194" s="353">
        <v>-2763439.8783449866</v>
      </c>
    </row>
    <row r="195" spans="1:5">
      <c r="A195">
        <v>194</v>
      </c>
      <c r="B195" t="s">
        <v>2693</v>
      </c>
      <c r="C195">
        <v>100002</v>
      </c>
      <c r="D195" t="s">
        <v>1321</v>
      </c>
      <c r="E195" s="353">
        <v>-2900505.5399999991</v>
      </c>
    </row>
    <row r="196" spans="1:5">
      <c r="A196">
        <v>195</v>
      </c>
      <c r="B196" t="s">
        <v>2863</v>
      </c>
      <c r="C196">
        <v>100000</v>
      </c>
      <c r="D196" t="s">
        <v>1111</v>
      </c>
      <c r="E196" s="353">
        <v>-2994992</v>
      </c>
    </row>
    <row r="197" spans="1:5">
      <c r="A197">
        <v>196</v>
      </c>
      <c r="B197" t="s">
        <v>2698</v>
      </c>
      <c r="C197">
        <v>100014</v>
      </c>
      <c r="D197" t="s">
        <v>2509</v>
      </c>
      <c r="E197" s="353">
        <v>-3262271.41</v>
      </c>
    </row>
    <row r="198" spans="1:5">
      <c r="A198">
        <v>197</v>
      </c>
      <c r="B198" t="s">
        <v>2680</v>
      </c>
      <c r="C198">
        <v>100003</v>
      </c>
      <c r="D198" t="s">
        <v>1529</v>
      </c>
      <c r="E198" s="353">
        <v>-3335171.5967347212</v>
      </c>
    </row>
    <row r="199" spans="1:5">
      <c r="A199">
        <v>198</v>
      </c>
      <c r="B199" t="s">
        <v>2743</v>
      </c>
      <c r="C199">
        <v>100001</v>
      </c>
      <c r="D199" t="s">
        <v>1191</v>
      </c>
      <c r="E199" s="353">
        <v>-3589224</v>
      </c>
    </row>
    <row r="200" spans="1:5">
      <c r="A200">
        <v>199</v>
      </c>
      <c r="B200" t="s">
        <v>2662</v>
      </c>
      <c r="C200">
        <v>100008</v>
      </c>
      <c r="D200" t="s">
        <v>2075</v>
      </c>
      <c r="E200" s="353">
        <v>-3644647.65</v>
      </c>
    </row>
    <row r="201" spans="1:5">
      <c r="A201">
        <v>200</v>
      </c>
      <c r="B201" t="s">
        <v>1781</v>
      </c>
      <c r="C201">
        <v>100003</v>
      </c>
      <c r="D201" t="s">
        <v>1535</v>
      </c>
      <c r="E201" s="353">
        <v>-3650339.1505892985</v>
      </c>
    </row>
    <row r="202" spans="1:5">
      <c r="A202">
        <v>201</v>
      </c>
      <c r="B202" t="s">
        <v>2665</v>
      </c>
      <c r="C202">
        <v>100002</v>
      </c>
      <c r="D202" t="s">
        <v>1400</v>
      </c>
      <c r="E202" s="353">
        <v>-3870000</v>
      </c>
    </row>
    <row r="203" spans="1:5">
      <c r="A203">
        <v>202</v>
      </c>
      <c r="B203" t="s">
        <v>2108</v>
      </c>
      <c r="C203">
        <v>100012</v>
      </c>
      <c r="D203" t="s">
        <v>2381</v>
      </c>
      <c r="E203" s="353">
        <v>-4408445.22</v>
      </c>
    </row>
    <row r="204" spans="1:5">
      <c r="A204">
        <v>203</v>
      </c>
      <c r="B204" t="s">
        <v>1941</v>
      </c>
      <c r="C204" t="s">
        <v>2683</v>
      </c>
      <c r="D204" t="s">
        <v>2684</v>
      </c>
      <c r="E204" s="353">
        <v>-4434767.6700000055</v>
      </c>
    </row>
    <row r="205" spans="1:5">
      <c r="A205">
        <v>204</v>
      </c>
      <c r="B205" t="s">
        <v>2870</v>
      </c>
      <c r="C205">
        <v>100014</v>
      </c>
      <c r="D205" t="s">
        <v>2509</v>
      </c>
      <c r="E205" s="353">
        <v>-4447128.01</v>
      </c>
    </row>
    <row r="206" spans="1:5">
      <c r="A206">
        <v>205</v>
      </c>
      <c r="B206" t="s">
        <v>1781</v>
      </c>
      <c r="C206">
        <v>100005</v>
      </c>
      <c r="D206" t="s">
        <v>1782</v>
      </c>
      <c r="E206" s="353">
        <v>-4610959.6101119518</v>
      </c>
    </row>
    <row r="207" spans="1:5">
      <c r="A207">
        <v>206</v>
      </c>
      <c r="B207" t="s">
        <v>1781</v>
      </c>
      <c r="C207">
        <v>100005</v>
      </c>
      <c r="D207" t="s">
        <v>1782</v>
      </c>
      <c r="E207" s="353">
        <v>-4691800.5837529749</v>
      </c>
    </row>
    <row r="208" spans="1:5">
      <c r="A208">
        <v>207</v>
      </c>
      <c r="B208" t="s">
        <v>1941</v>
      </c>
      <c r="C208">
        <v>100007</v>
      </c>
      <c r="D208" t="s">
        <v>1942</v>
      </c>
      <c r="E208" s="353">
        <v>-4830937.057599999</v>
      </c>
    </row>
    <row r="209" spans="1:5">
      <c r="A209">
        <v>208</v>
      </c>
      <c r="B209" t="s">
        <v>2687</v>
      </c>
      <c r="C209">
        <v>100014</v>
      </c>
      <c r="D209" t="s">
        <v>2512</v>
      </c>
      <c r="E209" s="353">
        <v>-4899629.966070516</v>
      </c>
    </row>
    <row r="210" spans="1:5">
      <c r="A210">
        <v>209</v>
      </c>
      <c r="B210" t="s">
        <v>2698</v>
      </c>
      <c r="C210">
        <v>100008</v>
      </c>
      <c r="D210" t="s">
        <v>2035</v>
      </c>
      <c r="E210" s="353">
        <v>-5168344.4945999999</v>
      </c>
    </row>
    <row r="211" spans="1:5">
      <c r="A211">
        <v>210</v>
      </c>
      <c r="B211" t="s">
        <v>1949</v>
      </c>
      <c r="C211" t="s">
        <v>2683</v>
      </c>
      <c r="D211" t="s">
        <v>2684</v>
      </c>
      <c r="E211" s="353">
        <v>-6016458.7884174958</v>
      </c>
    </row>
    <row r="212" spans="1:5">
      <c r="A212">
        <v>211</v>
      </c>
      <c r="B212" t="s">
        <v>2696</v>
      </c>
      <c r="C212">
        <v>100004</v>
      </c>
      <c r="D212" t="s">
        <v>1690</v>
      </c>
      <c r="E212" s="353">
        <v>-6155065.8302015904</v>
      </c>
    </row>
    <row r="213" spans="1:5">
      <c r="A213">
        <v>212</v>
      </c>
      <c r="B213" t="s">
        <v>2671</v>
      </c>
      <c r="C213">
        <v>100012</v>
      </c>
      <c r="D213" t="s">
        <v>2386</v>
      </c>
      <c r="E213" s="353">
        <v>-6217177.2599999998</v>
      </c>
    </row>
    <row r="214" spans="1:5">
      <c r="A214">
        <v>213</v>
      </c>
      <c r="B214" t="s">
        <v>1292</v>
      </c>
      <c r="C214">
        <v>100000</v>
      </c>
      <c r="D214" t="s">
        <v>1066</v>
      </c>
      <c r="E214" s="353">
        <v>-6396368</v>
      </c>
    </row>
    <row r="215" spans="1:5">
      <c r="A215">
        <v>214</v>
      </c>
      <c r="B215" t="s">
        <v>2694</v>
      </c>
      <c r="C215">
        <v>100000</v>
      </c>
      <c r="D215" t="s">
        <v>1067</v>
      </c>
      <c r="E215" s="353">
        <v>-8415324</v>
      </c>
    </row>
    <row r="216" spans="1:5">
      <c r="A216">
        <v>215</v>
      </c>
      <c r="B216" t="s">
        <v>2748</v>
      </c>
      <c r="C216">
        <v>100002</v>
      </c>
      <c r="D216" t="s">
        <v>1274</v>
      </c>
      <c r="E216" s="353">
        <v>-9435113.1600000001</v>
      </c>
    </row>
    <row r="217" spans="1:5">
      <c r="A217">
        <v>216</v>
      </c>
      <c r="B217" t="s">
        <v>2692</v>
      </c>
      <c r="C217">
        <v>100000</v>
      </c>
      <c r="D217" t="s">
        <v>1103</v>
      </c>
      <c r="E217" s="353">
        <v>-11686724.809999999</v>
      </c>
    </row>
    <row r="218" spans="1:5">
      <c r="A218">
        <v>217</v>
      </c>
      <c r="B218" t="s">
        <v>2256</v>
      </c>
      <c r="C218">
        <v>100012</v>
      </c>
      <c r="D218" t="s">
        <v>2380</v>
      </c>
      <c r="E218" s="353">
        <v>-12761029.119999999</v>
      </c>
    </row>
    <row r="219" spans="1:5">
      <c r="A219">
        <v>218</v>
      </c>
      <c r="B219" t="s">
        <v>2680</v>
      </c>
      <c r="C219">
        <v>100005</v>
      </c>
      <c r="D219" t="s">
        <v>1733</v>
      </c>
      <c r="E219" s="353">
        <v>-12986892.188614145</v>
      </c>
    </row>
    <row r="220" spans="1:5">
      <c r="A220">
        <v>219</v>
      </c>
      <c r="B220" t="s">
        <v>2687</v>
      </c>
      <c r="C220">
        <v>100005</v>
      </c>
      <c r="D220" t="s">
        <v>1734</v>
      </c>
      <c r="E220" s="353">
        <v>-14627083.783703044</v>
      </c>
    </row>
    <row r="221" spans="1:5">
      <c r="A221">
        <v>220</v>
      </c>
      <c r="B221" t="s">
        <v>2693</v>
      </c>
      <c r="C221">
        <v>100008</v>
      </c>
      <c r="D221" t="s">
        <v>2035</v>
      </c>
      <c r="E221" s="353">
        <v>-14910261.75</v>
      </c>
    </row>
    <row r="222" spans="1:5">
      <c r="A222">
        <v>221</v>
      </c>
      <c r="B222" t="s">
        <v>2871</v>
      </c>
      <c r="C222">
        <v>100000</v>
      </c>
      <c r="D222" t="s">
        <v>1139</v>
      </c>
      <c r="E222" s="353">
        <v>-15382393.52</v>
      </c>
    </row>
    <row r="223" spans="1:5">
      <c r="A223">
        <v>222</v>
      </c>
      <c r="B223" t="s">
        <v>2712</v>
      </c>
      <c r="C223">
        <v>100000</v>
      </c>
      <c r="D223" t="s">
        <v>1130</v>
      </c>
      <c r="E223" s="353">
        <v>-15564023.029465944</v>
      </c>
    </row>
    <row r="224" spans="1:5">
      <c r="A224">
        <v>223</v>
      </c>
      <c r="B224" t="s">
        <v>2747</v>
      </c>
      <c r="C224">
        <v>100000</v>
      </c>
      <c r="D224" t="s">
        <v>1135</v>
      </c>
      <c r="E224" s="353">
        <v>-19947167.539999999</v>
      </c>
    </row>
    <row r="225" spans="1:5">
      <c r="A225">
        <v>224</v>
      </c>
      <c r="B225" t="s">
        <v>2687</v>
      </c>
      <c r="C225">
        <v>100006</v>
      </c>
      <c r="D225" t="s">
        <v>1895</v>
      </c>
      <c r="E225" s="353">
        <v>-20086159.993673995</v>
      </c>
    </row>
    <row r="226" spans="1:5">
      <c r="A226">
        <v>225</v>
      </c>
      <c r="B226" t="s">
        <v>2698</v>
      </c>
      <c r="C226">
        <v>100003</v>
      </c>
      <c r="D226" t="s">
        <v>1531</v>
      </c>
      <c r="E226" s="353">
        <v>-22088848.629885599</v>
      </c>
    </row>
    <row r="227" spans="1:5">
      <c r="A227">
        <v>226</v>
      </c>
      <c r="B227" t="s">
        <v>2680</v>
      </c>
      <c r="C227">
        <v>100006</v>
      </c>
      <c r="D227" t="s">
        <v>1891</v>
      </c>
      <c r="E227" s="353">
        <v>-28303281.888691813</v>
      </c>
    </row>
    <row r="228" spans="1:5">
      <c r="A228">
        <v>227</v>
      </c>
      <c r="B228" t="s">
        <v>2708</v>
      </c>
      <c r="C228">
        <v>100003</v>
      </c>
      <c r="D228" t="s">
        <v>1432</v>
      </c>
      <c r="E228" s="353">
        <v>-29116602.206110701</v>
      </c>
    </row>
    <row r="229" spans="1:5">
      <c r="A229">
        <v>228</v>
      </c>
      <c r="B229" t="s">
        <v>2738</v>
      </c>
      <c r="C229">
        <v>100000</v>
      </c>
      <c r="D229" t="s">
        <v>1130</v>
      </c>
      <c r="E229" s="353">
        <v>-30963091.383675061</v>
      </c>
    </row>
    <row r="230" spans="1:5">
      <c r="A230">
        <v>229</v>
      </c>
      <c r="B230" t="s">
        <v>2693</v>
      </c>
      <c r="C230">
        <v>100007</v>
      </c>
      <c r="D230" t="s">
        <v>1944</v>
      </c>
      <c r="E230" s="353">
        <v>-31582449.043099999</v>
      </c>
    </row>
    <row r="231" spans="1:5">
      <c r="A231">
        <v>230</v>
      </c>
      <c r="B231" t="s">
        <v>2294</v>
      </c>
      <c r="C231">
        <v>100011</v>
      </c>
      <c r="D231" t="s">
        <v>2295</v>
      </c>
      <c r="E231" s="353">
        <v>-33442702</v>
      </c>
    </row>
    <row r="232" spans="1:5">
      <c r="A232">
        <v>231</v>
      </c>
      <c r="B232" t="s">
        <v>2698</v>
      </c>
      <c r="C232">
        <v>100000</v>
      </c>
      <c r="D232" t="s">
        <v>1102</v>
      </c>
      <c r="E232" s="353">
        <v>-33719974.490000002</v>
      </c>
    </row>
    <row r="233" spans="1:5">
      <c r="A233">
        <v>232</v>
      </c>
      <c r="B233" t="s">
        <v>2693</v>
      </c>
      <c r="C233">
        <v>100014</v>
      </c>
      <c r="D233" t="s">
        <v>2509</v>
      </c>
      <c r="E233" s="353">
        <v>-34020045.750455901</v>
      </c>
    </row>
    <row r="234" spans="1:5">
      <c r="A234">
        <v>233</v>
      </c>
      <c r="B234" t="s">
        <v>2692</v>
      </c>
      <c r="C234">
        <v>100000</v>
      </c>
      <c r="D234" t="s">
        <v>1102</v>
      </c>
      <c r="E234" s="353">
        <v>-37387014.200000033</v>
      </c>
    </row>
    <row r="235" spans="1:5">
      <c r="A235">
        <v>234</v>
      </c>
      <c r="B235" t="s">
        <v>2726</v>
      </c>
      <c r="C235">
        <v>100000</v>
      </c>
      <c r="D235" t="s">
        <v>1130</v>
      </c>
      <c r="E235" s="353">
        <v>-43730224.56123431</v>
      </c>
    </row>
    <row r="236" spans="1:5">
      <c r="A236">
        <v>235</v>
      </c>
      <c r="B236" t="s">
        <v>2715</v>
      </c>
      <c r="C236">
        <v>100000</v>
      </c>
      <c r="D236" t="s">
        <v>1074</v>
      </c>
      <c r="E236" s="353">
        <v>-46186000</v>
      </c>
    </row>
    <row r="237" spans="1:5">
      <c r="A237">
        <v>236</v>
      </c>
      <c r="B237" t="s">
        <v>1949</v>
      </c>
      <c r="C237" t="s">
        <v>2685</v>
      </c>
      <c r="D237" t="s">
        <v>2686</v>
      </c>
      <c r="E237" s="353">
        <v>-47094611.516869009</v>
      </c>
    </row>
    <row r="238" spans="1:5">
      <c r="A238">
        <v>237</v>
      </c>
      <c r="B238" t="s">
        <v>1941</v>
      </c>
      <c r="C238" t="s">
        <v>2685</v>
      </c>
      <c r="D238" t="s">
        <v>2686</v>
      </c>
      <c r="E238" s="353">
        <v>-48709870.860148877</v>
      </c>
    </row>
    <row r="239" spans="1:5">
      <c r="A239">
        <v>238</v>
      </c>
      <c r="B239" t="s">
        <v>2745</v>
      </c>
      <c r="C239">
        <v>100002</v>
      </c>
      <c r="D239" t="s">
        <v>1215</v>
      </c>
      <c r="E239" s="353">
        <v>-49500000</v>
      </c>
    </row>
    <row r="240" spans="1:5">
      <c r="A240">
        <v>239</v>
      </c>
      <c r="B240" t="s">
        <v>2722</v>
      </c>
      <c r="C240">
        <v>100000</v>
      </c>
      <c r="D240" t="s">
        <v>1130</v>
      </c>
      <c r="E240" s="353">
        <v>-54977518.306000002</v>
      </c>
    </row>
    <row r="241" spans="1:5">
      <c r="A241">
        <v>240</v>
      </c>
      <c r="B241" t="s">
        <v>2724</v>
      </c>
      <c r="C241">
        <v>100005</v>
      </c>
      <c r="D241" t="s">
        <v>1712</v>
      </c>
      <c r="E241" s="353">
        <v>-75176198.581799999</v>
      </c>
    </row>
    <row r="242" spans="1:5">
      <c r="A242">
        <v>241</v>
      </c>
      <c r="B242" t="s">
        <v>2711</v>
      </c>
      <c r="C242">
        <v>100004</v>
      </c>
      <c r="D242" t="s">
        <v>1556</v>
      </c>
      <c r="E242" s="353">
        <v>-79983559.734242126</v>
      </c>
    </row>
    <row r="243" spans="1:5">
      <c r="A243">
        <v>242</v>
      </c>
      <c r="B243" t="s">
        <v>2693</v>
      </c>
      <c r="C243">
        <v>100006</v>
      </c>
      <c r="D243" t="s">
        <v>1893</v>
      </c>
      <c r="E243" s="353">
        <v>-81296565.379999995</v>
      </c>
    </row>
    <row r="244" spans="1:5">
      <c r="A244">
        <v>243</v>
      </c>
      <c r="B244" t="s">
        <v>2734</v>
      </c>
      <c r="C244">
        <v>100000</v>
      </c>
      <c r="D244" t="s">
        <v>1130</v>
      </c>
      <c r="E244" s="353">
        <v>-81600708.241336435</v>
      </c>
    </row>
    <row r="245" spans="1:5">
      <c r="A245">
        <v>244</v>
      </c>
      <c r="B245" t="s">
        <v>2705</v>
      </c>
      <c r="C245">
        <v>100000</v>
      </c>
      <c r="D245" t="s">
        <v>1130</v>
      </c>
      <c r="E245" s="353">
        <v>-85455199.415500015</v>
      </c>
    </row>
    <row r="246" spans="1:5">
      <c r="A246">
        <v>245</v>
      </c>
      <c r="B246" t="s">
        <v>2729</v>
      </c>
      <c r="C246">
        <v>100000</v>
      </c>
      <c r="D246" t="s">
        <v>1130</v>
      </c>
      <c r="E246" s="353">
        <v>-88987600.121999994</v>
      </c>
    </row>
    <row r="247" spans="1:5">
      <c r="A247">
        <v>246</v>
      </c>
      <c r="B247" t="s">
        <v>2693</v>
      </c>
      <c r="C247" t="s">
        <v>2683</v>
      </c>
      <c r="D247" t="s">
        <v>2684</v>
      </c>
      <c r="E247" s="353">
        <v>-99990110.871700004</v>
      </c>
    </row>
    <row r="248" spans="1:5">
      <c r="A248">
        <v>247</v>
      </c>
      <c r="B248" t="s">
        <v>2727</v>
      </c>
      <c r="C248">
        <v>100000</v>
      </c>
      <c r="D248" t="s">
        <v>1074</v>
      </c>
      <c r="E248" s="353">
        <v>-100047393.41</v>
      </c>
    </row>
    <row r="249" spans="1:5">
      <c r="A249">
        <v>248</v>
      </c>
      <c r="B249" t="s">
        <v>2725</v>
      </c>
      <c r="C249">
        <v>100000</v>
      </c>
      <c r="D249" t="s">
        <v>1135</v>
      </c>
      <c r="E249" s="353">
        <v>-112498459.26000001</v>
      </c>
    </row>
    <row r="250" spans="1:5">
      <c r="A250">
        <v>249</v>
      </c>
      <c r="B250" t="s">
        <v>2753</v>
      </c>
      <c r="C250">
        <v>100002</v>
      </c>
      <c r="D250" t="s">
        <v>1288</v>
      </c>
      <c r="E250" s="353">
        <v>-180000000</v>
      </c>
    </row>
    <row r="251" spans="1:5">
      <c r="A251">
        <v>250</v>
      </c>
      <c r="B251" t="s">
        <v>2719</v>
      </c>
      <c r="C251">
        <v>100000</v>
      </c>
      <c r="D251" t="s">
        <v>1130</v>
      </c>
      <c r="E251" s="353">
        <v>-184139900.7098</v>
      </c>
    </row>
    <row r="252" spans="1:5">
      <c r="A252">
        <v>251</v>
      </c>
      <c r="B252" t="s">
        <v>2693</v>
      </c>
      <c r="C252" t="s">
        <v>2685</v>
      </c>
      <c r="D252" t="s">
        <v>2686</v>
      </c>
      <c r="E252" s="353">
        <v>-186192155.62</v>
      </c>
    </row>
    <row r="253" spans="1:5">
      <c r="A253">
        <v>252</v>
      </c>
      <c r="B253" t="s">
        <v>2732</v>
      </c>
      <c r="C253">
        <v>100000</v>
      </c>
      <c r="D253" t="s">
        <v>1135</v>
      </c>
      <c r="E253" s="353">
        <v>-204415584.40000001</v>
      </c>
    </row>
    <row r="254" spans="1:5">
      <c r="A254">
        <v>253</v>
      </c>
      <c r="B254" t="s">
        <v>2693</v>
      </c>
      <c r="C254">
        <v>100005</v>
      </c>
      <c r="D254" t="s">
        <v>1731</v>
      </c>
      <c r="E254" s="353">
        <v>-208556277.03988799</v>
      </c>
    </row>
    <row r="255" spans="1:5">
      <c r="A255">
        <v>254</v>
      </c>
      <c r="B255" t="s">
        <v>2737</v>
      </c>
      <c r="C255">
        <v>100000</v>
      </c>
      <c r="D255" t="s">
        <v>1135</v>
      </c>
      <c r="E255" s="353">
        <v>-644857103.98000002</v>
      </c>
    </row>
    <row r="256" spans="1:5">
      <c r="E256" s="353">
        <f>SUM(E2:E255)</f>
        <v>-1.0877847671508789E-3</v>
      </c>
    </row>
  </sheetData>
  <sortState ref="A2:K458">
    <sortCondition descending="1" ref="E2:E458"/>
  </sortState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E108"/>
  <sheetViews>
    <sheetView workbookViewId="0">
      <selection activeCell="H94" sqref="H94"/>
    </sheetView>
  </sheetViews>
  <sheetFormatPr defaultRowHeight="12.75"/>
  <cols>
    <col min="1" max="1" width="7.140625" style="65" customWidth="1"/>
    <col min="2" max="2" width="38.42578125" style="65" customWidth="1"/>
    <col min="3" max="3" width="14" style="184" customWidth="1"/>
    <col min="4" max="4" width="18.28515625" style="65" bestFit="1" customWidth="1"/>
    <col min="5" max="5" width="17.28515625" style="232" bestFit="1" customWidth="1"/>
    <col min="6" max="16384" width="9.140625" style="65"/>
  </cols>
  <sheetData>
    <row r="1" spans="2:5">
      <c r="B1" s="171" t="s">
        <v>3</v>
      </c>
      <c r="C1" s="185" t="s">
        <v>1</v>
      </c>
      <c r="D1" s="171" t="s">
        <v>635</v>
      </c>
      <c r="E1" s="259" t="s">
        <v>2657</v>
      </c>
    </row>
    <row r="2" spans="2:5">
      <c r="B2" s="171" t="s">
        <v>2754</v>
      </c>
      <c r="C2" s="185">
        <v>100000</v>
      </c>
      <c r="D2" s="171" t="s">
        <v>1071</v>
      </c>
      <c r="E2" s="259">
        <v>-352021425.74000001</v>
      </c>
    </row>
    <row r="3" spans="2:5">
      <c r="B3" s="171" t="s">
        <v>1787</v>
      </c>
      <c r="C3" s="185">
        <v>100007</v>
      </c>
      <c r="D3" s="171" t="s">
        <v>1899</v>
      </c>
      <c r="E3" s="259">
        <v>307039313.05416</v>
      </c>
    </row>
    <row r="4" spans="2:5">
      <c r="B4" s="171" t="s">
        <v>2775</v>
      </c>
      <c r="C4" s="185">
        <v>100007</v>
      </c>
      <c r="D4" s="171" t="s">
        <v>1903</v>
      </c>
      <c r="E4" s="259">
        <v>44982113</v>
      </c>
    </row>
    <row r="5" spans="2:5">
      <c r="B5" s="171" t="s">
        <v>2776</v>
      </c>
      <c r="C5" s="185">
        <v>100007</v>
      </c>
      <c r="D5" s="171" t="s">
        <v>1901</v>
      </c>
      <c r="E5" s="259">
        <v>-1172132.55</v>
      </c>
    </row>
    <row r="6" spans="2:5">
      <c r="B6" s="171" t="s">
        <v>1781</v>
      </c>
      <c r="C6" s="185">
        <v>100007</v>
      </c>
      <c r="D6" s="171" t="s">
        <v>1985</v>
      </c>
      <c r="E6" s="259">
        <v>1172132.55</v>
      </c>
    </row>
    <row r="7" spans="2:5">
      <c r="B7" s="359" t="s">
        <v>2755</v>
      </c>
      <c r="C7" s="360">
        <v>100000</v>
      </c>
      <c r="D7" s="359" t="s">
        <v>1071</v>
      </c>
      <c r="E7" s="361">
        <v>-180900000</v>
      </c>
    </row>
    <row r="8" spans="2:5">
      <c r="B8" s="359" t="s">
        <v>2773</v>
      </c>
      <c r="C8" s="360">
        <v>100002</v>
      </c>
      <c r="D8" s="359" t="s">
        <v>1211</v>
      </c>
      <c r="E8" s="361">
        <v>900000</v>
      </c>
    </row>
    <row r="9" spans="2:5">
      <c r="B9" s="359" t="s">
        <v>2774</v>
      </c>
      <c r="C9" s="360">
        <v>100002</v>
      </c>
      <c r="D9" s="359" t="s">
        <v>1212</v>
      </c>
      <c r="E9" s="362">
        <v>180000000</v>
      </c>
    </row>
    <row r="10" spans="2:5" s="49" customFormat="1">
      <c r="B10" s="171" t="s">
        <v>2756</v>
      </c>
      <c r="C10" s="185">
        <v>100000</v>
      </c>
      <c r="D10" s="171" t="s">
        <v>1071</v>
      </c>
      <c r="E10" s="259">
        <v>-362683406.5</v>
      </c>
    </row>
    <row r="11" spans="2:5" s="49" customFormat="1">
      <c r="B11" s="171" t="s">
        <v>1787</v>
      </c>
      <c r="C11" s="185">
        <v>100004</v>
      </c>
      <c r="D11" s="171" t="s">
        <v>1611</v>
      </c>
      <c r="E11" s="363">
        <v>362683406.5</v>
      </c>
    </row>
    <row r="12" spans="2:5">
      <c r="B12" s="356" t="s">
        <v>2757</v>
      </c>
      <c r="C12" s="357">
        <v>100000</v>
      </c>
      <c r="D12" s="356" t="s">
        <v>1071</v>
      </c>
      <c r="E12" s="358">
        <v>-89056750</v>
      </c>
    </row>
    <row r="13" spans="2:5" s="49" customFormat="1">
      <c r="B13" s="356" t="s">
        <v>1787</v>
      </c>
      <c r="C13" s="357">
        <v>100001</v>
      </c>
      <c r="D13" s="356" t="s">
        <v>1159</v>
      </c>
      <c r="E13" s="358">
        <v>7433500</v>
      </c>
    </row>
    <row r="14" spans="2:5" s="49" customFormat="1">
      <c r="B14" s="356" t="s">
        <v>2766</v>
      </c>
      <c r="C14" s="357">
        <v>100001</v>
      </c>
      <c r="D14" s="356" t="s">
        <v>1165</v>
      </c>
      <c r="E14" s="358">
        <v>65180000</v>
      </c>
    </row>
    <row r="15" spans="2:5" s="49" customFormat="1">
      <c r="B15" s="356" t="s">
        <v>2767</v>
      </c>
      <c r="C15" s="357">
        <v>100001</v>
      </c>
      <c r="D15" s="356" t="s">
        <v>1163</v>
      </c>
      <c r="E15" s="358">
        <v>2000</v>
      </c>
    </row>
    <row r="16" spans="2:5" s="49" customFormat="1">
      <c r="B16" s="356" t="s">
        <v>2768</v>
      </c>
      <c r="C16" s="357">
        <v>100001</v>
      </c>
      <c r="D16" s="356" t="s">
        <v>1161</v>
      </c>
      <c r="E16" s="358">
        <v>6356339</v>
      </c>
    </row>
    <row r="17" spans="2:5" s="49" customFormat="1">
      <c r="B17" s="356" t="s">
        <v>2769</v>
      </c>
      <c r="C17" s="357">
        <v>100001</v>
      </c>
      <c r="D17" s="356" t="s">
        <v>1167</v>
      </c>
      <c r="E17" s="358">
        <v>330538</v>
      </c>
    </row>
    <row r="18" spans="2:5" s="49" customFormat="1">
      <c r="B18" s="356" t="s">
        <v>2770</v>
      </c>
      <c r="C18" s="357">
        <v>100001</v>
      </c>
      <c r="D18" s="356" t="s">
        <v>1167</v>
      </c>
      <c r="E18" s="358">
        <v>9754373</v>
      </c>
    </row>
    <row r="19" spans="2:5" s="49" customFormat="1">
      <c r="B19" s="356" t="s">
        <v>2771</v>
      </c>
      <c r="C19" s="357">
        <v>100001</v>
      </c>
      <c r="D19" s="356" t="s">
        <v>1191</v>
      </c>
      <c r="E19" s="358">
        <v>-3470150.03</v>
      </c>
    </row>
    <row r="20" spans="2:5" s="49" customFormat="1">
      <c r="B20" s="356" t="s">
        <v>2772</v>
      </c>
      <c r="C20" s="357">
        <v>100000</v>
      </c>
      <c r="D20" s="356" t="s">
        <v>1126</v>
      </c>
      <c r="E20" s="358">
        <v>3470150.03</v>
      </c>
    </row>
    <row r="21" spans="2:5" s="49" customFormat="1">
      <c r="B21" s="171" t="s">
        <v>2758</v>
      </c>
      <c r="C21" s="185">
        <v>100000</v>
      </c>
      <c r="D21" s="171" t="s">
        <v>1071</v>
      </c>
      <c r="E21" s="259">
        <v>-28684728</v>
      </c>
    </row>
    <row r="22" spans="2:5" s="49" customFormat="1">
      <c r="B22" s="171" t="s">
        <v>1787</v>
      </c>
      <c r="C22" s="185">
        <v>100003</v>
      </c>
      <c r="D22" s="171" t="s">
        <v>1472</v>
      </c>
      <c r="E22" s="259">
        <v>28684728</v>
      </c>
    </row>
    <row r="23" spans="2:5">
      <c r="B23" s="172" t="s">
        <v>2759</v>
      </c>
      <c r="C23" s="186">
        <v>100000</v>
      </c>
      <c r="D23" s="172" t="s">
        <v>1071</v>
      </c>
      <c r="E23" s="354">
        <v>-110061139.34</v>
      </c>
    </row>
    <row r="24" spans="2:5">
      <c r="B24" s="172" t="s">
        <v>1787</v>
      </c>
      <c r="C24" s="186">
        <v>100006</v>
      </c>
      <c r="D24" s="172" t="s">
        <v>1788</v>
      </c>
      <c r="E24" s="354">
        <v>110061139.34</v>
      </c>
    </row>
    <row r="25" spans="2:5" s="364" customFormat="1">
      <c r="B25" s="359" t="s">
        <v>2760</v>
      </c>
      <c r="C25" s="360">
        <v>100000</v>
      </c>
      <c r="D25" s="359" t="s">
        <v>1071</v>
      </c>
      <c r="E25" s="361">
        <v>-1777500</v>
      </c>
    </row>
    <row r="26" spans="2:5" s="364" customFormat="1">
      <c r="B26" s="359" t="s">
        <v>1787</v>
      </c>
      <c r="C26" s="360">
        <v>100005</v>
      </c>
      <c r="D26" s="359" t="s">
        <v>1724</v>
      </c>
      <c r="E26" s="361">
        <v>1777500</v>
      </c>
    </row>
    <row r="27" spans="2:5" s="49" customFormat="1">
      <c r="B27" s="171" t="s">
        <v>2761</v>
      </c>
      <c r="C27" s="185">
        <v>100000</v>
      </c>
      <c r="D27" s="171" t="s">
        <v>1071</v>
      </c>
      <c r="E27" s="259">
        <v>-1690000</v>
      </c>
    </row>
    <row r="28" spans="2:5" s="49" customFormat="1">
      <c r="B28" s="171" t="s">
        <v>1787</v>
      </c>
      <c r="C28" s="185">
        <v>100016</v>
      </c>
      <c r="D28" s="171" t="s">
        <v>2557</v>
      </c>
      <c r="E28" s="259">
        <v>1690000</v>
      </c>
    </row>
    <row r="29" spans="2:5">
      <c r="B29" s="172" t="s">
        <v>2762</v>
      </c>
      <c r="C29" s="186">
        <v>100000</v>
      </c>
      <c r="D29" s="172" t="s">
        <v>1071</v>
      </c>
      <c r="E29" s="354">
        <v>-1044900</v>
      </c>
    </row>
    <row r="30" spans="2:5">
      <c r="B30" s="172" t="s">
        <v>2789</v>
      </c>
      <c r="C30" s="186">
        <v>100009</v>
      </c>
      <c r="D30" s="172" t="s">
        <v>2788</v>
      </c>
      <c r="E30" s="355">
        <v>1044900</v>
      </c>
    </row>
    <row r="31" spans="2:5">
      <c r="B31" s="172" t="s">
        <v>1787</v>
      </c>
      <c r="C31" s="186">
        <v>100011</v>
      </c>
      <c r="D31" s="172" t="s">
        <v>2888</v>
      </c>
      <c r="E31" s="355">
        <v>559638</v>
      </c>
    </row>
    <row r="32" spans="2:5">
      <c r="B32" s="172" t="s">
        <v>2763</v>
      </c>
      <c r="C32" s="186">
        <v>100000</v>
      </c>
      <c r="D32" s="172" t="s">
        <v>1071</v>
      </c>
      <c r="E32" s="354">
        <v>-559638</v>
      </c>
    </row>
    <row r="33" spans="1:5">
      <c r="B33" s="171" t="s">
        <v>2764</v>
      </c>
      <c r="C33" s="185">
        <v>100000</v>
      </c>
      <c r="D33" s="171" t="s">
        <v>1071</v>
      </c>
      <c r="E33" s="365">
        <v>-5503</v>
      </c>
    </row>
    <row r="34" spans="1:5">
      <c r="B34" s="171" t="s">
        <v>1787</v>
      </c>
      <c r="C34" s="185">
        <v>100008</v>
      </c>
      <c r="D34" s="171" t="s">
        <v>2022</v>
      </c>
      <c r="E34" s="259">
        <v>5503</v>
      </c>
    </row>
    <row r="35" spans="1:5">
      <c r="A35" s="49"/>
      <c r="B35" s="172"/>
      <c r="C35" s="186">
        <v>100008</v>
      </c>
      <c r="D35" s="172" t="s">
        <v>1994</v>
      </c>
      <c r="E35" s="355">
        <v>-46234.692000000003</v>
      </c>
    </row>
    <row r="36" spans="1:5">
      <c r="B36" s="172" t="s">
        <v>2795</v>
      </c>
      <c r="C36" s="186">
        <v>100014</v>
      </c>
      <c r="D36" s="172" t="s">
        <v>2502</v>
      </c>
      <c r="E36" s="355">
        <v>54442.64</v>
      </c>
    </row>
    <row r="37" spans="1:5">
      <c r="B37" s="170" t="s">
        <v>1781</v>
      </c>
      <c r="C37" s="186">
        <v>100014</v>
      </c>
      <c r="D37" s="172" t="s">
        <v>2553</v>
      </c>
      <c r="E37" s="355">
        <v>-8207.9480000000003</v>
      </c>
    </row>
    <row r="38" spans="1:5" s="49" customFormat="1">
      <c r="B38" s="171" t="s">
        <v>2765</v>
      </c>
      <c r="C38" s="185">
        <v>100000</v>
      </c>
      <c r="D38" s="171" t="s">
        <v>1071</v>
      </c>
      <c r="E38" s="365">
        <v>-19000480</v>
      </c>
    </row>
    <row r="39" spans="1:5" s="49" customFormat="1">
      <c r="B39" s="171" t="s">
        <v>2794</v>
      </c>
      <c r="C39" s="185">
        <v>100014</v>
      </c>
      <c r="D39" s="171" t="s">
        <v>2502</v>
      </c>
      <c r="E39" s="259">
        <v>19000480</v>
      </c>
    </row>
    <row r="40" spans="1:5">
      <c r="B40" s="171"/>
      <c r="C40" s="185"/>
      <c r="D40" s="171"/>
      <c r="E40" s="259"/>
    </row>
    <row r="41" spans="1:5">
      <c r="B41" s="171"/>
      <c r="C41" s="185"/>
      <c r="D41" s="171"/>
      <c r="E41" s="259"/>
    </row>
    <row r="42" spans="1:5">
      <c r="B42" s="171"/>
      <c r="C42" s="185"/>
      <c r="D42" s="171"/>
      <c r="E42" s="259"/>
    </row>
    <row r="43" spans="1:5">
      <c r="A43" s="49"/>
      <c r="B43" s="171" t="s">
        <v>1911</v>
      </c>
      <c r="C43" s="186">
        <v>100009</v>
      </c>
      <c r="D43" s="172" t="s">
        <v>2778</v>
      </c>
      <c r="E43" s="259">
        <v>2164042.75</v>
      </c>
    </row>
    <row r="44" spans="1:5">
      <c r="A44" s="49"/>
      <c r="B44" s="171" t="s">
        <v>2121</v>
      </c>
      <c r="C44" s="186">
        <v>100009</v>
      </c>
      <c r="D44" s="172" t="s">
        <v>2122</v>
      </c>
      <c r="E44" s="259">
        <v>321.95</v>
      </c>
    </row>
    <row r="45" spans="1:5">
      <c r="A45" s="49"/>
      <c r="B45" s="171" t="s">
        <v>1806</v>
      </c>
      <c r="C45" s="186">
        <v>100009</v>
      </c>
      <c r="D45" s="172" t="s">
        <v>2785</v>
      </c>
      <c r="E45" s="259">
        <v>607.79999999999995</v>
      </c>
    </row>
    <row r="46" spans="1:5">
      <c r="A46" s="49"/>
      <c r="B46" s="171" t="s">
        <v>1931</v>
      </c>
      <c r="C46" s="186">
        <v>100009</v>
      </c>
      <c r="D46" s="172" t="s">
        <v>2781</v>
      </c>
      <c r="E46" s="259">
        <v>2250</v>
      </c>
    </row>
    <row r="47" spans="1:5">
      <c r="A47" s="49"/>
      <c r="B47" s="171" t="s">
        <v>2167</v>
      </c>
      <c r="C47" s="186">
        <v>100009</v>
      </c>
      <c r="D47" s="172" t="s">
        <v>2777</v>
      </c>
      <c r="E47" s="259">
        <v>4690</v>
      </c>
    </row>
    <row r="48" spans="1:5">
      <c r="A48" s="49"/>
      <c r="B48" s="171" t="s">
        <v>1913</v>
      </c>
      <c r="C48" s="186">
        <v>100009</v>
      </c>
      <c r="D48" s="172" t="s">
        <v>2780</v>
      </c>
      <c r="E48" s="259">
        <v>4867.82</v>
      </c>
    </row>
    <row r="49" spans="1:5">
      <c r="A49" s="49"/>
      <c r="B49" s="171" t="s">
        <v>2123</v>
      </c>
      <c r="C49" s="186">
        <v>100009</v>
      </c>
      <c r="D49" s="172" t="s">
        <v>2124</v>
      </c>
      <c r="E49" s="259">
        <v>13510</v>
      </c>
    </row>
    <row r="50" spans="1:5">
      <c r="A50" s="49"/>
      <c r="B50" s="171" t="s">
        <v>2184</v>
      </c>
      <c r="C50" s="186">
        <v>100009</v>
      </c>
      <c r="D50" s="172" t="s">
        <v>2786</v>
      </c>
      <c r="E50" s="259">
        <v>94950.96</v>
      </c>
    </row>
    <row r="51" spans="1:5">
      <c r="A51" s="49"/>
      <c r="B51" s="171" t="s">
        <v>1928</v>
      </c>
      <c r="C51" s="186">
        <v>100009</v>
      </c>
      <c r="D51" s="172" t="s">
        <v>2116</v>
      </c>
      <c r="E51" s="259">
        <v>130315.40333333335</v>
      </c>
    </row>
    <row r="52" spans="1:5">
      <c r="A52" s="49"/>
      <c r="B52" s="171" t="s">
        <v>2160</v>
      </c>
      <c r="C52" s="186">
        <v>100009</v>
      </c>
      <c r="D52" s="172" t="s">
        <v>2118</v>
      </c>
      <c r="E52" s="259">
        <v>192921.48</v>
      </c>
    </row>
    <row r="53" spans="1:5">
      <c r="A53" s="49"/>
      <c r="B53" s="171" t="s">
        <v>1907</v>
      </c>
      <c r="C53" s="186">
        <v>100009</v>
      </c>
      <c r="D53" s="172" t="s">
        <v>2110</v>
      </c>
      <c r="E53" s="259">
        <v>202169.41</v>
      </c>
    </row>
    <row r="54" spans="1:5">
      <c r="A54" s="49"/>
      <c r="B54" s="171" t="s">
        <v>1934</v>
      </c>
      <c r="C54" s="186">
        <v>100009</v>
      </c>
      <c r="D54" s="172" t="s">
        <v>2118</v>
      </c>
      <c r="E54" s="259">
        <v>944788.36</v>
      </c>
    </row>
    <row r="55" spans="1:5">
      <c r="A55" s="49"/>
      <c r="B55" s="171" t="s">
        <v>1808</v>
      </c>
      <c r="C55" s="186">
        <v>100009</v>
      </c>
      <c r="D55" s="172" t="s">
        <v>2115</v>
      </c>
      <c r="E55" s="259">
        <v>2892061.19</v>
      </c>
    </row>
    <row r="56" spans="1:5">
      <c r="A56" s="49"/>
      <c r="B56" s="171" t="s">
        <v>1802</v>
      </c>
      <c r="C56" s="186">
        <v>100009</v>
      </c>
      <c r="D56" s="172" t="s">
        <v>2784</v>
      </c>
      <c r="E56" s="259">
        <v>3056568.09</v>
      </c>
    </row>
    <row r="57" spans="1:5">
      <c r="A57" s="49"/>
      <c r="B57" s="171" t="s">
        <v>1797</v>
      </c>
      <c r="C57" s="186">
        <v>100009</v>
      </c>
      <c r="D57" s="172" t="s">
        <v>2117</v>
      </c>
      <c r="E57" s="259">
        <v>3477553.21</v>
      </c>
    </row>
    <row r="58" spans="1:5">
      <c r="A58" s="49"/>
      <c r="B58" s="171" t="s">
        <v>676</v>
      </c>
      <c r="C58" s="186">
        <v>100009</v>
      </c>
      <c r="D58" s="172" t="s">
        <v>2779</v>
      </c>
      <c r="E58" s="367">
        <v>5712639.5599999996</v>
      </c>
    </row>
    <row r="59" spans="1:5">
      <c r="A59" s="49"/>
      <c r="B59" s="171" t="s">
        <v>2782</v>
      </c>
      <c r="C59" s="186">
        <v>100009</v>
      </c>
      <c r="D59" s="172" t="s">
        <v>2783</v>
      </c>
      <c r="E59" s="259">
        <v>6866770.540000001</v>
      </c>
    </row>
    <row r="60" spans="1:5">
      <c r="A60" s="49"/>
      <c r="B60" s="172" t="s">
        <v>2787</v>
      </c>
      <c r="C60" s="186">
        <v>100009</v>
      </c>
      <c r="D60" s="172" t="s">
        <v>2114</v>
      </c>
      <c r="E60" s="367">
        <v>10332661.859999999</v>
      </c>
    </row>
    <row r="61" spans="1:5">
      <c r="B61" s="171"/>
      <c r="C61" s="185"/>
      <c r="D61" s="171"/>
      <c r="E61" s="259"/>
    </row>
    <row r="62" spans="1:5">
      <c r="A62" s="49"/>
      <c r="B62" s="172"/>
      <c r="C62" s="186"/>
      <c r="D62" s="172"/>
      <c r="E62" s="355"/>
    </row>
    <row r="63" spans="1:5">
      <c r="A63" s="49"/>
      <c r="B63" s="172" t="s">
        <v>2108</v>
      </c>
      <c r="C63" s="186">
        <v>100010</v>
      </c>
      <c r="D63" s="172" t="s">
        <v>2140</v>
      </c>
      <c r="E63" s="354">
        <v>-4436552.7299999995</v>
      </c>
    </row>
    <row r="64" spans="1:5">
      <c r="A64" s="49"/>
      <c r="B64" s="172" t="s">
        <v>1911</v>
      </c>
      <c r="C64" s="186">
        <v>100010</v>
      </c>
      <c r="D64" s="172" t="s">
        <v>2148</v>
      </c>
      <c r="E64" s="366">
        <v>-2164042.75</v>
      </c>
    </row>
    <row r="65" spans="1:5">
      <c r="A65" s="49"/>
      <c r="B65" s="172" t="s">
        <v>1907</v>
      </c>
      <c r="C65" s="186">
        <v>100010</v>
      </c>
      <c r="D65" s="172" t="s">
        <v>2143</v>
      </c>
      <c r="E65" s="366">
        <v>-202169.41</v>
      </c>
    </row>
    <row r="66" spans="1:5" ht="15">
      <c r="A66" s="49"/>
      <c r="B66" s="183" t="s">
        <v>2121</v>
      </c>
      <c r="C66" s="186">
        <v>100010</v>
      </c>
      <c r="D66" s="172" t="s">
        <v>2185</v>
      </c>
      <c r="E66" s="366">
        <v>-321.95</v>
      </c>
    </row>
    <row r="67" spans="1:5">
      <c r="A67" s="49"/>
      <c r="B67" s="172" t="s">
        <v>1806</v>
      </c>
      <c r="C67" s="186">
        <v>100010</v>
      </c>
      <c r="D67" s="172" t="s">
        <v>2156</v>
      </c>
      <c r="E67" s="366">
        <v>-607.79999999999995</v>
      </c>
    </row>
    <row r="68" spans="1:5">
      <c r="A68" s="49"/>
      <c r="B68" s="172" t="s">
        <v>1931</v>
      </c>
      <c r="C68" s="186">
        <v>100010</v>
      </c>
      <c r="D68" s="172" t="s">
        <v>2164</v>
      </c>
      <c r="E68" s="366">
        <v>-2250</v>
      </c>
    </row>
    <row r="69" spans="1:5">
      <c r="A69" s="49"/>
      <c r="B69" s="172" t="s">
        <v>2167</v>
      </c>
      <c r="C69" s="186">
        <v>100010</v>
      </c>
      <c r="D69" s="172" t="s">
        <v>2168</v>
      </c>
      <c r="E69" s="366">
        <v>-4690</v>
      </c>
    </row>
    <row r="70" spans="1:5">
      <c r="A70" s="49"/>
      <c r="B70" s="172" t="s">
        <v>1913</v>
      </c>
      <c r="C70" s="186">
        <v>100010</v>
      </c>
      <c r="D70" s="172" t="s">
        <v>2150</v>
      </c>
      <c r="E70" s="366">
        <v>-4867.82</v>
      </c>
    </row>
    <row r="71" spans="1:5" ht="15">
      <c r="A71" s="49"/>
      <c r="B71" s="183" t="s">
        <v>2123</v>
      </c>
      <c r="C71" s="186">
        <v>100010</v>
      </c>
      <c r="D71" s="172" t="s">
        <v>2159</v>
      </c>
      <c r="E71" s="366">
        <v>-13510</v>
      </c>
    </row>
    <row r="72" spans="1:5">
      <c r="A72" s="49"/>
      <c r="B72" s="172" t="s">
        <v>676</v>
      </c>
      <c r="C72" s="186">
        <v>100010</v>
      </c>
      <c r="D72" s="172" t="s">
        <v>2149</v>
      </c>
      <c r="E72" s="354">
        <v>-30808.560000000001</v>
      </c>
    </row>
    <row r="73" spans="1:5">
      <c r="A73" s="49"/>
      <c r="B73" s="172" t="s">
        <v>2184</v>
      </c>
      <c r="C73" s="186">
        <v>100010</v>
      </c>
      <c r="D73" s="172" t="s">
        <v>2174</v>
      </c>
      <c r="E73" s="366">
        <v>-94950.96</v>
      </c>
    </row>
    <row r="74" spans="1:5">
      <c r="A74" s="49"/>
      <c r="B74" s="172" t="s">
        <v>1928</v>
      </c>
      <c r="C74" s="186">
        <v>100010</v>
      </c>
      <c r="D74" s="172" t="s">
        <v>2162</v>
      </c>
      <c r="E74" s="366">
        <v>-130315.403333333</v>
      </c>
    </row>
    <row r="75" spans="1:5" ht="15">
      <c r="A75" s="49"/>
      <c r="B75" s="183" t="s">
        <v>2160</v>
      </c>
      <c r="C75" s="186">
        <v>100010</v>
      </c>
      <c r="D75" s="172" t="s">
        <v>2161</v>
      </c>
      <c r="E75" s="366">
        <v>-192921.48</v>
      </c>
    </row>
    <row r="76" spans="1:5">
      <c r="A76" s="49"/>
      <c r="B76" s="172" t="s">
        <v>1789</v>
      </c>
      <c r="C76" s="186">
        <v>100010</v>
      </c>
      <c r="D76" s="172" t="s">
        <v>2140</v>
      </c>
      <c r="E76" s="354">
        <v>-387672.36666666798</v>
      </c>
    </row>
    <row r="77" spans="1:5">
      <c r="A77" s="49"/>
      <c r="B77" s="172" t="s">
        <v>1787</v>
      </c>
      <c r="C77" s="186">
        <v>100010</v>
      </c>
      <c r="D77" s="172" t="s">
        <v>2138</v>
      </c>
      <c r="E77" s="354">
        <v>-601950</v>
      </c>
    </row>
    <row r="78" spans="1:5">
      <c r="A78" s="49"/>
      <c r="B78" s="172" t="s">
        <v>1934</v>
      </c>
      <c r="C78" s="186">
        <v>100010</v>
      </c>
      <c r="D78" s="172" t="s">
        <v>2161</v>
      </c>
      <c r="E78" s="366">
        <v>-944788.36</v>
      </c>
    </row>
    <row r="79" spans="1:5">
      <c r="A79" s="49"/>
      <c r="B79" s="172" t="s">
        <v>1808</v>
      </c>
      <c r="C79" s="186">
        <v>100010</v>
      </c>
      <c r="D79" s="172" t="s">
        <v>2163</v>
      </c>
      <c r="E79" s="366">
        <v>-2892061.19</v>
      </c>
    </row>
    <row r="80" spans="1:5">
      <c r="A80" s="49"/>
      <c r="B80" s="172" t="s">
        <v>1802</v>
      </c>
      <c r="C80" s="186">
        <v>100010</v>
      </c>
      <c r="D80" s="172" t="s">
        <v>2152</v>
      </c>
      <c r="E80" s="366">
        <v>-3056568.09</v>
      </c>
    </row>
    <row r="81" spans="1:5">
      <c r="A81" s="49"/>
      <c r="B81" s="172" t="s">
        <v>1797</v>
      </c>
      <c r="C81" s="186">
        <v>100010</v>
      </c>
      <c r="D81" s="172" t="s">
        <v>2165</v>
      </c>
      <c r="E81" s="366">
        <v>-3477553.21</v>
      </c>
    </row>
    <row r="82" spans="1:5">
      <c r="B82" s="172" t="s">
        <v>2782</v>
      </c>
      <c r="C82" s="186">
        <v>100010</v>
      </c>
      <c r="D82" s="172" t="s">
        <v>2177</v>
      </c>
      <c r="E82" s="366">
        <v>-6866770.54</v>
      </c>
    </row>
    <row r="83" spans="1:5">
      <c r="B83" s="171"/>
      <c r="C83" s="185"/>
      <c r="D83" s="171"/>
      <c r="E83" s="259"/>
    </row>
    <row r="84" spans="1:5">
      <c r="B84" s="171"/>
      <c r="C84" s="185"/>
      <c r="D84" s="171"/>
      <c r="E84" s="259"/>
    </row>
    <row r="85" spans="1:5">
      <c r="B85" s="187" t="s">
        <v>2790</v>
      </c>
      <c r="C85" s="186">
        <v>100011</v>
      </c>
      <c r="D85" s="172" t="s">
        <v>2266</v>
      </c>
      <c r="E85" s="354">
        <v>-7723211.9199999999</v>
      </c>
    </row>
    <row r="86" spans="1:5">
      <c r="B86" s="187" t="s">
        <v>2791</v>
      </c>
      <c r="C86" s="186">
        <v>100012</v>
      </c>
      <c r="D86" s="172" t="s">
        <v>2385</v>
      </c>
      <c r="E86" s="354">
        <v>7723211.9199999999</v>
      </c>
    </row>
    <row r="87" spans="1:5">
      <c r="B87" s="187" t="s">
        <v>2792</v>
      </c>
      <c r="C87" s="186">
        <v>100012</v>
      </c>
      <c r="D87" s="172" t="s">
        <v>2386</v>
      </c>
      <c r="E87" s="354">
        <v>-652218.45000000019</v>
      </c>
    </row>
    <row r="88" spans="1:5">
      <c r="B88" s="187" t="s">
        <v>2793</v>
      </c>
      <c r="C88" s="186">
        <v>100012</v>
      </c>
      <c r="D88" s="172" t="s">
        <v>2385</v>
      </c>
      <c r="E88" s="354">
        <v>652218.45000000019</v>
      </c>
    </row>
    <row r="89" spans="1:5">
      <c r="B89" s="172"/>
      <c r="C89" s="186"/>
      <c r="D89" s="172"/>
      <c r="E89" s="354"/>
    </row>
    <row r="90" spans="1:5">
      <c r="B90" s="171"/>
      <c r="C90" s="185"/>
      <c r="D90" s="171"/>
      <c r="E90" s="259"/>
    </row>
    <row r="91" spans="1:5">
      <c r="B91" s="171"/>
      <c r="C91" s="185"/>
      <c r="D91" s="171"/>
      <c r="E91" s="259"/>
    </row>
    <row r="92" spans="1:5">
      <c r="C92" s="65"/>
      <c r="E92" s="65"/>
    </row>
    <row r="93" spans="1:5">
      <c r="C93" s="65"/>
      <c r="E93" s="65"/>
    </row>
    <row r="94" spans="1:5">
      <c r="C94" s="65"/>
      <c r="E94" s="65"/>
    </row>
    <row r="95" spans="1:5">
      <c r="C95" s="65"/>
      <c r="E95" s="65"/>
    </row>
    <row r="96" spans="1:5">
      <c r="C96" s="65"/>
      <c r="E96" s="65"/>
    </row>
    <row r="97" spans="3:5">
      <c r="C97" s="65"/>
      <c r="E97" s="65"/>
    </row>
    <row r="98" spans="3:5">
      <c r="C98" s="65"/>
      <c r="E98" s="65"/>
    </row>
    <row r="99" spans="3:5">
      <c r="C99" s="65"/>
      <c r="E99" s="65"/>
    </row>
    <row r="100" spans="3:5">
      <c r="C100" s="65"/>
      <c r="E100" s="65"/>
    </row>
    <row r="101" spans="3:5">
      <c r="C101" s="65"/>
      <c r="E101" s="65"/>
    </row>
    <row r="102" spans="3:5">
      <c r="C102" s="65"/>
      <c r="E102" s="65"/>
    </row>
    <row r="103" spans="3:5">
      <c r="C103" s="65"/>
      <c r="E103" s="65"/>
    </row>
    <row r="104" spans="3:5">
      <c r="C104" s="65"/>
      <c r="E104" s="65"/>
    </row>
    <row r="105" spans="3:5">
      <c r="C105" s="65"/>
      <c r="E105" s="65"/>
    </row>
    <row r="106" spans="3:5">
      <c r="C106" s="65"/>
      <c r="E106" s="65"/>
    </row>
    <row r="107" spans="3:5">
      <c r="C107" s="65"/>
      <c r="E107" s="65"/>
    </row>
    <row r="108" spans="3:5">
      <c r="C108" s="65"/>
      <c r="E108" s="6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Comp</vt:lpstr>
      <vt:lpstr>Fin-Report</vt:lpstr>
      <vt:lpstr>Master</vt:lpstr>
      <vt:lpstr>Loc, GAAP and Conversion TB-Dec</vt:lpstr>
      <vt:lpstr>ICT-DEC15</vt:lpstr>
      <vt:lpstr>Cons-ICT-Dec15</vt:lpstr>
      <vt:lpstr>'Loc, GAAP and Conversion TB-Dec'!Print_Area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Ramakrishnan P.</dc:creator>
  <cp:lastModifiedBy>Bis Admin</cp:lastModifiedBy>
  <dcterms:created xsi:type="dcterms:W3CDTF">2015-08-17T05:41:46Z</dcterms:created>
  <dcterms:modified xsi:type="dcterms:W3CDTF">2016-06-16T08:21:24Z</dcterms:modified>
</cp:coreProperties>
</file>