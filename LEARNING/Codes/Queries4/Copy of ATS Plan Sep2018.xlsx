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C2" i="1" l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D33" i="1" l="1"/>
  <c r="F22" i="1"/>
  <c r="F24" i="1" s="1"/>
  <c r="G22" i="1"/>
  <c r="C33" i="1"/>
</calcChain>
</file>

<file path=xl/sharedStrings.xml><?xml version="1.0" encoding="utf-8"?>
<sst xmlns="http://schemas.openxmlformats.org/spreadsheetml/2006/main" count="36" uniqueCount="36">
  <si>
    <t>PrdgrpOrdering</t>
  </si>
  <si>
    <t>productgroup</t>
  </si>
  <si>
    <t>Sales_plan</t>
  </si>
  <si>
    <t>AC CHARGING MACHINE</t>
  </si>
  <si>
    <t>ACW</t>
  </si>
  <si>
    <t>LUBE EQUIPMENTS</t>
  </si>
  <si>
    <t>MOBILE SERVICE UNITS</t>
  </si>
  <si>
    <t>PNEUMATIC TOOLS</t>
  </si>
  <si>
    <t>TCW</t>
  </si>
  <si>
    <t>TEST LANE</t>
  </si>
  <si>
    <t>TYRE INFLATORS</t>
  </si>
  <si>
    <t>UCW</t>
  </si>
  <si>
    <t>WASHING EQUIPMENTS</t>
  </si>
  <si>
    <t>WHEEL SERVICE EQUIPMENTS</t>
  </si>
  <si>
    <t>INTERNATIONAL</t>
  </si>
  <si>
    <t>CONSUMABLES</t>
  </si>
  <si>
    <t>SERVICE BILLING</t>
  </si>
  <si>
    <t>SPARES / ACCESSORIES</t>
  </si>
  <si>
    <t>PAYU INCOME</t>
  </si>
  <si>
    <t>TRAINING INCOME</t>
  </si>
  <si>
    <t>PVD SALES</t>
  </si>
  <si>
    <t>SCRAP</t>
  </si>
  <si>
    <t>SS1/CCN</t>
  </si>
  <si>
    <t>SUPPLIER SALES</t>
  </si>
  <si>
    <t>Budget</t>
  </si>
  <si>
    <t>BODY SHOP &amp; PAINT EQUIPMENTS - CRS</t>
  </si>
  <si>
    <t>BODY SHOP &amp; PAINT EQUIPMENTS - OTHERS</t>
  </si>
  <si>
    <t>BODY SHOP &amp; PAINT EQUIPMENTS - PANEL REPAIR</t>
  </si>
  <si>
    <t>BODY SHOP &amp; PAINT EQUIPMENTS - PB</t>
  </si>
  <si>
    <t>BODY SHOP &amp; PAINT EQUIPMENTS - WELDERS</t>
  </si>
  <si>
    <t>ETP/RO/WRP</t>
  </si>
  <si>
    <t>LIFTING EQUIPMENTS - 2PL</t>
  </si>
  <si>
    <t>LIFTING EQUIPMENTS - OTHERS</t>
  </si>
  <si>
    <t>LIFTING EQUIPMENTS - PU4</t>
  </si>
  <si>
    <t>LIFTING EQUIPMENTS - SCISSOR LIFT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</si>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</sst>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4" fontId="0" fillId="0" borderId="1" xfId="0" applyNumberFormat="1" applyBorder="1"/>
    <xf numFmtId="4" fontId="0" fillId="2" borderId="1" xfId="0" applyNumberFormat="1" applyFill="1" applyBorder="1"/>
    <xf numFmtId="4" fontId="0" fillId="0" borderId="0" xfId="0" applyNumberFormat="1"/>
    <xf numFmtId="43" fontId="0" fillId="0" borderId="0" xfId="0" applyNumberFormat="1"/>
    <xf numFmtId="0" fontId="0" fillId="0" borderId="2" xfId="0" applyFill="1" applyBorder="1"/>
    <xf numFmtId="4" fontId="0" fillId="0" borderId="0" xfId="0" applyNumberFormat="1" applyBorder="1"/>
    <xf numFmtId="4" fontId="0" fillId="2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LES\santhosh\Month%20Wise%20Sales%20Plan\2019-20\04_July\01_TPL%20Wise_Sales%20Plan%20Jul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ummary "/>
      <sheetName val="Summary"/>
      <sheetName val="Wk Summary"/>
      <sheetName val="Code"/>
      <sheetName val="pivot "/>
      <sheetName val="REgion"/>
      <sheetName val="New WK"/>
      <sheetName val="PV"/>
      <sheetName val="Billing"/>
      <sheetName val="New TPL"/>
      <sheetName val="Weekly sales Plan"/>
      <sheetName val="MSU"/>
      <sheetName val="PV &amp; CV"/>
      <sheetName val="TYRE"/>
      <sheetName val="CHANNEL"/>
      <sheetName val="ACW"/>
    </sheetNames>
    <sheetDataSet>
      <sheetData sheetId="0"/>
      <sheetData sheetId="1">
        <row r="2">
          <cell r="M2" t="str">
            <v>AC CHARGING MACHINE</v>
          </cell>
          <cell r="N2" t="str">
            <v>ACRU</v>
          </cell>
          <cell r="O2">
            <v>4.6973625708502027</v>
          </cell>
          <cell r="P2">
            <v>7.0872961999999999</v>
          </cell>
        </row>
        <row r="3">
          <cell r="M3" t="str">
            <v>BODY SHOP &amp; PAINT EQUIPMENTS - CRS</v>
          </cell>
          <cell r="N3" t="str">
            <v>BODY SHOP &amp; PAINT EQUIPMENTS - CRS</v>
          </cell>
          <cell r="O3">
            <v>1.05</v>
          </cell>
          <cell r="P3">
            <v>1</v>
          </cell>
        </row>
        <row r="4">
          <cell r="M4" t="str">
            <v>BODY SHOP &amp; PAINT EQUIPMENTS - OTHERS</v>
          </cell>
          <cell r="N4" t="str">
            <v>BODY SHOP &amp; PAINT EQUIPMENTS - OTHERS</v>
          </cell>
          <cell r="O4">
            <v>2.8735900000000001</v>
          </cell>
          <cell r="P4">
            <v>0.31853585861375661</v>
          </cell>
        </row>
        <row r="5">
          <cell r="M5" t="str">
            <v>BODY SHOP &amp; PAINT EQUIPMENTS - PANEL REPAIR</v>
          </cell>
          <cell r="N5" t="str">
            <v>BODY SHOP &amp; PAINT EQUIPMENTS - PANEL REPAIR</v>
          </cell>
          <cell r="O5">
            <v>0.99699800000000005</v>
          </cell>
          <cell r="P5">
            <v>1.8732195769230766</v>
          </cell>
        </row>
        <row r="6">
          <cell r="M6" t="str">
            <v>BODY SHOP &amp; PAINT EQUIPMENTS - PB</v>
          </cell>
          <cell r="N6" t="str">
            <v>BODY SHOP &amp; PAINT EQUIPMENTS - PB</v>
          </cell>
          <cell r="O6">
            <v>15.951288999999999</v>
          </cell>
          <cell r="P6">
            <v>24.658999999999999</v>
          </cell>
        </row>
        <row r="7">
          <cell r="M7" t="str">
            <v>BODY SHOP &amp; PAINT EQUIPMENTS - WELDERS</v>
          </cell>
          <cell r="N7" t="str">
            <v>BODY SHOP &amp; PAINT EQUIPMENTS - WELDERS</v>
          </cell>
          <cell r="O7">
            <v>5.5250649999999997</v>
          </cell>
          <cell r="P7">
            <v>5.8322435277358498</v>
          </cell>
        </row>
        <row r="8">
          <cell r="M8" t="str">
            <v>LIFTING EQUIPMENTS - 2PL</v>
          </cell>
          <cell r="N8" t="str">
            <v>LIFTING EQUIPMENTS - 2PL</v>
          </cell>
          <cell r="O8">
            <v>20.861595999999999</v>
          </cell>
          <cell r="P8">
            <v>19.07</v>
          </cell>
        </row>
        <row r="9">
          <cell r="M9" t="str">
            <v>LIFTING EQUIPMENTS - OTHERS</v>
          </cell>
          <cell r="N9" t="str">
            <v>LIFTING EQUIPMENTS - OTHERS</v>
          </cell>
          <cell r="O9">
            <v>4.4565469090909096</v>
          </cell>
          <cell r="P9">
            <v>7.05</v>
          </cell>
        </row>
        <row r="10">
          <cell r="M10" t="str">
            <v>LIFTING EQUIPMENTS - PU4</v>
          </cell>
          <cell r="N10" t="str">
            <v>LIFTING EQUIPMENTS - PU4</v>
          </cell>
          <cell r="O10">
            <v>4.824732526776307</v>
          </cell>
          <cell r="P10">
            <v>4.62</v>
          </cell>
        </row>
        <row r="11">
          <cell r="M11" t="str">
            <v>LIFTING EQUIPMENTS - SCISSOR LIFT</v>
          </cell>
          <cell r="N11" t="str">
            <v>LIFTING EQUIPMENTS - SCISSOR LIFT</v>
          </cell>
          <cell r="O11">
            <v>5.2815781540616253</v>
          </cell>
          <cell r="P11">
            <v>7.01</v>
          </cell>
        </row>
        <row r="12">
          <cell r="M12" t="str">
            <v>LUBE EQUIPMENT - CLMS</v>
          </cell>
          <cell r="N12" t="str">
            <v>Lube Equipment - CLMS</v>
          </cell>
          <cell r="O12">
            <v>0.95433040962115723</v>
          </cell>
          <cell r="P12">
            <v>0.5</v>
          </cell>
        </row>
        <row r="13">
          <cell r="M13" t="str">
            <v>LUBE EQUIPMENTS</v>
          </cell>
          <cell r="N13" t="str">
            <v>Lube Equipments</v>
          </cell>
          <cell r="O13">
            <v>6.3301280759441658</v>
          </cell>
          <cell r="P13">
            <v>6</v>
          </cell>
        </row>
        <row r="14">
          <cell r="M14" t="str">
            <v>MMS</v>
          </cell>
          <cell r="N14" t="str">
            <v>MMS</v>
          </cell>
          <cell r="O14">
            <v>0</v>
          </cell>
          <cell r="P14">
            <v>0</v>
          </cell>
        </row>
        <row r="15">
          <cell r="M15" t="str">
            <v>MOBILE SERVICE UNITS</v>
          </cell>
          <cell r="N15" t="str">
            <v>MSU</v>
          </cell>
          <cell r="O15">
            <v>2.6</v>
          </cell>
          <cell r="P15">
            <v>2.8</v>
          </cell>
        </row>
        <row r="16">
          <cell r="M16" t="str">
            <v>PNEUMATIC TOOLS</v>
          </cell>
          <cell r="N16" t="str">
            <v>Pneumatic tools</v>
          </cell>
          <cell r="O16">
            <v>6.465605678930471</v>
          </cell>
          <cell r="P16">
            <v>5.37</v>
          </cell>
        </row>
        <row r="17">
          <cell r="M17" t="str">
            <v>TEST LANE</v>
          </cell>
          <cell r="N17" t="str">
            <v>TEST LANE</v>
          </cell>
          <cell r="O17">
            <v>3.2496160000000001</v>
          </cell>
          <cell r="P17">
            <v>1.6</v>
          </cell>
        </row>
        <row r="18">
          <cell r="M18" t="str">
            <v>TYRE INFLATORS</v>
          </cell>
          <cell r="N18" t="str">
            <v>TYRE INFLATORS &amp; SPTC</v>
          </cell>
          <cell r="O18">
            <v>3.9782428914757393</v>
          </cell>
          <cell r="P18">
            <v>3.01</v>
          </cell>
        </row>
        <row r="19">
          <cell r="M19" t="str">
            <v>ACW</v>
          </cell>
          <cell r="N19" t="str">
            <v>Washing Equipment - ACW</v>
          </cell>
          <cell r="O19">
            <v>7.8190631578947372</v>
          </cell>
          <cell r="P19">
            <v>1.75</v>
          </cell>
        </row>
        <row r="20">
          <cell r="M20" t="str">
            <v>TCW</v>
          </cell>
          <cell r="N20" t="str">
            <v>WASHING EQUIPMENT - TCW</v>
          </cell>
          <cell r="O20">
            <v>2.2000000000000002</v>
          </cell>
          <cell r="P20">
            <v>1.6074099047619048</v>
          </cell>
        </row>
        <row r="21">
          <cell r="M21" t="str">
            <v>UCW</v>
          </cell>
          <cell r="N21" t="str">
            <v>Washing Equipment -UCW</v>
          </cell>
          <cell r="O21">
            <v>4.0493693650793654</v>
          </cell>
          <cell r="P21">
            <v>4.1307197777777782</v>
          </cell>
        </row>
        <row r="22">
          <cell r="M22" t="str">
            <v>ETP/RO/WRP</v>
          </cell>
          <cell r="N22" t="str">
            <v>WASHING EQUIPMENT-ETP/RO/WRP</v>
          </cell>
          <cell r="O22">
            <v>1.8109692307692307</v>
          </cell>
          <cell r="P22">
            <v>0.49</v>
          </cell>
        </row>
        <row r="23">
          <cell r="M23" t="str">
            <v>WASHING EQUIPMENTS</v>
          </cell>
          <cell r="N23" t="str">
            <v>Washing Equipments</v>
          </cell>
          <cell r="O23">
            <v>13.075117535231801</v>
          </cell>
          <cell r="P23">
            <v>12.45</v>
          </cell>
        </row>
        <row r="24">
          <cell r="M24" t="str">
            <v>WHEEL SERVICE EQUIPMENTS</v>
          </cell>
          <cell r="N24" t="str">
            <v>Wheel Service Equipments</v>
          </cell>
          <cell r="O24">
            <v>23.478273764320104</v>
          </cell>
          <cell r="P24">
            <v>25.27</v>
          </cell>
        </row>
        <row r="25">
          <cell r="N25" t="str">
            <v>Sub Total</v>
          </cell>
          <cell r="O25">
            <v>142.52947427004582</v>
          </cell>
          <cell r="P25">
            <v>143.49842484581239</v>
          </cell>
        </row>
        <row r="26">
          <cell r="N26" t="str">
            <v>SPARES</v>
          </cell>
          <cell r="O26">
            <v>11.909062402821265</v>
          </cell>
          <cell r="P26">
            <v>10.3</v>
          </cell>
        </row>
        <row r="27">
          <cell r="N27" t="str">
            <v>SERVICE</v>
          </cell>
          <cell r="O27">
            <v>7.4891529999999999</v>
          </cell>
          <cell r="P27">
            <v>6.9</v>
          </cell>
        </row>
        <row r="28">
          <cell r="N28" t="str">
            <v>CONSUMABLES</v>
          </cell>
          <cell r="O28">
            <v>5.2083600494401452</v>
          </cell>
          <cell r="P28">
            <v>5.2</v>
          </cell>
        </row>
        <row r="29">
          <cell r="N29" t="str">
            <v>INT.</v>
          </cell>
          <cell r="O29">
            <v>10.620600089714562</v>
          </cell>
          <cell r="P29">
            <v>11</v>
          </cell>
        </row>
        <row r="30">
          <cell r="N30" t="str">
            <v>PVD</v>
          </cell>
          <cell r="O30">
            <v>3.3345726230993504</v>
          </cell>
          <cell r="P30">
            <v>4</v>
          </cell>
        </row>
        <row r="31">
          <cell r="N31" t="str">
            <v>PAYU</v>
          </cell>
          <cell r="O31">
            <v>2.8000000000000003</v>
          </cell>
          <cell r="P31">
            <v>2.1800000000000002</v>
          </cell>
        </row>
        <row r="32">
          <cell r="N32" t="str">
            <v>TRAINING</v>
          </cell>
          <cell r="O32">
            <v>0.79054500000000005</v>
          </cell>
          <cell r="P32">
            <v>0.27</v>
          </cell>
        </row>
        <row r="33">
          <cell r="N33" t="str">
            <v>GRAND TOTAL</v>
          </cell>
          <cell r="O33">
            <v>184.68176743512115</v>
          </cell>
          <cell r="P33">
            <v>183.34842484581242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E2" sqref="E2"/>
    </sheetView>
  </sheetViews>
  <sheetFormatPr defaultRowHeight="15" x14ac:dyDescent="0.25"/>
  <cols>
    <col min="1" max="1" width="14.85546875" bestFit="1" customWidth="1"/>
    <col min="2" max="2" width="46" bestFit="1" customWidth="1"/>
    <col min="3" max="3" width="11.7109375" style="4" customWidth="1"/>
    <col min="4" max="5" width="11.85546875" style="4" customWidth="1"/>
    <col min="6" max="6" width="17.85546875" bestFit="1" customWidth="1"/>
  </cols>
  <sheetData>
    <row r="1" spans="1:5" x14ac:dyDescent="0.25">
      <c r="A1" s="1" t="s">
        <v>0</v>
      </c>
      <c r="B1" s="1" t="s">
        <v>1</v>
      </c>
      <c r="C1" s="2" t="s">
        <v>24</v>
      </c>
      <c r="D1" s="2" t="s">
        <v>2</v>
      </c>
      <c r="E1" s="7"/>
    </row>
    <row r="2" spans="1:5" x14ac:dyDescent="0.25">
      <c r="A2" s="1">
        <v>1</v>
      </c>
      <c r="B2" s="1" t="s">
        <v>3</v>
      </c>
      <c r="C2" s="3">
        <f>VLOOKUP(B2,'[1]Summary '!$M$2:$P$34,3,0)</f>
        <v>4.6973625708502027</v>
      </c>
      <c r="D2" s="2">
        <f>VLOOKUP(B2,'[1]Summary '!$M$2:$P$34,4,0)</f>
        <v>7.0872961999999999</v>
      </c>
      <c r="E2" s="7"/>
    </row>
    <row r="3" spans="1:5" x14ac:dyDescent="0.25">
      <c r="A3" s="1">
        <v>2</v>
      </c>
      <c r="B3" s="1" t="s">
        <v>4</v>
      </c>
      <c r="C3" s="3">
        <f>VLOOKUP(B3,'[1]Summary '!$M$2:$P$34,3,0)</f>
        <v>7.8190631578947372</v>
      </c>
      <c r="D3" s="2">
        <f>VLOOKUP(B3,'[1]Summary '!$M$2:$P$34,4,0)</f>
        <v>1.75</v>
      </c>
      <c r="E3" s="7"/>
    </row>
    <row r="4" spans="1:5" x14ac:dyDescent="0.25">
      <c r="A4" s="1">
        <v>3</v>
      </c>
      <c r="B4" s="1" t="s">
        <v>25</v>
      </c>
      <c r="C4" s="3">
        <f>VLOOKUP(B4,'[1]Summary '!$M$2:$P$34,3,0)</f>
        <v>1.05</v>
      </c>
      <c r="D4" s="2">
        <f>VLOOKUP(B4,'[1]Summary '!$M$2:$P$34,4,0)</f>
        <v>1</v>
      </c>
      <c r="E4" s="7"/>
    </row>
    <row r="5" spans="1:5" x14ac:dyDescent="0.25">
      <c r="A5" s="1">
        <v>4</v>
      </c>
      <c r="B5" s="1" t="s">
        <v>26</v>
      </c>
      <c r="C5" s="3">
        <f>VLOOKUP(B5,'[1]Summary '!$M$2:$P$34,3,0)</f>
        <v>2.8735900000000001</v>
      </c>
      <c r="D5" s="2">
        <f>VLOOKUP(B5,'[1]Summary '!$M$2:$P$34,4,0)</f>
        <v>0.31853585861375661</v>
      </c>
      <c r="E5" s="7"/>
    </row>
    <row r="6" spans="1:5" x14ac:dyDescent="0.25">
      <c r="A6" s="1">
        <v>5</v>
      </c>
      <c r="B6" s="1" t="s">
        <v>27</v>
      </c>
      <c r="C6" s="3">
        <f>VLOOKUP(B6,'[1]Summary '!$M$2:$P$34,3,0)</f>
        <v>0.99699800000000005</v>
      </c>
      <c r="D6" s="2">
        <f>VLOOKUP(B6,'[1]Summary '!$M$2:$P$34,4,0)</f>
        <v>1.8732195769230766</v>
      </c>
      <c r="E6" s="7"/>
    </row>
    <row r="7" spans="1:5" x14ac:dyDescent="0.25">
      <c r="A7" s="1">
        <v>6</v>
      </c>
      <c r="B7" s="1" t="s">
        <v>28</v>
      </c>
      <c r="C7" s="3">
        <f>VLOOKUP(B7,'[1]Summary '!$M$2:$P$34,3,0)</f>
        <v>15.951288999999999</v>
      </c>
      <c r="D7" s="2">
        <f>VLOOKUP(B7,'[1]Summary '!$M$2:$P$34,4,0)</f>
        <v>24.658999999999999</v>
      </c>
      <c r="E7" s="7"/>
    </row>
    <row r="8" spans="1:5" x14ac:dyDescent="0.25">
      <c r="A8" s="1">
        <v>7</v>
      </c>
      <c r="B8" s="1" t="s">
        <v>29</v>
      </c>
      <c r="C8" s="3">
        <f>VLOOKUP(B8,'[1]Summary '!$M$2:$P$34,3,0)</f>
        <v>5.5250649999999997</v>
      </c>
      <c r="D8" s="2">
        <f>VLOOKUP(B8,'[1]Summary '!$M$2:$P$34,4,0)</f>
        <v>5.8322435277358498</v>
      </c>
      <c r="E8" s="7"/>
    </row>
    <row r="9" spans="1:5" x14ac:dyDescent="0.25">
      <c r="A9" s="1">
        <v>8</v>
      </c>
      <c r="B9" s="1" t="s">
        <v>30</v>
      </c>
      <c r="C9" s="3">
        <f>VLOOKUP(B9,'[1]Summary '!$M$2:$P$34,3,0)</f>
        <v>1.8109692307692307</v>
      </c>
      <c r="D9" s="2">
        <f>VLOOKUP(B9,'[1]Summary '!$M$2:$P$34,4,0)</f>
        <v>0.49</v>
      </c>
      <c r="E9" s="7"/>
    </row>
    <row r="10" spans="1:5" x14ac:dyDescent="0.25">
      <c r="A10" s="1">
        <v>9</v>
      </c>
      <c r="B10" t="s">
        <v>31</v>
      </c>
      <c r="C10" s="3">
        <f>VLOOKUP(B10,'[1]Summary '!$M$2:$P$34,3,0)</f>
        <v>20.861595999999999</v>
      </c>
      <c r="D10" s="2">
        <f>VLOOKUP(B10,'[1]Summary '!$M$2:$P$34,4,0)</f>
        <v>19.07</v>
      </c>
      <c r="E10" s="7"/>
    </row>
    <row r="11" spans="1:5" x14ac:dyDescent="0.25">
      <c r="A11" s="1">
        <v>10</v>
      </c>
      <c r="B11" s="1" t="s">
        <v>32</v>
      </c>
      <c r="C11" s="3">
        <f>VLOOKUP(B11,'[1]Summary '!$M$2:$P$34,3,0)</f>
        <v>4.4565469090909096</v>
      </c>
      <c r="D11" s="2">
        <f>VLOOKUP(B11,'[1]Summary '!$M$2:$P$34,4,0)</f>
        <v>7.05</v>
      </c>
      <c r="E11" s="7"/>
    </row>
    <row r="12" spans="1:5" x14ac:dyDescent="0.25">
      <c r="A12" s="1">
        <v>11</v>
      </c>
      <c r="B12" s="1" t="s">
        <v>33</v>
      </c>
      <c r="C12" s="3">
        <f>VLOOKUP(B12,'[1]Summary '!$M$2:$P$34,3,0)</f>
        <v>4.824732526776307</v>
      </c>
      <c r="D12" s="2">
        <f>VLOOKUP(B12,'[1]Summary '!$M$2:$P$34,4,0)</f>
        <v>4.62</v>
      </c>
      <c r="E12" s="7"/>
    </row>
    <row r="13" spans="1:5" x14ac:dyDescent="0.25">
      <c r="A13" s="1">
        <v>12</v>
      </c>
      <c r="B13" s="1" t="s">
        <v>34</v>
      </c>
      <c r="C13" s="3">
        <f>VLOOKUP(B13,'[1]Summary '!$M$2:$P$34,3,0)</f>
        <v>5.2815781540616253</v>
      </c>
      <c r="D13" s="2">
        <f>VLOOKUP(B13,'[1]Summary '!$M$2:$P$34,4,0)</f>
        <v>7.01</v>
      </c>
      <c r="E13" s="7"/>
    </row>
    <row r="14" spans="1:5" x14ac:dyDescent="0.25">
      <c r="A14" s="1">
        <v>13</v>
      </c>
      <c r="B14" s="1" t="s">
        <v>5</v>
      </c>
      <c r="C14" s="3">
        <v>7.28</v>
      </c>
      <c r="D14" s="2">
        <v>6.5</v>
      </c>
      <c r="E14" s="7"/>
    </row>
    <row r="15" spans="1:5" x14ac:dyDescent="0.25">
      <c r="A15" s="1">
        <v>14</v>
      </c>
      <c r="B15" s="1" t="s">
        <v>6</v>
      </c>
      <c r="C15" s="3">
        <f>VLOOKUP(B15,'[1]Summary '!$M$2:$P$34,3,0)</f>
        <v>2.6</v>
      </c>
      <c r="D15" s="2">
        <f>VLOOKUP(B15,'[1]Summary '!$M$2:$P$34,4,0)</f>
        <v>2.8</v>
      </c>
      <c r="E15" s="7"/>
    </row>
    <row r="16" spans="1:5" x14ac:dyDescent="0.25">
      <c r="A16" s="1">
        <v>15</v>
      </c>
      <c r="B16" s="1" t="s">
        <v>7</v>
      </c>
      <c r="C16" s="3">
        <f>VLOOKUP(B16,'[1]Summary '!$M$2:$P$34,3,0)</f>
        <v>6.465605678930471</v>
      </c>
      <c r="D16" s="2">
        <f>VLOOKUP(B16,'[1]Summary '!$M$2:$P$34,4,0)</f>
        <v>5.37</v>
      </c>
      <c r="E16" s="7"/>
    </row>
    <row r="17" spans="1:7" x14ac:dyDescent="0.25">
      <c r="A17" s="1">
        <v>16</v>
      </c>
      <c r="B17" s="1" t="s">
        <v>8</v>
      </c>
      <c r="C17" s="3">
        <f>VLOOKUP(B17,'[1]Summary '!$M$2:$P$34,3,0)</f>
        <v>2.2000000000000002</v>
      </c>
      <c r="D17" s="2">
        <f>VLOOKUP(B17,'[1]Summary '!$M$2:$P$34,4,0)</f>
        <v>1.6074099047619048</v>
      </c>
      <c r="E17" s="7"/>
    </row>
    <row r="18" spans="1:7" x14ac:dyDescent="0.25">
      <c r="A18" s="1">
        <v>17</v>
      </c>
      <c r="B18" s="1" t="s">
        <v>9</v>
      </c>
      <c r="C18" s="3">
        <f>VLOOKUP(B18,'[1]Summary '!$M$2:$P$34,3,0)</f>
        <v>3.2496160000000001</v>
      </c>
      <c r="D18" s="2">
        <f>VLOOKUP(B18,'[1]Summary '!$M$2:$P$34,4,0)</f>
        <v>1.6</v>
      </c>
      <c r="E18" s="7"/>
    </row>
    <row r="19" spans="1:7" x14ac:dyDescent="0.25">
      <c r="A19" s="1">
        <v>18</v>
      </c>
      <c r="B19" s="1" t="s">
        <v>10</v>
      </c>
      <c r="C19" s="3">
        <f>VLOOKUP(B19,'[1]Summary '!$M$2:$P$34,3,0)</f>
        <v>3.9782428914757393</v>
      </c>
      <c r="D19" s="2">
        <f>VLOOKUP(B19,'[1]Summary '!$M$2:$P$34,4,0)</f>
        <v>3.01</v>
      </c>
      <c r="E19" s="7"/>
    </row>
    <row r="20" spans="1:7" x14ac:dyDescent="0.25">
      <c r="A20" s="1">
        <v>19</v>
      </c>
      <c r="B20" s="1" t="s">
        <v>11</v>
      </c>
      <c r="C20" s="3">
        <f>VLOOKUP(B20,'[1]Summary '!$M$2:$P$34,3,0)</f>
        <v>4.0493693650793654</v>
      </c>
      <c r="D20" s="2">
        <f>VLOOKUP(B20,'[1]Summary '!$M$2:$P$34,4,0)</f>
        <v>4.1307197777777782</v>
      </c>
      <c r="E20" s="7"/>
    </row>
    <row r="21" spans="1:7" x14ac:dyDescent="0.25">
      <c r="A21" s="1">
        <v>20</v>
      </c>
      <c r="B21" s="1" t="s">
        <v>12</v>
      </c>
      <c r="C21" s="3">
        <f>VLOOKUP(B21,'[1]Summary '!$M$2:$P$34,3,0)</f>
        <v>13.075117535231801</v>
      </c>
      <c r="D21" s="2">
        <f>VLOOKUP(B21,'[1]Summary '!$M$2:$P$34,4,0)</f>
        <v>12.45</v>
      </c>
      <c r="E21" s="7"/>
    </row>
    <row r="22" spans="1:7" x14ac:dyDescent="0.25">
      <c r="A22" s="1">
        <v>21</v>
      </c>
      <c r="B22" s="1" t="s">
        <v>13</v>
      </c>
      <c r="C22" s="3">
        <f>VLOOKUP(B22,'[1]Summary '!$M$2:$P$34,3,0)</f>
        <v>23.478273764320104</v>
      </c>
      <c r="D22" s="2">
        <f>VLOOKUP(B22,'[1]Summary '!$M$2:$P$34,4,0)</f>
        <v>25.27</v>
      </c>
      <c r="E22" s="7"/>
      <c r="F22" s="4">
        <f>SUM(C2:C22)</f>
        <v>142.52501578448047</v>
      </c>
      <c r="G22" s="4">
        <f>SUM(D2:D22)</f>
        <v>143.49842484581239</v>
      </c>
    </row>
    <row r="23" spans="1:7" x14ac:dyDescent="0.25">
      <c r="A23" s="1">
        <v>22</v>
      </c>
      <c r="B23" s="1" t="s">
        <v>14</v>
      </c>
      <c r="C23" s="3">
        <v>10.620600089714562</v>
      </c>
      <c r="D23" s="2">
        <v>11</v>
      </c>
      <c r="E23" s="7"/>
      <c r="F23" s="5"/>
      <c r="G23" s="5"/>
    </row>
    <row r="24" spans="1:7" x14ac:dyDescent="0.25">
      <c r="A24" s="1">
        <v>23</v>
      </c>
      <c r="B24" s="1" t="s">
        <v>15</v>
      </c>
      <c r="C24" s="3">
        <v>5.2083600494401452</v>
      </c>
      <c r="D24" s="2">
        <v>5.2</v>
      </c>
      <c r="E24" s="7"/>
      <c r="F24" s="4">
        <f>+F23-F22</f>
        <v>-142.52501578448047</v>
      </c>
    </row>
    <row r="25" spans="1:7" x14ac:dyDescent="0.25">
      <c r="A25" s="1">
        <v>24</v>
      </c>
      <c r="B25" s="1" t="s">
        <v>16</v>
      </c>
      <c r="C25" s="3">
        <v>7.4891529999999999</v>
      </c>
      <c r="D25" s="2">
        <v>6.9</v>
      </c>
      <c r="E25" s="7"/>
    </row>
    <row r="26" spans="1:7" x14ac:dyDescent="0.25">
      <c r="A26" s="1">
        <v>25</v>
      </c>
      <c r="B26" s="1" t="s">
        <v>17</v>
      </c>
      <c r="C26" s="3">
        <v>11.909062402821265</v>
      </c>
      <c r="D26" s="2">
        <v>10.3</v>
      </c>
      <c r="E26" s="7"/>
    </row>
    <row r="27" spans="1:7" x14ac:dyDescent="0.25">
      <c r="A27" s="1">
        <v>26</v>
      </c>
      <c r="B27" s="1" t="s">
        <v>18</v>
      </c>
      <c r="C27" s="3">
        <v>2.8000000000000003</v>
      </c>
      <c r="D27" s="2">
        <v>2.1800000000000002</v>
      </c>
      <c r="E27" s="7"/>
    </row>
    <row r="28" spans="1:7" x14ac:dyDescent="0.25">
      <c r="A28" s="1">
        <v>27</v>
      </c>
      <c r="B28" s="1" t="s">
        <v>19</v>
      </c>
      <c r="C28" s="3">
        <v>0.79054500000000005</v>
      </c>
      <c r="D28" s="2">
        <v>0.27</v>
      </c>
      <c r="E28" s="7"/>
    </row>
    <row r="29" spans="1:7" x14ac:dyDescent="0.25">
      <c r="A29" s="1">
        <v>28</v>
      </c>
      <c r="B29" s="1" t="s">
        <v>20</v>
      </c>
      <c r="C29" s="3">
        <v>3.3345726230993504</v>
      </c>
      <c r="D29" s="2">
        <v>4</v>
      </c>
      <c r="E29" s="7"/>
    </row>
    <row r="30" spans="1:7" x14ac:dyDescent="0.25">
      <c r="A30" s="1">
        <v>29</v>
      </c>
      <c r="B30" s="1" t="s">
        <v>21</v>
      </c>
      <c r="C30" s="3">
        <v>0</v>
      </c>
      <c r="D30" s="2">
        <v>0</v>
      </c>
      <c r="E30" s="7"/>
    </row>
    <row r="31" spans="1:7" x14ac:dyDescent="0.25">
      <c r="A31" s="1">
        <v>30</v>
      </c>
      <c r="B31" s="1" t="s">
        <v>22</v>
      </c>
      <c r="C31" s="3">
        <v>0</v>
      </c>
      <c r="D31" s="2">
        <v>0</v>
      </c>
      <c r="E31" s="7"/>
    </row>
    <row r="32" spans="1:7" x14ac:dyDescent="0.25">
      <c r="A32" s="1">
        <v>31</v>
      </c>
      <c r="B32" s="1" t="s">
        <v>23</v>
      </c>
      <c r="C32" s="3">
        <v>0</v>
      </c>
      <c r="D32" s="2">
        <v>0</v>
      </c>
      <c r="E32" s="7"/>
    </row>
    <row r="33" spans="1:5" x14ac:dyDescent="0.25">
      <c r="A33" s="1">
        <v>32</v>
      </c>
      <c r="B33" s="6" t="s">
        <v>35</v>
      </c>
      <c r="C33" s="3">
        <f>SUM(C2:C32)</f>
        <v>184.67730894955579</v>
      </c>
      <c r="D33" s="3">
        <f>SUM(D2:D32)</f>
        <v>183.34842484581242</v>
      </c>
      <c r="E33" s="8"/>
    </row>
    <row r="34" spans="1:5" x14ac:dyDescent="0.25">
      <c r="A34" s="1">
        <v>33</v>
      </c>
      <c r="C34" s="3"/>
    </row>
    <row r="35" spans="1:5" x14ac:dyDescent="0.25">
      <c r="A35" s="1">
        <v>34</v>
      </c>
      <c r="C35" s="3"/>
    </row>
    <row r="36" spans="1:5" x14ac:dyDescent="0.25">
      <c r="A36" s="1">
        <v>35</v>
      </c>
      <c r="C3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2019-07-09T09:46:15Z</dcterms:modified>
</cp:coreProperties>
</file>