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elgi-my.sharepoint.com/personal/vasanthk_elgi_com/Documents/Desktop/Desktop Files/Personal/Stk2/"/>
    </mc:Choice>
  </mc:AlternateContent>
  <xr:revisionPtr revIDLastSave="103" documentId="13_ncr:1_{E41D84B8-D57F-48B1-B0F5-499B2868D4C2}" xr6:coauthVersionLast="47" xr6:coauthVersionMax="47" xr10:uidLastSave="{A1F0CB7F-7935-4935-8D1F-80E572C79337}"/>
  <bookViews>
    <workbookView minimized="1" xWindow="5565" yWindow="3465" windowWidth="15375" windowHeight="7785" activeTab="3" xr2:uid="{00000000-000D-0000-FFFF-FFFF00000000}"/>
  </bookViews>
  <sheets>
    <sheet name="Sheet1" sheetId="1" r:id="rId1"/>
    <sheet name="Observation" sheetId="2" r:id="rId2"/>
    <sheet name="Sheet2" sheetId="3" r:id="rId3"/>
    <sheet name="Sheet3" sheetId="4" r:id="rId4"/>
    <sheet name="Sheet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4" l="1"/>
  <c r="M5" i="4"/>
  <c r="M6" i="4"/>
  <c r="M7" i="4"/>
  <c r="M9" i="4"/>
  <c r="M10" i="4"/>
  <c r="M11" i="4"/>
  <c r="M12" i="4"/>
  <c r="M13" i="4"/>
  <c r="M14" i="4"/>
  <c r="M15" i="4"/>
  <c r="I4" i="4"/>
  <c r="I5" i="4"/>
  <c r="I6" i="4"/>
  <c r="I7" i="4"/>
  <c r="I8" i="4"/>
  <c r="I9" i="4"/>
  <c r="I10" i="4"/>
  <c r="I11" i="4"/>
  <c r="I12" i="4"/>
  <c r="I13" i="4"/>
  <c r="I14" i="4"/>
  <c r="I15" i="4"/>
  <c r="E4" i="4"/>
  <c r="E5" i="4"/>
  <c r="E6" i="4"/>
  <c r="E7" i="4"/>
  <c r="E8" i="4"/>
  <c r="E9" i="4"/>
  <c r="E10" i="4"/>
  <c r="E11" i="4"/>
  <c r="E12" i="4"/>
  <c r="E13" i="4"/>
  <c r="E14" i="4"/>
  <c r="E15" i="4"/>
  <c r="L3" i="4"/>
  <c r="L4" i="4"/>
  <c r="L5" i="4"/>
  <c r="L6" i="4"/>
  <c r="L7" i="4"/>
  <c r="L8" i="4"/>
  <c r="M8" i="4" s="1"/>
  <c r="L9" i="4"/>
  <c r="L10" i="4"/>
  <c r="L11" i="4"/>
  <c r="L12" i="4"/>
  <c r="L13" i="4"/>
  <c r="L14" i="4"/>
  <c r="L15" i="4"/>
  <c r="L2" i="4"/>
  <c r="H3" i="4"/>
  <c r="H4" i="4"/>
  <c r="H5" i="4"/>
  <c r="H6" i="4"/>
  <c r="H7" i="4"/>
  <c r="H8" i="4"/>
  <c r="H9" i="4"/>
  <c r="H10" i="4"/>
  <c r="H11" i="4"/>
  <c r="H12" i="4"/>
  <c r="H13" i="4"/>
  <c r="H14" i="4"/>
  <c r="H15" i="4"/>
  <c r="H2" i="4"/>
  <c r="D3" i="4"/>
  <c r="D4" i="4"/>
  <c r="D5" i="4"/>
  <c r="D6" i="4"/>
  <c r="D7" i="4"/>
  <c r="D8" i="4"/>
  <c r="D9" i="4"/>
  <c r="D10" i="4"/>
  <c r="D11" i="4"/>
  <c r="D12" i="4"/>
  <c r="D13" i="4"/>
  <c r="D14" i="4"/>
  <c r="D15" i="4"/>
  <c r="D2" i="4"/>
  <c r="N7" i="3"/>
  <c r="N6" i="3"/>
  <c r="N5" i="3"/>
  <c r="N4" i="3"/>
  <c r="N3" i="3"/>
  <c r="E5" i="3"/>
  <c r="G79" i="1"/>
  <c r="G78" i="1"/>
  <c r="H77" i="1"/>
  <c r="G77" i="1"/>
  <c r="P5" i="1"/>
  <c r="G73" i="1"/>
  <c r="G72" i="1"/>
  <c r="G71" i="1"/>
  <c r="G70" i="1"/>
  <c r="G69" i="1"/>
  <c r="G68" i="1"/>
  <c r="G67" i="1"/>
  <c r="G66" i="1"/>
  <c r="G65" i="1"/>
  <c r="G64" i="1"/>
  <c r="G63" i="1"/>
  <c r="G62" i="1"/>
  <c r="G61" i="1"/>
  <c r="G60" i="1"/>
  <c r="G59" i="1"/>
  <c r="G58" i="1"/>
  <c r="G57" i="1"/>
  <c r="G56" i="1"/>
  <c r="G55" i="1"/>
  <c r="G54" i="1"/>
  <c r="G53" i="1"/>
  <c r="G52" i="1"/>
  <c r="P3" i="1"/>
  <c r="P4" i="1"/>
  <c r="P6" i="1"/>
  <c r="P7" i="1"/>
  <c r="P8" i="1"/>
  <c r="G51" i="1"/>
  <c r="G47" i="1"/>
  <c r="G46" i="1"/>
  <c r="G50" i="1"/>
  <c r="G49" i="1"/>
  <c r="G48" i="1"/>
  <c r="G45" i="1"/>
  <c r="G44" i="1"/>
  <c r="G43" i="1"/>
  <c r="G42" i="1"/>
  <c r="G41" i="1"/>
  <c r="G40" i="1"/>
  <c r="G39" i="1"/>
  <c r="G38" i="1"/>
  <c r="G37" i="1"/>
  <c r="G36" i="1"/>
  <c r="G35" i="1"/>
  <c r="G34" i="1"/>
  <c r="G33" i="1"/>
  <c r="G32" i="1"/>
  <c r="G31" i="1"/>
  <c r="G30" i="1"/>
  <c r="G29" i="1"/>
  <c r="G28" i="1"/>
  <c r="G26" i="1"/>
  <c r="G27" i="1"/>
  <c r="G25" i="1"/>
  <c r="G24" i="1"/>
  <c r="G23" i="1"/>
  <c r="G22" i="1"/>
  <c r="G21" i="1"/>
  <c r="Q2" i="1"/>
  <c r="G20" i="1"/>
  <c r="G19" i="1"/>
  <c r="H18" i="1"/>
  <c r="G18" i="1"/>
  <c r="G17" i="1"/>
  <c r="G16" i="1"/>
  <c r="G15" i="1" l="1"/>
  <c r="G14" i="1" l="1"/>
  <c r="H14" i="1" s="1"/>
  <c r="G13" i="1"/>
  <c r="G12" i="1"/>
  <c r="G11" i="1"/>
  <c r="K1" i="1"/>
  <c r="G10" i="1"/>
  <c r="G9" i="1"/>
  <c r="P2" i="1"/>
  <c r="G7" i="1"/>
  <c r="G8" i="1"/>
  <c r="G6" i="1"/>
  <c r="G5" i="1"/>
  <c r="G4" i="1"/>
  <c r="G3" i="1"/>
  <c r="G2" i="1"/>
  <c r="R2" i="1" l="1"/>
  <c r="S2" i="1"/>
  <c r="J1" i="1"/>
</calcChain>
</file>

<file path=xl/sharedStrings.xml><?xml version="1.0" encoding="utf-8"?>
<sst xmlns="http://schemas.openxmlformats.org/spreadsheetml/2006/main" count="333" uniqueCount="153">
  <si>
    <t>Date</t>
  </si>
  <si>
    <t>P/L</t>
  </si>
  <si>
    <t>Remarks</t>
  </si>
  <si>
    <t>Qty</t>
  </si>
  <si>
    <t>AvgBuyPrice</t>
  </si>
  <si>
    <t>AvgSellPrice</t>
  </si>
  <si>
    <t xml:space="preserve">Nifty Midcap Select </t>
  </si>
  <si>
    <t>04-Mar-24 10800 PE</t>
  </si>
  <si>
    <t>Option Name</t>
  </si>
  <si>
    <t>Option Type</t>
  </si>
  <si>
    <t>Nifty 50</t>
  </si>
  <si>
    <t>07-Mar-24 22250 CE</t>
  </si>
  <si>
    <t>NIFFIN</t>
  </si>
  <si>
    <t>05-Mar-2024 20900 CE</t>
  </si>
  <si>
    <t>Bank Nifty</t>
  </si>
  <si>
    <t>06-Mar-2024 47300 CE</t>
  </si>
  <si>
    <t>06-Mar-2024 47400 CE</t>
  </si>
  <si>
    <t>06-Mar-2024 47300 PE</t>
  </si>
  <si>
    <t>Price</t>
  </si>
  <si>
    <t>Value</t>
  </si>
  <si>
    <t>Actual</t>
  </si>
  <si>
    <t>06-Mar-2024 47500 PE</t>
  </si>
  <si>
    <t>06-Mar-2024 48200 CE</t>
  </si>
  <si>
    <t>Nifty</t>
  </si>
  <si>
    <t>07-Mar-24 22500 CE</t>
  </si>
  <si>
    <t>13-Mar-2024 47800 CE</t>
  </si>
  <si>
    <t>Sno</t>
  </si>
  <si>
    <t>Observation</t>
  </si>
  <si>
    <t>Always Sudden Surprising Spikes exists either in positive or negative between 10-11.30 in Feb Month</t>
  </si>
  <si>
    <t>Since budget is over, Trend will reverse most possibly</t>
  </si>
  <si>
    <t>13-Mar-2024 47800 PE</t>
  </si>
  <si>
    <t>13-Mar-2024 48000 CE</t>
  </si>
  <si>
    <t>13-Mar-2024 47600 PE</t>
  </si>
  <si>
    <t>13-Mar-2024 47300 CE</t>
  </si>
  <si>
    <t>13-Mar-2024 47600 CE</t>
  </si>
  <si>
    <t>13-Mar-2024 47300 PE</t>
  </si>
  <si>
    <t>13-Mar-2024 47400 CE</t>
  </si>
  <si>
    <t>Don’t trade on Expiry day as Traders mostly try to close their positions. So upward movement both in call and put options will be minimal range but downward movement tends to 0.05 after 2 PM</t>
  </si>
  <si>
    <t>13-Mar-2024 47100 PE</t>
  </si>
  <si>
    <t>13-Mar-2024 46900 PE</t>
  </si>
  <si>
    <t>Large Qty</t>
  </si>
  <si>
    <t>If you are highly confident on the Index Movement favourable to you, you can hold the option (which is in loss) till 2.10-2.15. Magic will happen</t>
  </si>
  <si>
    <t>20-Mar-2024 46700 CE</t>
  </si>
  <si>
    <t>20-Mar-2024 46800 CE</t>
  </si>
  <si>
    <t>20-Mar-2024 47200 CE</t>
  </si>
  <si>
    <t>Stop loss not followed</t>
  </si>
  <si>
    <t>Very Good</t>
  </si>
  <si>
    <t>Type of Trades</t>
  </si>
  <si>
    <t>1. Timely trade at 9.30; 10.30,11.30</t>
  </si>
  <si>
    <t>2. price spike trade</t>
  </si>
  <si>
    <t>3.Averaging Trade</t>
  </si>
  <si>
    <t>20-Mar-2024 46400 PE</t>
  </si>
  <si>
    <t>20-Mar-2024 47900 CE</t>
  </si>
  <si>
    <t>Far away from strike price.No clarity</t>
  </si>
  <si>
    <t>20-Mar-2024 46500 PE</t>
  </si>
  <si>
    <t>20-Mar-2024 46100 PE</t>
  </si>
  <si>
    <t>Good</t>
  </si>
  <si>
    <t>Good but Risk</t>
  </si>
  <si>
    <t>Irregular and Sudden Change in behaviour / Pattern in the graph in Feb and Mar</t>
  </si>
  <si>
    <r>
      <rPr>
        <b/>
        <sz val="11"/>
        <color theme="1"/>
        <rFont val="Calibri"/>
        <family val="2"/>
        <scheme val="minor"/>
      </rPr>
      <t xml:space="preserve">Method1:
</t>
    </r>
    <r>
      <rPr>
        <sz val="11"/>
        <color theme="1"/>
        <rFont val="Calibri"/>
        <family val="2"/>
        <scheme val="minor"/>
      </rPr>
      <t>first buy very minimal qty and if you observe a spike to that you are in wrong direction, buy huge qty in reverse direction</t>
    </r>
  </si>
  <si>
    <r>
      <rPr>
        <b/>
        <sz val="11"/>
        <color theme="1"/>
        <rFont val="Calibri"/>
        <family val="2"/>
        <scheme val="minor"/>
      </rPr>
      <t>Method2:</t>
    </r>
    <r>
      <rPr>
        <sz val="11"/>
        <color theme="1"/>
        <rFont val="Calibri"/>
        <family val="2"/>
        <scheme val="minor"/>
      </rPr>
      <t xml:space="preserve">
first buy very minimal qty and if you observe a spike to that you are in wrong direction, wait for the spike to settle and average by 10 times of the bought qty. once spike comes down for a minimal period, Recover the Loss and EXIT</t>
    </r>
  </si>
  <si>
    <t>20-Mar-2024 46600 CE</t>
  </si>
  <si>
    <t>Worst</t>
  </si>
  <si>
    <t>21-Mar-2024 22000 CE</t>
  </si>
  <si>
    <t>God's Grace</t>
  </si>
  <si>
    <t>27-Mar-2024 46500 PE</t>
  </si>
  <si>
    <t>27-Mar-2024 46900 CE</t>
  </si>
  <si>
    <t>27-Mar-2024 46800 CE</t>
  </si>
  <si>
    <t>21-Mar-2024 22000 PE</t>
  </si>
  <si>
    <t>27-Mar-2024 47200 CE</t>
  </si>
  <si>
    <t>3-Apr-2024 47600 CE</t>
  </si>
  <si>
    <t>Greedy</t>
  </si>
  <si>
    <t>3-Apr-2024 47600 PE</t>
  </si>
  <si>
    <t>10-Apr-2024 48000 CE</t>
  </si>
  <si>
    <t>4-Apr-2024 22450 CE</t>
  </si>
  <si>
    <t>10-Apr-2024 48500 CE</t>
  </si>
  <si>
    <t>10-Apr-2024 48700 CE</t>
  </si>
  <si>
    <t>Fin Nifty</t>
  </si>
  <si>
    <t>09-Apr-2024 21700 CE</t>
  </si>
  <si>
    <t>10-Apr-2024 48700 PE</t>
  </si>
  <si>
    <t>10-Apr-2024 48800 CE</t>
  </si>
  <si>
    <t>16-Apr-2024 48900 CE</t>
  </si>
  <si>
    <t>Mid Cap Nifty</t>
  </si>
  <si>
    <t>15-Apr-2024 11025 CE</t>
  </si>
  <si>
    <t>16-Apr-2024 48800 CE</t>
  </si>
  <si>
    <t>15-Apr-2024 11000 CE</t>
  </si>
  <si>
    <t>wrong Advice</t>
  </si>
  <si>
    <t>24-Apr-2024 46600 PE</t>
  </si>
  <si>
    <t>Curse</t>
  </si>
  <si>
    <t>Bad Luck</t>
  </si>
  <si>
    <t>30-Apr-2024 48500 PE</t>
  </si>
  <si>
    <t>02-May-2024 22500 CE</t>
  </si>
  <si>
    <t>Interim Budget after Modi 3.0 govt Win: In the Interim Budget, STT and Other Tax rate was raised which led to a drastic fall for 3 consecutive days  which is almost 1500 point down in bank nifty in 3 days (3rd day was expiry day)</t>
  </si>
  <si>
    <r>
      <t xml:space="preserve">if you buy an option and then if a drastic fall happened which leads to heavy loss, then if you want to average buy 10 times of the early buy qty on the next day at 9.15-20 at the LEAST PRICE and if the loss comes below 10,000 sell it blindly without second thought </t>
    </r>
    <r>
      <rPr>
        <b/>
        <sz val="11"/>
        <color theme="1"/>
        <rFont val="Calibri"/>
        <family val="2"/>
        <scheme val="minor"/>
      </rPr>
      <t>as the price will not sustain more than 5 seconds</t>
    </r>
  </si>
  <si>
    <t>Quarterly results impact</t>
  </si>
  <si>
    <t>Fed Policy Decision on Interest rate change Impact</t>
  </si>
  <si>
    <t>Geo Political Tension between Isrel and Iran Impact</t>
  </si>
  <si>
    <t>Crude oil Price increase Impact</t>
  </si>
  <si>
    <t xml:space="preserve">US election to be held on 5 Nov 2024. hence </t>
  </si>
  <si>
    <t>Markets are in loss by 1% and more on 3 and 4 Nov 2024 due to following</t>
  </si>
  <si>
    <t>Don’t trade on expiry day</t>
  </si>
  <si>
    <r>
      <t xml:space="preserve">if OI difference between call and put for a particular strike is very high, don’t take that position.For Eg: Call OI 30Lakhs and price is 35 Rs and Put OI 1.2Lakhs and price is 700. </t>
    </r>
    <r>
      <rPr>
        <b/>
        <sz val="11"/>
        <color theme="1"/>
        <rFont val="Calibri"/>
        <family val="2"/>
        <scheme val="minor"/>
      </rPr>
      <t>Such a Position should be avoided</t>
    </r>
  </si>
  <si>
    <t>Day</t>
  </si>
  <si>
    <t>Call</t>
  </si>
  <si>
    <t>Put</t>
  </si>
  <si>
    <t>Strike</t>
  </si>
  <si>
    <t>Thursday</t>
  </si>
  <si>
    <t>1044(0.37)</t>
  </si>
  <si>
    <t>140(3.12)</t>
  </si>
  <si>
    <t>Expiry</t>
  </si>
  <si>
    <t>Estimation</t>
  </si>
  <si>
    <t>Status</t>
  </si>
  <si>
    <t>Current</t>
  </si>
  <si>
    <t>US Election Result Impact</t>
  </si>
  <si>
    <t>Reason</t>
  </si>
  <si>
    <t>BankNifty</t>
  </si>
  <si>
    <t>Up/down</t>
  </si>
  <si>
    <t>Open</t>
  </si>
  <si>
    <t>Friday</t>
  </si>
  <si>
    <t>693(0.95)</t>
  </si>
  <si>
    <t>198(13.25)</t>
  </si>
  <si>
    <t>Monday</t>
  </si>
  <si>
    <t>870(2.29)</t>
  </si>
  <si>
    <t>43.75(20.24)</t>
  </si>
  <si>
    <t>Tuesday</t>
  </si>
  <si>
    <t>286.05(6.43)</t>
  </si>
  <si>
    <t>116(18.9)</t>
  </si>
  <si>
    <t>Diff</t>
  </si>
  <si>
    <t>Wednesday</t>
  </si>
  <si>
    <t>Speculation on Retail Inflation</t>
  </si>
  <si>
    <t>Increase in Retail Inflation from 5.46 (Sep) to 6.3(oct) which is above the RBI Mark of 6</t>
  </si>
  <si>
    <t>90(39.38)</t>
  </si>
  <si>
    <t>Expiry Day</t>
  </si>
  <si>
    <t>347(10.38)</t>
  </si>
  <si>
    <t>Failure</t>
  </si>
  <si>
    <t>Time</t>
  </si>
  <si>
    <t>700(20)</t>
  </si>
  <si>
    <t>Great Success</t>
  </si>
  <si>
    <t>Wait 15-30 mins to find out the OI Pattern as it will settle after 15-30 mins. Then decide the market sentiment as Bullish/Bearish and then take the call / put accordingly</t>
  </si>
  <si>
    <t>EntryDate</t>
  </si>
  <si>
    <t>Region</t>
  </si>
  <si>
    <t>ItemCategory</t>
  </si>
  <si>
    <t>TobeExecuted</t>
  </si>
  <si>
    <t>Total_DFU</t>
  </si>
  <si>
    <t>Processed_DFU</t>
  </si>
  <si>
    <t>Completion%</t>
  </si>
  <si>
    <t>Africa</t>
  </si>
  <si>
    <t>Aftermarket</t>
  </si>
  <si>
    <t>Yes</t>
  </si>
  <si>
    <t>ME</t>
  </si>
  <si>
    <t>Accessories</t>
  </si>
  <si>
    <t>Units</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</si>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</sst>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2" fontId="0" fillId="0" borderId="0" xfId="0" applyNumberFormat="1"/>
    <xf numFmtId="1" fontId="0" fillId="0" borderId="0" xfId="0" applyNumberFormat="1"/>
    <xf numFmtId="0" fontId="0" fillId="0" borderId="1" xfId="0" applyBorder="1"/>
    <xf numFmtId="1" fontId="0" fillId="0" borderId="1" xfId="0" applyNumberFormat="1" applyBorder="1"/>
    <xf numFmtId="2" fontId="0" fillId="0" borderId="1" xfId="0" applyNumberFormat="1" applyBorder="1"/>
    <xf numFmtId="14" fontId="0" fillId="0" borderId="1" xfId="0" applyNumberFormat="1" applyBorder="1"/>
    <xf numFmtId="2" fontId="0" fillId="0" borderId="1" xfId="0" applyNumberFormat="1" applyBorder="1" applyAlignment="1">
      <alignment horizontal="center"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14" fontId="0" fillId="0" borderId="0" xfId="0" applyNumberFormat="1"/>
    <xf numFmtId="0" fontId="0" fillId="0" borderId="2" xfId="0" applyBorder="1"/>
    <xf numFmtId="1" fontId="0" fillId="0" borderId="2" xfId="0" applyNumberFormat="1" applyBorder="1"/>
    <xf numFmtId="2" fontId="0" fillId="0" borderId="2" xfId="0" applyNumberFormat="1" applyBorder="1"/>
    <xf numFmtId="0" fontId="0" fillId="0" borderId="0" xfId="0" applyAlignment="1">
      <alignment vertical="center"/>
    </xf>
    <xf numFmtId="0" fontId="0" fillId="0" borderId="1" xfId="0" applyBorder="1" applyAlignment="1">
      <alignment vertical="center"/>
    </xf>
    <xf numFmtId="0" fontId="0" fillId="0" borderId="1" xfId="0" applyBorder="1" applyAlignment="1">
      <alignment wrapText="1"/>
    </xf>
    <xf numFmtId="0" fontId="0" fillId="0" borderId="3" xfId="0" applyBorder="1" applyAlignment="1">
      <alignment wrapText="1"/>
    </xf>
    <xf numFmtId="0" fontId="1" fillId="0" borderId="1" xfId="0" applyFont="1" applyBorder="1" applyAlignment="1">
      <alignment wrapText="1"/>
    </xf>
    <xf numFmtId="1" fontId="0" fillId="0" borderId="1" xfId="0" applyNumberFormat="1" applyBorder="1" applyAlignment="1">
      <alignment vertical="center"/>
    </xf>
    <xf numFmtId="14" fontId="0" fillId="0" borderId="1" xfId="0" applyNumberFormat="1" applyBorder="1" applyAlignment="1">
      <alignment vertical="center"/>
    </xf>
    <xf numFmtId="0" fontId="0" fillId="0" borderId="1" xfId="0" applyBorder="1" applyAlignment="1">
      <alignment vertical="center" wrapText="1"/>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2" fontId="0" fillId="0" borderId="1" xfId="0" applyNumberFormat="1" applyBorder="1" applyAlignment="1">
      <alignment horizontal="center" vertical="center"/>
    </xf>
    <xf numFmtId="2" fontId="0" fillId="0" borderId="2" xfId="0" applyNumberFormat="1" applyBorder="1" applyAlignment="1">
      <alignment horizontal="right" vertical="center"/>
    </xf>
    <xf numFmtId="2" fontId="0" fillId="0" borderId="3" xfId="0" applyNumberFormat="1" applyBorder="1" applyAlignment="1">
      <alignment horizontal="right" vertical="center"/>
    </xf>
    <xf numFmtId="2" fontId="0" fillId="0" borderId="4" xfId="0" applyNumberFormat="1" applyBorder="1" applyAlignment="1">
      <alignment horizontal="right" vertical="center"/>
    </xf>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20" fontId="0" fillId="0" borderId="0" xfId="0" applyNumberFormat="1"/>
    <xf numFmtId="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0"/>
          <c:tx>
            <c:strRef>
              <c:f>Sheet3!$E$1</c:f>
              <c:strCache>
                <c:ptCount val="1"/>
              </c:strCache>
            </c:strRef>
          </c:tx>
          <c:spPr>
            <a:ln w="28575" cap="rnd">
              <a:solidFill>
                <a:schemeClr val="accent4"/>
              </a:solidFill>
              <a:round/>
            </a:ln>
            <a:effectLst/>
          </c:spPr>
          <c:marker>
            <c:symbol val="none"/>
          </c:marker>
          <c:cat>
            <c:numRef>
              <c:f>Sheet3!$A$2:$A$15</c:f>
              <c:numCache>
                <c:formatCode>h:mm</c:formatCode>
                <c:ptCount val="14"/>
                <c:pt idx="0">
                  <c:v>0.40277777777777779</c:v>
                </c:pt>
                <c:pt idx="1">
                  <c:v>0.41666666666666669</c:v>
                </c:pt>
                <c:pt idx="2">
                  <c:v>0.4236111111111111</c:v>
                </c:pt>
                <c:pt idx="3">
                  <c:v>0.43055555555555558</c:v>
                </c:pt>
                <c:pt idx="4">
                  <c:v>0.44097222222222221</c:v>
                </c:pt>
                <c:pt idx="5">
                  <c:v>0.44791666666666669</c:v>
                </c:pt>
                <c:pt idx="6">
                  <c:v>0.45833333333333331</c:v>
                </c:pt>
              </c:numCache>
            </c:numRef>
          </c:cat>
          <c:val>
            <c:numRef>
              <c:f>Sheet3!$E$2:$E$15</c:f>
              <c:numCache>
                <c:formatCode>General</c:formatCode>
                <c:ptCount val="14"/>
                <c:pt idx="2">
                  <c:v>21</c:v>
                </c:pt>
                <c:pt idx="3">
                  <c:v>-9</c:v>
                </c:pt>
                <c:pt idx="4">
                  <c:v>-2</c:v>
                </c:pt>
                <c:pt idx="5">
                  <c:v>2</c:v>
                </c:pt>
                <c:pt idx="6">
                  <c:v>10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3-6809-417A-928B-EFB32FC59C12}"/>
            </c:ext>
          </c:extLst>
        </c:ser>
        <c:ser>
          <c:idx val="7"/>
          <c:order val="1"/>
          <c:tx>
            <c:strRef>
              <c:f>Sheet3!$I$1</c:f>
              <c:strCache>
                <c:ptCount val="1"/>
              </c:strCache>
            </c:strRef>
          </c:tx>
          <c:spPr>
            <a:ln w="28575" cap="rnd">
              <a:solidFill>
                <a:schemeClr val="accent2">
                  <a:lumMod val="60000"/>
                </a:schemeClr>
              </a:solidFill>
              <a:round/>
            </a:ln>
            <a:effectLst/>
          </c:spPr>
          <c:marker>
            <c:symbol val="none"/>
          </c:marker>
          <c:cat>
            <c:numRef>
              <c:f>Sheet3!$A$2:$A$15</c:f>
              <c:numCache>
                <c:formatCode>h:mm</c:formatCode>
                <c:ptCount val="14"/>
                <c:pt idx="0">
                  <c:v>0.40277777777777779</c:v>
                </c:pt>
                <c:pt idx="1">
                  <c:v>0.41666666666666669</c:v>
                </c:pt>
                <c:pt idx="2">
                  <c:v>0.4236111111111111</c:v>
                </c:pt>
                <c:pt idx="3">
                  <c:v>0.43055555555555558</c:v>
                </c:pt>
                <c:pt idx="4">
                  <c:v>0.44097222222222221</c:v>
                </c:pt>
                <c:pt idx="5">
                  <c:v>0.44791666666666669</c:v>
                </c:pt>
                <c:pt idx="6">
                  <c:v>0.45833333333333331</c:v>
                </c:pt>
              </c:numCache>
            </c:numRef>
          </c:cat>
          <c:val>
            <c:numRef>
              <c:f>Sheet3!$I$2:$I$15</c:f>
              <c:numCache>
                <c:formatCode>General</c:formatCode>
                <c:ptCount val="14"/>
                <c:pt idx="2">
                  <c:v>11</c:v>
                </c:pt>
                <c:pt idx="3">
                  <c:v>11</c:v>
                </c:pt>
                <c:pt idx="4">
                  <c:v>-2</c:v>
                </c:pt>
                <c:pt idx="5">
                  <c:v>4</c:v>
                </c:pt>
                <c:pt idx="6">
                  <c:v>5</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7-6809-417A-928B-EFB32FC59C12}"/>
            </c:ext>
          </c:extLst>
        </c:ser>
        <c:ser>
          <c:idx val="11"/>
          <c:order val="2"/>
          <c:tx>
            <c:strRef>
              <c:f>Sheet3!$M$1</c:f>
              <c:strCache>
                <c:ptCount val="1"/>
              </c:strCache>
            </c:strRef>
          </c:tx>
          <c:spPr>
            <a:ln w="28575" cap="rnd">
              <a:solidFill>
                <a:schemeClr val="accent6">
                  <a:lumMod val="60000"/>
                </a:schemeClr>
              </a:solidFill>
              <a:round/>
            </a:ln>
            <a:effectLst/>
          </c:spPr>
          <c:marker>
            <c:symbol val="none"/>
          </c:marker>
          <c:cat>
            <c:numRef>
              <c:f>Sheet3!$A$2:$A$15</c:f>
              <c:numCache>
                <c:formatCode>h:mm</c:formatCode>
                <c:ptCount val="14"/>
                <c:pt idx="0">
                  <c:v>0.40277777777777779</c:v>
                </c:pt>
                <c:pt idx="1">
                  <c:v>0.41666666666666669</c:v>
                </c:pt>
                <c:pt idx="2">
                  <c:v>0.4236111111111111</c:v>
                </c:pt>
                <c:pt idx="3">
                  <c:v>0.43055555555555558</c:v>
                </c:pt>
                <c:pt idx="4">
                  <c:v>0.44097222222222221</c:v>
                </c:pt>
                <c:pt idx="5">
                  <c:v>0.44791666666666669</c:v>
                </c:pt>
                <c:pt idx="6">
                  <c:v>0.45833333333333331</c:v>
                </c:pt>
              </c:numCache>
            </c:numRef>
          </c:cat>
          <c:val>
            <c:numRef>
              <c:f>Sheet3!$M$2:$M$15</c:f>
              <c:numCache>
                <c:formatCode>General</c:formatCode>
                <c:ptCount val="14"/>
                <c:pt idx="2">
                  <c:v>30</c:v>
                </c:pt>
                <c:pt idx="3">
                  <c:v>-2</c:v>
                </c:pt>
                <c:pt idx="4">
                  <c:v>3</c:v>
                </c:pt>
                <c:pt idx="5">
                  <c:v>1</c:v>
                </c:pt>
                <c:pt idx="6">
                  <c:v>9</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B-6809-417A-928B-EFB32FC59C12}"/>
            </c:ext>
          </c:extLst>
        </c:ser>
        <c:dLbls>
          <c:showLegendKey val="0"/>
          <c:showVal val="0"/>
          <c:showCatName val="0"/>
          <c:showSerName val="0"/>
          <c:showPercent val="0"/>
          <c:showBubbleSize val="0"/>
        </c:dLbls>
        <c:smooth val="0"/>
        <c:axId val="271865231"/>
        <c:axId val="271865711"/>
      </c:lineChart>
      <c:catAx>
        <c:axId val="271865231"/>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65711"/>
        <c:crosses val="autoZero"/>
        <c:auto val="1"/>
        <c:lblAlgn val="ctr"/>
        <c:lblOffset val="100"/>
        <c:noMultiLvlLbl val="0"/>
      </c:catAx>
      <c:valAx>
        <c:axId val="27186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6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57150</xdr:colOff>
      <xdr:row>3</xdr:row>
      <xdr:rowOff>90487</xdr:rowOff>
    </xdr:from>
    <xdr:to>
      <xdr:col>20</xdr:col>
      <xdr:colOff>361950</xdr:colOff>
      <xdr:row>17</xdr:row>
      <xdr:rowOff>166687</xdr:rowOff>
    </xdr:to>
    <xdr:graphicFrame macro="">
      <xdr:nvGraphicFramePr>
        <xdr:cNvPr id="2" name="Chart 1">
          <a:extLst>
            <a:ext uri="{FF2B5EF4-FFF2-40B4-BE49-F238E27FC236}">
              <a16:creationId xmlns:a16="http://schemas.microsoft.com/office/drawing/2014/main" id="{CAAB11AB-1750-C477-CB83-329DBDC49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
  <sheetViews>
    <sheetView topLeftCell="C61" workbookViewId="0">
      <selection activeCell="H78" sqref="H78:H79"/>
    </sheetView>
  </sheetViews>
  <sheetFormatPr defaultRowHeight="15" x14ac:dyDescent="0.25"/>
  <cols>
    <col min="1" max="1" width="9.7109375" bestFit="1" customWidth="1"/>
    <col min="2" max="2" width="21.7109375" bestFit="1" customWidth="1"/>
    <col min="3" max="3" width="21.7109375" customWidth="1"/>
    <col min="4" max="4" width="9.7109375" style="2" bestFit="1" customWidth="1"/>
    <col min="5" max="6" width="12" style="1" bestFit="1" customWidth="1"/>
    <col min="7" max="7" width="9.140625" style="1"/>
    <col min="8" max="8" width="9.140625" style="9"/>
    <col min="9" max="9" width="37.28515625" customWidth="1"/>
    <col min="10" max="10" width="9.140625" style="1"/>
    <col min="11" max="11" width="10.28515625" bestFit="1" customWidth="1"/>
  </cols>
  <sheetData>
    <row r="1" spans="1:19" x14ac:dyDescent="0.25">
      <c r="A1" s="3" t="s">
        <v>0</v>
      </c>
      <c r="B1" s="3" t="s">
        <v>9</v>
      </c>
      <c r="C1" s="3" t="s">
        <v>8</v>
      </c>
      <c r="D1" s="4" t="s">
        <v>3</v>
      </c>
      <c r="E1" s="5" t="s">
        <v>4</v>
      </c>
      <c r="F1" s="5" t="s">
        <v>5</v>
      </c>
      <c r="G1" s="5" t="s">
        <v>1</v>
      </c>
      <c r="H1" s="7" t="s">
        <v>20</v>
      </c>
      <c r="I1" s="3" t="s">
        <v>2</v>
      </c>
      <c r="J1" s="1">
        <f>SUM(G:G)</f>
        <v>-50948.809999999976</v>
      </c>
      <c r="K1" s="1">
        <f>SUM(H:H)</f>
        <v>-99151.07</v>
      </c>
      <c r="N1" t="s">
        <v>3</v>
      </c>
      <c r="O1" t="s">
        <v>18</v>
      </c>
      <c r="P1" t="s">
        <v>19</v>
      </c>
    </row>
    <row r="2" spans="1:19" x14ac:dyDescent="0.25">
      <c r="A2" s="6">
        <v>45352</v>
      </c>
      <c r="B2" s="6" t="s">
        <v>6</v>
      </c>
      <c r="C2" s="6" t="s">
        <v>7</v>
      </c>
      <c r="D2" s="4">
        <v>225</v>
      </c>
      <c r="E2" s="5">
        <v>59.15</v>
      </c>
      <c r="F2" s="5">
        <v>48.05</v>
      </c>
      <c r="G2" s="5">
        <f>(F2-E2)*D2</f>
        <v>-2497.5000000000005</v>
      </c>
      <c r="H2" s="26">
        <v>7372</v>
      </c>
      <c r="I2" s="3" t="s">
        <v>40</v>
      </c>
      <c r="N2">
        <v>50</v>
      </c>
      <c r="O2">
        <v>146.1</v>
      </c>
      <c r="P2" s="1">
        <f>O2*N2</f>
        <v>7305</v>
      </c>
      <c r="Q2">
        <f>SUM(N:N)</f>
        <v>200</v>
      </c>
      <c r="R2" s="1">
        <f>SUM(P:P)/SUM(N:N)</f>
        <v>134.96250000000001</v>
      </c>
      <c r="S2" s="1">
        <f>SUM(P:P)</f>
        <v>26992.5</v>
      </c>
    </row>
    <row r="3" spans="1:19" x14ac:dyDescent="0.25">
      <c r="A3" s="6">
        <v>45352</v>
      </c>
      <c r="B3" s="3" t="s">
        <v>10</v>
      </c>
      <c r="C3" s="3" t="s">
        <v>11</v>
      </c>
      <c r="D3" s="4">
        <v>300</v>
      </c>
      <c r="E3" s="5">
        <v>185.2</v>
      </c>
      <c r="F3" s="5">
        <v>217.45</v>
      </c>
      <c r="G3" s="5">
        <f>(F3-E3)*D3</f>
        <v>9675</v>
      </c>
      <c r="H3" s="27"/>
      <c r="I3" s="3" t="s">
        <v>57</v>
      </c>
      <c r="N3">
        <v>50</v>
      </c>
      <c r="O3">
        <v>131.25</v>
      </c>
      <c r="P3" s="1">
        <f t="shared" ref="P3:P8" si="0">O3*N3</f>
        <v>6562.5</v>
      </c>
      <c r="Q3" s="1"/>
    </row>
    <row r="4" spans="1:19" x14ac:dyDescent="0.25">
      <c r="A4" s="6">
        <v>45352</v>
      </c>
      <c r="B4" s="3" t="s">
        <v>12</v>
      </c>
      <c r="C4" s="3" t="s">
        <v>13</v>
      </c>
      <c r="D4" s="4">
        <v>160</v>
      </c>
      <c r="E4" s="5">
        <v>89.3</v>
      </c>
      <c r="F4" s="5">
        <v>95.4</v>
      </c>
      <c r="G4" s="5">
        <f>(F4-E4)*D4</f>
        <v>976.00000000000136</v>
      </c>
      <c r="H4" s="28"/>
      <c r="I4" s="3" t="s">
        <v>57</v>
      </c>
      <c r="N4">
        <v>100</v>
      </c>
      <c r="O4">
        <v>131.25</v>
      </c>
      <c r="P4" s="1">
        <f t="shared" si="0"/>
        <v>13125</v>
      </c>
      <c r="S4" s="1"/>
    </row>
    <row r="5" spans="1:19" x14ac:dyDescent="0.25">
      <c r="A5" s="6">
        <v>45355</v>
      </c>
      <c r="B5" s="3" t="s">
        <v>14</v>
      </c>
      <c r="C5" s="3" t="s">
        <v>15</v>
      </c>
      <c r="D5" s="4">
        <v>105</v>
      </c>
      <c r="E5" s="5">
        <v>302.5</v>
      </c>
      <c r="F5" s="5">
        <v>327.05</v>
      </c>
      <c r="G5" s="5">
        <f>(F5-E5)*D5</f>
        <v>2577.7500000000014</v>
      </c>
      <c r="H5" s="8">
        <v>2185.14</v>
      </c>
      <c r="I5" s="3" t="s">
        <v>56</v>
      </c>
      <c r="P5" s="1">
        <f t="shared" si="0"/>
        <v>0</v>
      </c>
      <c r="S5" s="1"/>
    </row>
    <row r="6" spans="1:19" x14ac:dyDescent="0.25">
      <c r="A6" s="6">
        <v>45356</v>
      </c>
      <c r="B6" s="3" t="s">
        <v>14</v>
      </c>
      <c r="C6" s="3" t="s">
        <v>16</v>
      </c>
      <c r="D6" s="4">
        <v>105</v>
      </c>
      <c r="E6" s="5">
        <v>252.3</v>
      </c>
      <c r="F6" s="5">
        <v>215.17</v>
      </c>
      <c r="G6" s="5">
        <f>(F6-E6)*D6</f>
        <v>-3898.6500000000024</v>
      </c>
      <c r="H6" s="26">
        <v>570</v>
      </c>
      <c r="I6" s="3" t="s">
        <v>40</v>
      </c>
      <c r="P6" s="1">
        <f t="shared" si="0"/>
        <v>0</v>
      </c>
      <c r="S6" s="1"/>
    </row>
    <row r="7" spans="1:19" x14ac:dyDescent="0.25">
      <c r="A7" s="6">
        <v>45356</v>
      </c>
      <c r="B7" s="3" t="s">
        <v>14</v>
      </c>
      <c r="C7" s="3" t="s">
        <v>17</v>
      </c>
      <c r="D7" s="4">
        <v>105</v>
      </c>
      <c r="E7" s="5">
        <v>239.8</v>
      </c>
      <c r="F7" s="5">
        <v>266.75</v>
      </c>
      <c r="G7" s="5">
        <f t="shared" ref="G7:G73" si="1">(F7-E7)*D7</f>
        <v>2829.7499999999986</v>
      </c>
      <c r="H7" s="27"/>
      <c r="I7" s="3" t="s">
        <v>56</v>
      </c>
      <c r="P7" s="1">
        <f t="shared" si="0"/>
        <v>0</v>
      </c>
      <c r="S7" s="1"/>
    </row>
    <row r="8" spans="1:19" x14ac:dyDescent="0.25">
      <c r="A8" s="6">
        <v>45356</v>
      </c>
      <c r="B8" s="3" t="s">
        <v>14</v>
      </c>
      <c r="C8" s="3" t="s">
        <v>16</v>
      </c>
      <c r="D8" s="4">
        <v>105</v>
      </c>
      <c r="E8" s="5">
        <v>201.35</v>
      </c>
      <c r="F8" s="5">
        <v>211</v>
      </c>
      <c r="G8" s="5">
        <f t="shared" si="1"/>
        <v>1013.2500000000006</v>
      </c>
      <c r="H8" s="27"/>
      <c r="I8" s="3" t="s">
        <v>56</v>
      </c>
      <c r="P8" s="1">
        <f t="shared" si="0"/>
        <v>0</v>
      </c>
      <c r="S8" s="1"/>
    </row>
    <row r="9" spans="1:19" x14ac:dyDescent="0.25">
      <c r="A9" s="6">
        <v>45356</v>
      </c>
      <c r="B9" s="3" t="s">
        <v>14</v>
      </c>
      <c r="C9" s="3" t="s">
        <v>16</v>
      </c>
      <c r="D9" s="4">
        <v>105</v>
      </c>
      <c r="E9" s="5">
        <v>239.85</v>
      </c>
      <c r="F9" s="5">
        <v>252.3</v>
      </c>
      <c r="G9" s="5">
        <f t="shared" si="1"/>
        <v>1307.2500000000018</v>
      </c>
      <c r="H9" s="27"/>
      <c r="I9" s="3" t="s">
        <v>56</v>
      </c>
      <c r="S9" s="1"/>
    </row>
    <row r="10" spans="1:19" x14ac:dyDescent="0.25">
      <c r="A10" s="6">
        <v>45356</v>
      </c>
      <c r="B10" s="3" t="s">
        <v>14</v>
      </c>
      <c r="C10" s="3" t="s">
        <v>17</v>
      </c>
      <c r="D10" s="4">
        <v>105</v>
      </c>
      <c r="E10" s="5">
        <v>83.85</v>
      </c>
      <c r="F10" s="5">
        <v>95</v>
      </c>
      <c r="G10" s="5">
        <f t="shared" si="1"/>
        <v>1170.7500000000007</v>
      </c>
      <c r="H10" s="28"/>
      <c r="I10" s="3" t="s">
        <v>56</v>
      </c>
    </row>
    <row r="11" spans="1:19" x14ac:dyDescent="0.25">
      <c r="A11" s="6">
        <v>45357</v>
      </c>
      <c r="B11" s="3" t="s">
        <v>14</v>
      </c>
      <c r="C11" s="3" t="s">
        <v>21</v>
      </c>
      <c r="D11" s="4">
        <v>105</v>
      </c>
      <c r="E11" s="5">
        <v>134.69999999999999</v>
      </c>
      <c r="F11" s="5">
        <v>37.4</v>
      </c>
      <c r="G11" s="5">
        <f t="shared" si="1"/>
        <v>-10216.499999999998</v>
      </c>
      <c r="H11" s="22">
        <v>-37095.93</v>
      </c>
      <c r="I11" s="3" t="s">
        <v>45</v>
      </c>
    </row>
    <row r="12" spans="1:19" x14ac:dyDescent="0.25">
      <c r="A12" s="6">
        <v>45357</v>
      </c>
      <c r="B12" s="3" t="s">
        <v>14</v>
      </c>
      <c r="C12" s="3" t="s">
        <v>21</v>
      </c>
      <c r="D12" s="4">
        <v>510</v>
      </c>
      <c r="E12" s="5">
        <v>41</v>
      </c>
      <c r="F12" s="5">
        <v>24.65</v>
      </c>
      <c r="G12" s="5">
        <f t="shared" si="1"/>
        <v>-8338.5</v>
      </c>
      <c r="H12" s="23"/>
      <c r="I12" s="3" t="s">
        <v>40</v>
      </c>
    </row>
    <row r="13" spans="1:19" x14ac:dyDescent="0.25">
      <c r="A13" s="6">
        <v>45357</v>
      </c>
      <c r="B13" s="3" t="s">
        <v>14</v>
      </c>
      <c r="C13" s="3" t="s">
        <v>22</v>
      </c>
      <c r="D13" s="4">
        <v>510</v>
      </c>
      <c r="E13" s="5">
        <v>57</v>
      </c>
      <c r="F13" s="5">
        <v>23.65</v>
      </c>
      <c r="G13" s="5">
        <f t="shared" si="1"/>
        <v>-17008.5</v>
      </c>
      <c r="H13" s="24"/>
      <c r="I13" s="3" t="s">
        <v>40</v>
      </c>
    </row>
    <row r="14" spans="1:19" x14ac:dyDescent="0.25">
      <c r="A14" s="6">
        <v>45358</v>
      </c>
      <c r="B14" s="3" t="s">
        <v>23</v>
      </c>
      <c r="C14" s="3" t="s">
        <v>24</v>
      </c>
      <c r="D14" s="4">
        <v>900</v>
      </c>
      <c r="E14" s="5">
        <v>31</v>
      </c>
      <c r="F14" s="5">
        <v>35</v>
      </c>
      <c r="G14" s="5">
        <f t="shared" si="1"/>
        <v>3600</v>
      </c>
      <c r="H14" s="22">
        <f>G14+G15+G16+G17-1847.84</f>
        <v>-6560.8400000000029</v>
      </c>
      <c r="I14" s="3" t="s">
        <v>40</v>
      </c>
    </row>
    <row r="15" spans="1:19" x14ac:dyDescent="0.25">
      <c r="A15" s="6">
        <v>45358</v>
      </c>
      <c r="B15" s="3" t="s">
        <v>14</v>
      </c>
      <c r="C15" s="3" t="s">
        <v>25</v>
      </c>
      <c r="D15" s="4">
        <v>105</v>
      </c>
      <c r="E15" s="5">
        <v>390.85</v>
      </c>
      <c r="F15" s="5">
        <v>399.45</v>
      </c>
      <c r="G15" s="5">
        <f t="shared" si="1"/>
        <v>902.99999999999636</v>
      </c>
      <c r="H15" s="23"/>
      <c r="I15" s="3" t="s">
        <v>56</v>
      </c>
    </row>
    <row r="16" spans="1:19" x14ac:dyDescent="0.25">
      <c r="A16" s="6">
        <v>45358</v>
      </c>
      <c r="B16" s="3" t="s">
        <v>14</v>
      </c>
      <c r="C16" s="3" t="s">
        <v>30</v>
      </c>
      <c r="D16" s="4">
        <v>105</v>
      </c>
      <c r="E16" s="5">
        <v>350.4</v>
      </c>
      <c r="F16" s="5">
        <v>365.95</v>
      </c>
      <c r="G16" s="5">
        <f t="shared" si="1"/>
        <v>1632.7500000000011</v>
      </c>
      <c r="H16" s="23"/>
      <c r="I16" s="3" t="s">
        <v>56</v>
      </c>
    </row>
    <row r="17" spans="1:9" x14ac:dyDescent="0.25">
      <c r="A17" s="6">
        <v>45358</v>
      </c>
      <c r="B17" s="3" t="s">
        <v>14</v>
      </c>
      <c r="C17" s="3" t="s">
        <v>31</v>
      </c>
      <c r="D17" s="4">
        <v>75</v>
      </c>
      <c r="E17" s="5">
        <v>346.55</v>
      </c>
      <c r="F17" s="5">
        <v>201.9</v>
      </c>
      <c r="G17" s="5">
        <f t="shared" si="1"/>
        <v>-10848.75</v>
      </c>
      <c r="H17" s="24"/>
      <c r="I17" s="3" t="s">
        <v>45</v>
      </c>
    </row>
    <row r="18" spans="1:9" x14ac:dyDescent="0.25">
      <c r="A18" s="6">
        <v>45362</v>
      </c>
      <c r="B18" s="3" t="s">
        <v>14</v>
      </c>
      <c r="C18" s="3" t="s">
        <v>32</v>
      </c>
      <c r="D18" s="4">
        <v>120</v>
      </c>
      <c r="E18" s="5">
        <v>301.10000000000002</v>
      </c>
      <c r="F18" s="5">
        <v>412</v>
      </c>
      <c r="G18" s="5">
        <f t="shared" si="1"/>
        <v>13307.999999999996</v>
      </c>
      <c r="H18" s="8">
        <f>13308-596.74</f>
        <v>12711.26</v>
      </c>
      <c r="I18" s="3" t="s">
        <v>46</v>
      </c>
    </row>
    <row r="19" spans="1:9" x14ac:dyDescent="0.25">
      <c r="A19" s="6">
        <v>45363</v>
      </c>
      <c r="B19" s="3" t="s">
        <v>14</v>
      </c>
      <c r="C19" s="3" t="s">
        <v>33</v>
      </c>
      <c r="D19" s="4">
        <v>30</v>
      </c>
      <c r="E19" s="5">
        <v>237.7</v>
      </c>
      <c r="F19" s="5">
        <v>282.7</v>
      </c>
      <c r="G19" s="5">
        <f t="shared" si="1"/>
        <v>1350</v>
      </c>
      <c r="H19" s="25">
        <v>3476.42</v>
      </c>
      <c r="I19" s="3" t="s">
        <v>56</v>
      </c>
    </row>
    <row r="20" spans="1:9" x14ac:dyDescent="0.25">
      <c r="A20" s="6">
        <v>45363</v>
      </c>
      <c r="B20" s="3" t="s">
        <v>14</v>
      </c>
      <c r="C20" s="3" t="s">
        <v>31</v>
      </c>
      <c r="D20" s="4">
        <v>120</v>
      </c>
      <c r="E20" s="5">
        <v>127.17</v>
      </c>
      <c r="F20" s="5">
        <v>145.05000000000001</v>
      </c>
      <c r="G20" s="5">
        <f t="shared" si="1"/>
        <v>2145.6000000000013</v>
      </c>
      <c r="H20" s="25"/>
      <c r="I20" s="3" t="s">
        <v>56</v>
      </c>
    </row>
    <row r="21" spans="1:9" x14ac:dyDescent="0.25">
      <c r="A21" s="6">
        <v>45363</v>
      </c>
      <c r="B21" s="3" t="s">
        <v>14</v>
      </c>
      <c r="C21" s="3" t="s">
        <v>34</v>
      </c>
      <c r="D21" s="4">
        <v>150</v>
      </c>
      <c r="E21" s="5">
        <v>135.72</v>
      </c>
      <c r="F21" s="5">
        <v>147.25</v>
      </c>
      <c r="G21" s="5">
        <f t="shared" si="1"/>
        <v>1729.5000000000002</v>
      </c>
      <c r="H21" s="25"/>
      <c r="I21" s="3" t="s">
        <v>56</v>
      </c>
    </row>
    <row r="22" spans="1:9" x14ac:dyDescent="0.25">
      <c r="A22" s="6">
        <v>45363</v>
      </c>
      <c r="B22" s="3" t="s">
        <v>14</v>
      </c>
      <c r="C22" s="3" t="s">
        <v>33</v>
      </c>
      <c r="D22" s="4">
        <v>135</v>
      </c>
      <c r="E22" s="5">
        <v>259.43</v>
      </c>
      <c r="F22" s="5">
        <v>281.10000000000002</v>
      </c>
      <c r="G22" s="5">
        <f t="shared" si="1"/>
        <v>2925.4500000000021</v>
      </c>
      <c r="H22" s="25"/>
      <c r="I22" s="3" t="s">
        <v>56</v>
      </c>
    </row>
    <row r="23" spans="1:9" x14ac:dyDescent="0.25">
      <c r="A23" s="6">
        <v>45363</v>
      </c>
      <c r="B23" s="3" t="s">
        <v>14</v>
      </c>
      <c r="C23" s="3" t="s">
        <v>35</v>
      </c>
      <c r="D23" s="4">
        <v>120</v>
      </c>
      <c r="E23" s="5">
        <v>234.7</v>
      </c>
      <c r="F23" s="5">
        <v>212</v>
      </c>
      <c r="G23" s="5">
        <f t="shared" si="1"/>
        <v>-2723.9999999999986</v>
      </c>
      <c r="H23" s="25"/>
      <c r="I23" s="3" t="s">
        <v>56</v>
      </c>
    </row>
    <row r="24" spans="1:9" x14ac:dyDescent="0.25">
      <c r="A24" s="6">
        <v>45364</v>
      </c>
      <c r="B24" s="3" t="s">
        <v>14</v>
      </c>
      <c r="C24" s="3" t="s">
        <v>36</v>
      </c>
      <c r="D24" s="4">
        <v>240</v>
      </c>
      <c r="E24" s="5">
        <v>133.13999999999999</v>
      </c>
      <c r="F24" s="5">
        <v>110.61</v>
      </c>
      <c r="G24" s="5">
        <f t="shared" si="1"/>
        <v>-5407.1999999999971</v>
      </c>
      <c r="H24" s="22">
        <v>-44280.43</v>
      </c>
      <c r="I24" s="3" t="s">
        <v>40</v>
      </c>
    </row>
    <row r="25" spans="1:9" x14ac:dyDescent="0.25">
      <c r="A25" s="6">
        <v>45364</v>
      </c>
      <c r="B25" s="3" t="s">
        <v>14</v>
      </c>
      <c r="C25" s="3" t="s">
        <v>35</v>
      </c>
      <c r="D25" s="4">
        <v>240</v>
      </c>
      <c r="E25" s="5">
        <v>122.9</v>
      </c>
      <c r="F25" s="5">
        <v>143.75</v>
      </c>
      <c r="G25" s="5">
        <f t="shared" si="1"/>
        <v>5003.9999999999982</v>
      </c>
      <c r="H25" s="23"/>
      <c r="I25" s="3" t="s">
        <v>40</v>
      </c>
    </row>
    <row r="26" spans="1:9" x14ac:dyDescent="0.25">
      <c r="A26" s="6">
        <v>45364</v>
      </c>
      <c r="B26" s="3" t="s">
        <v>14</v>
      </c>
      <c r="C26" s="3" t="s">
        <v>36</v>
      </c>
      <c r="D26" s="4">
        <v>210</v>
      </c>
      <c r="E26" s="5">
        <v>89.9</v>
      </c>
      <c r="F26" s="5">
        <v>61.5</v>
      </c>
      <c r="G26" s="5">
        <f t="shared" si="1"/>
        <v>-5964.0000000000009</v>
      </c>
      <c r="H26" s="23"/>
      <c r="I26" s="3" t="s">
        <v>40</v>
      </c>
    </row>
    <row r="27" spans="1:9" x14ac:dyDescent="0.25">
      <c r="A27" s="6">
        <v>45364</v>
      </c>
      <c r="B27" s="3" t="s">
        <v>14</v>
      </c>
      <c r="C27" s="3" t="s">
        <v>36</v>
      </c>
      <c r="D27" s="4">
        <v>600</v>
      </c>
      <c r="E27" s="5">
        <v>47.95</v>
      </c>
      <c r="F27" s="5">
        <v>40.39</v>
      </c>
      <c r="G27" s="5">
        <f t="shared" si="1"/>
        <v>-4536.0000000000018</v>
      </c>
      <c r="H27" s="23"/>
      <c r="I27" s="3" t="s">
        <v>40</v>
      </c>
    </row>
    <row r="28" spans="1:9" x14ac:dyDescent="0.25">
      <c r="A28" s="6">
        <v>45364</v>
      </c>
      <c r="B28" s="3" t="s">
        <v>14</v>
      </c>
      <c r="C28" s="3" t="s">
        <v>38</v>
      </c>
      <c r="D28" s="4">
        <v>300</v>
      </c>
      <c r="E28" s="5">
        <v>105.45</v>
      </c>
      <c r="F28" s="5">
        <v>78.3</v>
      </c>
      <c r="G28" s="5">
        <f t="shared" si="1"/>
        <v>-8145.0000000000018</v>
      </c>
      <c r="H28" s="23"/>
      <c r="I28" s="3" t="s">
        <v>40</v>
      </c>
    </row>
    <row r="29" spans="1:9" x14ac:dyDescent="0.25">
      <c r="A29" s="6">
        <v>45364</v>
      </c>
      <c r="B29" s="3" t="s">
        <v>14</v>
      </c>
      <c r="C29" s="3" t="s">
        <v>39</v>
      </c>
      <c r="D29" s="4">
        <v>900</v>
      </c>
      <c r="E29" s="5">
        <v>49.1</v>
      </c>
      <c r="F29" s="5">
        <v>30.1</v>
      </c>
      <c r="G29" s="5">
        <f t="shared" si="1"/>
        <v>-17100</v>
      </c>
      <c r="H29" s="24"/>
      <c r="I29" s="3" t="s">
        <v>40</v>
      </c>
    </row>
    <row r="30" spans="1:9" x14ac:dyDescent="0.25">
      <c r="A30" s="6">
        <v>45365</v>
      </c>
      <c r="B30" s="3" t="s">
        <v>14</v>
      </c>
      <c r="C30" s="3" t="s">
        <v>42</v>
      </c>
      <c r="D30" s="4">
        <v>15</v>
      </c>
      <c r="E30" s="5">
        <v>527.9</v>
      </c>
      <c r="F30" s="5">
        <v>553.04999999999995</v>
      </c>
      <c r="G30" s="5">
        <f t="shared" si="1"/>
        <v>377.24999999999966</v>
      </c>
      <c r="H30" s="22">
        <v>-6617.71</v>
      </c>
      <c r="I30" s="3" t="s">
        <v>56</v>
      </c>
    </row>
    <row r="31" spans="1:9" x14ac:dyDescent="0.25">
      <c r="A31" s="6">
        <v>45365</v>
      </c>
      <c r="B31" s="3" t="s">
        <v>14</v>
      </c>
      <c r="C31" s="3" t="s">
        <v>43</v>
      </c>
      <c r="D31" s="4">
        <v>30</v>
      </c>
      <c r="E31" s="5">
        <v>508.08</v>
      </c>
      <c r="F31" s="5">
        <v>590.04999999999995</v>
      </c>
      <c r="G31" s="5">
        <f t="shared" si="1"/>
        <v>2459.099999999999</v>
      </c>
      <c r="H31" s="23"/>
      <c r="I31" s="3" t="s">
        <v>46</v>
      </c>
    </row>
    <row r="32" spans="1:9" x14ac:dyDescent="0.25">
      <c r="A32" s="6">
        <v>45365</v>
      </c>
      <c r="B32" s="3" t="s">
        <v>14</v>
      </c>
      <c r="C32" s="3" t="s">
        <v>44</v>
      </c>
      <c r="D32" s="4">
        <v>45</v>
      </c>
      <c r="E32" s="5">
        <v>485.33</v>
      </c>
      <c r="F32" s="5">
        <v>283.2</v>
      </c>
      <c r="G32" s="5">
        <f t="shared" si="1"/>
        <v>-9095.85</v>
      </c>
      <c r="H32" s="24"/>
      <c r="I32" s="3" t="s">
        <v>45</v>
      </c>
    </row>
    <row r="33" spans="1:9" x14ac:dyDescent="0.25">
      <c r="A33" s="6">
        <v>45366</v>
      </c>
      <c r="B33" s="3" t="s">
        <v>14</v>
      </c>
      <c r="C33" s="3" t="s">
        <v>51</v>
      </c>
      <c r="D33" s="4">
        <v>15</v>
      </c>
      <c r="E33" s="5">
        <v>264.64999999999998</v>
      </c>
      <c r="F33" s="5">
        <v>363.4</v>
      </c>
      <c r="G33" s="5">
        <f t="shared" si="1"/>
        <v>1481.25</v>
      </c>
      <c r="H33" s="22">
        <v>306.60000000000002</v>
      </c>
      <c r="I33" s="3" t="s">
        <v>46</v>
      </c>
    </row>
    <row r="34" spans="1:9" x14ac:dyDescent="0.25">
      <c r="A34" s="6">
        <v>45366</v>
      </c>
      <c r="B34" s="3" t="s">
        <v>14</v>
      </c>
      <c r="C34" s="3" t="s">
        <v>52</v>
      </c>
      <c r="D34" s="4">
        <v>30</v>
      </c>
      <c r="E34" s="5">
        <v>35.700000000000003</v>
      </c>
      <c r="F34" s="5">
        <v>16.7</v>
      </c>
      <c r="G34" s="5">
        <f t="shared" si="1"/>
        <v>-570.00000000000011</v>
      </c>
      <c r="H34" s="24"/>
      <c r="I34" s="3" t="s">
        <v>53</v>
      </c>
    </row>
    <row r="35" spans="1:9" x14ac:dyDescent="0.25">
      <c r="A35" s="10">
        <v>45369</v>
      </c>
      <c r="B35" s="11" t="s">
        <v>14</v>
      </c>
      <c r="C35" s="11" t="s">
        <v>54</v>
      </c>
      <c r="D35" s="12">
        <v>15</v>
      </c>
      <c r="E35" s="13">
        <v>364.05</v>
      </c>
      <c r="F35" s="13">
        <v>425</v>
      </c>
      <c r="G35" s="13">
        <f t="shared" si="1"/>
        <v>914.24999999999977</v>
      </c>
      <c r="H35" s="22">
        <v>-1817.82</v>
      </c>
      <c r="I35" s="11" t="s">
        <v>46</v>
      </c>
    </row>
    <row r="36" spans="1:9" x14ac:dyDescent="0.25">
      <c r="A36" s="6">
        <v>45369</v>
      </c>
      <c r="B36" s="3" t="s">
        <v>14</v>
      </c>
      <c r="C36" s="3" t="s">
        <v>51</v>
      </c>
      <c r="D36" s="4">
        <v>15</v>
      </c>
      <c r="E36" s="5">
        <v>331.5</v>
      </c>
      <c r="F36" s="5">
        <v>418.25</v>
      </c>
      <c r="G36" s="5">
        <f t="shared" si="1"/>
        <v>1301.25</v>
      </c>
      <c r="H36" s="23"/>
      <c r="I36" s="3" t="s">
        <v>46</v>
      </c>
    </row>
    <row r="37" spans="1:9" x14ac:dyDescent="0.25">
      <c r="A37" s="6">
        <v>45369</v>
      </c>
      <c r="B37" s="3" t="s">
        <v>14</v>
      </c>
      <c r="C37" s="3" t="s">
        <v>55</v>
      </c>
      <c r="D37" s="4">
        <v>30</v>
      </c>
      <c r="E37" s="5">
        <v>266.38</v>
      </c>
      <c r="F37" s="5">
        <v>125</v>
      </c>
      <c r="G37" s="5">
        <f t="shared" si="1"/>
        <v>-4241.3999999999996</v>
      </c>
      <c r="H37" s="24"/>
      <c r="I37" s="3" t="s">
        <v>45</v>
      </c>
    </row>
    <row r="38" spans="1:9" x14ac:dyDescent="0.25">
      <c r="A38" s="6">
        <v>45370</v>
      </c>
      <c r="B38" s="3" t="s">
        <v>14</v>
      </c>
      <c r="C38" s="3" t="s">
        <v>61</v>
      </c>
      <c r="D38" s="4">
        <v>15</v>
      </c>
      <c r="E38" s="5">
        <v>179</v>
      </c>
      <c r="F38" s="5">
        <v>108.3</v>
      </c>
      <c r="G38" s="5">
        <f t="shared" si="1"/>
        <v>-1060.5</v>
      </c>
      <c r="H38" s="22">
        <v>-24901.42</v>
      </c>
      <c r="I38" s="3" t="s">
        <v>45</v>
      </c>
    </row>
    <row r="39" spans="1:9" x14ac:dyDescent="0.25">
      <c r="A39" s="6">
        <v>45370</v>
      </c>
      <c r="B39" s="3" t="s">
        <v>14</v>
      </c>
      <c r="C39" s="3" t="s">
        <v>61</v>
      </c>
      <c r="D39" s="4">
        <v>900</v>
      </c>
      <c r="E39" s="5">
        <v>164.95</v>
      </c>
      <c r="F39" s="5">
        <v>169</v>
      </c>
      <c r="G39" s="5">
        <f t="shared" si="1"/>
        <v>3645.00000000001</v>
      </c>
      <c r="H39" s="23"/>
      <c r="I39" s="3" t="s">
        <v>46</v>
      </c>
    </row>
    <row r="40" spans="1:9" x14ac:dyDescent="0.25">
      <c r="A40" s="6">
        <v>45370</v>
      </c>
      <c r="B40" s="3" t="s">
        <v>14</v>
      </c>
      <c r="C40" s="3" t="s">
        <v>61</v>
      </c>
      <c r="D40" s="4">
        <v>105</v>
      </c>
      <c r="E40" s="5">
        <v>178.35</v>
      </c>
      <c r="F40" s="5">
        <v>165.04</v>
      </c>
      <c r="G40" s="5">
        <f t="shared" si="1"/>
        <v>-1397.5500000000002</v>
      </c>
      <c r="H40" s="23"/>
      <c r="I40" s="3" t="s">
        <v>62</v>
      </c>
    </row>
    <row r="41" spans="1:9" x14ac:dyDescent="0.25">
      <c r="A41" s="6">
        <v>45370</v>
      </c>
      <c r="B41" s="3" t="s">
        <v>14</v>
      </c>
      <c r="C41" s="3" t="s">
        <v>61</v>
      </c>
      <c r="D41" s="4">
        <v>450</v>
      </c>
      <c r="E41" s="5">
        <v>173.63</v>
      </c>
      <c r="F41" s="5">
        <v>126.73</v>
      </c>
      <c r="G41" s="5">
        <f t="shared" si="1"/>
        <v>-21104.999999999996</v>
      </c>
      <c r="H41" s="23"/>
      <c r="I41" s="3" t="s">
        <v>62</v>
      </c>
    </row>
    <row r="42" spans="1:9" x14ac:dyDescent="0.25">
      <c r="A42" s="6">
        <v>45370</v>
      </c>
      <c r="B42" s="3" t="s">
        <v>23</v>
      </c>
      <c r="C42" s="3" t="s">
        <v>63</v>
      </c>
      <c r="D42" s="4">
        <v>50</v>
      </c>
      <c r="E42" s="5">
        <v>45.75</v>
      </c>
      <c r="F42" s="5">
        <v>45.65</v>
      </c>
      <c r="G42" s="5">
        <f t="shared" si="1"/>
        <v>-5.0000000000000711</v>
      </c>
      <c r="H42" s="24"/>
      <c r="I42" s="3" t="s">
        <v>62</v>
      </c>
    </row>
    <row r="43" spans="1:9" x14ac:dyDescent="0.25">
      <c r="A43" s="6">
        <v>45371</v>
      </c>
      <c r="B43" s="3" t="s">
        <v>14</v>
      </c>
      <c r="C43" s="3" t="s">
        <v>61</v>
      </c>
      <c r="D43" s="4">
        <v>900</v>
      </c>
      <c r="E43" s="5">
        <v>94.52</v>
      </c>
      <c r="F43" s="5">
        <v>57.62</v>
      </c>
      <c r="G43" s="5">
        <f t="shared" si="1"/>
        <v>-33210</v>
      </c>
      <c r="H43" s="22">
        <v>13180.03</v>
      </c>
      <c r="I43" s="3" t="s">
        <v>64</v>
      </c>
    </row>
    <row r="44" spans="1:9" x14ac:dyDescent="0.25">
      <c r="A44" s="6">
        <v>45371</v>
      </c>
      <c r="B44" s="3" t="s">
        <v>14</v>
      </c>
      <c r="C44" s="3" t="s">
        <v>61</v>
      </c>
      <c r="D44" s="4">
        <v>450</v>
      </c>
      <c r="E44" s="5">
        <v>30.04</v>
      </c>
      <c r="F44" s="5">
        <v>59.48</v>
      </c>
      <c r="G44" s="5">
        <f t="shared" si="1"/>
        <v>13247.999999999998</v>
      </c>
      <c r="H44" s="23"/>
      <c r="I44" s="3" t="s">
        <v>64</v>
      </c>
    </row>
    <row r="45" spans="1:9" x14ac:dyDescent="0.25">
      <c r="A45" s="6">
        <v>45371</v>
      </c>
      <c r="B45" s="3" t="s">
        <v>14</v>
      </c>
      <c r="C45" s="3" t="s">
        <v>61</v>
      </c>
      <c r="D45" s="4">
        <v>900</v>
      </c>
      <c r="E45" s="5">
        <v>14.4</v>
      </c>
      <c r="F45" s="5">
        <v>59.22</v>
      </c>
      <c r="G45" s="5">
        <f t="shared" si="1"/>
        <v>40338</v>
      </c>
      <c r="H45" s="24"/>
      <c r="I45" s="3" t="s">
        <v>64</v>
      </c>
    </row>
    <row r="46" spans="1:9" x14ac:dyDescent="0.25">
      <c r="A46" s="6">
        <v>45372</v>
      </c>
      <c r="B46" s="3" t="s">
        <v>14</v>
      </c>
      <c r="C46" s="3" t="s">
        <v>67</v>
      </c>
      <c r="D46" s="4">
        <v>15</v>
      </c>
      <c r="E46" s="5">
        <v>392.1</v>
      </c>
      <c r="F46" s="5">
        <v>351.2</v>
      </c>
      <c r="G46" s="5">
        <f t="shared" si="1"/>
        <v>-613.50000000000045</v>
      </c>
      <c r="H46" s="22">
        <v>-826.87</v>
      </c>
      <c r="I46" s="3"/>
    </row>
    <row r="47" spans="1:9" x14ac:dyDescent="0.25">
      <c r="A47" s="6">
        <v>45372</v>
      </c>
      <c r="B47" s="3" t="s">
        <v>14</v>
      </c>
      <c r="C47" s="3" t="s">
        <v>68</v>
      </c>
      <c r="D47" s="4">
        <v>50</v>
      </c>
      <c r="E47" s="5">
        <v>14.55</v>
      </c>
      <c r="F47" s="5">
        <v>12.4</v>
      </c>
      <c r="G47" s="5">
        <f t="shared" si="1"/>
        <v>-107.50000000000001</v>
      </c>
      <c r="H47" s="24"/>
      <c r="I47" s="3"/>
    </row>
    <row r="48" spans="1:9" x14ac:dyDescent="0.25">
      <c r="A48" s="6">
        <v>45373</v>
      </c>
      <c r="B48" s="3" t="s">
        <v>14</v>
      </c>
      <c r="C48" s="3" t="s">
        <v>65</v>
      </c>
      <c r="D48" s="4">
        <v>30</v>
      </c>
      <c r="E48" s="5">
        <v>240.55</v>
      </c>
      <c r="F48" s="5">
        <v>214.15</v>
      </c>
      <c r="G48" s="5">
        <f t="shared" si="1"/>
        <v>-792.00000000000023</v>
      </c>
      <c r="H48" s="22">
        <v>-8227.5300000000007</v>
      </c>
      <c r="I48" s="3"/>
    </row>
    <row r="49" spans="1:9" x14ac:dyDescent="0.25">
      <c r="A49" s="6">
        <v>45373</v>
      </c>
      <c r="B49" s="3" t="s">
        <v>14</v>
      </c>
      <c r="C49" s="3" t="s">
        <v>65</v>
      </c>
      <c r="D49" s="4">
        <v>105</v>
      </c>
      <c r="E49" s="5">
        <v>226.65</v>
      </c>
      <c r="F49" s="5">
        <v>193.75</v>
      </c>
      <c r="G49" s="5">
        <f t="shared" si="1"/>
        <v>-3454.5000000000005</v>
      </c>
      <c r="H49" s="23"/>
      <c r="I49" s="3"/>
    </row>
    <row r="50" spans="1:9" x14ac:dyDescent="0.25">
      <c r="A50" s="6">
        <v>45373</v>
      </c>
      <c r="B50" s="3" t="s">
        <v>14</v>
      </c>
      <c r="C50" s="3" t="s">
        <v>66</v>
      </c>
      <c r="D50" s="4">
        <v>60</v>
      </c>
      <c r="E50" s="5">
        <v>378.5</v>
      </c>
      <c r="F50" s="5">
        <v>323.89999999999998</v>
      </c>
      <c r="G50" s="5">
        <f t="shared" si="1"/>
        <v>-3276.0000000000014</v>
      </c>
      <c r="H50" s="24"/>
      <c r="I50" s="3"/>
    </row>
    <row r="51" spans="1:9" x14ac:dyDescent="0.25">
      <c r="A51" s="6">
        <v>45378</v>
      </c>
      <c r="B51" s="3" t="s">
        <v>14</v>
      </c>
      <c r="C51" s="3" t="s">
        <v>69</v>
      </c>
      <c r="D51" s="4">
        <v>840</v>
      </c>
      <c r="E51" s="5">
        <v>10.55</v>
      </c>
      <c r="F51" s="5">
        <v>2.85</v>
      </c>
      <c r="G51" s="5">
        <f t="shared" si="1"/>
        <v>-6468.0000000000009</v>
      </c>
      <c r="H51" s="8">
        <v>-9125.16</v>
      </c>
      <c r="I51" s="3"/>
    </row>
    <row r="52" spans="1:9" x14ac:dyDescent="0.25">
      <c r="A52" s="6">
        <v>45383</v>
      </c>
      <c r="B52" s="3" t="s">
        <v>14</v>
      </c>
      <c r="C52" s="3" t="s">
        <v>70</v>
      </c>
      <c r="D52" s="4">
        <v>105</v>
      </c>
      <c r="E52" s="5">
        <v>267.02999999999997</v>
      </c>
      <c r="F52" s="5">
        <v>218.1</v>
      </c>
      <c r="G52" s="5">
        <f t="shared" si="1"/>
        <v>-5137.6499999999978</v>
      </c>
      <c r="H52" s="8">
        <v>-5513.78</v>
      </c>
      <c r="I52" s="3" t="s">
        <v>71</v>
      </c>
    </row>
    <row r="53" spans="1:9" x14ac:dyDescent="0.25">
      <c r="A53" s="6">
        <v>45384</v>
      </c>
      <c r="B53" s="3" t="s">
        <v>14</v>
      </c>
      <c r="C53" s="3" t="s">
        <v>70</v>
      </c>
      <c r="D53" s="4">
        <v>15</v>
      </c>
      <c r="E53" s="5">
        <v>151.19999999999999</v>
      </c>
      <c r="F53" s="5">
        <v>175.4</v>
      </c>
      <c r="G53" s="5">
        <f t="shared" si="1"/>
        <v>363.00000000000023</v>
      </c>
      <c r="H53" s="22">
        <v>-4890.1000000000004</v>
      </c>
      <c r="I53" s="3" t="s">
        <v>56</v>
      </c>
    </row>
    <row r="54" spans="1:9" x14ac:dyDescent="0.25">
      <c r="A54" s="6">
        <v>45384</v>
      </c>
      <c r="B54" s="3" t="s">
        <v>14</v>
      </c>
      <c r="C54" s="3" t="s">
        <v>72</v>
      </c>
      <c r="D54" s="4">
        <v>105</v>
      </c>
      <c r="E54" s="5">
        <v>153.97999999999999</v>
      </c>
      <c r="F54" s="5">
        <v>130.22999999999999</v>
      </c>
      <c r="G54" s="5">
        <f t="shared" si="1"/>
        <v>-2493.75</v>
      </c>
      <c r="H54" s="23"/>
      <c r="I54" s="3" t="s">
        <v>71</v>
      </c>
    </row>
    <row r="55" spans="1:9" x14ac:dyDescent="0.25">
      <c r="A55" s="6">
        <v>45384</v>
      </c>
      <c r="B55" s="3" t="s">
        <v>14</v>
      </c>
      <c r="C55" s="3" t="s">
        <v>72</v>
      </c>
      <c r="D55" s="4">
        <v>105</v>
      </c>
      <c r="E55" s="5">
        <v>129</v>
      </c>
      <c r="F55" s="5">
        <v>109.97</v>
      </c>
      <c r="G55" s="5">
        <f t="shared" si="1"/>
        <v>-1998.15</v>
      </c>
      <c r="H55" s="24"/>
      <c r="I55" s="3" t="s">
        <v>71</v>
      </c>
    </row>
    <row r="56" spans="1:9" x14ac:dyDescent="0.25">
      <c r="A56" s="6">
        <v>45385</v>
      </c>
      <c r="B56" s="3" t="s">
        <v>14</v>
      </c>
      <c r="C56" s="3" t="s">
        <v>70</v>
      </c>
      <c r="D56" s="4">
        <v>600</v>
      </c>
      <c r="E56" s="5">
        <v>34.1</v>
      </c>
      <c r="F56" s="5">
        <v>67.25</v>
      </c>
      <c r="G56" s="5">
        <f t="shared" si="1"/>
        <v>19890</v>
      </c>
      <c r="H56" s="22">
        <v>18733.810000000001</v>
      </c>
      <c r="I56" s="3" t="s">
        <v>64</v>
      </c>
    </row>
    <row r="57" spans="1:9" x14ac:dyDescent="0.25">
      <c r="A57" s="6">
        <v>45385</v>
      </c>
      <c r="B57" s="3" t="s">
        <v>14</v>
      </c>
      <c r="C57" s="3" t="s">
        <v>70</v>
      </c>
      <c r="D57" s="4">
        <v>15</v>
      </c>
      <c r="E57" s="5">
        <v>31.1</v>
      </c>
      <c r="F57" s="5">
        <v>87.3</v>
      </c>
      <c r="G57" s="5">
        <f t="shared" si="1"/>
        <v>842.99999999999989</v>
      </c>
      <c r="H57" s="24"/>
      <c r="I57" s="3" t="s">
        <v>64</v>
      </c>
    </row>
    <row r="58" spans="1:9" x14ac:dyDescent="0.25">
      <c r="A58" s="6">
        <v>45386</v>
      </c>
      <c r="B58" s="3" t="s">
        <v>14</v>
      </c>
      <c r="C58" s="3" t="s">
        <v>73</v>
      </c>
      <c r="D58" s="4">
        <v>60</v>
      </c>
      <c r="E58" s="5">
        <v>272.07</v>
      </c>
      <c r="F58" s="5">
        <v>289.39999999999998</v>
      </c>
      <c r="G58" s="5">
        <f t="shared" si="1"/>
        <v>1039.799999999999</v>
      </c>
      <c r="H58" s="22">
        <v>20582.05</v>
      </c>
      <c r="I58" s="3" t="s">
        <v>64</v>
      </c>
    </row>
    <row r="59" spans="1:9" x14ac:dyDescent="0.25">
      <c r="A59" s="6">
        <v>45386</v>
      </c>
      <c r="B59" s="3" t="s">
        <v>23</v>
      </c>
      <c r="C59" s="3" t="s">
        <v>74</v>
      </c>
      <c r="D59" s="4">
        <v>900</v>
      </c>
      <c r="E59" s="5">
        <v>29.02</v>
      </c>
      <c r="F59" s="5">
        <v>52</v>
      </c>
      <c r="G59" s="5">
        <f t="shared" si="1"/>
        <v>20682</v>
      </c>
      <c r="H59" s="24"/>
      <c r="I59" s="3" t="s">
        <v>64</v>
      </c>
    </row>
    <row r="60" spans="1:9" x14ac:dyDescent="0.25">
      <c r="A60" s="6">
        <v>45390</v>
      </c>
      <c r="B60" s="3" t="s">
        <v>14</v>
      </c>
      <c r="C60" s="3" t="s">
        <v>75</v>
      </c>
      <c r="D60" s="4">
        <v>75</v>
      </c>
      <c r="E60" s="5">
        <v>289.81</v>
      </c>
      <c r="F60" s="5">
        <v>299.14999999999998</v>
      </c>
      <c r="G60" s="5">
        <f t="shared" si="1"/>
        <v>700.49999999999818</v>
      </c>
      <c r="H60" s="22">
        <v>863.63</v>
      </c>
      <c r="I60" s="3" t="s">
        <v>64</v>
      </c>
    </row>
    <row r="61" spans="1:9" x14ac:dyDescent="0.25">
      <c r="A61" s="6">
        <v>45390</v>
      </c>
      <c r="B61" s="3" t="s">
        <v>14</v>
      </c>
      <c r="C61" s="3" t="s">
        <v>75</v>
      </c>
      <c r="D61" s="4">
        <v>105</v>
      </c>
      <c r="E61" s="5">
        <v>289.08999999999997</v>
      </c>
      <c r="F61" s="5">
        <v>297</v>
      </c>
      <c r="G61" s="5">
        <f t="shared" si="1"/>
        <v>830.55000000000268</v>
      </c>
      <c r="H61" s="24"/>
      <c r="I61" s="3" t="s">
        <v>64</v>
      </c>
    </row>
    <row r="62" spans="1:9" x14ac:dyDescent="0.25">
      <c r="A62" s="6">
        <v>45391</v>
      </c>
      <c r="B62" s="3" t="s">
        <v>14</v>
      </c>
      <c r="C62" s="3" t="s">
        <v>76</v>
      </c>
      <c r="D62" s="4">
        <v>150</v>
      </c>
      <c r="E62" s="5">
        <v>179.73</v>
      </c>
      <c r="F62" s="5">
        <v>189.65</v>
      </c>
      <c r="G62" s="5">
        <f t="shared" si="1"/>
        <v>1488.0000000000023</v>
      </c>
      <c r="H62" s="25">
        <v>11527.76</v>
      </c>
      <c r="I62" s="3" t="s">
        <v>64</v>
      </c>
    </row>
    <row r="63" spans="1:9" x14ac:dyDescent="0.25">
      <c r="A63" s="6">
        <v>45391</v>
      </c>
      <c r="B63" s="3" t="s">
        <v>77</v>
      </c>
      <c r="C63" s="3" t="s">
        <v>78</v>
      </c>
      <c r="D63" s="4">
        <v>40</v>
      </c>
      <c r="E63" s="5">
        <v>25.2</v>
      </c>
      <c r="F63" s="5">
        <v>53.15</v>
      </c>
      <c r="G63" s="5">
        <f t="shared" si="1"/>
        <v>1118</v>
      </c>
      <c r="H63" s="25"/>
      <c r="I63" s="3" t="s">
        <v>64</v>
      </c>
    </row>
    <row r="64" spans="1:9" x14ac:dyDescent="0.25">
      <c r="A64" s="6">
        <v>45391</v>
      </c>
      <c r="B64" s="3" t="s">
        <v>77</v>
      </c>
      <c r="C64" s="3" t="s">
        <v>78</v>
      </c>
      <c r="D64" s="4">
        <v>360</v>
      </c>
      <c r="E64" s="5">
        <v>37.200000000000003</v>
      </c>
      <c r="F64" s="5">
        <v>62</v>
      </c>
      <c r="G64" s="5">
        <f t="shared" si="1"/>
        <v>8927.9999999999982</v>
      </c>
      <c r="H64" s="25"/>
      <c r="I64" s="3" t="s">
        <v>64</v>
      </c>
    </row>
    <row r="65" spans="1:9" x14ac:dyDescent="0.25">
      <c r="A65" s="6">
        <v>45391</v>
      </c>
      <c r="B65" s="3" t="s">
        <v>14</v>
      </c>
      <c r="C65" s="3" t="s">
        <v>79</v>
      </c>
      <c r="D65" s="4">
        <v>60</v>
      </c>
      <c r="E65" s="5">
        <v>155.05000000000001</v>
      </c>
      <c r="F65" s="5">
        <v>175.65</v>
      </c>
      <c r="G65" s="5">
        <f t="shared" si="1"/>
        <v>1235.9999999999995</v>
      </c>
      <c r="H65" s="25"/>
      <c r="I65" s="3" t="s">
        <v>64</v>
      </c>
    </row>
    <row r="66" spans="1:9" x14ac:dyDescent="0.25">
      <c r="A66" s="6">
        <v>45392</v>
      </c>
      <c r="B66" s="3" t="s">
        <v>14</v>
      </c>
      <c r="C66" s="3" t="s">
        <v>80</v>
      </c>
      <c r="D66" s="4">
        <v>120</v>
      </c>
      <c r="E66" s="5">
        <v>109.43</v>
      </c>
      <c r="F66" s="5">
        <v>205</v>
      </c>
      <c r="G66" s="5">
        <f t="shared" si="1"/>
        <v>11468.4</v>
      </c>
      <c r="H66" s="22">
        <v>12631.49</v>
      </c>
      <c r="I66" s="3" t="s">
        <v>64</v>
      </c>
    </row>
    <row r="67" spans="1:9" x14ac:dyDescent="0.25">
      <c r="A67" s="6">
        <v>45392</v>
      </c>
      <c r="B67" s="3" t="s">
        <v>14</v>
      </c>
      <c r="C67" s="3" t="s">
        <v>79</v>
      </c>
      <c r="D67" s="4">
        <v>420</v>
      </c>
      <c r="E67" s="5">
        <v>27.29</v>
      </c>
      <c r="F67" s="5">
        <v>34</v>
      </c>
      <c r="G67" s="5">
        <f t="shared" si="1"/>
        <v>2818.2000000000003</v>
      </c>
      <c r="H67" s="24"/>
      <c r="I67" s="3" t="s">
        <v>64</v>
      </c>
    </row>
    <row r="68" spans="1:9" x14ac:dyDescent="0.25">
      <c r="A68" s="6">
        <v>45394</v>
      </c>
      <c r="B68" s="3" t="s">
        <v>14</v>
      </c>
      <c r="C68" s="3" t="s">
        <v>81</v>
      </c>
      <c r="D68" s="4">
        <v>30</v>
      </c>
      <c r="E68" s="5">
        <v>174.8</v>
      </c>
      <c r="F68" s="5">
        <v>215.15</v>
      </c>
      <c r="G68" s="5">
        <f t="shared" si="1"/>
        <v>1210.4999999999998</v>
      </c>
      <c r="H68" s="22">
        <v>-6176.45</v>
      </c>
      <c r="I68" s="3" t="s">
        <v>64</v>
      </c>
    </row>
    <row r="69" spans="1:9" x14ac:dyDescent="0.25">
      <c r="A69" s="6">
        <v>45394</v>
      </c>
      <c r="B69" s="3" t="s">
        <v>82</v>
      </c>
      <c r="C69" s="3" t="s">
        <v>83</v>
      </c>
      <c r="D69" s="4">
        <v>75</v>
      </c>
      <c r="E69" s="5">
        <v>41.65</v>
      </c>
      <c r="F69" s="5">
        <v>31.15</v>
      </c>
      <c r="G69" s="5">
        <f t="shared" si="1"/>
        <v>-787.5</v>
      </c>
      <c r="H69" s="23"/>
      <c r="I69" s="3" t="s">
        <v>71</v>
      </c>
    </row>
    <row r="70" spans="1:9" x14ac:dyDescent="0.25">
      <c r="A70" s="6">
        <v>45394</v>
      </c>
      <c r="B70" s="3" t="s">
        <v>14</v>
      </c>
      <c r="C70" s="3" t="s">
        <v>84</v>
      </c>
      <c r="D70" s="4">
        <v>150</v>
      </c>
      <c r="E70" s="5">
        <v>218.32</v>
      </c>
      <c r="F70" s="5">
        <v>178.87</v>
      </c>
      <c r="G70" s="5">
        <f t="shared" si="1"/>
        <v>-5917.4999999999982</v>
      </c>
      <c r="H70" s="24"/>
      <c r="I70" s="3" t="s">
        <v>71</v>
      </c>
    </row>
    <row r="71" spans="1:9" x14ac:dyDescent="0.25">
      <c r="A71" s="6">
        <v>45397</v>
      </c>
      <c r="B71" s="3" t="s">
        <v>77</v>
      </c>
      <c r="C71" s="3" t="s">
        <v>85</v>
      </c>
      <c r="D71" s="4">
        <v>1500</v>
      </c>
      <c r="E71" s="5">
        <v>2.4700000000000002</v>
      </c>
      <c r="F71" s="5">
        <v>0.55000000000000004</v>
      </c>
      <c r="G71" s="5">
        <f t="shared" si="1"/>
        <v>-2880</v>
      </c>
      <c r="H71" s="22">
        <v>-3880.51</v>
      </c>
      <c r="I71" s="3" t="s">
        <v>71</v>
      </c>
    </row>
    <row r="72" spans="1:9" x14ac:dyDescent="0.25">
      <c r="A72" s="6">
        <v>45397</v>
      </c>
      <c r="B72" s="3" t="s">
        <v>14</v>
      </c>
      <c r="C72" s="3" t="s">
        <v>84</v>
      </c>
      <c r="D72" s="4">
        <v>15</v>
      </c>
      <c r="E72" s="5">
        <v>316.3</v>
      </c>
      <c r="F72" s="5">
        <v>345.15</v>
      </c>
      <c r="G72" s="5">
        <f t="shared" si="1"/>
        <v>432.74999999999949</v>
      </c>
      <c r="H72" s="23"/>
      <c r="I72" s="3" t="s">
        <v>64</v>
      </c>
    </row>
    <row r="73" spans="1:9" x14ac:dyDescent="0.25">
      <c r="A73" s="6">
        <v>45397</v>
      </c>
      <c r="B73" s="3" t="s">
        <v>14</v>
      </c>
      <c r="C73" s="3" t="s">
        <v>84</v>
      </c>
      <c r="D73" s="4">
        <v>15</v>
      </c>
      <c r="E73" s="5">
        <v>269.5</v>
      </c>
      <c r="F73" s="5">
        <v>244.7</v>
      </c>
      <c r="G73" s="5">
        <f t="shared" si="1"/>
        <v>-372.00000000000017</v>
      </c>
      <c r="H73" s="24"/>
      <c r="I73" s="3" t="s">
        <v>86</v>
      </c>
    </row>
    <row r="74" spans="1:9" x14ac:dyDescent="0.25">
      <c r="A74" s="6">
        <v>45398</v>
      </c>
      <c r="B74" s="3"/>
      <c r="C74" s="3"/>
      <c r="D74" s="4"/>
      <c r="E74" s="5"/>
      <c r="F74" s="5"/>
      <c r="G74" s="8">
        <v>-4847.9799999999996</v>
      </c>
      <c r="H74" s="8">
        <v>-4847.9799999999996</v>
      </c>
      <c r="I74" s="3" t="s">
        <v>89</v>
      </c>
    </row>
    <row r="75" spans="1:9" x14ac:dyDescent="0.25">
      <c r="A75" s="6">
        <v>45399</v>
      </c>
      <c r="B75" s="3"/>
      <c r="C75" s="3"/>
      <c r="D75" s="4"/>
      <c r="E75" s="5"/>
      <c r="F75" s="5"/>
      <c r="G75" s="5">
        <v>-25</v>
      </c>
      <c r="H75" s="8">
        <v>-448.27</v>
      </c>
      <c r="I75" s="3" t="s">
        <v>89</v>
      </c>
    </row>
    <row r="76" spans="1:9" x14ac:dyDescent="0.25">
      <c r="A76" s="6">
        <v>45400</v>
      </c>
      <c r="B76" s="3"/>
      <c r="C76" s="3"/>
      <c r="D76" s="4"/>
      <c r="E76" s="5"/>
      <c r="F76" s="5"/>
      <c r="G76" s="8">
        <v>-4409.18</v>
      </c>
      <c r="H76" s="8">
        <v>-4409.18</v>
      </c>
      <c r="I76" s="3" t="s">
        <v>89</v>
      </c>
    </row>
    <row r="77" spans="1:9" x14ac:dyDescent="0.25">
      <c r="A77" s="6">
        <v>45401</v>
      </c>
      <c r="B77" s="3" t="s">
        <v>14</v>
      </c>
      <c r="C77" s="3" t="s">
        <v>87</v>
      </c>
      <c r="D77" s="4">
        <v>1515</v>
      </c>
      <c r="E77" s="5">
        <v>17.87</v>
      </c>
      <c r="F77" s="5">
        <v>2.2000000000000002</v>
      </c>
      <c r="G77" s="5">
        <f>(F77-E77)*D77</f>
        <v>-23740.050000000003</v>
      </c>
      <c r="H77" s="8">
        <f>-25069.43-8601.85</f>
        <v>-33671.279999999999</v>
      </c>
      <c r="I77" s="3" t="s">
        <v>88</v>
      </c>
    </row>
    <row r="78" spans="1:9" x14ac:dyDescent="0.25">
      <c r="A78" s="6">
        <v>45408</v>
      </c>
      <c r="B78" s="3" t="s">
        <v>14</v>
      </c>
      <c r="C78" s="3" t="s">
        <v>90</v>
      </c>
      <c r="D78" s="4">
        <v>105</v>
      </c>
      <c r="E78" s="4">
        <v>251.25</v>
      </c>
      <c r="F78" s="5">
        <v>265.75</v>
      </c>
      <c r="G78" s="5">
        <f t="shared" ref="G78:G79" si="2">(F78-E78)*D78</f>
        <v>1522.5</v>
      </c>
      <c r="H78" s="22"/>
      <c r="I78" s="3" t="s">
        <v>56</v>
      </c>
    </row>
    <row r="79" spans="1:9" x14ac:dyDescent="0.25">
      <c r="A79" s="6">
        <v>45408</v>
      </c>
      <c r="B79" s="3" t="s">
        <v>23</v>
      </c>
      <c r="C79" s="3" t="s">
        <v>91</v>
      </c>
      <c r="D79" s="4">
        <v>200</v>
      </c>
      <c r="E79" s="5">
        <v>134.96</v>
      </c>
      <c r="F79" s="5">
        <v>101.25</v>
      </c>
      <c r="G79" s="5">
        <f t="shared" si="2"/>
        <v>-6742.0000000000018</v>
      </c>
      <c r="H79" s="24"/>
      <c r="I79" s="3" t="s">
        <v>88</v>
      </c>
    </row>
  </sheetData>
  <mergeCells count="22">
    <mergeCell ref="H71:H73"/>
    <mergeCell ref="H68:H70"/>
    <mergeCell ref="H78:H79"/>
    <mergeCell ref="H2:H4"/>
    <mergeCell ref="H6:H10"/>
    <mergeCell ref="H11:H13"/>
    <mergeCell ref="H14:H17"/>
    <mergeCell ref="H19:H23"/>
    <mergeCell ref="H24:H29"/>
    <mergeCell ref="H53:H55"/>
    <mergeCell ref="H48:H50"/>
    <mergeCell ref="H46:H47"/>
    <mergeCell ref="H66:H67"/>
    <mergeCell ref="H43:H45"/>
    <mergeCell ref="H30:H32"/>
    <mergeCell ref="H33:H34"/>
    <mergeCell ref="H35:H37"/>
    <mergeCell ref="H62:H65"/>
    <mergeCell ref="H38:H42"/>
    <mergeCell ref="H60:H61"/>
    <mergeCell ref="H58:H59"/>
    <mergeCell ref="H56:H5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E6411-3315-4E15-BDC3-062E909F948D}">
  <dimension ref="A1:D19"/>
  <sheetViews>
    <sheetView topLeftCell="A9" workbookViewId="0">
      <selection activeCell="B19" sqref="B19"/>
    </sheetView>
  </sheetViews>
  <sheetFormatPr defaultRowHeight="15" x14ac:dyDescent="0.25"/>
  <cols>
    <col min="1" max="1" width="9.140625" style="14"/>
    <col min="2" max="2" width="98.85546875" bestFit="1" customWidth="1"/>
    <col min="4" max="4" width="31.7109375" bestFit="1" customWidth="1"/>
  </cols>
  <sheetData>
    <row r="1" spans="1:4" x14ac:dyDescent="0.25">
      <c r="A1" s="15" t="s">
        <v>26</v>
      </c>
      <c r="B1" s="3" t="s">
        <v>27</v>
      </c>
      <c r="D1" t="s">
        <v>47</v>
      </c>
    </row>
    <row r="2" spans="1:4" x14ac:dyDescent="0.25">
      <c r="A2" s="15">
        <v>1</v>
      </c>
      <c r="B2" s="3" t="s">
        <v>28</v>
      </c>
      <c r="D2" t="s">
        <v>48</v>
      </c>
    </row>
    <row r="3" spans="1:4" x14ac:dyDescent="0.25">
      <c r="A3" s="15">
        <v>2</v>
      </c>
      <c r="B3" s="3" t="s">
        <v>29</v>
      </c>
      <c r="D3" t="s">
        <v>49</v>
      </c>
    </row>
    <row r="4" spans="1:4" x14ac:dyDescent="0.25">
      <c r="A4" s="15">
        <v>3</v>
      </c>
      <c r="B4" s="3" t="s">
        <v>58</v>
      </c>
      <c r="D4" t="s">
        <v>50</v>
      </c>
    </row>
    <row r="5" spans="1:4" ht="30" x14ac:dyDescent="0.25">
      <c r="A5" s="15">
        <v>4</v>
      </c>
      <c r="B5" s="16" t="s">
        <v>37</v>
      </c>
    </row>
    <row r="6" spans="1:4" ht="30" x14ac:dyDescent="0.25">
      <c r="A6" s="15">
        <v>5</v>
      </c>
      <c r="B6" s="16" t="s">
        <v>41</v>
      </c>
    </row>
    <row r="7" spans="1:4" ht="45" x14ac:dyDescent="0.25">
      <c r="A7" s="15">
        <v>6</v>
      </c>
      <c r="B7" s="16" t="s">
        <v>59</v>
      </c>
    </row>
    <row r="8" spans="1:4" ht="60" x14ac:dyDescent="0.25">
      <c r="A8" s="15">
        <v>7</v>
      </c>
      <c r="B8" s="16" t="s">
        <v>60</v>
      </c>
    </row>
    <row r="9" spans="1:4" ht="45" x14ac:dyDescent="0.25">
      <c r="A9" s="15">
        <v>8</v>
      </c>
      <c r="B9" s="17" t="s">
        <v>92</v>
      </c>
    </row>
    <row r="10" spans="1:4" ht="45" x14ac:dyDescent="0.25">
      <c r="A10" s="15">
        <v>9</v>
      </c>
      <c r="B10" s="17" t="s">
        <v>93</v>
      </c>
    </row>
    <row r="11" spans="1:4" x14ac:dyDescent="0.25">
      <c r="A11" s="15">
        <v>10</v>
      </c>
      <c r="B11" s="18" t="s">
        <v>99</v>
      </c>
    </row>
    <row r="12" spans="1:4" x14ac:dyDescent="0.25">
      <c r="A12" s="15">
        <v>11</v>
      </c>
      <c r="B12" s="16" t="s">
        <v>98</v>
      </c>
    </row>
    <row r="13" spans="1:4" x14ac:dyDescent="0.25">
      <c r="A13" s="15">
        <v>12</v>
      </c>
      <c r="B13" s="16" t="s">
        <v>94</v>
      </c>
    </row>
    <row r="14" spans="1:4" x14ac:dyDescent="0.25">
      <c r="A14" s="15">
        <v>13</v>
      </c>
      <c r="B14" s="16" t="s">
        <v>95</v>
      </c>
    </row>
    <row r="15" spans="1:4" x14ac:dyDescent="0.25">
      <c r="A15" s="15">
        <v>14</v>
      </c>
      <c r="B15" s="16" t="s">
        <v>96</v>
      </c>
    </row>
    <row r="16" spans="1:4" x14ac:dyDescent="0.25">
      <c r="A16" s="15">
        <v>15</v>
      </c>
      <c r="B16" s="16" t="s">
        <v>97</v>
      </c>
    </row>
    <row r="17" spans="1:2" x14ac:dyDescent="0.25">
      <c r="A17" s="15">
        <v>16</v>
      </c>
      <c r="B17" s="18" t="s">
        <v>100</v>
      </c>
    </row>
    <row r="18" spans="1:2" ht="30" x14ac:dyDescent="0.25">
      <c r="A18" s="15">
        <v>17</v>
      </c>
      <c r="B18" s="16" t="s">
        <v>101</v>
      </c>
    </row>
    <row r="19" spans="1:2" ht="30" x14ac:dyDescent="0.25">
      <c r="A19" s="14">
        <v>18</v>
      </c>
      <c r="B19" s="17" t="s">
        <v>138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1B61-04BD-4B96-B79E-A814441B021A}">
  <dimension ref="A1:O8"/>
  <sheetViews>
    <sheetView workbookViewId="0">
      <selection activeCell="L9" sqref="L9"/>
    </sheetView>
  </sheetViews>
  <sheetFormatPr defaultRowHeight="15" x14ac:dyDescent="0.25"/>
  <cols>
    <col min="1" max="1" width="10.7109375" bestFit="1" customWidth="1"/>
    <col min="2" max="2" width="10.7109375" customWidth="1"/>
    <col min="3" max="3" width="11.42578125" bestFit="1" customWidth="1"/>
    <col min="4" max="4" width="10.7109375" bestFit="1" customWidth="1"/>
    <col min="5" max="5" width="10.7109375" style="2" customWidth="1"/>
    <col min="6" max="6" width="10.7109375" customWidth="1"/>
    <col min="7" max="7" width="11.140625" bestFit="1" customWidth="1"/>
    <col min="8" max="9" width="11.5703125" bestFit="1" customWidth="1"/>
    <col min="10" max="10" width="10.42578125" bestFit="1" customWidth="1"/>
    <col min="12" max="12" width="13.140625" bestFit="1" customWidth="1"/>
    <col min="13" max="13" width="28.28515625" customWidth="1"/>
    <col min="14" max="14" width="12.28515625" style="2" customWidth="1"/>
  </cols>
  <sheetData>
    <row r="1" spans="1:15" x14ac:dyDescent="0.25">
      <c r="A1" s="29" t="s">
        <v>112</v>
      </c>
      <c r="B1" s="29"/>
      <c r="C1" s="29"/>
      <c r="D1" s="29"/>
      <c r="E1" s="29"/>
      <c r="F1" s="29"/>
      <c r="G1" s="29"/>
      <c r="H1" s="29"/>
      <c r="I1" s="29"/>
      <c r="J1" s="29" t="s">
        <v>110</v>
      </c>
      <c r="K1" s="29"/>
      <c r="L1" s="3" t="s">
        <v>20</v>
      </c>
      <c r="M1" s="3"/>
      <c r="N1" s="4"/>
      <c r="O1" s="3"/>
    </row>
    <row r="2" spans="1:15" s="14" customFormat="1" x14ac:dyDescent="0.25">
      <c r="A2" s="15" t="s">
        <v>0</v>
      </c>
      <c r="B2" s="15" t="s">
        <v>135</v>
      </c>
      <c r="C2" s="15" t="s">
        <v>102</v>
      </c>
      <c r="D2" s="15" t="s">
        <v>109</v>
      </c>
      <c r="E2" s="19" t="s">
        <v>117</v>
      </c>
      <c r="F2" s="15" t="s">
        <v>115</v>
      </c>
      <c r="G2" s="15" t="s">
        <v>116</v>
      </c>
      <c r="H2" s="15" t="s">
        <v>103</v>
      </c>
      <c r="I2" s="15" t="s">
        <v>104</v>
      </c>
      <c r="J2" s="15" t="s">
        <v>105</v>
      </c>
      <c r="K2" s="15" t="s">
        <v>104</v>
      </c>
      <c r="L2" s="15" t="s">
        <v>111</v>
      </c>
      <c r="M2" s="15" t="s">
        <v>114</v>
      </c>
      <c r="N2" s="19" t="s">
        <v>127</v>
      </c>
      <c r="O2" s="15" t="s">
        <v>2</v>
      </c>
    </row>
    <row r="3" spans="1:15" s="14" customFormat="1" x14ac:dyDescent="0.25">
      <c r="A3" s="20">
        <v>45603</v>
      </c>
      <c r="B3" s="20"/>
      <c r="C3" s="15" t="s">
        <v>106</v>
      </c>
      <c r="D3" s="20">
        <v>45609</v>
      </c>
      <c r="E3" s="19">
        <v>52327</v>
      </c>
      <c r="F3" s="15">
        <v>51877</v>
      </c>
      <c r="G3" s="15">
        <v>-450</v>
      </c>
      <c r="H3" s="15" t="s">
        <v>107</v>
      </c>
      <c r="I3" s="15" t="s">
        <v>108</v>
      </c>
      <c r="J3" s="15">
        <v>51000</v>
      </c>
      <c r="K3" s="15">
        <v>350</v>
      </c>
      <c r="L3" s="15" t="s">
        <v>134</v>
      </c>
      <c r="M3" s="15" t="s">
        <v>113</v>
      </c>
      <c r="N3" s="19">
        <f>350-140</f>
        <v>210</v>
      </c>
      <c r="O3" s="30"/>
    </row>
    <row r="4" spans="1:15" s="14" customFormat="1" x14ac:dyDescent="0.25">
      <c r="A4" s="20">
        <v>45604</v>
      </c>
      <c r="B4" s="20"/>
      <c r="C4" s="15" t="s">
        <v>118</v>
      </c>
      <c r="D4" s="20">
        <v>45609</v>
      </c>
      <c r="E4" s="19">
        <v>51916</v>
      </c>
      <c r="F4" s="15">
        <v>51561</v>
      </c>
      <c r="G4" s="15">
        <v>-355</v>
      </c>
      <c r="H4" s="15" t="s">
        <v>119</v>
      </c>
      <c r="I4" s="15" t="s">
        <v>120</v>
      </c>
      <c r="J4" s="15">
        <v>51000</v>
      </c>
      <c r="K4" s="15">
        <v>350</v>
      </c>
      <c r="L4" s="15" t="s">
        <v>134</v>
      </c>
      <c r="M4" s="15" t="s">
        <v>113</v>
      </c>
      <c r="N4" s="19">
        <f>350-198</f>
        <v>152</v>
      </c>
      <c r="O4" s="30"/>
    </row>
    <row r="5" spans="1:15" s="14" customFormat="1" x14ac:dyDescent="0.25">
      <c r="A5" s="20">
        <v>45607</v>
      </c>
      <c r="B5" s="20"/>
      <c r="C5" s="15" t="s">
        <v>121</v>
      </c>
      <c r="D5" s="20">
        <v>45609</v>
      </c>
      <c r="E5" s="19">
        <f>F5-G5</f>
        <v>51583</v>
      </c>
      <c r="F5" s="15">
        <v>51812</v>
      </c>
      <c r="G5" s="15">
        <v>229</v>
      </c>
      <c r="H5" s="15" t="s">
        <v>122</v>
      </c>
      <c r="I5" s="15" t="s">
        <v>123</v>
      </c>
      <c r="J5" s="15">
        <v>51000</v>
      </c>
      <c r="K5" s="15">
        <v>350</v>
      </c>
      <c r="L5" s="15" t="s">
        <v>134</v>
      </c>
      <c r="M5" s="15" t="s">
        <v>129</v>
      </c>
      <c r="N5" s="19">
        <f>350-43.75</f>
        <v>306.25</v>
      </c>
      <c r="O5" s="30"/>
    </row>
    <row r="6" spans="1:15" s="14" customFormat="1" ht="60" x14ac:dyDescent="0.25">
      <c r="A6" s="20">
        <v>45608</v>
      </c>
      <c r="B6" s="20"/>
      <c r="C6" s="15" t="s">
        <v>124</v>
      </c>
      <c r="D6" s="20">
        <v>45609</v>
      </c>
      <c r="E6" s="19">
        <v>51876</v>
      </c>
      <c r="F6" s="15">
        <v>51157</v>
      </c>
      <c r="G6" s="15">
        <v>-719</v>
      </c>
      <c r="H6" s="15" t="s">
        <v>125</v>
      </c>
      <c r="I6" s="15" t="s">
        <v>126</v>
      </c>
      <c r="J6" s="15">
        <v>51000</v>
      </c>
      <c r="K6" s="15">
        <v>350</v>
      </c>
      <c r="L6" s="15" t="s">
        <v>134</v>
      </c>
      <c r="M6" s="21" t="s">
        <v>130</v>
      </c>
      <c r="N6" s="19">
        <f>350-116</f>
        <v>234</v>
      </c>
      <c r="O6" s="30"/>
    </row>
    <row r="7" spans="1:15" s="14" customFormat="1" x14ac:dyDescent="0.25">
      <c r="A7" s="20">
        <v>45609</v>
      </c>
      <c r="B7" s="20"/>
      <c r="C7" s="15" t="s">
        <v>128</v>
      </c>
      <c r="D7" s="20">
        <v>45609</v>
      </c>
      <c r="E7" s="19">
        <v>51145</v>
      </c>
      <c r="F7" s="15">
        <v>51250</v>
      </c>
      <c r="G7" s="15">
        <v>105</v>
      </c>
      <c r="H7" s="15" t="s">
        <v>133</v>
      </c>
      <c r="I7" s="15" t="s">
        <v>131</v>
      </c>
      <c r="J7" s="15">
        <v>51000</v>
      </c>
      <c r="K7" s="15">
        <v>350</v>
      </c>
      <c r="L7" s="15" t="s">
        <v>134</v>
      </c>
      <c r="M7" s="15" t="s">
        <v>132</v>
      </c>
      <c r="N7" s="19">
        <f>350-90</f>
        <v>260</v>
      </c>
      <c r="O7" s="30"/>
    </row>
    <row r="8" spans="1:15" x14ac:dyDescent="0.25">
      <c r="A8" s="20">
        <v>45609</v>
      </c>
      <c r="B8" s="20">
        <v>11.16</v>
      </c>
      <c r="C8" s="15" t="s">
        <v>128</v>
      </c>
      <c r="D8" s="20">
        <v>45609</v>
      </c>
      <c r="E8" s="19">
        <v>51145</v>
      </c>
      <c r="F8" s="15">
        <v>50733</v>
      </c>
      <c r="G8" s="15">
        <v>-430</v>
      </c>
      <c r="H8" s="3"/>
      <c r="I8" s="15" t="s">
        <v>136</v>
      </c>
      <c r="J8" s="15">
        <v>51000</v>
      </c>
      <c r="K8" s="15">
        <v>350</v>
      </c>
      <c r="L8" s="15" t="s">
        <v>137</v>
      </c>
      <c r="M8" s="15" t="s">
        <v>132</v>
      </c>
      <c r="N8" s="4">
        <v>-24</v>
      </c>
      <c r="O8" s="30"/>
    </row>
  </sheetData>
  <mergeCells count="3">
    <mergeCell ref="A1:I1"/>
    <mergeCell ref="J1:K1"/>
    <mergeCell ref="O3:O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01008-5ADD-49FF-947C-1F0F2D2A50A4}">
  <dimension ref="A1:M15"/>
  <sheetViews>
    <sheetView tabSelected="1" workbookViewId="0">
      <selection activeCell="M3" sqref="M3"/>
    </sheetView>
  </sheetViews>
  <sheetFormatPr defaultRowHeight="15" x14ac:dyDescent="0.25"/>
  <sheetData>
    <row r="1" spans="1:13" x14ac:dyDescent="0.25">
      <c r="B1" s="31">
        <v>26100</v>
      </c>
      <c r="C1" s="31"/>
      <c r="F1" s="31">
        <v>26150</v>
      </c>
      <c r="G1" s="31"/>
      <c r="J1" s="31">
        <v>26200</v>
      </c>
      <c r="K1" s="31"/>
    </row>
    <row r="2" spans="1:13" x14ac:dyDescent="0.25">
      <c r="A2" s="32">
        <v>0.40277777777777779</v>
      </c>
      <c r="B2">
        <v>126</v>
      </c>
      <c r="C2">
        <v>183</v>
      </c>
      <c r="D2">
        <f>B2-C2</f>
        <v>-57</v>
      </c>
      <c r="F2">
        <v>156</v>
      </c>
      <c r="G2">
        <v>124</v>
      </c>
      <c r="H2">
        <f>F2-G2</f>
        <v>32</v>
      </c>
      <c r="J2">
        <v>249</v>
      </c>
      <c r="K2">
        <v>108</v>
      </c>
      <c r="L2">
        <f>J2-K2</f>
        <v>141</v>
      </c>
    </row>
    <row r="3" spans="1:13" x14ac:dyDescent="0.25">
      <c r="A3" s="32">
        <v>0.41666666666666669</v>
      </c>
      <c r="B3">
        <v>194</v>
      </c>
      <c r="C3">
        <v>169</v>
      </c>
      <c r="D3">
        <f t="shared" ref="D3:D15" si="0">B3-C3</f>
        <v>25</v>
      </c>
      <c r="F3">
        <v>208</v>
      </c>
      <c r="G3">
        <v>91</v>
      </c>
      <c r="H3">
        <f t="shared" ref="H3:H15" si="1">F3-G3</f>
        <v>117</v>
      </c>
      <c r="J3">
        <v>304</v>
      </c>
      <c r="K3">
        <v>81</v>
      </c>
      <c r="L3">
        <f t="shared" ref="L3:L15" si="2">J3-K3</f>
        <v>223</v>
      </c>
    </row>
    <row r="4" spans="1:13" x14ac:dyDescent="0.25">
      <c r="A4" s="32">
        <v>0.4236111111111111</v>
      </c>
      <c r="B4">
        <v>217</v>
      </c>
      <c r="C4">
        <v>171</v>
      </c>
      <c r="D4">
        <f t="shared" si="0"/>
        <v>46</v>
      </c>
      <c r="E4">
        <f t="shared" ref="E4:E15" si="3">IF(B4-C4=0,"",D4-D3)</f>
        <v>21</v>
      </c>
      <c r="F4">
        <v>218</v>
      </c>
      <c r="G4">
        <v>90</v>
      </c>
      <c r="H4">
        <f t="shared" si="1"/>
        <v>128</v>
      </c>
      <c r="I4">
        <f t="shared" ref="I4:I15" si="4">IF(F4-G4=0,"",H4-H3)</f>
        <v>11</v>
      </c>
      <c r="J4">
        <v>333</v>
      </c>
      <c r="K4">
        <v>80</v>
      </c>
      <c r="L4">
        <f t="shared" si="2"/>
        <v>253</v>
      </c>
      <c r="M4">
        <f t="shared" ref="M4:M15" si="5">IF(J4-K4=0,"",L4-L3)</f>
        <v>30</v>
      </c>
    </row>
    <row r="5" spans="1:13" x14ac:dyDescent="0.25">
      <c r="A5" s="32">
        <v>0.43055555555555558</v>
      </c>
      <c r="B5">
        <v>223</v>
      </c>
      <c r="C5">
        <v>186</v>
      </c>
      <c r="D5">
        <f t="shared" si="0"/>
        <v>37</v>
      </c>
      <c r="E5">
        <f t="shared" si="3"/>
        <v>-9</v>
      </c>
      <c r="F5">
        <v>227</v>
      </c>
      <c r="G5">
        <v>88</v>
      </c>
      <c r="H5">
        <f t="shared" si="1"/>
        <v>139</v>
      </c>
      <c r="I5">
        <f t="shared" si="4"/>
        <v>11</v>
      </c>
      <c r="J5">
        <v>333</v>
      </c>
      <c r="K5">
        <v>82</v>
      </c>
      <c r="L5">
        <f t="shared" si="2"/>
        <v>251</v>
      </c>
      <c r="M5">
        <f t="shared" si="5"/>
        <v>-2</v>
      </c>
    </row>
    <row r="6" spans="1:13" x14ac:dyDescent="0.25">
      <c r="A6" s="32">
        <v>0.44097222222222221</v>
      </c>
      <c r="B6">
        <v>222</v>
      </c>
      <c r="C6">
        <v>187</v>
      </c>
      <c r="D6">
        <f t="shared" si="0"/>
        <v>35</v>
      </c>
      <c r="E6">
        <f t="shared" si="3"/>
        <v>-2</v>
      </c>
      <c r="F6">
        <v>224</v>
      </c>
      <c r="G6">
        <v>87</v>
      </c>
      <c r="H6">
        <f t="shared" si="1"/>
        <v>137</v>
      </c>
      <c r="I6">
        <f t="shared" si="4"/>
        <v>-2</v>
      </c>
      <c r="J6">
        <v>334</v>
      </c>
      <c r="K6">
        <v>80</v>
      </c>
      <c r="L6">
        <f t="shared" si="2"/>
        <v>254</v>
      </c>
      <c r="M6">
        <f t="shared" si="5"/>
        <v>3</v>
      </c>
    </row>
    <row r="7" spans="1:13" x14ac:dyDescent="0.25">
      <c r="A7" s="32">
        <v>0.44791666666666669</v>
      </c>
      <c r="B7">
        <v>229</v>
      </c>
      <c r="C7">
        <v>192</v>
      </c>
      <c r="D7">
        <f t="shared" si="0"/>
        <v>37</v>
      </c>
      <c r="E7">
        <f t="shared" si="3"/>
        <v>2</v>
      </c>
      <c r="F7">
        <v>227</v>
      </c>
      <c r="G7">
        <v>86</v>
      </c>
      <c r="H7">
        <f t="shared" si="1"/>
        <v>141</v>
      </c>
      <c r="I7">
        <f t="shared" si="4"/>
        <v>4</v>
      </c>
      <c r="J7">
        <v>336</v>
      </c>
      <c r="K7">
        <v>81</v>
      </c>
      <c r="L7">
        <f t="shared" si="2"/>
        <v>255</v>
      </c>
      <c r="M7">
        <f t="shared" si="5"/>
        <v>1</v>
      </c>
    </row>
    <row r="8" spans="1:13" x14ac:dyDescent="0.25">
      <c r="A8" s="32">
        <v>0.45833333333333331</v>
      </c>
      <c r="B8">
        <v>235</v>
      </c>
      <c r="C8">
        <v>188</v>
      </c>
      <c r="D8">
        <f t="shared" si="0"/>
        <v>47</v>
      </c>
      <c r="E8">
        <f t="shared" si="3"/>
        <v>10</v>
      </c>
      <c r="F8">
        <v>230</v>
      </c>
      <c r="G8">
        <v>84</v>
      </c>
      <c r="H8">
        <f t="shared" si="1"/>
        <v>146</v>
      </c>
      <c r="I8">
        <f t="shared" si="4"/>
        <v>5</v>
      </c>
      <c r="J8">
        <v>341</v>
      </c>
      <c r="K8">
        <v>77</v>
      </c>
      <c r="L8">
        <f t="shared" si="2"/>
        <v>264</v>
      </c>
      <c r="M8">
        <f t="shared" si="5"/>
        <v>9</v>
      </c>
    </row>
    <row r="9" spans="1:13" x14ac:dyDescent="0.25">
      <c r="D9">
        <f t="shared" si="0"/>
        <v>0</v>
      </c>
      <c r="E9" t="str">
        <f t="shared" si="3"/>
        <v/>
      </c>
      <c r="H9">
        <f t="shared" si="1"/>
        <v>0</v>
      </c>
      <c r="I9" t="str">
        <f t="shared" si="4"/>
        <v/>
      </c>
      <c r="L9">
        <f t="shared" si="2"/>
        <v>0</v>
      </c>
      <c r="M9" t="str">
        <f t="shared" si="5"/>
        <v/>
      </c>
    </row>
    <row r="10" spans="1:13" x14ac:dyDescent="0.25">
      <c r="D10">
        <f t="shared" si="0"/>
        <v>0</v>
      </c>
      <c r="E10" t="str">
        <f t="shared" si="3"/>
        <v/>
      </c>
      <c r="H10">
        <f t="shared" si="1"/>
        <v>0</v>
      </c>
      <c r="I10" t="str">
        <f t="shared" si="4"/>
        <v/>
      </c>
      <c r="L10">
        <f t="shared" si="2"/>
        <v>0</v>
      </c>
      <c r="M10" t="str">
        <f t="shared" si="5"/>
        <v/>
      </c>
    </row>
    <row r="11" spans="1:13" x14ac:dyDescent="0.25">
      <c r="D11">
        <f t="shared" si="0"/>
        <v>0</v>
      </c>
      <c r="E11" t="str">
        <f t="shared" si="3"/>
        <v/>
      </c>
      <c r="H11">
        <f t="shared" si="1"/>
        <v>0</v>
      </c>
      <c r="I11" t="str">
        <f t="shared" si="4"/>
        <v/>
      </c>
      <c r="L11">
        <f t="shared" si="2"/>
        <v>0</v>
      </c>
      <c r="M11" t="str">
        <f t="shared" si="5"/>
        <v/>
      </c>
    </row>
    <row r="12" spans="1:13" x14ac:dyDescent="0.25">
      <c r="D12">
        <f t="shared" si="0"/>
        <v>0</v>
      </c>
      <c r="E12" t="str">
        <f t="shared" si="3"/>
        <v/>
      </c>
      <c r="H12">
        <f t="shared" si="1"/>
        <v>0</v>
      </c>
      <c r="I12" t="str">
        <f t="shared" si="4"/>
        <v/>
      </c>
      <c r="L12">
        <f t="shared" si="2"/>
        <v>0</v>
      </c>
      <c r="M12" t="str">
        <f t="shared" si="5"/>
        <v/>
      </c>
    </row>
    <row r="13" spans="1:13" x14ac:dyDescent="0.25">
      <c r="D13">
        <f t="shared" si="0"/>
        <v>0</v>
      </c>
      <c r="E13" t="str">
        <f t="shared" si="3"/>
        <v/>
      </c>
      <c r="H13">
        <f t="shared" si="1"/>
        <v>0</v>
      </c>
      <c r="I13" t="str">
        <f t="shared" si="4"/>
        <v/>
      </c>
      <c r="L13">
        <f t="shared" si="2"/>
        <v>0</v>
      </c>
      <c r="M13" t="str">
        <f t="shared" si="5"/>
        <v/>
      </c>
    </row>
    <row r="14" spans="1:13" x14ac:dyDescent="0.25">
      <c r="D14">
        <f t="shared" si="0"/>
        <v>0</v>
      </c>
      <c r="E14" t="str">
        <f t="shared" si="3"/>
        <v/>
      </c>
      <c r="H14">
        <f t="shared" si="1"/>
        <v>0</v>
      </c>
      <c r="I14" t="str">
        <f t="shared" si="4"/>
        <v/>
      </c>
      <c r="L14">
        <f t="shared" si="2"/>
        <v>0</v>
      </c>
      <c r="M14" t="str">
        <f t="shared" si="5"/>
        <v/>
      </c>
    </row>
    <row r="15" spans="1:13" x14ac:dyDescent="0.25">
      <c r="D15">
        <f t="shared" si="0"/>
        <v>0</v>
      </c>
      <c r="E15" t="str">
        <f t="shared" si="3"/>
        <v/>
      </c>
      <c r="H15">
        <f t="shared" si="1"/>
        <v>0</v>
      </c>
      <c r="I15" t="str">
        <f t="shared" si="4"/>
        <v/>
      </c>
      <c r="L15">
        <f t="shared" si="2"/>
        <v>0</v>
      </c>
      <c r="M15" t="str">
        <f t="shared" si="5"/>
        <v/>
      </c>
    </row>
  </sheetData>
  <mergeCells count="3">
    <mergeCell ref="B1:C1"/>
    <mergeCell ref="F1:G1"/>
    <mergeCell ref="J1:K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2259-C283-45B9-9744-0A271711D28D}">
  <dimension ref="A1:G8"/>
  <sheetViews>
    <sheetView workbookViewId="0">
      <selection activeCell="C4" sqref="A1:G8"/>
    </sheetView>
  </sheetViews>
  <sheetFormatPr defaultRowHeight="15" x14ac:dyDescent="0.25"/>
  <cols>
    <col min="1" max="1" width="10.42578125" bestFit="1" customWidth="1"/>
  </cols>
  <sheetData>
    <row r="1" spans="1:7" x14ac:dyDescent="0.25">
      <c r="A1" s="3" t="s">
        <v>139</v>
      </c>
      <c r="B1" s="3" t="s">
        <v>140</v>
      </c>
      <c r="C1" s="3" t="s">
        <v>141</v>
      </c>
      <c r="D1" s="3" t="s">
        <v>142</v>
      </c>
      <c r="E1" s="3" t="s">
        <v>143</v>
      </c>
      <c r="F1" s="3" t="s">
        <v>144</v>
      </c>
      <c r="G1" s="3" t="s">
        <v>145</v>
      </c>
    </row>
    <row r="2" spans="1:7" x14ac:dyDescent="0.25">
      <c r="A2" s="6">
        <v>45999</v>
      </c>
      <c r="B2" s="3" t="s">
        <v>146</v>
      </c>
      <c r="C2" s="3" t="s">
        <v>147</v>
      </c>
      <c r="D2" s="3" t="s">
        <v>148</v>
      </c>
      <c r="E2" s="3">
        <v>893</v>
      </c>
      <c r="F2" s="3">
        <v>893</v>
      </c>
      <c r="G2" s="33">
        <v>1</v>
      </c>
    </row>
    <row r="3" spans="1:7" x14ac:dyDescent="0.25">
      <c r="A3" s="6">
        <v>45999</v>
      </c>
      <c r="B3" s="3" t="s">
        <v>149</v>
      </c>
      <c r="C3" s="3" t="s">
        <v>147</v>
      </c>
      <c r="D3" s="3" t="s">
        <v>148</v>
      </c>
      <c r="E3" s="3">
        <v>432</v>
      </c>
      <c r="F3" s="3">
        <v>432</v>
      </c>
      <c r="G3" s="33">
        <v>1</v>
      </c>
    </row>
    <row r="4" spans="1:7" x14ac:dyDescent="0.25">
      <c r="A4" s="6">
        <v>45999</v>
      </c>
      <c r="B4" s="3" t="s">
        <v>146</v>
      </c>
      <c r="C4" s="3" t="s">
        <v>150</v>
      </c>
      <c r="D4" s="3" t="s">
        <v>148</v>
      </c>
      <c r="E4" s="3">
        <v>81</v>
      </c>
      <c r="F4" s="3">
        <v>81</v>
      </c>
      <c r="G4" s="33">
        <v>1</v>
      </c>
    </row>
    <row r="5" spans="1:7" x14ac:dyDescent="0.25">
      <c r="A5" s="6">
        <v>45999</v>
      </c>
      <c r="B5" s="3" t="s">
        <v>146</v>
      </c>
      <c r="C5" s="3" t="s">
        <v>151</v>
      </c>
      <c r="D5" s="3" t="s">
        <v>148</v>
      </c>
      <c r="E5" s="3">
        <v>74</v>
      </c>
      <c r="F5" s="3">
        <v>74</v>
      </c>
      <c r="G5" s="33">
        <v>1</v>
      </c>
    </row>
    <row r="6" spans="1:7" x14ac:dyDescent="0.25">
      <c r="A6" s="6">
        <v>45999</v>
      </c>
      <c r="B6" s="3" t="s">
        <v>149</v>
      </c>
      <c r="C6" s="3" t="s">
        <v>150</v>
      </c>
      <c r="D6" s="3" t="s">
        <v>148</v>
      </c>
      <c r="E6" s="3">
        <v>30</v>
      </c>
      <c r="F6" s="3">
        <v>30</v>
      </c>
      <c r="G6" s="33">
        <v>1</v>
      </c>
    </row>
    <row r="7" spans="1:7" x14ac:dyDescent="0.25">
      <c r="A7" s="6">
        <v>45999</v>
      </c>
      <c r="B7" s="3" t="s">
        <v>149</v>
      </c>
      <c r="C7" s="3" t="s">
        <v>151</v>
      </c>
      <c r="D7" s="3" t="s">
        <v>148</v>
      </c>
      <c r="E7" s="3">
        <v>29</v>
      </c>
      <c r="F7" s="3">
        <v>29</v>
      </c>
      <c r="G7" s="33">
        <v>1</v>
      </c>
    </row>
    <row r="8" spans="1:7" x14ac:dyDescent="0.25">
      <c r="A8" s="6">
        <v>45999</v>
      </c>
      <c r="B8" s="3" t="s">
        <v>146</v>
      </c>
      <c r="C8" s="3" t="s">
        <v>152</v>
      </c>
      <c r="D8" s="3" t="s">
        <v>148</v>
      </c>
      <c r="E8" s="3">
        <v>2</v>
      </c>
      <c r="F8" s="3">
        <v>2</v>
      </c>
      <c r="G8" s="33">
        <v>1</v>
      </c>
    </row>
  </sheetData>
  <pageMargins left="0.7" right="0.7" top="0.75" bottom="0.75" header="0.3" footer="0.3"/>
</worksheet>
</file>

<file path=docMetadata/LabelInfo.xml><?xml version="1.0" encoding="utf-8"?>
<clbl:labelList xmlns:clbl="http://schemas.microsoft.com/office/2020/mipLabelMetadata">
  <clbl:label id="{1b5d643d-5daa-4182-b4ec-05c4e602cf56}" enabled="1" method="Privileged" siteId="{50f40674-931c-4d09-ae8a-bb8fde36b91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Observation</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Kumar</dc:creator>
  <cp:lastModifiedBy>Vasanth Kumar</cp:lastModifiedBy>
  <dcterms:created xsi:type="dcterms:W3CDTF">2015-06-05T18:17:20Z</dcterms:created>
  <dcterms:modified xsi:type="dcterms:W3CDTF">2025-12-08T09:46:49Z</dcterms:modified>
</cp:coreProperties>
</file>