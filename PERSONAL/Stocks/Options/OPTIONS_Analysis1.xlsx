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1" documentId="11_F62D402A43C520094DD7022F599C666453A5480D" xr6:coauthVersionLast="47" xr6:coauthVersionMax="47" xr10:uidLastSave="{8168CF22-63FF-429F-81BD-1ACC6415D299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I5" i="1" s="1"/>
  <c r="G6" i="1"/>
  <c r="I6" i="1" s="1"/>
  <c r="J6" i="1"/>
  <c r="L6" i="1" s="1"/>
  <c r="M6" i="1" s="1"/>
  <c r="K6" i="1"/>
  <c r="G7" i="1"/>
  <c r="K7" i="1" s="1"/>
  <c r="G4" i="1"/>
  <c r="I4" i="1" s="1"/>
  <c r="G3" i="1"/>
  <c r="K3" i="1" s="1"/>
  <c r="G2" i="1"/>
  <c r="J2" i="1" s="1"/>
  <c r="I2" i="1"/>
  <c r="I3" i="1" l="1"/>
  <c r="J4" i="1"/>
  <c r="J3" i="1"/>
  <c r="L3" i="1" s="1"/>
  <c r="M3" i="1" s="1"/>
  <c r="K2" i="1"/>
  <c r="L2" i="1" s="1"/>
  <c r="M2" i="1" s="1"/>
  <c r="J7" i="1"/>
  <c r="L7" i="1" s="1"/>
  <c r="I7" i="1"/>
  <c r="K5" i="1"/>
  <c r="J5" i="1"/>
  <c r="L5" i="1" s="1"/>
  <c r="M5" i="1" s="1"/>
  <c r="K4" i="1"/>
  <c r="L4" i="1" l="1"/>
  <c r="M4" i="1" s="1"/>
  <c r="M7" i="1"/>
</calcChain>
</file>

<file path=xl/sharedStrings.xml><?xml version="1.0" encoding="utf-8"?>
<sst xmlns="http://schemas.openxmlformats.org/spreadsheetml/2006/main" count="51" uniqueCount="31">
  <si>
    <t>Stock</t>
  </si>
  <si>
    <t>StrikePrice</t>
  </si>
  <si>
    <t>SpotPrice</t>
  </si>
  <si>
    <t>lotSize</t>
  </si>
  <si>
    <t>No fo Lots</t>
  </si>
  <si>
    <t>TotalLots</t>
  </si>
  <si>
    <t>Date</t>
  </si>
  <si>
    <t>P/L</t>
  </si>
  <si>
    <t>NCC</t>
  </si>
  <si>
    <t>Premium</t>
  </si>
  <si>
    <t>PremiumValue</t>
  </si>
  <si>
    <t>SpotValue</t>
  </si>
  <si>
    <t>StrikeValue</t>
  </si>
  <si>
    <t>Actual p/L</t>
  </si>
  <si>
    <t>Contract</t>
  </si>
  <si>
    <t>Coal India</t>
  </si>
  <si>
    <t>190 PE</t>
  </si>
  <si>
    <t>ExpiryDate</t>
  </si>
  <si>
    <t>Desc</t>
  </si>
  <si>
    <t>Open</t>
  </si>
  <si>
    <t>High</t>
  </si>
  <si>
    <t>Low</t>
  </si>
  <si>
    <t>Close</t>
  </si>
  <si>
    <t>40 PE</t>
  </si>
  <si>
    <t>Spot</t>
  </si>
  <si>
    <t>Contracts</t>
  </si>
  <si>
    <t>Sun pharma</t>
  </si>
  <si>
    <t>340 PE</t>
  </si>
  <si>
    <t>Lot</t>
  </si>
  <si>
    <t>NiftyBank</t>
  </si>
  <si>
    <t>27100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</si>
</sst>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M2" sqref="M2"/>
    </sheetView>
  </sheetViews>
  <sheetFormatPr defaultRowHeight="15" x14ac:dyDescent="0.25"/>
  <cols>
    <col min="3" max="3" width="10.42578125" bestFit="1" customWidth="1"/>
    <col min="9" max="9" width="14.42578125" bestFit="1" customWidth="1"/>
    <col min="10" max="11" width="14.42578125" customWidth="1"/>
  </cols>
  <sheetData>
    <row r="1" spans="1:13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12</v>
      </c>
      <c r="K1" t="s">
        <v>11</v>
      </c>
      <c r="L1" t="s">
        <v>7</v>
      </c>
      <c r="M1" t="s">
        <v>13</v>
      </c>
    </row>
    <row r="2" spans="1:13" x14ac:dyDescent="0.25">
      <c r="A2" t="s">
        <v>8</v>
      </c>
      <c r="B2">
        <v>50</v>
      </c>
      <c r="C2" s="1">
        <v>43705</v>
      </c>
      <c r="D2">
        <v>60</v>
      </c>
      <c r="E2">
        <v>8000</v>
      </c>
      <c r="F2">
        <v>1</v>
      </c>
      <c r="G2">
        <f>E2*F2</f>
        <v>8000</v>
      </c>
      <c r="H2">
        <v>1.2</v>
      </c>
      <c r="I2">
        <f>G2*H2</f>
        <v>9600</v>
      </c>
      <c r="J2">
        <f>G2*B2</f>
        <v>400000</v>
      </c>
      <c r="K2">
        <f>G2*D2</f>
        <v>480000</v>
      </c>
      <c r="L2">
        <f>J2-K2</f>
        <v>-80000</v>
      </c>
      <c r="M2">
        <f>L2-I2</f>
        <v>-89600</v>
      </c>
    </row>
    <row r="3" spans="1:13" x14ac:dyDescent="0.25">
      <c r="B3">
        <v>50</v>
      </c>
      <c r="C3" s="1">
        <v>43706</v>
      </c>
      <c r="D3">
        <v>56.25</v>
      </c>
      <c r="E3">
        <v>8000</v>
      </c>
      <c r="F3">
        <v>1</v>
      </c>
      <c r="G3">
        <f>E3*F3</f>
        <v>8000</v>
      </c>
      <c r="H3">
        <v>1.75</v>
      </c>
      <c r="I3">
        <f>G3*H3</f>
        <v>14000</v>
      </c>
      <c r="J3">
        <f t="shared" ref="J3:J4" si="0">G3*B3</f>
        <v>400000</v>
      </c>
      <c r="K3">
        <f>G3*D3</f>
        <v>450000</v>
      </c>
      <c r="L3">
        <f t="shared" ref="L3:L7" si="1">J3-K3</f>
        <v>-50000</v>
      </c>
      <c r="M3">
        <f t="shared" ref="M3:M7" si="2">L3-I3</f>
        <v>-64000</v>
      </c>
    </row>
    <row r="4" spans="1:13" x14ac:dyDescent="0.25">
      <c r="B4">
        <v>50</v>
      </c>
      <c r="C4" s="1">
        <v>43707</v>
      </c>
      <c r="D4">
        <v>52</v>
      </c>
      <c r="E4">
        <v>8000</v>
      </c>
      <c r="F4">
        <v>1</v>
      </c>
      <c r="G4">
        <f>E4*F4</f>
        <v>8000</v>
      </c>
      <c r="H4">
        <v>2.75</v>
      </c>
      <c r="I4">
        <f>G4*H4</f>
        <v>22000</v>
      </c>
      <c r="J4">
        <f t="shared" si="0"/>
        <v>400000</v>
      </c>
      <c r="K4">
        <f>G4*D4</f>
        <v>416000</v>
      </c>
      <c r="L4">
        <f t="shared" si="1"/>
        <v>-16000</v>
      </c>
      <c r="M4">
        <f t="shared" si="2"/>
        <v>-38000</v>
      </c>
    </row>
    <row r="5" spans="1:13" x14ac:dyDescent="0.25">
      <c r="B5">
        <v>50</v>
      </c>
      <c r="C5" s="1">
        <v>43708</v>
      </c>
      <c r="D5">
        <v>50</v>
      </c>
      <c r="E5">
        <v>8000</v>
      </c>
      <c r="F5">
        <v>1</v>
      </c>
      <c r="G5">
        <f t="shared" ref="G5:G7" si="3">E5*F5</f>
        <v>8000</v>
      </c>
      <c r="H5">
        <v>3.75</v>
      </c>
      <c r="I5">
        <f t="shared" ref="I5:I7" si="4">G5*H5</f>
        <v>30000</v>
      </c>
      <c r="J5">
        <f t="shared" ref="J5:J7" si="5">G5*B5</f>
        <v>400000</v>
      </c>
      <c r="K5">
        <f t="shared" ref="K5:K7" si="6">G5*D5</f>
        <v>400000</v>
      </c>
      <c r="L5">
        <f t="shared" si="1"/>
        <v>0</v>
      </c>
      <c r="M5">
        <f t="shared" si="2"/>
        <v>-30000</v>
      </c>
    </row>
    <row r="6" spans="1:13" x14ac:dyDescent="0.25">
      <c r="B6">
        <v>50</v>
      </c>
      <c r="C6" s="1">
        <v>43709</v>
      </c>
      <c r="D6">
        <v>48</v>
      </c>
      <c r="E6">
        <v>8000</v>
      </c>
      <c r="F6">
        <v>1</v>
      </c>
      <c r="G6">
        <f t="shared" si="3"/>
        <v>8000</v>
      </c>
      <c r="H6">
        <v>4</v>
      </c>
      <c r="I6">
        <f t="shared" si="4"/>
        <v>32000</v>
      </c>
      <c r="J6">
        <f t="shared" si="5"/>
        <v>400000</v>
      </c>
      <c r="K6">
        <f t="shared" si="6"/>
        <v>384000</v>
      </c>
      <c r="L6">
        <f t="shared" si="1"/>
        <v>16000</v>
      </c>
      <c r="M6">
        <f t="shared" si="2"/>
        <v>-16000</v>
      </c>
    </row>
    <row r="7" spans="1:13" x14ac:dyDescent="0.25">
      <c r="B7">
        <v>50</v>
      </c>
      <c r="C7" s="1">
        <v>43710</v>
      </c>
      <c r="D7">
        <v>46</v>
      </c>
      <c r="E7">
        <v>8000</v>
      </c>
      <c r="F7">
        <v>1</v>
      </c>
      <c r="G7">
        <f t="shared" si="3"/>
        <v>8000</v>
      </c>
      <c r="H7">
        <v>3</v>
      </c>
      <c r="I7">
        <f t="shared" si="4"/>
        <v>24000</v>
      </c>
      <c r="J7">
        <f t="shared" si="5"/>
        <v>400000</v>
      </c>
      <c r="K7">
        <f t="shared" si="6"/>
        <v>368000</v>
      </c>
      <c r="L7">
        <f t="shared" si="1"/>
        <v>32000</v>
      </c>
      <c r="M7">
        <f t="shared" si="2"/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workbookViewId="0">
      <selection activeCell="C2" sqref="C2:C7"/>
    </sheetView>
  </sheetViews>
  <sheetFormatPr defaultRowHeight="15" x14ac:dyDescent="0.25"/>
  <cols>
    <col min="1" max="1" width="11.42578125" bestFit="1" customWidth="1"/>
    <col min="4" max="4" width="9.7109375" bestFit="1" customWidth="1"/>
    <col min="5" max="5" width="9.7109375" customWidth="1"/>
  </cols>
  <sheetData>
    <row r="1" spans="1:21" x14ac:dyDescent="0.25">
      <c r="A1" s="2" t="s">
        <v>0</v>
      </c>
      <c r="B1" s="2" t="s">
        <v>14</v>
      </c>
      <c r="C1" s="2" t="s">
        <v>28</v>
      </c>
      <c r="D1" s="2" t="s">
        <v>17</v>
      </c>
      <c r="E1" s="2" t="s">
        <v>18</v>
      </c>
      <c r="F1" s="2">
        <v>5</v>
      </c>
      <c r="G1" s="2">
        <v>6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2">
        <v>16</v>
      </c>
      <c r="N1" s="2">
        <v>17</v>
      </c>
      <c r="O1" s="2">
        <v>18</v>
      </c>
      <c r="P1" s="2">
        <v>19</v>
      </c>
      <c r="Q1" s="2">
        <v>20</v>
      </c>
      <c r="R1" s="2">
        <v>23</v>
      </c>
      <c r="S1" s="2">
        <v>24</v>
      </c>
      <c r="T1" s="2">
        <v>25</v>
      </c>
      <c r="U1" s="2">
        <v>26</v>
      </c>
    </row>
    <row r="2" spans="1:21" x14ac:dyDescent="0.25">
      <c r="A2" s="4" t="s">
        <v>15</v>
      </c>
      <c r="B2" s="4" t="s">
        <v>16</v>
      </c>
      <c r="C2" s="6"/>
      <c r="D2" s="5">
        <v>43734</v>
      </c>
      <c r="E2" s="2" t="s">
        <v>24</v>
      </c>
      <c r="F2" s="2">
        <v>194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4"/>
      <c r="B3" s="4"/>
      <c r="C3" s="7"/>
      <c r="D3" s="5"/>
      <c r="E3" s="3" t="s">
        <v>19</v>
      </c>
      <c r="F3" s="2">
        <v>8.25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4"/>
      <c r="B4" s="4"/>
      <c r="C4" s="7"/>
      <c r="D4" s="5"/>
      <c r="E4" s="2" t="s">
        <v>20</v>
      </c>
      <c r="F4" s="2">
        <v>8.25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4"/>
      <c r="B5" s="4"/>
      <c r="C5" s="7"/>
      <c r="D5" s="5"/>
      <c r="E5" s="2" t="s">
        <v>21</v>
      </c>
      <c r="F5" s="2">
        <v>4.5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4"/>
      <c r="B6" s="4"/>
      <c r="C6" s="7"/>
      <c r="D6" s="5"/>
      <c r="E6" s="2" t="s">
        <v>22</v>
      </c>
      <c r="F6" s="2">
        <v>4.5999999999999996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4"/>
      <c r="B7" s="4"/>
      <c r="C7" s="8"/>
      <c r="D7" s="5"/>
      <c r="E7" s="2" t="s">
        <v>25</v>
      </c>
      <c r="F7" s="2">
        <v>1043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4" t="s">
        <v>26</v>
      </c>
      <c r="B8" s="4" t="s">
        <v>27</v>
      </c>
      <c r="C8" s="6"/>
      <c r="D8" s="5">
        <v>43734</v>
      </c>
      <c r="E8" s="2" t="s">
        <v>24</v>
      </c>
      <c r="F8" s="2">
        <v>430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4"/>
      <c r="B9" s="4"/>
      <c r="C9" s="7"/>
      <c r="D9" s="5"/>
      <c r="E9" s="3" t="s">
        <v>19</v>
      </c>
      <c r="F9" s="2">
        <v>1.2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4"/>
      <c r="B10" s="4"/>
      <c r="C10" s="7"/>
      <c r="D10" s="5"/>
      <c r="E10" s="2" t="s">
        <v>20</v>
      </c>
      <c r="F10" s="2">
        <v>1.2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4"/>
      <c r="B11" s="4"/>
      <c r="C11" s="7"/>
      <c r="D11" s="5"/>
      <c r="E11" s="2" t="s">
        <v>21</v>
      </c>
      <c r="F11" s="2">
        <v>1.2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4"/>
      <c r="B12" s="4"/>
      <c r="C12" s="7"/>
      <c r="D12" s="5"/>
      <c r="E12" s="2" t="s">
        <v>22</v>
      </c>
      <c r="F12" s="2">
        <v>0.9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4"/>
      <c r="B13" s="4"/>
      <c r="C13" s="8"/>
      <c r="D13" s="5"/>
      <c r="E13" s="2" t="s">
        <v>25</v>
      </c>
      <c r="F13" s="2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4" t="s">
        <v>8</v>
      </c>
      <c r="B14" s="4" t="s">
        <v>23</v>
      </c>
      <c r="C14" s="6"/>
      <c r="D14" s="5">
        <v>43734</v>
      </c>
      <c r="E14" s="2" t="s">
        <v>24</v>
      </c>
      <c r="F14" s="2">
        <v>57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4"/>
      <c r="B15" s="4"/>
      <c r="C15" s="7"/>
      <c r="D15" s="5"/>
      <c r="E15" s="3" t="s">
        <v>19</v>
      </c>
      <c r="F15" s="2">
        <v>0.2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4"/>
      <c r="B16" s="4"/>
      <c r="C16" s="7"/>
      <c r="D16" s="5"/>
      <c r="E16" s="2" t="s">
        <v>20</v>
      </c>
      <c r="F16" s="2">
        <v>0.2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4"/>
      <c r="B17" s="4"/>
      <c r="C17" s="7"/>
      <c r="D17" s="5"/>
      <c r="E17" s="2" t="s">
        <v>21</v>
      </c>
      <c r="F17" s="2">
        <v>0.2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4"/>
      <c r="B18" s="4"/>
      <c r="C18" s="7"/>
      <c r="D18" s="5"/>
      <c r="E18" s="2" t="s">
        <v>22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4"/>
      <c r="B19" s="4"/>
      <c r="C19" s="8"/>
      <c r="D19" s="5"/>
      <c r="E19" s="2" t="s">
        <v>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4" t="s">
        <v>29</v>
      </c>
      <c r="B20" s="4" t="s">
        <v>30</v>
      </c>
      <c r="C20" s="4">
        <v>20</v>
      </c>
      <c r="D20" s="5">
        <v>43713</v>
      </c>
      <c r="E20" s="2" t="s">
        <v>24</v>
      </c>
      <c r="F20" s="2">
        <v>26934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4"/>
      <c r="B21" s="4"/>
      <c r="C21" s="4"/>
      <c r="D21" s="5"/>
      <c r="E21" s="3" t="s">
        <v>19</v>
      </c>
      <c r="F21" s="2">
        <v>87.7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4"/>
      <c r="B22" s="4"/>
      <c r="C22" s="4"/>
      <c r="D22" s="5"/>
      <c r="E22" s="2" t="s">
        <v>20</v>
      </c>
      <c r="F22" s="2">
        <v>265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4"/>
      <c r="B23" s="4"/>
      <c r="C23" s="4"/>
      <c r="D23" s="5"/>
      <c r="E23" s="2" t="s">
        <v>21</v>
      </c>
      <c r="F23" s="2">
        <v>59.5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4"/>
      <c r="B24" s="4"/>
      <c r="C24" s="4"/>
      <c r="D24" s="5"/>
      <c r="E24" s="2" t="s">
        <v>22</v>
      </c>
      <c r="F24" s="2">
        <v>180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4"/>
      <c r="B25" s="4"/>
      <c r="C25" s="4"/>
      <c r="D25" s="5"/>
      <c r="E25" s="2" t="s">
        <v>25</v>
      </c>
      <c r="F25" s="2">
        <v>524780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</sheetData>
  <mergeCells count="16">
    <mergeCell ref="A2:A7"/>
    <mergeCell ref="A20:A25"/>
    <mergeCell ref="B20:B25"/>
    <mergeCell ref="C20:C25"/>
    <mergeCell ref="D20:D25"/>
    <mergeCell ref="A8:A13"/>
    <mergeCell ref="B8:B13"/>
    <mergeCell ref="D8:D13"/>
    <mergeCell ref="A14:A19"/>
    <mergeCell ref="B14:B19"/>
    <mergeCell ref="D14:D19"/>
    <mergeCell ref="B2:B7"/>
    <mergeCell ref="D2:D7"/>
    <mergeCell ref="C2:C7"/>
    <mergeCell ref="C8:C13"/>
    <mergeCell ref="C14:C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2026-08-12T05:54:14Z</dcterms:modified>
</cp:coreProperties>
</file>