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4"/>
  </bookViews>
  <sheets>
    <sheet name="Details" sheetId="1" r:id="rId1"/>
    <sheet name="Pivot" sheetId="3" r:id="rId2"/>
    <sheet name="Forecast" sheetId="2" r:id="rId3"/>
    <sheet name="Sheet1" sheetId="4" r:id="rId4"/>
    <sheet name="HistoryData" sheetId="5" r:id="rId5"/>
  </sheets>
  <definedNames>
    <definedName name="_xlnm._FilterDatabase" localSheetId="0" hidden="1">Details!$A$1:$R$87</definedName>
  </definedNames>
  <calcPr calcId="152511"/>
  <pivotCaches>
    <pivotCache cacheId="0" r:id="rId6"/>
    <pivotCache cacheId="1" r:id="rId7"/>
  </pivotCaches>
</workbook>
</file>

<file path=xl/calcChain.xml><?xml version="1.0" encoding="utf-8"?>
<calcChain xmlns="http://schemas.openxmlformats.org/spreadsheetml/2006/main">
  <c r="I47" i="5" l="1"/>
  <c r="H58" i="5"/>
  <c r="D58" i="5"/>
  <c r="C58" i="5"/>
  <c r="B58" i="5"/>
  <c r="H57" i="5"/>
  <c r="D57" i="5"/>
  <c r="C57" i="5"/>
  <c r="B57" i="5"/>
  <c r="H56" i="5"/>
  <c r="D56" i="5"/>
  <c r="C56" i="5"/>
  <c r="B56" i="5"/>
  <c r="H55" i="5"/>
  <c r="D55" i="5"/>
  <c r="C55" i="5"/>
  <c r="B55" i="5"/>
  <c r="H54" i="5"/>
  <c r="D54" i="5"/>
  <c r="C54" i="5"/>
  <c r="B54" i="5"/>
  <c r="H53" i="5"/>
  <c r="D53" i="5"/>
  <c r="C53" i="5"/>
  <c r="B53" i="5"/>
  <c r="H52" i="5"/>
  <c r="D52" i="5"/>
  <c r="C52" i="5"/>
  <c r="B52" i="5"/>
  <c r="H51" i="5"/>
  <c r="D51" i="5"/>
  <c r="C51" i="5"/>
  <c r="B51" i="5"/>
  <c r="H50" i="5"/>
  <c r="D50" i="5"/>
  <c r="C50" i="5"/>
  <c r="B50" i="5"/>
  <c r="H49" i="5"/>
  <c r="D49" i="5"/>
  <c r="C49" i="5"/>
  <c r="B49" i="5"/>
  <c r="H48" i="5"/>
  <c r="D48" i="5"/>
  <c r="C48" i="5"/>
  <c r="B48" i="5"/>
  <c r="H47" i="5"/>
  <c r="D47" i="5"/>
  <c r="C47" i="5"/>
  <c r="B47" i="5"/>
  <c r="H72" i="1"/>
  <c r="H71" i="1"/>
  <c r="H70" i="1"/>
  <c r="H53" i="1"/>
  <c r="H54" i="1"/>
  <c r="H55" i="1"/>
  <c r="H56" i="1"/>
  <c r="H57" i="1"/>
  <c r="C53" i="1"/>
  <c r="C54" i="1"/>
  <c r="C55" i="1"/>
  <c r="C56" i="1"/>
  <c r="C57" i="1"/>
  <c r="D53" i="1"/>
  <c r="D54" i="1"/>
  <c r="D55" i="1"/>
  <c r="D56" i="1"/>
  <c r="D57" i="1"/>
  <c r="B56" i="1"/>
  <c r="B55" i="1"/>
  <c r="B54" i="1"/>
  <c r="B53" i="1"/>
  <c r="H52" i="1"/>
  <c r="H51" i="1"/>
  <c r="H50" i="1"/>
  <c r="H96" i="1" l="1"/>
  <c r="T17" i="1" l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B101" i="1"/>
  <c r="B100" i="1"/>
  <c r="B99" i="1"/>
  <c r="B98" i="1"/>
  <c r="B97" i="1"/>
  <c r="B96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B86" i="1"/>
  <c r="B85" i="1"/>
  <c r="B84" i="1"/>
  <c r="B83" i="1"/>
  <c r="B82" i="1"/>
  <c r="B81" i="1"/>
  <c r="C70" i="1"/>
  <c r="D70" i="1"/>
  <c r="C71" i="1"/>
  <c r="D71" i="1"/>
  <c r="C72" i="1"/>
  <c r="D72" i="1"/>
  <c r="B70" i="1"/>
  <c r="C50" i="1"/>
  <c r="D50" i="1"/>
  <c r="C51" i="1"/>
  <c r="D51" i="1"/>
  <c r="C52" i="1"/>
  <c r="D52" i="1"/>
  <c r="B52" i="1"/>
  <c r="B51" i="1"/>
  <c r="B50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B19" i="1"/>
  <c r="B18" i="1"/>
  <c r="B17" i="1"/>
  <c r="B16" i="1"/>
  <c r="B15" i="1"/>
  <c r="B14" i="1"/>
  <c r="T72" i="1"/>
  <c r="T51" i="1"/>
  <c r="T50" i="1"/>
  <c r="T49" i="1"/>
  <c r="B47" i="1"/>
  <c r="B48" i="1"/>
  <c r="B46" i="1"/>
  <c r="C48" i="1"/>
  <c r="D48" i="1"/>
  <c r="C47" i="1"/>
  <c r="D47" i="1"/>
  <c r="C46" i="1"/>
  <c r="D46" i="1"/>
  <c r="H46" i="1"/>
  <c r="H47" i="1"/>
  <c r="H48" i="1"/>
  <c r="H49" i="1"/>
  <c r="C69" i="1" l="1"/>
  <c r="D69" i="1"/>
  <c r="H69" i="1"/>
  <c r="H46" i="5" l="1"/>
  <c r="D46" i="5"/>
  <c r="C46" i="5"/>
  <c r="B46" i="5"/>
  <c r="H45" i="5"/>
  <c r="D45" i="5"/>
  <c r="C45" i="5"/>
  <c r="B45" i="5"/>
  <c r="H44" i="5"/>
  <c r="D44" i="5"/>
  <c r="C44" i="5"/>
  <c r="B44" i="5"/>
  <c r="H43" i="5"/>
  <c r="D43" i="5"/>
  <c r="C43" i="5"/>
  <c r="B43" i="5"/>
  <c r="H42" i="5"/>
  <c r="D42" i="5"/>
  <c r="C42" i="5"/>
  <c r="B42" i="5"/>
  <c r="H41" i="5"/>
  <c r="D41" i="5"/>
  <c r="C41" i="5"/>
  <c r="B41" i="5"/>
  <c r="H40" i="5"/>
  <c r="D40" i="5"/>
  <c r="C40" i="5"/>
  <c r="B40" i="5"/>
  <c r="H39" i="5"/>
  <c r="D39" i="5"/>
  <c r="C39" i="5"/>
  <c r="B39" i="5"/>
  <c r="Q38" i="5"/>
  <c r="I38" i="5"/>
  <c r="H38" i="5"/>
  <c r="J38" i="5" s="1"/>
  <c r="D38" i="5"/>
  <c r="C38" i="5"/>
  <c r="B38" i="5"/>
  <c r="K38" i="5" l="1"/>
  <c r="N38" i="5"/>
  <c r="Q20" i="5"/>
  <c r="Q11" i="5"/>
  <c r="Q2" i="5"/>
  <c r="O38" i="5" l="1"/>
  <c r="P38" i="5" s="1"/>
  <c r="H37" i="5"/>
  <c r="D37" i="5"/>
  <c r="C37" i="5"/>
  <c r="B37" i="5"/>
  <c r="H36" i="5"/>
  <c r="D36" i="5"/>
  <c r="C36" i="5"/>
  <c r="B36" i="5"/>
  <c r="H35" i="5"/>
  <c r="D35" i="5"/>
  <c r="C35" i="5"/>
  <c r="B35" i="5"/>
  <c r="H34" i="5"/>
  <c r="D34" i="5"/>
  <c r="C34" i="5"/>
  <c r="B34" i="5"/>
  <c r="H33" i="5"/>
  <c r="D33" i="5"/>
  <c r="C33" i="5"/>
  <c r="B33" i="5"/>
  <c r="H32" i="5"/>
  <c r="D32" i="5"/>
  <c r="C32" i="5"/>
  <c r="B32" i="5"/>
  <c r="H31" i="5"/>
  <c r="D31" i="5"/>
  <c r="C31" i="5"/>
  <c r="B31" i="5"/>
  <c r="H30" i="5"/>
  <c r="D30" i="5"/>
  <c r="C30" i="5"/>
  <c r="B30" i="5"/>
  <c r="Q29" i="5"/>
  <c r="J29" i="5"/>
  <c r="I29" i="5"/>
  <c r="H29" i="5"/>
  <c r="D29" i="5"/>
  <c r="C29" i="5"/>
  <c r="B29" i="5"/>
  <c r="K29" i="5" l="1"/>
  <c r="N29" i="5"/>
  <c r="T37" i="1"/>
  <c r="B72" i="1"/>
  <c r="B71" i="1"/>
  <c r="B69" i="1"/>
  <c r="B68" i="1"/>
  <c r="O29" i="5" l="1"/>
  <c r="P29" i="5" s="1"/>
  <c r="H28" i="5"/>
  <c r="D28" i="5"/>
  <c r="C28" i="5"/>
  <c r="B28" i="5"/>
  <c r="H27" i="5"/>
  <c r="D27" i="5"/>
  <c r="C27" i="5"/>
  <c r="B27" i="5"/>
  <c r="H26" i="5"/>
  <c r="D26" i="5"/>
  <c r="C26" i="5"/>
  <c r="B26" i="5"/>
  <c r="H25" i="5"/>
  <c r="D25" i="5"/>
  <c r="C25" i="5"/>
  <c r="B25" i="5"/>
  <c r="H24" i="5"/>
  <c r="D24" i="5"/>
  <c r="C24" i="5"/>
  <c r="B24" i="5"/>
  <c r="H23" i="5"/>
  <c r="D23" i="5"/>
  <c r="C23" i="5"/>
  <c r="B23" i="5"/>
  <c r="H22" i="5"/>
  <c r="D22" i="5"/>
  <c r="C22" i="5"/>
  <c r="B22" i="5"/>
  <c r="H21" i="5"/>
  <c r="D21" i="5"/>
  <c r="C21" i="5"/>
  <c r="B21" i="5"/>
  <c r="J20" i="5"/>
  <c r="I20" i="5"/>
  <c r="H20" i="5"/>
  <c r="D20" i="5"/>
  <c r="C20" i="5"/>
  <c r="B20" i="5"/>
  <c r="H174" i="1"/>
  <c r="D174" i="1"/>
  <c r="C174" i="1"/>
  <c r="B174" i="1"/>
  <c r="H173" i="1"/>
  <c r="D173" i="1"/>
  <c r="C173" i="1"/>
  <c r="B173" i="1"/>
  <c r="H172" i="1"/>
  <c r="D172" i="1"/>
  <c r="C172" i="1"/>
  <c r="B172" i="1"/>
  <c r="H171" i="1"/>
  <c r="D171" i="1"/>
  <c r="C171" i="1"/>
  <c r="B171" i="1"/>
  <c r="H170" i="1"/>
  <c r="D170" i="1"/>
  <c r="C170" i="1"/>
  <c r="B170" i="1"/>
  <c r="H169" i="1"/>
  <c r="D169" i="1"/>
  <c r="C169" i="1"/>
  <c r="B169" i="1"/>
  <c r="H168" i="1"/>
  <c r="D168" i="1"/>
  <c r="C168" i="1"/>
  <c r="B168" i="1"/>
  <c r="H167" i="1"/>
  <c r="D167" i="1"/>
  <c r="C167" i="1"/>
  <c r="B167" i="1"/>
  <c r="T166" i="1"/>
  <c r="Q166" i="1"/>
  <c r="I166" i="1"/>
  <c r="N166" i="1" s="1"/>
  <c r="H166" i="1"/>
  <c r="D166" i="1"/>
  <c r="C166" i="1"/>
  <c r="B166" i="1"/>
  <c r="J166" i="1" l="1"/>
  <c r="K166" i="1"/>
  <c r="O166" i="1" s="1"/>
  <c r="P166" i="1" s="1"/>
  <c r="K20" i="5"/>
  <c r="N20" i="5"/>
  <c r="T150" i="1"/>
  <c r="T158" i="1"/>
  <c r="T159" i="1"/>
  <c r="T149" i="1"/>
  <c r="H165" i="1"/>
  <c r="D165" i="1"/>
  <c r="C165" i="1"/>
  <c r="B165" i="1"/>
  <c r="H164" i="1"/>
  <c r="D164" i="1"/>
  <c r="C164" i="1"/>
  <c r="B164" i="1"/>
  <c r="H163" i="1"/>
  <c r="D163" i="1"/>
  <c r="C163" i="1"/>
  <c r="B163" i="1"/>
  <c r="H162" i="1"/>
  <c r="D162" i="1"/>
  <c r="C162" i="1"/>
  <c r="B162" i="1"/>
  <c r="H161" i="1"/>
  <c r="D161" i="1"/>
  <c r="C161" i="1"/>
  <c r="B161" i="1"/>
  <c r="H160" i="1"/>
  <c r="D160" i="1"/>
  <c r="C160" i="1"/>
  <c r="B160" i="1"/>
  <c r="H159" i="1"/>
  <c r="D159" i="1"/>
  <c r="C159" i="1"/>
  <c r="B159" i="1"/>
  <c r="H158" i="1"/>
  <c r="D158" i="1"/>
  <c r="C158" i="1"/>
  <c r="B158" i="1"/>
  <c r="Q157" i="1"/>
  <c r="I157" i="1"/>
  <c r="N157" i="1" s="1"/>
  <c r="H157" i="1"/>
  <c r="D157" i="1"/>
  <c r="C157" i="1"/>
  <c r="B157" i="1"/>
  <c r="H156" i="1"/>
  <c r="D156" i="1"/>
  <c r="C156" i="1"/>
  <c r="B156" i="1"/>
  <c r="H155" i="1"/>
  <c r="D155" i="1"/>
  <c r="C155" i="1"/>
  <c r="B155" i="1"/>
  <c r="H154" i="1"/>
  <c r="D154" i="1"/>
  <c r="C154" i="1"/>
  <c r="B154" i="1"/>
  <c r="H153" i="1"/>
  <c r="D153" i="1"/>
  <c r="C153" i="1"/>
  <c r="B153" i="1"/>
  <c r="H152" i="1"/>
  <c r="D152" i="1"/>
  <c r="C152" i="1"/>
  <c r="B152" i="1"/>
  <c r="H151" i="1"/>
  <c r="D151" i="1"/>
  <c r="C151" i="1"/>
  <c r="B151" i="1"/>
  <c r="H150" i="1"/>
  <c r="D150" i="1"/>
  <c r="C150" i="1"/>
  <c r="B150" i="1"/>
  <c r="H149" i="1"/>
  <c r="D149" i="1"/>
  <c r="C149" i="1"/>
  <c r="B149" i="1"/>
  <c r="Q148" i="1"/>
  <c r="I148" i="1"/>
  <c r="H148" i="1"/>
  <c r="J148" i="1" s="1"/>
  <c r="D148" i="1"/>
  <c r="C148" i="1"/>
  <c r="B148" i="1"/>
  <c r="J157" i="1" l="1"/>
  <c r="O20" i="5"/>
  <c r="P20" i="5" s="1"/>
  <c r="K157" i="1"/>
  <c r="O157" i="1" s="1"/>
  <c r="P157" i="1" s="1"/>
  <c r="K148" i="1"/>
  <c r="N148" i="1"/>
  <c r="H68" i="1"/>
  <c r="C68" i="1"/>
  <c r="D68" i="1"/>
  <c r="O148" i="1" l="1"/>
  <c r="P148" i="1" s="1"/>
  <c r="H19" i="5"/>
  <c r="D19" i="5"/>
  <c r="C19" i="5"/>
  <c r="B19" i="5"/>
  <c r="H18" i="5"/>
  <c r="D18" i="5"/>
  <c r="C18" i="5"/>
  <c r="B18" i="5"/>
  <c r="H17" i="5"/>
  <c r="D17" i="5"/>
  <c r="C17" i="5"/>
  <c r="B17" i="5"/>
  <c r="H16" i="5"/>
  <c r="D16" i="5"/>
  <c r="C16" i="5"/>
  <c r="B16" i="5"/>
  <c r="H15" i="5"/>
  <c r="D15" i="5"/>
  <c r="C15" i="5"/>
  <c r="B15" i="5"/>
  <c r="H14" i="5"/>
  <c r="D14" i="5"/>
  <c r="C14" i="5"/>
  <c r="B14" i="5"/>
  <c r="H13" i="5"/>
  <c r="D13" i="5"/>
  <c r="C13" i="5"/>
  <c r="B13" i="5"/>
  <c r="H12" i="5"/>
  <c r="D12" i="5"/>
  <c r="C12" i="5"/>
  <c r="B12" i="5"/>
  <c r="I11" i="5"/>
  <c r="N11" i="5" s="1"/>
  <c r="H11" i="5"/>
  <c r="D11" i="5"/>
  <c r="C11" i="5"/>
  <c r="B11" i="5"/>
  <c r="J11" i="5" l="1"/>
  <c r="K11" i="5" s="1"/>
  <c r="O11" i="5" s="1"/>
  <c r="P11" i="5" s="1"/>
  <c r="T15" i="1"/>
  <c r="T16" i="1"/>
  <c r="T131" i="1" l="1"/>
  <c r="C11" i="1" l="1"/>
  <c r="D11" i="1"/>
  <c r="C12" i="1"/>
  <c r="D12" i="1"/>
  <c r="C13" i="1"/>
  <c r="D13" i="1"/>
  <c r="B21" i="1"/>
  <c r="B20" i="1"/>
  <c r="B13" i="1"/>
  <c r="B12" i="1"/>
  <c r="B11" i="1"/>
  <c r="B10" i="1"/>
  <c r="B9" i="1"/>
  <c r="C9" i="1"/>
  <c r="D9" i="1"/>
  <c r="C10" i="1"/>
  <c r="D10" i="1"/>
  <c r="T14" i="1" l="1"/>
  <c r="T145" i="1" l="1"/>
  <c r="T146" i="1"/>
  <c r="T144" i="1"/>
  <c r="H10" i="5" l="1"/>
  <c r="D10" i="5"/>
  <c r="C10" i="5"/>
  <c r="B10" i="5"/>
  <c r="H9" i="5"/>
  <c r="D9" i="5"/>
  <c r="C9" i="5"/>
  <c r="B9" i="5"/>
  <c r="H8" i="5"/>
  <c r="D8" i="5"/>
  <c r="C8" i="5"/>
  <c r="B8" i="5"/>
  <c r="H7" i="5"/>
  <c r="D7" i="5"/>
  <c r="C7" i="5"/>
  <c r="B7" i="5"/>
  <c r="H6" i="5"/>
  <c r="D6" i="5"/>
  <c r="C6" i="5"/>
  <c r="B6" i="5"/>
  <c r="H5" i="5"/>
  <c r="D5" i="5"/>
  <c r="C5" i="5"/>
  <c r="B5" i="5"/>
  <c r="H4" i="5"/>
  <c r="D4" i="5"/>
  <c r="C4" i="5"/>
  <c r="B4" i="5"/>
  <c r="H3" i="5"/>
  <c r="D3" i="5"/>
  <c r="C3" i="5"/>
  <c r="B3" i="5"/>
  <c r="I2" i="5"/>
  <c r="N2" i="5" s="1"/>
  <c r="H2" i="5"/>
  <c r="J2" i="5" s="1"/>
  <c r="K2" i="5" s="1"/>
  <c r="D2" i="5"/>
  <c r="C2" i="5"/>
  <c r="B2" i="5"/>
  <c r="O2" i="5" l="1"/>
  <c r="H147" i="1"/>
  <c r="D147" i="1"/>
  <c r="C147" i="1"/>
  <c r="B147" i="1"/>
  <c r="H146" i="1"/>
  <c r="D146" i="1"/>
  <c r="C146" i="1"/>
  <c r="B146" i="1"/>
  <c r="H145" i="1"/>
  <c r="D145" i="1"/>
  <c r="C145" i="1"/>
  <c r="B145" i="1"/>
  <c r="H144" i="1"/>
  <c r="D144" i="1"/>
  <c r="C144" i="1"/>
  <c r="B144" i="1"/>
  <c r="H143" i="1"/>
  <c r="D143" i="1"/>
  <c r="C143" i="1"/>
  <c r="B143" i="1"/>
  <c r="H142" i="1"/>
  <c r="D142" i="1"/>
  <c r="C142" i="1"/>
  <c r="B142" i="1"/>
  <c r="H141" i="1"/>
  <c r="D141" i="1"/>
  <c r="C141" i="1"/>
  <c r="B141" i="1"/>
  <c r="H140" i="1"/>
  <c r="D140" i="1"/>
  <c r="C140" i="1"/>
  <c r="B140" i="1"/>
  <c r="Q139" i="1"/>
  <c r="I139" i="1"/>
  <c r="H139" i="1"/>
  <c r="D139" i="1"/>
  <c r="C139" i="1"/>
  <c r="B139" i="1"/>
  <c r="P2" i="5" l="1"/>
  <c r="S2" i="5"/>
  <c r="J139" i="1"/>
  <c r="K139" i="1" s="1"/>
  <c r="N139" i="1"/>
  <c r="H138" i="1"/>
  <c r="D138" i="1"/>
  <c r="C138" i="1"/>
  <c r="B138" i="1"/>
  <c r="H137" i="1"/>
  <c r="D137" i="1"/>
  <c r="C137" i="1"/>
  <c r="B137" i="1"/>
  <c r="H136" i="1"/>
  <c r="D136" i="1"/>
  <c r="C136" i="1"/>
  <c r="B136" i="1"/>
  <c r="H135" i="1"/>
  <c r="D135" i="1"/>
  <c r="C135" i="1"/>
  <c r="B135" i="1"/>
  <c r="H134" i="1"/>
  <c r="D134" i="1"/>
  <c r="C134" i="1"/>
  <c r="B134" i="1"/>
  <c r="H133" i="1"/>
  <c r="D133" i="1"/>
  <c r="C133" i="1"/>
  <c r="B133" i="1"/>
  <c r="H132" i="1"/>
  <c r="D132" i="1"/>
  <c r="C132" i="1"/>
  <c r="B132" i="1"/>
  <c r="H131" i="1"/>
  <c r="D131" i="1"/>
  <c r="C131" i="1"/>
  <c r="B131" i="1"/>
  <c r="Q130" i="1"/>
  <c r="I130" i="1"/>
  <c r="N130" i="1" s="1"/>
  <c r="H130" i="1"/>
  <c r="D130" i="1"/>
  <c r="C130" i="1"/>
  <c r="B130" i="1"/>
  <c r="J130" i="1" l="1"/>
  <c r="K130" i="1"/>
  <c r="O130" i="1" s="1"/>
  <c r="P130" i="1" s="1"/>
  <c r="O139" i="1"/>
  <c r="P139" i="1" s="1"/>
  <c r="T124" i="1"/>
  <c r="T123" i="1"/>
  <c r="H129" i="1"/>
  <c r="D129" i="1"/>
  <c r="C129" i="1"/>
  <c r="B129" i="1"/>
  <c r="H128" i="1"/>
  <c r="D128" i="1"/>
  <c r="C128" i="1"/>
  <c r="B128" i="1"/>
  <c r="H127" i="1"/>
  <c r="D127" i="1"/>
  <c r="C127" i="1"/>
  <c r="B127" i="1"/>
  <c r="H126" i="1"/>
  <c r="D126" i="1"/>
  <c r="C126" i="1"/>
  <c r="B126" i="1"/>
  <c r="H125" i="1"/>
  <c r="D125" i="1"/>
  <c r="C125" i="1"/>
  <c r="B125" i="1"/>
  <c r="H124" i="1"/>
  <c r="D124" i="1"/>
  <c r="C124" i="1"/>
  <c r="B124" i="1"/>
  <c r="H123" i="1"/>
  <c r="D123" i="1"/>
  <c r="C123" i="1"/>
  <c r="B123" i="1"/>
  <c r="H122" i="1"/>
  <c r="D122" i="1"/>
  <c r="C122" i="1"/>
  <c r="B122" i="1"/>
  <c r="Q121" i="1"/>
  <c r="I121" i="1"/>
  <c r="H121" i="1"/>
  <c r="D121" i="1"/>
  <c r="C121" i="1"/>
  <c r="B121" i="1"/>
  <c r="J121" i="1" l="1"/>
  <c r="K121" i="1" s="1"/>
  <c r="N121" i="1"/>
  <c r="O121" i="1" l="1"/>
  <c r="P121" i="1" s="1"/>
  <c r="T96" i="1"/>
  <c r="T69" i="1"/>
  <c r="B67" i="1" l="1"/>
  <c r="B65" i="1"/>
  <c r="C65" i="1"/>
  <c r="D65" i="1"/>
  <c r="T71" i="1" l="1"/>
  <c r="C67" i="1"/>
  <c r="D67" i="1"/>
  <c r="D4" i="3" l="1"/>
  <c r="H67" i="1" l="1"/>
  <c r="I58" i="1" l="1"/>
  <c r="H65" i="1" l="1"/>
  <c r="T98" i="1" l="1"/>
  <c r="T97" i="1"/>
  <c r="T116" i="1" l="1"/>
  <c r="T117" i="1"/>
  <c r="T115" i="1"/>
  <c r="H120" i="1"/>
  <c r="D120" i="1"/>
  <c r="C120" i="1"/>
  <c r="B120" i="1"/>
  <c r="H119" i="1"/>
  <c r="D119" i="1"/>
  <c r="C119" i="1"/>
  <c r="B119" i="1"/>
  <c r="H118" i="1"/>
  <c r="D118" i="1"/>
  <c r="C118" i="1"/>
  <c r="B118" i="1"/>
  <c r="H117" i="1"/>
  <c r="D117" i="1"/>
  <c r="C117" i="1"/>
  <c r="B117" i="1"/>
  <c r="H116" i="1"/>
  <c r="D116" i="1"/>
  <c r="C116" i="1"/>
  <c r="B116" i="1"/>
  <c r="H115" i="1"/>
  <c r="D115" i="1"/>
  <c r="C115" i="1"/>
  <c r="B115" i="1"/>
  <c r="H114" i="1"/>
  <c r="D114" i="1"/>
  <c r="C114" i="1"/>
  <c r="B114" i="1"/>
  <c r="H113" i="1"/>
  <c r="D113" i="1"/>
  <c r="C113" i="1"/>
  <c r="B113" i="1"/>
  <c r="Q112" i="1"/>
  <c r="I112" i="1"/>
  <c r="H112" i="1"/>
  <c r="D112" i="1"/>
  <c r="C112" i="1"/>
  <c r="B112" i="1"/>
  <c r="J112" i="1" l="1"/>
  <c r="K112" i="1" s="1"/>
  <c r="N112" i="1"/>
  <c r="T105" i="1"/>
  <c r="T106" i="1"/>
  <c r="T107" i="1"/>
  <c r="T104" i="1"/>
  <c r="H111" i="1"/>
  <c r="D111" i="1"/>
  <c r="C111" i="1"/>
  <c r="B111" i="1"/>
  <c r="H110" i="1"/>
  <c r="D110" i="1"/>
  <c r="C110" i="1"/>
  <c r="B110" i="1"/>
  <c r="H109" i="1"/>
  <c r="D109" i="1"/>
  <c r="C109" i="1"/>
  <c r="B109" i="1"/>
  <c r="H108" i="1"/>
  <c r="D108" i="1"/>
  <c r="C108" i="1"/>
  <c r="B108" i="1"/>
  <c r="H107" i="1"/>
  <c r="D107" i="1"/>
  <c r="C107" i="1"/>
  <c r="B107" i="1"/>
  <c r="H106" i="1"/>
  <c r="D106" i="1"/>
  <c r="C106" i="1"/>
  <c r="B106" i="1"/>
  <c r="H105" i="1"/>
  <c r="D105" i="1"/>
  <c r="C105" i="1"/>
  <c r="B105" i="1"/>
  <c r="H104" i="1"/>
  <c r="D104" i="1"/>
  <c r="C104" i="1"/>
  <c r="B104" i="1"/>
  <c r="Q103" i="1"/>
  <c r="I103" i="1"/>
  <c r="H103" i="1"/>
  <c r="D103" i="1"/>
  <c r="C103" i="1"/>
  <c r="B103" i="1"/>
  <c r="J103" i="1" l="1"/>
  <c r="K103" i="1"/>
  <c r="O112" i="1"/>
  <c r="P112" i="1" s="1"/>
  <c r="N103" i="1"/>
  <c r="I88" i="1"/>
  <c r="I73" i="1"/>
  <c r="I40" i="1"/>
  <c r="I31" i="1"/>
  <c r="H10" i="1"/>
  <c r="H11" i="1"/>
  <c r="H12" i="1"/>
  <c r="H13" i="1"/>
  <c r="I2" i="1"/>
  <c r="O103" i="1" l="1"/>
  <c r="P103" i="1" s="1"/>
  <c r="T23" i="1"/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58" i="1"/>
  <c r="H59" i="1"/>
  <c r="H60" i="1"/>
  <c r="H61" i="1"/>
  <c r="H62" i="1"/>
  <c r="H63" i="1"/>
  <c r="H64" i="1"/>
  <c r="H66" i="1"/>
  <c r="H73" i="1"/>
  <c r="H74" i="1"/>
  <c r="H75" i="1"/>
  <c r="H76" i="1"/>
  <c r="H77" i="1"/>
  <c r="H78" i="1"/>
  <c r="H79" i="1"/>
  <c r="H80" i="1"/>
  <c r="H87" i="1"/>
  <c r="H88" i="1"/>
  <c r="H89" i="1"/>
  <c r="H90" i="1"/>
  <c r="H91" i="1"/>
  <c r="H92" i="1"/>
  <c r="H93" i="1"/>
  <c r="H94" i="1"/>
  <c r="H95" i="1"/>
  <c r="H102" i="1"/>
  <c r="H9" i="1"/>
  <c r="H3" i="1"/>
  <c r="H4" i="1"/>
  <c r="H5" i="1"/>
  <c r="H6" i="1"/>
  <c r="H7" i="1"/>
  <c r="H8" i="1"/>
  <c r="H2" i="1"/>
  <c r="J58" i="1" l="1"/>
  <c r="J40" i="1"/>
  <c r="J73" i="1"/>
  <c r="J31" i="1"/>
  <c r="J22" i="1"/>
  <c r="J88" i="1"/>
  <c r="J2" i="1"/>
  <c r="D3" i="1"/>
  <c r="D4" i="1"/>
  <c r="D5" i="1"/>
  <c r="D6" i="1"/>
  <c r="D7" i="1"/>
  <c r="D8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9" i="1"/>
  <c r="D58" i="1"/>
  <c r="D59" i="1"/>
  <c r="D60" i="1"/>
  <c r="D61" i="1"/>
  <c r="D62" i="1"/>
  <c r="D63" i="1"/>
  <c r="D64" i="1"/>
  <c r="D66" i="1"/>
  <c r="D73" i="1"/>
  <c r="D74" i="1"/>
  <c r="D75" i="1"/>
  <c r="D76" i="1"/>
  <c r="D77" i="1"/>
  <c r="D78" i="1"/>
  <c r="D79" i="1"/>
  <c r="D80" i="1"/>
  <c r="D88" i="1"/>
  <c r="D89" i="1"/>
  <c r="D90" i="1"/>
  <c r="D91" i="1"/>
  <c r="D92" i="1"/>
  <c r="D93" i="1"/>
  <c r="D94" i="1"/>
  <c r="D95" i="1"/>
  <c r="D2" i="1"/>
  <c r="C3" i="1"/>
  <c r="C4" i="1"/>
  <c r="C5" i="1"/>
  <c r="C6" i="1"/>
  <c r="C7" i="1"/>
  <c r="C8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9" i="1"/>
  <c r="C58" i="1"/>
  <c r="C59" i="1"/>
  <c r="C60" i="1"/>
  <c r="C61" i="1"/>
  <c r="C62" i="1"/>
  <c r="C63" i="1"/>
  <c r="C64" i="1"/>
  <c r="C66" i="1"/>
  <c r="C73" i="1"/>
  <c r="C74" i="1"/>
  <c r="C75" i="1"/>
  <c r="C76" i="1"/>
  <c r="C77" i="1"/>
  <c r="C78" i="1"/>
  <c r="C79" i="1"/>
  <c r="C80" i="1"/>
  <c r="C88" i="1"/>
  <c r="C89" i="1"/>
  <c r="C90" i="1"/>
  <c r="C91" i="1"/>
  <c r="C92" i="1"/>
  <c r="C93" i="1"/>
  <c r="C94" i="1"/>
  <c r="C95" i="1"/>
  <c r="C2" i="1"/>
  <c r="B102" i="1"/>
  <c r="B95" i="1"/>
  <c r="B94" i="1"/>
  <c r="B93" i="1"/>
  <c r="B92" i="1"/>
  <c r="B91" i="1"/>
  <c r="B90" i="1"/>
  <c r="B89" i="1"/>
  <c r="B88" i="1"/>
  <c r="B87" i="1"/>
  <c r="B80" i="1"/>
  <c r="B79" i="1"/>
  <c r="B78" i="1"/>
  <c r="B77" i="1"/>
  <c r="B76" i="1"/>
  <c r="B75" i="1"/>
  <c r="B74" i="1"/>
  <c r="B73" i="1"/>
  <c r="B66" i="1"/>
  <c r="B64" i="1"/>
  <c r="B63" i="1"/>
  <c r="B62" i="1"/>
  <c r="B61" i="1"/>
  <c r="B60" i="1"/>
  <c r="B59" i="1"/>
  <c r="B58" i="1"/>
  <c r="B57" i="1"/>
  <c r="B49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8" i="1"/>
  <c r="B7" i="1"/>
  <c r="B6" i="1"/>
  <c r="B5" i="1"/>
  <c r="B4" i="1"/>
  <c r="B3" i="1"/>
  <c r="B2" i="1"/>
  <c r="R4" i="2" l="1"/>
  <c r="S4" i="2"/>
  <c r="S5" i="2"/>
  <c r="S6" i="2"/>
  <c r="S7" i="2"/>
  <c r="S8" i="2"/>
  <c r="S9" i="2"/>
  <c r="S10" i="2"/>
  <c r="R9" i="2"/>
  <c r="R10" i="2"/>
  <c r="S2" i="2" l="1"/>
  <c r="R2" i="2"/>
  <c r="R8" i="2" l="1"/>
  <c r="R5" i="2"/>
  <c r="R6" i="2"/>
  <c r="R7" i="2"/>
  <c r="S3" i="2" l="1"/>
  <c r="R3" i="2" l="1"/>
  <c r="Q88" i="1" l="1"/>
  <c r="Q73" i="1"/>
  <c r="Q58" i="1"/>
  <c r="Q40" i="1"/>
  <c r="Q31" i="1"/>
  <c r="Q22" i="1"/>
  <c r="Q2" i="1"/>
  <c r="M22" i="1"/>
  <c r="M31" i="1" s="1"/>
  <c r="M40" i="1" s="1"/>
  <c r="M58" i="1" s="1"/>
  <c r="M73" i="1" s="1"/>
  <c r="M88" i="1" s="1"/>
  <c r="M103" i="1" s="1"/>
  <c r="M112" i="1" s="1"/>
  <c r="M121" i="1" s="1"/>
  <c r="M130" i="1" s="1"/>
  <c r="M139" i="1" s="1"/>
  <c r="M148" i="1" s="1"/>
  <c r="M157" i="1" s="1"/>
  <c r="M166" i="1" s="1"/>
  <c r="N88" i="1"/>
  <c r="K88" i="1" l="1"/>
  <c r="O88" i="1" s="1"/>
  <c r="P88" i="1" s="1"/>
  <c r="T80" i="1" l="1"/>
  <c r="T81" i="1"/>
  <c r="T82" i="1"/>
  <c r="T70" i="1"/>
  <c r="T48" i="1"/>
  <c r="T52" i="1"/>
  <c r="T57" i="1"/>
  <c r="T38" i="1"/>
  <c r="T39" i="1"/>
  <c r="T25" i="1"/>
  <c r="T26" i="1"/>
  <c r="T24" i="1"/>
  <c r="U3" i="1" l="1"/>
  <c r="N73" i="1"/>
  <c r="K73" i="1" l="1"/>
  <c r="O73" i="1" s="1"/>
  <c r="P73" i="1" s="1"/>
  <c r="N58" i="1"/>
  <c r="K58" i="1" l="1"/>
  <c r="O58" i="1" s="1"/>
  <c r="P58" i="1" s="1"/>
  <c r="N40" i="1"/>
  <c r="N31" i="1"/>
  <c r="K40" i="1" l="1"/>
  <c r="O40" i="1" s="1"/>
  <c r="P40" i="1" s="1"/>
  <c r="K31" i="1"/>
  <c r="O31" i="1" s="1"/>
  <c r="P31" i="1" s="1"/>
  <c r="I22" i="1"/>
  <c r="N22" i="1" s="1"/>
  <c r="N2" i="1"/>
  <c r="V2" i="1" l="1"/>
  <c r="K22" i="1"/>
  <c r="O22" i="1" s="1"/>
  <c r="P22" i="1" s="1"/>
  <c r="K2" i="1"/>
  <c r="O2" i="1" l="1"/>
  <c r="P2" i="1" s="1"/>
  <c r="U2" i="1"/>
  <c r="U4" i="1" s="1"/>
  <c r="W2" i="1" l="1"/>
  <c r="X2" i="1" s="1"/>
</calcChain>
</file>

<file path=xl/sharedStrings.xml><?xml version="1.0" encoding="utf-8"?>
<sst xmlns="http://schemas.openxmlformats.org/spreadsheetml/2006/main" count="181" uniqueCount="121">
  <si>
    <t>Qty</t>
  </si>
  <si>
    <t>Price</t>
  </si>
  <si>
    <t>TotalQty</t>
  </si>
  <si>
    <t>AvgPrice</t>
  </si>
  <si>
    <t>Stock</t>
  </si>
  <si>
    <t>Value</t>
  </si>
  <si>
    <t>CurrentPrice</t>
  </si>
  <si>
    <t>UpdatedDT</t>
  </si>
  <si>
    <t>CurrentValue</t>
  </si>
  <si>
    <t>P/L</t>
  </si>
  <si>
    <t>P/L %</t>
  </si>
  <si>
    <t>LT Foods</t>
  </si>
  <si>
    <t>Date</t>
  </si>
  <si>
    <t>Indian Oil</t>
  </si>
  <si>
    <t>Fineotex Chemical</t>
  </si>
  <si>
    <t>Vakrangee</t>
  </si>
  <si>
    <t>BIOCON</t>
  </si>
  <si>
    <t>Current</t>
  </si>
  <si>
    <t>Invested</t>
  </si>
  <si>
    <t>LTCG Days</t>
  </si>
  <si>
    <t>Adani Transmission</t>
  </si>
  <si>
    <t>S.no</t>
  </si>
  <si>
    <t>EntryDate</t>
  </si>
  <si>
    <t>TargetPrice</t>
  </si>
  <si>
    <t>Status</t>
  </si>
  <si>
    <t>TargetDate</t>
  </si>
  <si>
    <t>Reason</t>
  </si>
  <si>
    <t>AGM On 8-Aug-2019</t>
  </si>
  <si>
    <t>AchievedDate</t>
  </si>
  <si>
    <t>EntrydateOpnPrice</t>
  </si>
  <si>
    <t>Indo Amines</t>
  </si>
  <si>
    <t>AGM On 10-Aug-2019</t>
  </si>
  <si>
    <t>Deepak Fertilizers</t>
  </si>
  <si>
    <t>AGM On 14-Aug-2019</t>
  </si>
  <si>
    <t>Nava Bharat Ventures</t>
  </si>
  <si>
    <t>Bharat Forge</t>
  </si>
  <si>
    <t>58th AGM On 13-Aug-2019</t>
  </si>
  <si>
    <t>BestBuyPrice</t>
  </si>
  <si>
    <t>215-218</t>
  </si>
  <si>
    <t>88-90</t>
  </si>
  <si>
    <t>68-70</t>
  </si>
  <si>
    <t>85-87</t>
  </si>
  <si>
    <t>410-420</t>
  </si>
  <si>
    <t>Menon Bearings</t>
  </si>
  <si>
    <t>AGM On 18-Jul-2019</t>
  </si>
  <si>
    <t>70-72</t>
  </si>
  <si>
    <t>Remarks</t>
  </si>
  <si>
    <t>AGM on 18-Sep-2019 at 10:30 a.m</t>
  </si>
  <si>
    <t>Balmer Lawrie</t>
  </si>
  <si>
    <t>Lowest in 1 Month</t>
  </si>
  <si>
    <t>Highest in 1 Month</t>
  </si>
  <si>
    <t>170-173</t>
  </si>
  <si>
    <t>Bannari Amman Spinning Mills</t>
  </si>
  <si>
    <t>AGM On 19-Aug-2019</t>
  </si>
  <si>
    <t>BestBuyDate</t>
  </si>
  <si>
    <t>Datamatics Global Services</t>
  </si>
  <si>
    <t>31st AGM on 13-Aug-2019 at 2.00 p.m</t>
  </si>
  <si>
    <t>72-75</t>
  </si>
  <si>
    <t>133-135</t>
  </si>
  <si>
    <t>Entry-TargetDiff</t>
  </si>
  <si>
    <t>Entry-AchievedDiff</t>
  </si>
  <si>
    <t>CurrentDate</t>
  </si>
  <si>
    <t>decreasing trend towards AGM</t>
  </si>
  <si>
    <t>RevisedTarget</t>
  </si>
  <si>
    <t>RevisedDate</t>
  </si>
  <si>
    <t>Failed</t>
  </si>
  <si>
    <t>Year</t>
  </si>
  <si>
    <t>Month</t>
  </si>
  <si>
    <t>StockName</t>
  </si>
  <si>
    <t>TotalValue</t>
  </si>
  <si>
    <t>Sum of TotalValue</t>
  </si>
  <si>
    <t>YesBank</t>
  </si>
  <si>
    <t>To Be Invested</t>
  </si>
  <si>
    <t>Total</t>
  </si>
  <si>
    <t>Row Labels</t>
  </si>
  <si>
    <t>Grand Total</t>
  </si>
  <si>
    <t>Sum of CurrentValue</t>
  </si>
  <si>
    <t>Sum of P/L</t>
  </si>
  <si>
    <t>NMDC</t>
  </si>
  <si>
    <t>target</t>
  </si>
  <si>
    <t>current</t>
  </si>
  <si>
    <t>buy</t>
  </si>
  <si>
    <t>Fund raising plan on OCT 11 Meeting</t>
  </si>
  <si>
    <t>Action</t>
  </si>
  <si>
    <t>zee entertaintment</t>
  </si>
  <si>
    <t>Sell</t>
  </si>
  <si>
    <t>Aurobindo</t>
  </si>
  <si>
    <t>USFDA issued 7 observations. But the stock already down 20% previous day.</t>
  </si>
  <si>
    <t>BPCL</t>
  </si>
  <si>
    <t>Selling the Company to Private will have negative sentiment. Brokerages rating SELL with target 450</t>
  </si>
  <si>
    <t xml:space="preserve">Sun pharma </t>
  </si>
  <si>
    <t>Creates pledge on additional 5.5 lakh shares</t>
  </si>
  <si>
    <t>sell</t>
  </si>
  <si>
    <t>Actual</t>
  </si>
  <si>
    <t>90% of promoters shares pledged.CFO Resigns</t>
  </si>
  <si>
    <t>JSW Steel</t>
  </si>
  <si>
    <t>promoters releases pledge on 1.3 cr shares</t>
  </si>
  <si>
    <t>Buy</t>
  </si>
  <si>
    <t>duration</t>
  </si>
  <si>
    <t>intraday</t>
  </si>
  <si>
    <t>5 days</t>
  </si>
  <si>
    <t>1 month</t>
  </si>
  <si>
    <t>2 months</t>
  </si>
  <si>
    <t>Indiabulls Housing Finance</t>
  </si>
  <si>
    <t>RBI cancelled the merger approval of Indiabulls housing finance with Lakshmi vilas bank due to worst performance</t>
  </si>
  <si>
    <t>Expect trend reversal by 10-15 rs on US-China Trade talks going positive,
Moodys downgraded GDP forecast from 6.1 to 5.8
IIP data to be released today</t>
  </si>
  <si>
    <t>Promoters create pledge on 8 lakh shares</t>
  </si>
  <si>
    <t>NIIT falls 15% as stock turns ex-date for share buyback</t>
  </si>
  <si>
    <t>NIIT</t>
  </si>
  <si>
    <t>Infosys</t>
  </si>
  <si>
    <t>PC Jweller</t>
  </si>
  <si>
    <t>Vodafone</t>
  </si>
  <si>
    <t>Relcom</t>
  </si>
  <si>
    <t>Jagran Prakashan</t>
  </si>
  <si>
    <t>India Cements</t>
  </si>
  <si>
    <t>Punjab National Bank</t>
  </si>
  <si>
    <t>Aster DM Healthcare</t>
  </si>
  <si>
    <t>Granules India</t>
  </si>
  <si>
    <t>KNR Constructions</t>
  </si>
  <si>
    <t>Return Days</t>
  </si>
  <si>
    <t>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</si>
</sst>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2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2" borderId="0" xfId="0" applyFill="1"/>
    <xf numFmtId="0" fontId="2" fillId="3" borderId="1" xfId="0" applyFont="1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Fill="1"/>
    <xf numFmtId="2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2" fontId="2" fillId="0" borderId="1" xfId="0" applyNumberFormat="1" applyFont="1" applyFill="1" applyBorder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  <xf numFmtId="1" fontId="0" fillId="0" borderId="0" xfId="0" applyNumberFormat="1" applyFill="1"/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4" borderId="0" xfId="0" applyNumberFormat="1" applyFill="1"/>
    <xf numFmtId="2" fontId="0" fillId="0" borderId="1" xfId="0" applyNumberFormat="1" applyBorder="1"/>
    <xf numFmtId="15" fontId="0" fillId="0" borderId="0" xfId="0" applyNumberFormat="1"/>
    <xf numFmtId="0" fontId="0" fillId="4" borderId="0" xfId="0" applyFill="1"/>
    <xf numFmtId="0" fontId="0" fillId="5" borderId="0" xfId="0" applyFill="1"/>
    <xf numFmtId="15" fontId="0" fillId="5" borderId="0" xfId="0" applyNumberFormat="1" applyFill="1"/>
    <xf numFmtId="1" fontId="0" fillId="5" borderId="0" xfId="0" applyNumberFormat="1" applyFill="1"/>
    <xf numFmtId="14" fontId="0" fillId="0" borderId="1" xfId="0" applyNumberFormat="1" applyBorder="1" applyAlignment="1">
      <alignment horizontal="center" vertical="center"/>
    </xf>
    <xf numFmtId="0" fontId="3" fillId="2" borderId="0" xfId="0" applyFont="1" applyFill="1"/>
    <xf numFmtId="0" fontId="3" fillId="5" borderId="0" xfId="0" applyFont="1" applyFill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5" borderId="0" xfId="0" applyFont="1" applyFill="1"/>
    <xf numFmtId="1" fontId="2" fillId="0" borderId="1" xfId="0" applyNumberFormat="1" applyFont="1" applyFill="1" applyBorder="1"/>
    <xf numFmtId="0" fontId="0" fillId="0" borderId="0" xfId="0" pivotButton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2" borderId="0" xfId="0" applyNumberForma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164" fontId="2" fillId="2" borderId="0" xfId="2" applyNumberFormat="1" applyFont="1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57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MODEL.xlsx]Pivot!PivotTable1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Pivot!$A$4:$B$17</c:f>
              <c:multiLvlStrCache>
                <c:ptCount val="14"/>
                <c:lvl>
                  <c:pt idx="0">
                    <c:v>4</c:v>
                  </c:pt>
                  <c:pt idx="1">
                    <c:v>5</c:v>
                  </c:pt>
                  <c:pt idx="2">
                    <c:v>6</c:v>
                  </c:pt>
                  <c:pt idx="3">
                    <c:v>7</c:v>
                  </c:pt>
                  <c:pt idx="4">
                    <c:v>8</c:v>
                  </c:pt>
                  <c:pt idx="5">
                    <c:v>9</c:v>
                  </c:pt>
                  <c:pt idx="6">
                    <c:v>10</c:v>
                  </c:pt>
                  <c:pt idx="7">
                    <c:v>11</c:v>
                  </c:pt>
                  <c:pt idx="8">
                    <c:v>12</c:v>
                  </c:pt>
                  <c:pt idx="9">
                    <c:v>2</c:v>
                  </c:pt>
                  <c:pt idx="10">
                    <c:v>3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</c:lvl>
              </c:multiLvlStrCache>
            </c:multiLvlStrRef>
          </c:cat>
          <c:val>
            <c:numRef>
              <c:f>Pivot!$C$4:$C$17</c:f>
              <c:numCache>
                <c:formatCode>0</c:formatCode>
                <c:ptCount val="14"/>
                <c:pt idx="0">
                  <c:v>16712.45</c:v>
                </c:pt>
                <c:pt idx="1">
                  <c:v>19025</c:v>
                </c:pt>
                <c:pt idx="2">
                  <c:v>5725</c:v>
                </c:pt>
                <c:pt idx="3">
                  <c:v>15700</c:v>
                </c:pt>
                <c:pt idx="4">
                  <c:v>19932.5</c:v>
                </c:pt>
                <c:pt idx="5">
                  <c:v>5181</c:v>
                </c:pt>
                <c:pt idx="6">
                  <c:v>14112.5</c:v>
                </c:pt>
                <c:pt idx="7">
                  <c:v>5780</c:v>
                </c:pt>
                <c:pt idx="8">
                  <c:v>48806</c:v>
                </c:pt>
                <c:pt idx="9">
                  <c:v>2890</c:v>
                </c:pt>
                <c:pt idx="10">
                  <c:v>4000</c:v>
                </c:pt>
                <c:pt idx="11">
                  <c:v>103593.3</c:v>
                </c:pt>
                <c:pt idx="12">
                  <c:v>45108</c:v>
                </c:pt>
                <c:pt idx="13">
                  <c:v>103393.8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14224"/>
        <c:axId val="185914608"/>
      </c:lineChart>
      <c:catAx>
        <c:axId val="18591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14608"/>
        <c:crosses val="autoZero"/>
        <c:auto val="1"/>
        <c:lblAlgn val="ctr"/>
        <c:lblOffset val="100"/>
        <c:noMultiLvlLbl val="0"/>
      </c:catAx>
      <c:valAx>
        <c:axId val="1859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MODEL.xlsx]Pivot!PivotTable2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Sum of TotalValue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Pivot!$A$22:$A$35</c:f>
              <c:strCache>
                <c:ptCount val="13"/>
                <c:pt idx="0">
                  <c:v>BIOCON</c:v>
                </c:pt>
                <c:pt idx="1">
                  <c:v>Fineotex Chemical</c:v>
                </c:pt>
                <c:pt idx="2">
                  <c:v>Indian Oil</c:v>
                </c:pt>
                <c:pt idx="3">
                  <c:v>LT Foods</c:v>
                </c:pt>
                <c:pt idx="4">
                  <c:v>Vakrangee</c:v>
                </c:pt>
                <c:pt idx="5">
                  <c:v>YesBank</c:v>
                </c:pt>
                <c:pt idx="6">
                  <c:v>Infosys</c:v>
                </c:pt>
                <c:pt idx="7">
                  <c:v>PC Jweller</c:v>
                </c:pt>
                <c:pt idx="8">
                  <c:v>Relcom</c:v>
                </c:pt>
                <c:pt idx="9">
                  <c:v>JSW Steel</c:v>
                </c:pt>
                <c:pt idx="10">
                  <c:v>Punjab National Bank</c:v>
                </c:pt>
                <c:pt idx="11">
                  <c:v>Granules India</c:v>
                </c:pt>
                <c:pt idx="12">
                  <c:v>NCC</c:v>
                </c:pt>
              </c:strCache>
            </c:strRef>
          </c:cat>
          <c:val>
            <c:numRef>
              <c:f>Pivot!$B$22:$B$35</c:f>
              <c:numCache>
                <c:formatCode>0</c:formatCode>
                <c:ptCount val="13"/>
                <c:pt idx="0">
                  <c:v>32332.5</c:v>
                </c:pt>
                <c:pt idx="1">
                  <c:v>46989</c:v>
                </c:pt>
                <c:pt idx="2">
                  <c:v>13133.7</c:v>
                </c:pt>
                <c:pt idx="3">
                  <c:v>45805</c:v>
                </c:pt>
                <c:pt idx="4">
                  <c:v>25529.25</c:v>
                </c:pt>
                <c:pt idx="5">
                  <c:v>59780</c:v>
                </c:pt>
                <c:pt idx="6">
                  <c:v>25402.1</c:v>
                </c:pt>
                <c:pt idx="7">
                  <c:v>6645</c:v>
                </c:pt>
                <c:pt idx="8">
                  <c:v>6000</c:v>
                </c:pt>
                <c:pt idx="9">
                  <c:v>27076</c:v>
                </c:pt>
                <c:pt idx="10">
                  <c:v>66250</c:v>
                </c:pt>
                <c:pt idx="11">
                  <c:v>15680.000000000002</c:v>
                </c:pt>
                <c:pt idx="12">
                  <c:v>39335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Pivot!$C$21</c:f>
              <c:strCache>
                <c:ptCount val="1"/>
                <c:pt idx="0">
                  <c:v>Sum of CurrentValue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Pivot!$A$22:$A$35</c:f>
              <c:strCache>
                <c:ptCount val="13"/>
                <c:pt idx="0">
                  <c:v>BIOCON</c:v>
                </c:pt>
                <c:pt idx="1">
                  <c:v>Fineotex Chemical</c:v>
                </c:pt>
                <c:pt idx="2">
                  <c:v>Indian Oil</c:v>
                </c:pt>
                <c:pt idx="3">
                  <c:v>LT Foods</c:v>
                </c:pt>
                <c:pt idx="4">
                  <c:v>Vakrangee</c:v>
                </c:pt>
                <c:pt idx="5">
                  <c:v>YesBank</c:v>
                </c:pt>
                <c:pt idx="6">
                  <c:v>Infosys</c:v>
                </c:pt>
                <c:pt idx="7">
                  <c:v>PC Jweller</c:v>
                </c:pt>
                <c:pt idx="8">
                  <c:v>Relcom</c:v>
                </c:pt>
                <c:pt idx="9">
                  <c:v>JSW Steel</c:v>
                </c:pt>
                <c:pt idx="10">
                  <c:v>Punjab National Bank</c:v>
                </c:pt>
                <c:pt idx="11">
                  <c:v>Granules India</c:v>
                </c:pt>
                <c:pt idx="12">
                  <c:v>NCC</c:v>
                </c:pt>
              </c:strCache>
            </c:strRef>
          </c:cat>
          <c:val>
            <c:numRef>
              <c:f>Pivot!$C$22:$C$35</c:f>
              <c:numCache>
                <c:formatCode>0</c:formatCode>
                <c:ptCount val="13"/>
                <c:pt idx="0">
                  <c:v>31550</c:v>
                </c:pt>
                <c:pt idx="1">
                  <c:v>27300</c:v>
                </c:pt>
                <c:pt idx="2">
                  <c:v>8760</c:v>
                </c:pt>
                <c:pt idx="3">
                  <c:v>36120</c:v>
                </c:pt>
                <c:pt idx="4">
                  <c:v>24320</c:v>
                </c:pt>
                <c:pt idx="5">
                  <c:v>126945</c:v>
                </c:pt>
                <c:pt idx="6">
                  <c:v>21372</c:v>
                </c:pt>
                <c:pt idx="7">
                  <c:v>2550</c:v>
                </c:pt>
                <c:pt idx="8">
                  <c:v>3500</c:v>
                </c:pt>
                <c:pt idx="9">
                  <c:v>16435</c:v>
                </c:pt>
                <c:pt idx="10">
                  <c:v>36750</c:v>
                </c:pt>
                <c:pt idx="11">
                  <c:v>14090</c:v>
                </c:pt>
                <c:pt idx="12">
                  <c:v>24240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Pivot!$D$21</c:f>
              <c:strCache>
                <c:ptCount val="1"/>
                <c:pt idx="0">
                  <c:v>Sum of P/L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Pivot!$A$22:$A$35</c:f>
              <c:strCache>
                <c:ptCount val="13"/>
                <c:pt idx="0">
                  <c:v>BIOCON</c:v>
                </c:pt>
                <c:pt idx="1">
                  <c:v>Fineotex Chemical</c:v>
                </c:pt>
                <c:pt idx="2">
                  <c:v>Indian Oil</c:v>
                </c:pt>
                <c:pt idx="3">
                  <c:v>LT Foods</c:v>
                </c:pt>
                <c:pt idx="4">
                  <c:v>Vakrangee</c:v>
                </c:pt>
                <c:pt idx="5">
                  <c:v>YesBank</c:v>
                </c:pt>
                <c:pt idx="6">
                  <c:v>Infosys</c:v>
                </c:pt>
                <c:pt idx="7">
                  <c:v>PC Jweller</c:v>
                </c:pt>
                <c:pt idx="8">
                  <c:v>Relcom</c:v>
                </c:pt>
                <c:pt idx="9">
                  <c:v>JSW Steel</c:v>
                </c:pt>
                <c:pt idx="10">
                  <c:v>Punjab National Bank</c:v>
                </c:pt>
                <c:pt idx="11">
                  <c:v>Granules India</c:v>
                </c:pt>
                <c:pt idx="12">
                  <c:v>NCC</c:v>
                </c:pt>
              </c:strCache>
            </c:strRef>
          </c:cat>
          <c:val>
            <c:numRef>
              <c:f>Pivot!$D$22:$D$35</c:f>
              <c:numCache>
                <c:formatCode>0</c:formatCode>
                <c:ptCount val="13"/>
                <c:pt idx="0">
                  <c:v>-782.50000000000364</c:v>
                </c:pt>
                <c:pt idx="1">
                  <c:v>-19689</c:v>
                </c:pt>
                <c:pt idx="2">
                  <c:v>-4373.7000000000025</c:v>
                </c:pt>
                <c:pt idx="3">
                  <c:v>-9685</c:v>
                </c:pt>
                <c:pt idx="4">
                  <c:v>-1209.25</c:v>
                </c:pt>
                <c:pt idx="5">
                  <c:v>67165</c:v>
                </c:pt>
                <c:pt idx="6">
                  <c:v>-4030.0999999999985</c:v>
                </c:pt>
                <c:pt idx="7">
                  <c:v>-4095</c:v>
                </c:pt>
                <c:pt idx="8">
                  <c:v>-2500</c:v>
                </c:pt>
                <c:pt idx="9">
                  <c:v>-10641</c:v>
                </c:pt>
                <c:pt idx="10">
                  <c:v>-29500</c:v>
                </c:pt>
                <c:pt idx="11">
                  <c:v>-1590.0000000000018</c:v>
                </c:pt>
                <c:pt idx="12">
                  <c:v>-15095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76744"/>
        <c:axId val="186277128"/>
      </c:lineChart>
      <c:catAx>
        <c:axId val="18627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7128"/>
        <c:crosses val="autoZero"/>
        <c:auto val="1"/>
        <c:lblAlgn val="ctr"/>
        <c:lblOffset val="100"/>
        <c:noMultiLvlLbl val="0"/>
      </c:catAx>
      <c:valAx>
        <c:axId val="18627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9525</xdr:rowOff>
    </xdr:from>
    <xdr:to>
      <xdr:col>14</xdr:col>
      <xdr:colOff>0</xdr:colOff>
      <xdr:row>13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1304926</xdr:colOff>
      <xdr:row>16</xdr:row>
      <xdr:rowOff>180975</xdr:rowOff>
    </xdr:from>
    <xdr:to>
      <xdr:col>14</xdr:col>
      <xdr:colOff>9526</xdr:colOff>
      <xdr:row>32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santhk\Desktop\Vasanth%20Desktop%20Items\Vasanth\STk\INVESTMENT%20MOD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santhk\Desktop\Vasanth%20Desktop%20Items\Vasanth\STk\INVESTMENT%20MOD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908.697186574071" createdVersion="5" refreshedVersion="5" minRefreshableVersion="3" recordCount="176">
  <cacheSource type="worksheet">
    <worksheetSource ref="B1:H1048576" sheet="Details" r:id="rId2"/>
  </cacheSource>
  <cacheFields count="7">
    <cacheField name="StockName" numFmtId="0">
      <sharedItems containsBlank="1"/>
    </cacheField>
    <cacheField name="Year" numFmtId="0">
      <sharedItems containsString="0" containsBlank="1" containsNumber="1" containsInteger="1" minValue="1900" maxValue="2020" count="4">
        <n v="2019"/>
        <n v="2020"/>
        <n v="1900"/>
        <m/>
      </sharedItems>
    </cacheField>
    <cacheField name="Month" numFmtId="0">
      <sharedItems containsString="0" containsBlank="1" containsNumber="1" containsInteger="1" minValue="1" maxValue="12" count="13">
        <n v="4"/>
        <n v="5"/>
        <n v="6"/>
        <n v="8"/>
        <n v="10"/>
        <n v="11"/>
        <n v="12"/>
        <n v="3"/>
        <n v="1"/>
        <n v="9"/>
        <n v="7"/>
        <n v="2"/>
        <m/>
      </sharedItems>
    </cacheField>
    <cacheField name="Date" numFmtId="0">
      <sharedItems containsNonDate="0" containsDate="1" containsString="0" containsBlank="1" minDate="2019-02-05T00:00:00" maxDate="2020-03-18T00:00:00"/>
    </cacheField>
    <cacheField name="Qty" numFmtId="0">
      <sharedItems containsString="0" containsBlank="1" containsNumber="1" containsInteger="1" minValue="1" maxValue="5000"/>
    </cacheField>
    <cacheField name="Price" numFmtId="2">
      <sharedItems containsString="0" containsBlank="1" containsNumber="1" minValue="1" maxValue="716.33"/>
    </cacheField>
    <cacheField name="TotalValue" numFmtId="2">
      <sharedItems containsString="0" containsBlank="1" containsNumber="1" minValue="0" maxValue="66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3908.697186805555" createdVersion="5" refreshedVersion="5" minRefreshableVersion="3" recordCount="176">
  <cacheSource type="worksheet">
    <worksheetSource ref="A1:Q1048576" sheet="Details" r:id="rId2"/>
  </cacheSource>
  <cacheFields count="17">
    <cacheField name="Stock" numFmtId="0">
      <sharedItems containsBlank="1"/>
    </cacheField>
    <cacheField name="StockName" numFmtId="0">
      <sharedItems containsBlank="1" containsMixedTypes="1" containsNumber="1" containsInteger="1" minValue="0" maxValue="0" count="17">
        <s v="LT Foods"/>
        <s v="India Cements"/>
        <s v="Indian Oil"/>
        <s v="Fineotex Chemical"/>
        <s v="Vakrangee"/>
        <s v="BIOCON"/>
        <s v="YesBank"/>
        <s v="Granules India"/>
        <s v="Infosys"/>
        <s v="PC Jweller"/>
        <s v="Relcom"/>
        <s v="NCC"/>
        <s v="JSW Steel"/>
        <s v="Punjab National Bank"/>
        <s v="KNR Constructions"/>
        <m/>
        <n v="0" u="1"/>
      </sharedItems>
    </cacheField>
    <cacheField name="Year" numFmtId="0">
      <sharedItems containsString="0" containsBlank="1" containsNumber="1" containsInteger="1" minValue="1900" maxValue="2020"/>
    </cacheField>
    <cacheField name="Month" numFmtId="0">
      <sharedItems containsString="0" containsBlank="1" containsNumber="1" containsInteger="1" minValue="1" maxValue="12"/>
    </cacheField>
    <cacheField name="Date" numFmtId="0">
      <sharedItems containsNonDate="0" containsDate="1" containsString="0" containsBlank="1" minDate="2019-02-05T00:00:00" maxDate="2020-03-18T00:00:00"/>
    </cacheField>
    <cacheField name="Qty" numFmtId="0">
      <sharedItems containsString="0" containsBlank="1" containsNumber="1" containsInteger="1" minValue="1" maxValue="5000"/>
    </cacheField>
    <cacheField name="Price" numFmtId="2">
      <sharedItems containsString="0" containsBlank="1" containsNumber="1" minValue="1" maxValue="716.33"/>
    </cacheField>
    <cacheField name="TotalValue" numFmtId="2">
      <sharedItems containsString="0" containsBlank="1" containsNumber="1" minValue="0" maxValue="66250"/>
    </cacheField>
    <cacheField name="TotalQty" numFmtId="0">
      <sharedItems containsString="0" containsBlank="1" containsNumber="1" containsInteger="1" minValue="1" maxValue="5000"/>
    </cacheField>
    <cacheField name="AvgPrice" numFmtId="0">
      <sharedItems containsString="0" containsBlank="1" containsNumber="1" minValue="1" maxValue="635.05250000000001"/>
    </cacheField>
    <cacheField name="Value" numFmtId="1">
      <sharedItems containsString="0" containsBlank="1" containsNumber="1" minValue="1" maxValue="66250"/>
    </cacheField>
    <cacheField name="CurrentPrice" numFmtId="0">
      <sharedItems containsString="0" containsBlank="1" containsNumber="1" minValue="0.7" maxValue="534.29999999999995"/>
    </cacheField>
    <cacheField name="UpdatedDT" numFmtId="0">
      <sharedItems containsNonDate="0" containsDate="1" containsString="0" containsBlank="1" minDate="2020-02-10T00:00:00" maxDate="2020-02-11T00:00:00"/>
    </cacheField>
    <cacheField name="CurrentValue" numFmtId="0">
      <sharedItems containsString="0" containsBlank="1" containsNumber="1" containsInteger="1" minValue="1" maxValue="126945"/>
    </cacheField>
    <cacheField name="P/L" numFmtId="0">
      <sharedItems containsString="0" containsBlank="1" containsNumber="1" minValue="-29500" maxValue="67165"/>
    </cacheField>
    <cacheField name="P/L %" numFmtId="0">
      <sharedItems containsString="0" containsBlank="1" containsNumber="1" minValue="-0.61625282167042894" maxValue="1.123536299765808"/>
    </cacheField>
    <cacheField name="LTCG Days" numFmtId="2">
      <sharedItems containsString="0" containsBlank="1" containsNumber="1" containsInteger="1" minValue="41" maxValue="3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6">
  <r>
    <s v="LT Foods"/>
    <x v="0"/>
    <x v="0"/>
    <d v="2019-04-23T00:00:00"/>
    <n v="250"/>
    <n v="38"/>
    <n v="9500"/>
  </r>
  <r>
    <s v="LT Foods"/>
    <x v="0"/>
    <x v="1"/>
    <d v="2019-05-17T00:00:00"/>
    <n v="100"/>
    <n v="27.5"/>
    <n v="2750"/>
  </r>
  <r>
    <s v="LT Foods"/>
    <x v="0"/>
    <x v="1"/>
    <d v="2019-05-27T00:00:00"/>
    <n v="100"/>
    <n v="31.5"/>
    <n v="3150"/>
  </r>
  <r>
    <s v="LT Foods"/>
    <x v="0"/>
    <x v="2"/>
    <d v="2019-06-17T00:00:00"/>
    <n v="100"/>
    <n v="24.25"/>
    <n v="2425"/>
  </r>
  <r>
    <s v="LT Foods"/>
    <x v="0"/>
    <x v="2"/>
    <d v="2019-06-20T00:00:00"/>
    <n v="150"/>
    <n v="22"/>
    <n v="3300"/>
  </r>
  <r>
    <s v="LT Foods"/>
    <x v="0"/>
    <x v="3"/>
    <d v="2019-08-08T00:00:00"/>
    <n v="100"/>
    <n v="18.25"/>
    <n v="1825"/>
  </r>
  <r>
    <s v="LT Foods"/>
    <x v="0"/>
    <x v="3"/>
    <d v="2019-08-21T00:00:00"/>
    <n v="100"/>
    <n v="21"/>
    <n v="2100"/>
  </r>
  <r>
    <s v="LT Foods"/>
    <x v="0"/>
    <x v="4"/>
    <d v="2019-10-23T00:00:00"/>
    <n v="50"/>
    <n v="23.5"/>
    <n v="1175"/>
  </r>
  <r>
    <s v="LT Foods"/>
    <x v="0"/>
    <x v="5"/>
    <d v="2019-11-26T00:00:00"/>
    <n v="100"/>
    <n v="22.1"/>
    <n v="2210"/>
  </r>
  <r>
    <s v="LT Foods"/>
    <x v="0"/>
    <x v="6"/>
    <d v="2019-12-23T00:00:00"/>
    <n v="200"/>
    <n v="20"/>
    <n v="4000"/>
  </r>
  <r>
    <s v="LT Foods"/>
    <x v="1"/>
    <x v="7"/>
    <d v="2020-03-12T00:00:00"/>
    <n v="250"/>
    <n v="17"/>
    <n v="4250"/>
  </r>
  <r>
    <s v="LT Foods"/>
    <x v="1"/>
    <x v="7"/>
    <d v="2020-03-13T00:00:00"/>
    <n v="600"/>
    <n v="15.2"/>
    <n v="9120"/>
  </r>
  <r>
    <s v="LT Foods"/>
    <x v="2"/>
    <x v="8"/>
    <m/>
    <m/>
    <m/>
    <m/>
  </r>
  <r>
    <s v="LT Foods"/>
    <x v="2"/>
    <x v="8"/>
    <m/>
    <m/>
    <m/>
    <m/>
  </r>
  <r>
    <s v="LT Foods"/>
    <x v="2"/>
    <x v="8"/>
    <m/>
    <m/>
    <m/>
    <m/>
  </r>
  <r>
    <s v="LT Foods"/>
    <x v="2"/>
    <x v="8"/>
    <m/>
    <m/>
    <m/>
    <m/>
  </r>
  <r>
    <s v="LT Foods"/>
    <x v="2"/>
    <x v="8"/>
    <m/>
    <m/>
    <m/>
    <m/>
  </r>
  <r>
    <s v="LT Foods"/>
    <x v="2"/>
    <x v="8"/>
    <m/>
    <m/>
    <m/>
    <m/>
  </r>
  <r>
    <s v="LT Foods"/>
    <x v="2"/>
    <x v="8"/>
    <m/>
    <m/>
    <m/>
    <n v="0"/>
  </r>
  <r>
    <s v="LT Foods"/>
    <x v="2"/>
    <x v="8"/>
    <m/>
    <m/>
    <m/>
    <n v="0"/>
  </r>
  <r>
    <s v="India Cements"/>
    <x v="0"/>
    <x v="9"/>
    <d v="2019-09-09T00:00:00"/>
    <n v="1"/>
    <n v="1"/>
    <n v="1"/>
  </r>
  <r>
    <s v="India Cements"/>
    <x v="2"/>
    <x v="8"/>
    <m/>
    <m/>
    <m/>
    <n v="0"/>
  </r>
  <r>
    <s v="India Cements"/>
    <x v="2"/>
    <x v="8"/>
    <m/>
    <m/>
    <m/>
    <n v="0"/>
  </r>
  <r>
    <s v="India Cements"/>
    <x v="2"/>
    <x v="8"/>
    <m/>
    <m/>
    <m/>
    <n v="0"/>
  </r>
  <r>
    <s v="India Cements"/>
    <x v="2"/>
    <x v="8"/>
    <m/>
    <m/>
    <m/>
    <n v="0"/>
  </r>
  <r>
    <s v="India Cements"/>
    <x v="2"/>
    <x v="8"/>
    <m/>
    <m/>
    <m/>
    <n v="0"/>
  </r>
  <r>
    <s v="India Cements"/>
    <x v="2"/>
    <x v="8"/>
    <m/>
    <m/>
    <m/>
    <n v="0"/>
  </r>
  <r>
    <s v="India Cements"/>
    <x v="2"/>
    <x v="8"/>
    <m/>
    <m/>
    <m/>
    <n v="0"/>
  </r>
  <r>
    <s v="India Cements"/>
    <x v="2"/>
    <x v="8"/>
    <m/>
    <m/>
    <m/>
    <n v="0"/>
  </r>
  <r>
    <s v="Indian Oil"/>
    <x v="0"/>
    <x v="0"/>
    <d v="2019-04-23T00:00:00"/>
    <n v="10"/>
    <n v="162.87"/>
    <n v="1628.7"/>
  </r>
  <r>
    <s v="Indian Oil"/>
    <x v="0"/>
    <x v="1"/>
    <d v="2019-05-13T00:00:00"/>
    <n v="10"/>
    <n v="145"/>
    <n v="1450"/>
  </r>
  <r>
    <s v="Indian Oil"/>
    <x v="0"/>
    <x v="10"/>
    <d v="2019-07-29T00:00:00"/>
    <n v="20"/>
    <n v="140"/>
    <n v="2800"/>
  </r>
  <r>
    <s v="Indian Oil"/>
    <x v="0"/>
    <x v="3"/>
    <d v="2019-08-07T00:00:00"/>
    <n v="20"/>
    <n v="129"/>
    <n v="2580"/>
  </r>
  <r>
    <s v="Indian Oil"/>
    <x v="0"/>
    <x v="3"/>
    <d v="2019-08-21T00:00:00"/>
    <n v="10"/>
    <n v="122.5"/>
    <n v="1225"/>
  </r>
  <r>
    <s v="Indian Oil"/>
    <x v="1"/>
    <x v="8"/>
    <d v="2020-01-21T00:00:00"/>
    <n v="30"/>
    <n v="115"/>
    <n v="3450"/>
  </r>
  <r>
    <s v="Indian Oil"/>
    <x v="2"/>
    <x v="8"/>
    <m/>
    <m/>
    <m/>
    <n v="0"/>
  </r>
  <r>
    <s v="Indian Oil"/>
    <x v="2"/>
    <x v="8"/>
    <m/>
    <m/>
    <m/>
    <n v="0"/>
  </r>
  <r>
    <s v="Indian Oil"/>
    <x v="2"/>
    <x v="8"/>
    <m/>
    <m/>
    <m/>
    <n v="0"/>
  </r>
  <r>
    <s v="Fineotex Chemical"/>
    <x v="0"/>
    <x v="0"/>
    <d v="2019-04-23T00:00:00"/>
    <n v="100"/>
    <n v="40.42"/>
    <n v="4042"/>
  </r>
  <r>
    <s v="Fineotex Chemical"/>
    <x v="0"/>
    <x v="1"/>
    <d v="2019-05-06T00:00:00"/>
    <n v="50"/>
    <n v="35.75"/>
    <n v="1787.5"/>
  </r>
  <r>
    <s v="Fineotex Chemical"/>
    <x v="0"/>
    <x v="10"/>
    <d v="2019-07-23T00:00:00"/>
    <n v="100"/>
    <n v="30"/>
    <n v="3000"/>
  </r>
  <r>
    <s v="Fineotex Chemical"/>
    <x v="0"/>
    <x v="3"/>
    <d v="2019-08-02T00:00:00"/>
    <n v="100"/>
    <n v="25"/>
    <n v="2500"/>
  </r>
  <r>
    <s v="Fineotex Chemical"/>
    <x v="0"/>
    <x v="3"/>
    <d v="2019-08-20T00:00:00"/>
    <n v="50"/>
    <n v="25"/>
    <n v="1250"/>
  </r>
  <r>
    <s v="Fineotex Chemical"/>
    <x v="0"/>
    <x v="11"/>
    <d v="2019-02-05T00:00:00"/>
    <n v="100"/>
    <n v="28.9"/>
    <n v="2890"/>
  </r>
  <r>
    <s v="Fineotex Chemical"/>
    <x v="0"/>
    <x v="7"/>
    <d v="2019-03-18T00:00:00"/>
    <n v="100"/>
    <n v="40"/>
    <n v="4000"/>
  </r>
  <r>
    <s v="Fineotex Chemical"/>
    <x v="0"/>
    <x v="1"/>
    <d v="2019-05-06T00:00:00"/>
    <n v="50"/>
    <n v="35.75"/>
    <n v="1787.5"/>
  </r>
  <r>
    <s v="Fineotex Chemical"/>
    <x v="0"/>
    <x v="10"/>
    <d v="2019-07-23T00:00:00"/>
    <n v="100"/>
    <n v="30"/>
    <n v="3000"/>
  </r>
  <r>
    <s v="Fineotex Chemical"/>
    <x v="0"/>
    <x v="3"/>
    <d v="2019-08-02T00:00:00"/>
    <n v="100"/>
    <n v="25"/>
    <n v="2500"/>
  </r>
  <r>
    <s v="Fineotex Chemical"/>
    <x v="0"/>
    <x v="3"/>
    <d v="2019-08-20T00:00:00"/>
    <n v="50"/>
    <n v="25"/>
    <n v="1250"/>
  </r>
  <r>
    <s v="Fineotex Chemical"/>
    <x v="1"/>
    <x v="11"/>
    <d v="2020-02-05T00:00:00"/>
    <n v="100"/>
    <n v="29.07"/>
    <n v="2907"/>
  </r>
  <r>
    <s v="Fineotex Chemical"/>
    <x v="1"/>
    <x v="11"/>
    <d v="2020-02-18T00:00:00"/>
    <n v="100"/>
    <n v="25"/>
    <n v="2500"/>
  </r>
  <r>
    <s v="Fineotex Chemical"/>
    <x v="1"/>
    <x v="7"/>
    <d v="2020-03-02T00:00:00"/>
    <n v="150"/>
    <n v="23"/>
    <n v="3450"/>
  </r>
  <r>
    <s v="Fineotex Chemical"/>
    <x v="1"/>
    <x v="7"/>
    <d v="2020-03-04T00:00:00"/>
    <n v="250"/>
    <n v="22"/>
    <n v="5500"/>
  </r>
  <r>
    <s v="Fineotex Chemical"/>
    <x v="1"/>
    <x v="7"/>
    <d v="2020-03-13T00:00:00"/>
    <n v="250"/>
    <n v="18.5"/>
    <n v="4625"/>
  </r>
  <r>
    <s v="Fineotex Chemical"/>
    <x v="2"/>
    <x v="8"/>
    <m/>
    <m/>
    <m/>
    <m/>
  </r>
  <r>
    <s v="Fineotex Chemical"/>
    <x v="2"/>
    <x v="8"/>
    <m/>
    <m/>
    <m/>
    <m/>
  </r>
  <r>
    <s v="Fineotex Chemical"/>
    <x v="2"/>
    <x v="8"/>
    <m/>
    <m/>
    <m/>
    <m/>
  </r>
  <r>
    <s v="Fineotex Chemical"/>
    <x v="2"/>
    <x v="8"/>
    <m/>
    <m/>
    <m/>
    <n v="0"/>
  </r>
  <r>
    <s v="Vakrangee"/>
    <x v="0"/>
    <x v="0"/>
    <d v="2019-04-24T00:00:00"/>
    <n v="25"/>
    <n v="61.67"/>
    <n v="1541.75"/>
  </r>
  <r>
    <s v="Vakrangee"/>
    <x v="0"/>
    <x v="1"/>
    <d v="2019-05-15T00:00:00"/>
    <n v="50"/>
    <n v="50"/>
    <n v="2500"/>
  </r>
  <r>
    <s v="Vakrangee"/>
    <x v="0"/>
    <x v="3"/>
    <d v="2019-08-20T00:00:00"/>
    <n v="25"/>
    <n v="34.5"/>
    <n v="862.5"/>
  </r>
  <r>
    <s v="Vakrangee"/>
    <x v="0"/>
    <x v="3"/>
    <d v="2019-08-20T00:00:00"/>
    <n v="25"/>
    <n v="34"/>
    <n v="850"/>
  </r>
  <r>
    <s v="Vakrangee"/>
    <x v="0"/>
    <x v="3"/>
    <d v="2019-08-21T00:00:00"/>
    <n v="25"/>
    <n v="32"/>
    <n v="800"/>
  </r>
  <r>
    <s v="Vakrangee"/>
    <x v="0"/>
    <x v="9"/>
    <d v="2019-09-24T00:00:00"/>
    <n v="100"/>
    <n v="30"/>
    <n v="3000"/>
  </r>
  <r>
    <s v="Vakrangee"/>
    <x v="0"/>
    <x v="4"/>
    <d v="2019-10-01T00:00:00"/>
    <n v="50"/>
    <n v="30"/>
    <n v="1500"/>
  </r>
  <r>
    <s v="Vakrangee"/>
    <x v="0"/>
    <x v="4"/>
    <d v="2019-10-07T00:00:00"/>
    <n v="50"/>
    <n v="28"/>
    <n v="1400"/>
  </r>
  <r>
    <s v="Vakrangee"/>
    <x v="0"/>
    <x v="4"/>
    <d v="2019-10-09T00:00:00"/>
    <n v="100"/>
    <n v="26"/>
    <n v="2600"/>
  </r>
  <r>
    <s v="Vakrangee"/>
    <x v="0"/>
    <x v="4"/>
    <d v="2019-10-11T00:00:00"/>
    <n v="250"/>
    <n v="24.9"/>
    <n v="6225"/>
  </r>
  <r>
    <s v="Vakrangee"/>
    <x v="0"/>
    <x v="6"/>
    <d v="2019-12-24T00:00:00"/>
    <n v="50"/>
    <n v="41"/>
    <n v="2050"/>
  </r>
  <r>
    <s v="Vakrangee"/>
    <x v="1"/>
    <x v="11"/>
    <d v="2020-02-10T00:00:00"/>
    <n v="50"/>
    <n v="44"/>
    <n v="2200"/>
  </r>
  <r>
    <s v="Vakrangee"/>
    <x v="2"/>
    <x v="8"/>
    <m/>
    <m/>
    <m/>
    <m/>
  </r>
  <r>
    <s v="Vakrangee"/>
    <x v="2"/>
    <x v="8"/>
    <m/>
    <m/>
    <m/>
    <m/>
  </r>
  <r>
    <s v="Vakrangee"/>
    <x v="2"/>
    <x v="8"/>
    <m/>
    <m/>
    <m/>
    <m/>
  </r>
  <r>
    <s v="BIOCON"/>
    <x v="0"/>
    <x v="1"/>
    <d v="2019-05-02T00:00:00"/>
    <n v="20"/>
    <n v="280"/>
    <n v="5600"/>
  </r>
  <r>
    <s v="BIOCON"/>
    <x v="0"/>
    <x v="10"/>
    <d v="2019-07-09T00:00:00"/>
    <n v="30"/>
    <n v="230"/>
    <n v="6900"/>
  </r>
  <r>
    <s v="BIOCON"/>
    <x v="0"/>
    <x v="3"/>
    <d v="2019-08-19T00:00:00"/>
    <n v="10"/>
    <n v="219"/>
    <n v="2190"/>
  </r>
  <r>
    <s v="BIOCON"/>
    <x v="0"/>
    <x v="9"/>
    <d v="2019-09-25T00:00:00"/>
    <n v="10"/>
    <n v="218"/>
    <n v="2180"/>
  </r>
  <r>
    <s v="BIOCON"/>
    <x v="0"/>
    <x v="4"/>
    <d v="2019-10-27T00:00:00"/>
    <n v="5"/>
    <n v="242.5"/>
    <n v="1212.5"/>
  </r>
  <r>
    <s v="BIOCON"/>
    <x v="1"/>
    <x v="8"/>
    <d v="2020-01-08T00:00:00"/>
    <n v="25"/>
    <n v="280"/>
    <n v="7000"/>
  </r>
  <r>
    <s v="BIOCON"/>
    <x v="1"/>
    <x v="11"/>
    <d v="2020-02-28T00:00:00"/>
    <n v="25"/>
    <n v="290"/>
    <n v="7250"/>
  </r>
  <r>
    <s v="BIOCON"/>
    <x v="2"/>
    <x v="8"/>
    <m/>
    <m/>
    <m/>
    <n v="0"/>
  </r>
  <r>
    <s v="BIOCON"/>
    <x v="2"/>
    <x v="8"/>
    <m/>
    <m/>
    <m/>
    <m/>
  </r>
  <r>
    <s v="BIOCON"/>
    <x v="2"/>
    <x v="8"/>
    <m/>
    <m/>
    <m/>
    <m/>
  </r>
  <r>
    <s v="BIOCON"/>
    <x v="2"/>
    <x v="8"/>
    <m/>
    <m/>
    <m/>
    <m/>
  </r>
  <r>
    <s v="BIOCON"/>
    <x v="2"/>
    <x v="8"/>
    <m/>
    <m/>
    <m/>
    <m/>
  </r>
  <r>
    <s v="BIOCON"/>
    <x v="2"/>
    <x v="8"/>
    <m/>
    <m/>
    <m/>
    <m/>
  </r>
  <r>
    <s v="BIOCON"/>
    <x v="2"/>
    <x v="8"/>
    <m/>
    <m/>
    <m/>
    <m/>
  </r>
  <r>
    <s v="BIOCON"/>
    <x v="2"/>
    <x v="8"/>
    <m/>
    <m/>
    <m/>
    <n v="0"/>
  </r>
  <r>
    <s v="YesBank"/>
    <x v="0"/>
    <x v="6"/>
    <d v="2019-12-19T00:00:00"/>
    <n v="200"/>
    <n v="48.4"/>
    <n v="9680"/>
  </r>
  <r>
    <s v="YesBank"/>
    <x v="1"/>
    <x v="8"/>
    <d v="2020-01-13T00:00:00"/>
    <n v="50"/>
    <n v="42"/>
    <n v="2100"/>
  </r>
  <r>
    <s v="YesBank"/>
    <x v="1"/>
    <x v="8"/>
    <d v="2020-01-15T00:00:00"/>
    <n v="50"/>
    <n v="39"/>
    <n v="1950"/>
  </r>
  <r>
    <s v="YesBank"/>
    <x v="1"/>
    <x v="11"/>
    <d v="2020-02-05T00:00:00"/>
    <n v="200"/>
    <n v="38"/>
    <n v="7600"/>
  </r>
  <r>
    <s v="YesBank"/>
    <x v="1"/>
    <x v="7"/>
    <d v="2020-03-03T00:00:00"/>
    <n v="250"/>
    <n v="31"/>
    <n v="7750"/>
  </r>
  <r>
    <s v="YesBank"/>
    <x v="1"/>
    <x v="7"/>
    <d v="2020-03-04T00:00:00"/>
    <n v="250"/>
    <n v="29"/>
    <n v="7250"/>
  </r>
  <r>
    <s v="YesBank"/>
    <x v="1"/>
    <x v="7"/>
    <d v="2020-03-05T00:00:00"/>
    <n v="100"/>
    <n v="29"/>
    <n v="2900"/>
  </r>
  <r>
    <s v="YesBank"/>
    <x v="1"/>
    <x v="7"/>
    <d v="2020-03-09T00:00:00"/>
    <n v="1000"/>
    <n v="20.55"/>
    <n v="20550"/>
  </r>
  <r>
    <s v="YesBank"/>
    <x v="2"/>
    <x v="8"/>
    <m/>
    <m/>
    <m/>
    <m/>
  </r>
  <r>
    <s v="YesBank"/>
    <x v="2"/>
    <x v="8"/>
    <m/>
    <m/>
    <m/>
    <m/>
  </r>
  <r>
    <s v="YesBank"/>
    <x v="2"/>
    <x v="8"/>
    <m/>
    <m/>
    <m/>
    <m/>
  </r>
  <r>
    <s v="YesBank"/>
    <x v="2"/>
    <x v="8"/>
    <m/>
    <m/>
    <m/>
    <m/>
  </r>
  <r>
    <s v="YesBank"/>
    <x v="2"/>
    <x v="8"/>
    <m/>
    <m/>
    <m/>
    <m/>
  </r>
  <r>
    <s v="YesBank"/>
    <x v="2"/>
    <x v="8"/>
    <m/>
    <m/>
    <m/>
    <m/>
  </r>
  <r>
    <s v="YesBank"/>
    <x v="2"/>
    <x v="8"/>
    <m/>
    <m/>
    <m/>
    <n v="0"/>
  </r>
  <r>
    <s v="Granules India"/>
    <x v="1"/>
    <x v="8"/>
    <d v="2020-01-23T00:00:00"/>
    <n v="100"/>
    <n v="156.80000000000001"/>
    <n v="15680.000000000002"/>
  </r>
  <r>
    <s v="Granules India"/>
    <x v="2"/>
    <x v="8"/>
    <m/>
    <m/>
    <m/>
    <n v="0"/>
  </r>
  <r>
    <s v="Granules India"/>
    <x v="2"/>
    <x v="8"/>
    <m/>
    <m/>
    <m/>
    <n v="0"/>
  </r>
  <r>
    <s v="Granules India"/>
    <x v="2"/>
    <x v="8"/>
    <m/>
    <m/>
    <m/>
    <n v="0"/>
  </r>
  <r>
    <s v="Granules India"/>
    <x v="2"/>
    <x v="8"/>
    <m/>
    <m/>
    <m/>
    <n v="0"/>
  </r>
  <r>
    <s v="Granules India"/>
    <x v="2"/>
    <x v="8"/>
    <m/>
    <m/>
    <m/>
    <n v="0"/>
  </r>
  <r>
    <s v="Granules India"/>
    <x v="2"/>
    <x v="8"/>
    <m/>
    <m/>
    <m/>
    <n v="0"/>
  </r>
  <r>
    <s v="Granules India"/>
    <x v="2"/>
    <x v="8"/>
    <m/>
    <m/>
    <m/>
    <n v="0"/>
  </r>
  <r>
    <s v="Granules India"/>
    <x v="2"/>
    <x v="8"/>
    <m/>
    <m/>
    <m/>
    <n v="0"/>
  </r>
  <r>
    <s v="Infosys"/>
    <x v="1"/>
    <x v="8"/>
    <d v="2020-01-08T00:00:00"/>
    <n v="10"/>
    <n v="716.33"/>
    <n v="7163.3"/>
  </r>
  <r>
    <s v="Infosys"/>
    <x v="1"/>
    <x v="7"/>
    <d v="2020-03-13T00:00:00"/>
    <n v="20"/>
    <n v="625.79"/>
    <n v="12515.8"/>
  </r>
  <r>
    <s v="Infosys"/>
    <x v="1"/>
    <x v="7"/>
    <d v="2020-03-17T00:00:00"/>
    <n v="10"/>
    <n v="572.29999999999995"/>
    <n v="5723"/>
  </r>
  <r>
    <s v="Infosys"/>
    <x v="2"/>
    <x v="8"/>
    <m/>
    <m/>
    <m/>
    <n v="0"/>
  </r>
  <r>
    <s v="Infosys"/>
    <x v="2"/>
    <x v="8"/>
    <m/>
    <m/>
    <m/>
    <n v="0"/>
  </r>
  <r>
    <s v="Infosys"/>
    <x v="2"/>
    <x v="8"/>
    <m/>
    <m/>
    <m/>
    <n v="0"/>
  </r>
  <r>
    <s v="Infosys"/>
    <x v="2"/>
    <x v="8"/>
    <m/>
    <m/>
    <m/>
    <n v="0"/>
  </r>
  <r>
    <s v="Infosys"/>
    <x v="2"/>
    <x v="8"/>
    <m/>
    <m/>
    <m/>
    <n v="0"/>
  </r>
  <r>
    <s v="Infosys"/>
    <x v="2"/>
    <x v="8"/>
    <m/>
    <m/>
    <m/>
    <n v="0"/>
  </r>
  <r>
    <s v="PC Jweller"/>
    <x v="0"/>
    <x v="5"/>
    <d v="2019-11-06T00:00:00"/>
    <n v="100"/>
    <n v="35.700000000000003"/>
    <n v="3570.0000000000005"/>
  </r>
  <r>
    <s v="PC Jweller"/>
    <x v="1"/>
    <x v="11"/>
    <d v="2020-02-05T00:00:00"/>
    <n v="150"/>
    <n v="20.5"/>
    <n v="3075"/>
  </r>
  <r>
    <s v="PC Jweller"/>
    <x v="2"/>
    <x v="8"/>
    <m/>
    <m/>
    <m/>
    <n v="0"/>
  </r>
  <r>
    <s v="PC Jweller"/>
    <x v="2"/>
    <x v="8"/>
    <m/>
    <m/>
    <m/>
    <n v="0"/>
  </r>
  <r>
    <s v="PC Jweller"/>
    <x v="2"/>
    <x v="8"/>
    <m/>
    <m/>
    <m/>
    <n v="0"/>
  </r>
  <r>
    <s v="PC Jweller"/>
    <x v="2"/>
    <x v="8"/>
    <m/>
    <m/>
    <m/>
    <n v="0"/>
  </r>
  <r>
    <s v="PC Jweller"/>
    <x v="2"/>
    <x v="8"/>
    <m/>
    <m/>
    <m/>
    <n v="0"/>
  </r>
  <r>
    <s v="PC Jweller"/>
    <x v="2"/>
    <x v="8"/>
    <m/>
    <m/>
    <m/>
    <n v="0"/>
  </r>
  <r>
    <s v="PC Jweller"/>
    <x v="2"/>
    <x v="8"/>
    <m/>
    <m/>
    <m/>
    <n v="0"/>
  </r>
  <r>
    <s v="Relcom"/>
    <x v="0"/>
    <x v="6"/>
    <d v="2019-12-06T00:00:00"/>
    <n v="5000"/>
    <n v="1.2"/>
    <n v="6000"/>
  </r>
  <r>
    <s v="Relcom"/>
    <x v="2"/>
    <x v="8"/>
    <m/>
    <m/>
    <m/>
    <n v="0"/>
  </r>
  <r>
    <s v="Relcom"/>
    <x v="2"/>
    <x v="8"/>
    <m/>
    <m/>
    <m/>
    <n v="0"/>
  </r>
  <r>
    <s v="Relcom"/>
    <x v="2"/>
    <x v="8"/>
    <m/>
    <m/>
    <m/>
    <n v="0"/>
  </r>
  <r>
    <s v="Relcom"/>
    <x v="2"/>
    <x v="8"/>
    <m/>
    <m/>
    <m/>
    <n v="0"/>
  </r>
  <r>
    <s v="Relcom"/>
    <x v="2"/>
    <x v="8"/>
    <m/>
    <m/>
    <m/>
    <n v="0"/>
  </r>
  <r>
    <s v="Relcom"/>
    <x v="2"/>
    <x v="8"/>
    <m/>
    <m/>
    <m/>
    <n v="0"/>
  </r>
  <r>
    <s v="Relcom"/>
    <x v="2"/>
    <x v="8"/>
    <m/>
    <m/>
    <m/>
    <n v="0"/>
  </r>
  <r>
    <s v="Relcom"/>
    <x v="2"/>
    <x v="8"/>
    <m/>
    <m/>
    <m/>
    <n v="0"/>
  </r>
  <r>
    <s v="NCC"/>
    <x v="1"/>
    <x v="11"/>
    <d v="2020-02-06T00:00:00"/>
    <n v="250"/>
    <n v="52.5"/>
    <n v="13125"/>
  </r>
  <r>
    <s v="NCC"/>
    <x v="1"/>
    <x v="11"/>
    <d v="2020-02-10T00:00:00"/>
    <n v="50"/>
    <n v="49"/>
    <n v="2450"/>
  </r>
  <r>
    <s v="NCC"/>
    <x v="1"/>
    <x v="11"/>
    <d v="2020-02-18T00:00:00"/>
    <n v="100"/>
    <n v="40"/>
    <n v="4000"/>
  </r>
  <r>
    <s v="NCC"/>
    <x v="1"/>
    <x v="7"/>
    <d v="2020-03-05T00:00:00"/>
    <n v="200"/>
    <n v="35.5"/>
    <n v="7100"/>
  </r>
  <r>
    <s v="NCC"/>
    <x v="1"/>
    <x v="7"/>
    <d v="2020-03-13T00:00:00"/>
    <n v="600"/>
    <n v="21.1"/>
    <n v="12660"/>
  </r>
  <r>
    <s v="NCC"/>
    <x v="2"/>
    <x v="8"/>
    <m/>
    <m/>
    <m/>
    <n v="0"/>
  </r>
  <r>
    <s v="NCC"/>
    <x v="2"/>
    <x v="8"/>
    <m/>
    <m/>
    <m/>
    <n v="0"/>
  </r>
  <r>
    <s v="NCC"/>
    <x v="2"/>
    <x v="8"/>
    <m/>
    <m/>
    <m/>
    <n v="0"/>
  </r>
  <r>
    <s v="NCC"/>
    <x v="2"/>
    <x v="8"/>
    <m/>
    <m/>
    <m/>
    <n v="0"/>
  </r>
  <r>
    <s v="JSW Steel"/>
    <x v="0"/>
    <x v="6"/>
    <d v="2019-12-31T00:00:00"/>
    <n v="100"/>
    <n v="270.76"/>
    <n v="27076"/>
  </r>
  <r>
    <s v="JSW Steel"/>
    <x v="2"/>
    <x v="8"/>
    <m/>
    <m/>
    <m/>
    <n v="0"/>
  </r>
  <r>
    <s v="JSW Steel"/>
    <x v="2"/>
    <x v="8"/>
    <m/>
    <m/>
    <m/>
    <n v="0"/>
  </r>
  <r>
    <s v="JSW Steel"/>
    <x v="2"/>
    <x v="8"/>
    <m/>
    <m/>
    <m/>
    <n v="0"/>
  </r>
  <r>
    <s v="JSW Steel"/>
    <x v="2"/>
    <x v="8"/>
    <m/>
    <m/>
    <m/>
    <n v="0"/>
  </r>
  <r>
    <s v="JSW Steel"/>
    <x v="2"/>
    <x v="8"/>
    <m/>
    <m/>
    <m/>
    <n v="0"/>
  </r>
  <r>
    <s v="JSW Steel"/>
    <x v="2"/>
    <x v="8"/>
    <m/>
    <m/>
    <m/>
    <n v="0"/>
  </r>
  <r>
    <s v="JSW Steel"/>
    <x v="2"/>
    <x v="8"/>
    <m/>
    <m/>
    <m/>
    <n v="0"/>
  </r>
  <r>
    <s v="JSW Steel"/>
    <x v="2"/>
    <x v="8"/>
    <m/>
    <m/>
    <m/>
    <n v="0"/>
  </r>
  <r>
    <s v="Punjab National Bank"/>
    <x v="1"/>
    <x v="8"/>
    <d v="2020-01-07T00:00:00"/>
    <n v="1000"/>
    <n v="66.25"/>
    <n v="66250"/>
  </r>
  <r>
    <s v="Punjab National Bank"/>
    <x v="2"/>
    <x v="8"/>
    <m/>
    <m/>
    <m/>
    <n v="0"/>
  </r>
  <r>
    <s v="Punjab National Bank"/>
    <x v="2"/>
    <x v="8"/>
    <m/>
    <m/>
    <m/>
    <n v="0"/>
  </r>
  <r>
    <s v="Punjab National Bank"/>
    <x v="2"/>
    <x v="8"/>
    <m/>
    <m/>
    <m/>
    <n v="0"/>
  </r>
  <r>
    <s v="Punjab National Bank"/>
    <x v="2"/>
    <x v="8"/>
    <m/>
    <m/>
    <m/>
    <n v="0"/>
  </r>
  <r>
    <s v="Punjab National Bank"/>
    <x v="2"/>
    <x v="8"/>
    <m/>
    <m/>
    <m/>
    <n v="0"/>
  </r>
  <r>
    <s v="Punjab National Bank"/>
    <x v="2"/>
    <x v="8"/>
    <m/>
    <m/>
    <m/>
    <n v="0"/>
  </r>
  <r>
    <s v="Punjab National Bank"/>
    <x v="2"/>
    <x v="8"/>
    <m/>
    <m/>
    <m/>
    <n v="0"/>
  </r>
  <r>
    <s v="Punjab National Bank"/>
    <x v="2"/>
    <x v="8"/>
    <m/>
    <m/>
    <m/>
    <n v="0"/>
  </r>
  <r>
    <s v="KNR Constructions"/>
    <x v="1"/>
    <x v="11"/>
    <d v="2020-02-05T00:00:00"/>
    <n v="1"/>
    <n v="1"/>
    <n v="1"/>
  </r>
  <r>
    <s v="KNR Constructions"/>
    <x v="2"/>
    <x v="8"/>
    <m/>
    <m/>
    <m/>
    <n v="0"/>
  </r>
  <r>
    <s v="KNR Constructions"/>
    <x v="2"/>
    <x v="8"/>
    <m/>
    <m/>
    <m/>
    <n v="0"/>
  </r>
  <r>
    <s v="KNR Constructions"/>
    <x v="2"/>
    <x v="8"/>
    <m/>
    <m/>
    <m/>
    <n v="0"/>
  </r>
  <r>
    <s v="KNR Constructions"/>
    <x v="2"/>
    <x v="8"/>
    <m/>
    <m/>
    <m/>
    <n v="0"/>
  </r>
  <r>
    <s v="KNR Constructions"/>
    <x v="2"/>
    <x v="8"/>
    <m/>
    <m/>
    <m/>
    <n v="0"/>
  </r>
  <r>
    <s v="KNR Constructions"/>
    <x v="2"/>
    <x v="8"/>
    <m/>
    <m/>
    <m/>
    <n v="0"/>
  </r>
  <r>
    <s v="KNR Constructions"/>
    <x v="2"/>
    <x v="8"/>
    <m/>
    <m/>
    <m/>
    <n v="0"/>
  </r>
  <r>
    <s v="KNR Constructions"/>
    <x v="2"/>
    <x v="8"/>
    <m/>
    <m/>
    <m/>
    <n v="0"/>
  </r>
  <r>
    <m/>
    <x v="3"/>
    <x v="1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6">
  <r>
    <s v="LT Foods"/>
    <x v="0"/>
    <n v="2019"/>
    <n v="4"/>
    <d v="2019-04-23T00:00:00"/>
    <n v="250"/>
    <n v="38"/>
    <n v="9500"/>
    <n v="2100"/>
    <n v="21.811904761904763"/>
    <n v="45805"/>
    <n v="17.2"/>
    <d v="2020-02-10T00:00:00"/>
    <n v="36120"/>
    <n v="-9685"/>
    <n v="-0.21143979914856456"/>
    <n v="330"/>
  </r>
  <r>
    <m/>
    <x v="0"/>
    <n v="2019"/>
    <n v="5"/>
    <d v="2019-05-17T00:00:00"/>
    <n v="100"/>
    <n v="27.5"/>
    <n v="2750"/>
    <m/>
    <m/>
    <m/>
    <m/>
    <m/>
    <m/>
    <m/>
    <m/>
    <m/>
  </r>
  <r>
    <m/>
    <x v="0"/>
    <n v="2019"/>
    <n v="5"/>
    <d v="2019-05-27T00:00:00"/>
    <n v="100"/>
    <n v="31.5"/>
    <n v="3150"/>
    <m/>
    <m/>
    <m/>
    <m/>
    <m/>
    <m/>
    <m/>
    <m/>
    <m/>
  </r>
  <r>
    <m/>
    <x v="0"/>
    <n v="2019"/>
    <n v="6"/>
    <d v="2019-06-17T00:00:00"/>
    <n v="100"/>
    <n v="24.25"/>
    <n v="2425"/>
    <m/>
    <m/>
    <m/>
    <m/>
    <m/>
    <m/>
    <m/>
    <m/>
    <m/>
  </r>
  <r>
    <m/>
    <x v="0"/>
    <n v="2019"/>
    <n v="6"/>
    <d v="2019-06-20T00:00:00"/>
    <n v="150"/>
    <n v="22"/>
    <n v="3300"/>
    <m/>
    <m/>
    <m/>
    <m/>
    <m/>
    <m/>
    <m/>
    <m/>
    <m/>
  </r>
  <r>
    <m/>
    <x v="0"/>
    <n v="2019"/>
    <n v="8"/>
    <d v="2019-08-08T00:00:00"/>
    <n v="100"/>
    <n v="18.25"/>
    <n v="1825"/>
    <m/>
    <m/>
    <m/>
    <m/>
    <m/>
    <m/>
    <m/>
    <m/>
    <m/>
  </r>
  <r>
    <m/>
    <x v="0"/>
    <n v="2019"/>
    <n v="8"/>
    <d v="2019-08-21T00:00:00"/>
    <n v="100"/>
    <n v="21"/>
    <n v="2100"/>
    <m/>
    <m/>
    <m/>
    <m/>
    <m/>
    <m/>
    <m/>
    <m/>
    <m/>
  </r>
  <r>
    <m/>
    <x v="0"/>
    <n v="2019"/>
    <n v="10"/>
    <d v="2019-10-23T00:00:00"/>
    <n v="50"/>
    <n v="23.5"/>
    <n v="1175"/>
    <m/>
    <m/>
    <m/>
    <m/>
    <m/>
    <m/>
    <m/>
    <m/>
    <m/>
  </r>
  <r>
    <m/>
    <x v="0"/>
    <n v="2019"/>
    <n v="11"/>
    <d v="2019-11-26T00:00:00"/>
    <n v="100"/>
    <n v="22.1"/>
    <n v="2210"/>
    <m/>
    <m/>
    <m/>
    <m/>
    <m/>
    <m/>
    <m/>
    <m/>
    <m/>
  </r>
  <r>
    <m/>
    <x v="0"/>
    <n v="2019"/>
    <n v="12"/>
    <d v="2019-12-23T00:00:00"/>
    <n v="200"/>
    <n v="20"/>
    <n v="4000"/>
    <m/>
    <m/>
    <m/>
    <m/>
    <m/>
    <m/>
    <m/>
    <m/>
    <m/>
  </r>
  <r>
    <m/>
    <x v="0"/>
    <n v="2020"/>
    <n v="3"/>
    <d v="2020-03-12T00:00:00"/>
    <n v="250"/>
    <n v="17"/>
    <n v="4250"/>
    <m/>
    <m/>
    <m/>
    <m/>
    <m/>
    <m/>
    <m/>
    <m/>
    <m/>
  </r>
  <r>
    <m/>
    <x v="0"/>
    <n v="2020"/>
    <n v="3"/>
    <d v="2020-03-13T00:00:00"/>
    <n v="600"/>
    <n v="15.2"/>
    <n v="9120"/>
    <m/>
    <m/>
    <m/>
    <m/>
    <m/>
    <m/>
    <m/>
    <m/>
    <m/>
  </r>
  <r>
    <m/>
    <x v="0"/>
    <n v="1900"/>
    <n v="1"/>
    <m/>
    <m/>
    <m/>
    <m/>
    <m/>
    <m/>
    <m/>
    <m/>
    <m/>
    <m/>
    <m/>
    <m/>
    <m/>
  </r>
  <r>
    <m/>
    <x v="0"/>
    <n v="1900"/>
    <n v="1"/>
    <m/>
    <m/>
    <m/>
    <m/>
    <m/>
    <m/>
    <m/>
    <m/>
    <m/>
    <m/>
    <m/>
    <m/>
    <m/>
  </r>
  <r>
    <m/>
    <x v="0"/>
    <n v="1900"/>
    <n v="1"/>
    <m/>
    <m/>
    <m/>
    <m/>
    <m/>
    <m/>
    <m/>
    <m/>
    <m/>
    <m/>
    <m/>
    <m/>
    <m/>
  </r>
  <r>
    <m/>
    <x v="0"/>
    <n v="1900"/>
    <n v="1"/>
    <m/>
    <m/>
    <m/>
    <m/>
    <m/>
    <m/>
    <m/>
    <m/>
    <m/>
    <m/>
    <m/>
    <m/>
    <m/>
  </r>
  <r>
    <m/>
    <x v="0"/>
    <n v="1900"/>
    <n v="1"/>
    <m/>
    <m/>
    <m/>
    <m/>
    <m/>
    <m/>
    <m/>
    <m/>
    <m/>
    <m/>
    <m/>
    <m/>
    <m/>
  </r>
  <r>
    <m/>
    <x v="0"/>
    <n v="1900"/>
    <n v="1"/>
    <m/>
    <m/>
    <m/>
    <m/>
    <m/>
    <m/>
    <m/>
    <m/>
    <m/>
    <m/>
    <m/>
    <m/>
    <m/>
  </r>
  <r>
    <m/>
    <x v="0"/>
    <n v="1900"/>
    <n v="1"/>
    <m/>
    <m/>
    <m/>
    <n v="0"/>
    <m/>
    <m/>
    <m/>
    <m/>
    <m/>
    <m/>
    <m/>
    <m/>
    <m/>
  </r>
  <r>
    <m/>
    <x v="0"/>
    <n v="1900"/>
    <n v="1"/>
    <m/>
    <m/>
    <m/>
    <n v="0"/>
    <m/>
    <m/>
    <m/>
    <m/>
    <m/>
    <m/>
    <m/>
    <m/>
    <m/>
  </r>
  <r>
    <s v="India Cements"/>
    <x v="1"/>
    <n v="2019"/>
    <n v="9"/>
    <d v="2019-09-09T00:00:00"/>
    <n v="1"/>
    <n v="1"/>
    <n v="1"/>
    <n v="1"/>
    <n v="1"/>
    <n v="1"/>
    <n v="1"/>
    <d v="2020-02-10T00:00:00"/>
    <n v="1"/>
    <n v="0"/>
    <n v="0"/>
    <n v="191"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m/>
    <x v="1"/>
    <n v="1900"/>
    <n v="1"/>
    <m/>
    <m/>
    <m/>
    <n v="0"/>
    <m/>
    <m/>
    <m/>
    <m/>
    <m/>
    <m/>
    <m/>
    <m/>
    <m/>
  </r>
  <r>
    <s v="Indian Oil"/>
    <x v="2"/>
    <n v="2019"/>
    <n v="4"/>
    <d v="2019-04-23T00:00:00"/>
    <n v="10"/>
    <n v="162.87"/>
    <n v="1628.7"/>
    <n v="100"/>
    <n v="131.33700000000002"/>
    <n v="13133.700000000003"/>
    <n v="87.6"/>
    <d v="2020-02-10T00:00:00"/>
    <n v="8760"/>
    <n v="-4373.7000000000025"/>
    <n v="-0.33301354530711086"/>
    <n v="330"/>
  </r>
  <r>
    <m/>
    <x v="2"/>
    <n v="2019"/>
    <n v="5"/>
    <d v="2019-05-13T00:00:00"/>
    <n v="10"/>
    <n v="145"/>
    <n v="1450"/>
    <m/>
    <m/>
    <m/>
    <m/>
    <m/>
    <m/>
    <m/>
    <m/>
    <m/>
  </r>
  <r>
    <m/>
    <x v="2"/>
    <n v="2019"/>
    <n v="7"/>
    <d v="2019-07-29T00:00:00"/>
    <n v="20"/>
    <n v="140"/>
    <n v="2800"/>
    <m/>
    <m/>
    <m/>
    <m/>
    <m/>
    <m/>
    <m/>
    <m/>
    <m/>
  </r>
  <r>
    <m/>
    <x v="2"/>
    <n v="2019"/>
    <n v="8"/>
    <d v="2019-08-07T00:00:00"/>
    <n v="20"/>
    <n v="129"/>
    <n v="2580"/>
    <m/>
    <m/>
    <m/>
    <m/>
    <m/>
    <m/>
    <m/>
    <m/>
    <m/>
  </r>
  <r>
    <m/>
    <x v="2"/>
    <n v="2019"/>
    <n v="8"/>
    <d v="2019-08-21T00:00:00"/>
    <n v="10"/>
    <n v="122.5"/>
    <n v="1225"/>
    <m/>
    <m/>
    <m/>
    <m/>
    <m/>
    <m/>
    <m/>
    <m/>
    <m/>
  </r>
  <r>
    <m/>
    <x v="2"/>
    <n v="2020"/>
    <n v="1"/>
    <d v="2020-01-21T00:00:00"/>
    <n v="30"/>
    <n v="115"/>
    <n v="3450"/>
    <m/>
    <m/>
    <m/>
    <m/>
    <m/>
    <m/>
    <m/>
    <m/>
    <m/>
  </r>
  <r>
    <m/>
    <x v="2"/>
    <n v="1900"/>
    <n v="1"/>
    <m/>
    <m/>
    <m/>
    <n v="0"/>
    <m/>
    <m/>
    <m/>
    <m/>
    <m/>
    <m/>
    <m/>
    <m/>
    <m/>
  </r>
  <r>
    <m/>
    <x v="2"/>
    <n v="1900"/>
    <n v="1"/>
    <m/>
    <m/>
    <m/>
    <n v="0"/>
    <m/>
    <m/>
    <m/>
    <m/>
    <m/>
    <m/>
    <m/>
    <m/>
    <m/>
  </r>
  <r>
    <m/>
    <x v="2"/>
    <n v="1900"/>
    <n v="1"/>
    <m/>
    <m/>
    <m/>
    <n v="0"/>
    <m/>
    <m/>
    <m/>
    <m/>
    <m/>
    <m/>
    <m/>
    <m/>
    <m/>
  </r>
  <r>
    <s v="Fineotex Chemical"/>
    <x v="3"/>
    <n v="2019"/>
    <n v="4"/>
    <d v="2019-04-23T00:00:00"/>
    <n v="100"/>
    <n v="40.42"/>
    <n v="4042"/>
    <n v="1750"/>
    <n v="26.850857142857144"/>
    <n v="46989"/>
    <n v="15.6"/>
    <d v="2020-02-10T00:00:00"/>
    <n v="27300"/>
    <n v="-19689"/>
    <n v="-0.41901296048011238"/>
    <n v="330"/>
  </r>
  <r>
    <m/>
    <x v="3"/>
    <n v="2019"/>
    <n v="5"/>
    <d v="2019-05-06T00:00:00"/>
    <n v="50"/>
    <n v="35.75"/>
    <n v="1787.5"/>
    <m/>
    <m/>
    <m/>
    <m/>
    <m/>
    <m/>
    <m/>
    <m/>
    <m/>
  </r>
  <r>
    <m/>
    <x v="3"/>
    <n v="2019"/>
    <n v="7"/>
    <d v="2019-07-23T00:00:00"/>
    <n v="100"/>
    <n v="30"/>
    <n v="3000"/>
    <m/>
    <m/>
    <m/>
    <m/>
    <m/>
    <m/>
    <m/>
    <m/>
    <m/>
  </r>
  <r>
    <m/>
    <x v="3"/>
    <n v="2019"/>
    <n v="8"/>
    <d v="2019-08-02T00:00:00"/>
    <n v="100"/>
    <n v="25"/>
    <n v="2500"/>
    <m/>
    <m/>
    <m/>
    <m/>
    <m/>
    <m/>
    <m/>
    <m/>
    <m/>
  </r>
  <r>
    <m/>
    <x v="3"/>
    <n v="2019"/>
    <n v="8"/>
    <d v="2019-08-20T00:00:00"/>
    <n v="50"/>
    <n v="25"/>
    <n v="1250"/>
    <m/>
    <m/>
    <m/>
    <m/>
    <m/>
    <m/>
    <m/>
    <m/>
    <m/>
  </r>
  <r>
    <m/>
    <x v="3"/>
    <n v="2019"/>
    <n v="2"/>
    <d v="2019-02-05T00:00:00"/>
    <n v="100"/>
    <n v="28.9"/>
    <n v="2890"/>
    <m/>
    <m/>
    <m/>
    <m/>
    <m/>
    <m/>
    <m/>
    <m/>
    <m/>
  </r>
  <r>
    <m/>
    <x v="3"/>
    <n v="2019"/>
    <n v="3"/>
    <d v="2019-03-18T00:00:00"/>
    <n v="100"/>
    <n v="40"/>
    <n v="4000"/>
    <m/>
    <m/>
    <m/>
    <m/>
    <m/>
    <m/>
    <m/>
    <m/>
    <m/>
  </r>
  <r>
    <m/>
    <x v="3"/>
    <n v="2019"/>
    <n v="5"/>
    <d v="2019-05-06T00:00:00"/>
    <n v="50"/>
    <n v="35.75"/>
    <n v="1787.5"/>
    <m/>
    <m/>
    <m/>
    <m/>
    <m/>
    <m/>
    <m/>
    <m/>
    <m/>
  </r>
  <r>
    <m/>
    <x v="3"/>
    <n v="2019"/>
    <n v="7"/>
    <d v="2019-07-23T00:00:00"/>
    <n v="100"/>
    <n v="30"/>
    <n v="3000"/>
    <m/>
    <m/>
    <m/>
    <m/>
    <m/>
    <m/>
    <m/>
    <m/>
    <m/>
  </r>
  <r>
    <m/>
    <x v="3"/>
    <n v="2019"/>
    <n v="8"/>
    <d v="2019-08-02T00:00:00"/>
    <n v="100"/>
    <n v="25"/>
    <n v="2500"/>
    <m/>
    <m/>
    <m/>
    <m/>
    <m/>
    <m/>
    <m/>
    <m/>
    <m/>
  </r>
  <r>
    <m/>
    <x v="3"/>
    <n v="2019"/>
    <n v="8"/>
    <d v="2019-08-20T00:00:00"/>
    <n v="50"/>
    <n v="25"/>
    <n v="1250"/>
    <m/>
    <m/>
    <m/>
    <m/>
    <m/>
    <m/>
    <m/>
    <m/>
    <m/>
  </r>
  <r>
    <m/>
    <x v="3"/>
    <n v="2020"/>
    <n v="2"/>
    <d v="2020-02-05T00:00:00"/>
    <n v="100"/>
    <n v="29.07"/>
    <n v="2907"/>
    <m/>
    <m/>
    <m/>
    <m/>
    <m/>
    <m/>
    <m/>
    <m/>
    <m/>
  </r>
  <r>
    <m/>
    <x v="3"/>
    <n v="2020"/>
    <n v="2"/>
    <d v="2020-02-18T00:00:00"/>
    <n v="100"/>
    <n v="25"/>
    <n v="2500"/>
    <m/>
    <m/>
    <m/>
    <m/>
    <m/>
    <m/>
    <m/>
    <m/>
    <m/>
  </r>
  <r>
    <m/>
    <x v="3"/>
    <n v="2020"/>
    <n v="3"/>
    <d v="2020-03-02T00:00:00"/>
    <n v="150"/>
    <n v="23"/>
    <n v="3450"/>
    <m/>
    <m/>
    <m/>
    <m/>
    <m/>
    <m/>
    <m/>
    <m/>
    <m/>
  </r>
  <r>
    <m/>
    <x v="3"/>
    <n v="2020"/>
    <n v="3"/>
    <d v="2020-03-04T00:00:00"/>
    <n v="250"/>
    <n v="22"/>
    <n v="5500"/>
    <m/>
    <m/>
    <m/>
    <m/>
    <m/>
    <m/>
    <m/>
    <m/>
    <m/>
  </r>
  <r>
    <m/>
    <x v="3"/>
    <n v="2020"/>
    <n v="3"/>
    <d v="2020-03-13T00:00:00"/>
    <n v="250"/>
    <n v="18.5"/>
    <n v="4625"/>
    <m/>
    <m/>
    <m/>
    <m/>
    <m/>
    <m/>
    <m/>
    <m/>
    <m/>
  </r>
  <r>
    <m/>
    <x v="3"/>
    <n v="1900"/>
    <n v="1"/>
    <m/>
    <m/>
    <m/>
    <m/>
    <m/>
    <m/>
    <m/>
    <m/>
    <m/>
    <m/>
    <m/>
    <m/>
    <m/>
  </r>
  <r>
    <m/>
    <x v="3"/>
    <n v="1900"/>
    <n v="1"/>
    <m/>
    <m/>
    <m/>
    <m/>
    <m/>
    <m/>
    <m/>
    <m/>
    <m/>
    <m/>
    <m/>
    <m/>
    <m/>
  </r>
  <r>
    <m/>
    <x v="3"/>
    <n v="1900"/>
    <n v="1"/>
    <m/>
    <m/>
    <m/>
    <m/>
    <m/>
    <m/>
    <m/>
    <m/>
    <m/>
    <m/>
    <m/>
    <m/>
    <m/>
  </r>
  <r>
    <m/>
    <x v="3"/>
    <n v="1900"/>
    <n v="1"/>
    <m/>
    <m/>
    <m/>
    <n v="0"/>
    <m/>
    <m/>
    <m/>
    <m/>
    <m/>
    <m/>
    <m/>
    <m/>
    <m/>
  </r>
  <r>
    <s v="Vakrangee"/>
    <x v="4"/>
    <n v="2019"/>
    <n v="4"/>
    <d v="2019-04-24T00:00:00"/>
    <n v="25"/>
    <n v="61.67"/>
    <n v="1541.75"/>
    <n v="800"/>
    <n v="31.911562499999999"/>
    <n v="25529.25"/>
    <n v="30.4"/>
    <d v="2020-02-10T00:00:00"/>
    <n v="24320"/>
    <n v="-1209.25"/>
    <n v="-4.7367235621884704E-2"/>
    <n v="329"/>
  </r>
  <r>
    <m/>
    <x v="4"/>
    <n v="2019"/>
    <n v="5"/>
    <d v="2019-05-15T00:00:00"/>
    <n v="50"/>
    <n v="50"/>
    <n v="2500"/>
    <m/>
    <m/>
    <m/>
    <m/>
    <m/>
    <m/>
    <m/>
    <m/>
    <m/>
  </r>
  <r>
    <m/>
    <x v="4"/>
    <n v="2019"/>
    <n v="8"/>
    <d v="2019-08-20T00:00:00"/>
    <n v="25"/>
    <n v="34.5"/>
    <n v="862.5"/>
    <m/>
    <m/>
    <m/>
    <m/>
    <m/>
    <m/>
    <m/>
    <m/>
    <m/>
  </r>
  <r>
    <m/>
    <x v="4"/>
    <n v="2019"/>
    <n v="8"/>
    <d v="2019-08-20T00:00:00"/>
    <n v="25"/>
    <n v="34"/>
    <n v="850"/>
    <m/>
    <m/>
    <m/>
    <m/>
    <m/>
    <m/>
    <m/>
    <m/>
    <m/>
  </r>
  <r>
    <m/>
    <x v="4"/>
    <n v="2019"/>
    <n v="8"/>
    <d v="2019-08-21T00:00:00"/>
    <n v="25"/>
    <n v="32"/>
    <n v="800"/>
    <m/>
    <m/>
    <m/>
    <m/>
    <m/>
    <m/>
    <m/>
    <m/>
    <m/>
  </r>
  <r>
    <m/>
    <x v="4"/>
    <n v="2019"/>
    <n v="9"/>
    <d v="2019-09-24T00:00:00"/>
    <n v="100"/>
    <n v="30"/>
    <n v="3000"/>
    <m/>
    <m/>
    <m/>
    <m/>
    <m/>
    <m/>
    <m/>
    <m/>
    <m/>
  </r>
  <r>
    <m/>
    <x v="4"/>
    <n v="2019"/>
    <n v="10"/>
    <d v="2019-10-01T00:00:00"/>
    <n v="50"/>
    <n v="30"/>
    <n v="1500"/>
    <m/>
    <m/>
    <m/>
    <m/>
    <m/>
    <m/>
    <m/>
    <m/>
    <m/>
  </r>
  <r>
    <m/>
    <x v="4"/>
    <n v="2019"/>
    <n v="10"/>
    <d v="2019-10-07T00:00:00"/>
    <n v="50"/>
    <n v="28"/>
    <n v="1400"/>
    <m/>
    <m/>
    <m/>
    <m/>
    <m/>
    <m/>
    <m/>
    <m/>
    <m/>
  </r>
  <r>
    <m/>
    <x v="4"/>
    <n v="2019"/>
    <n v="10"/>
    <d v="2019-10-09T00:00:00"/>
    <n v="100"/>
    <n v="26"/>
    <n v="2600"/>
    <m/>
    <m/>
    <m/>
    <m/>
    <m/>
    <m/>
    <m/>
    <m/>
    <m/>
  </r>
  <r>
    <m/>
    <x v="4"/>
    <n v="2019"/>
    <n v="10"/>
    <d v="2019-10-11T00:00:00"/>
    <n v="250"/>
    <n v="24.9"/>
    <n v="6225"/>
    <m/>
    <m/>
    <m/>
    <m/>
    <m/>
    <m/>
    <m/>
    <m/>
    <m/>
  </r>
  <r>
    <m/>
    <x v="4"/>
    <n v="2019"/>
    <n v="12"/>
    <d v="2019-12-24T00:00:00"/>
    <n v="50"/>
    <n v="41"/>
    <n v="2050"/>
    <m/>
    <m/>
    <m/>
    <m/>
    <m/>
    <m/>
    <m/>
    <m/>
    <m/>
  </r>
  <r>
    <m/>
    <x v="4"/>
    <n v="2020"/>
    <n v="2"/>
    <d v="2020-02-10T00:00:00"/>
    <n v="50"/>
    <n v="44"/>
    <n v="2200"/>
    <m/>
    <m/>
    <m/>
    <m/>
    <m/>
    <m/>
    <m/>
    <m/>
    <m/>
  </r>
  <r>
    <m/>
    <x v="4"/>
    <n v="1900"/>
    <n v="1"/>
    <m/>
    <m/>
    <m/>
    <m/>
    <m/>
    <m/>
    <m/>
    <m/>
    <m/>
    <m/>
    <m/>
    <m/>
    <m/>
  </r>
  <r>
    <m/>
    <x v="4"/>
    <n v="1900"/>
    <n v="1"/>
    <m/>
    <m/>
    <m/>
    <m/>
    <m/>
    <m/>
    <m/>
    <m/>
    <m/>
    <m/>
    <m/>
    <m/>
    <m/>
  </r>
  <r>
    <m/>
    <x v="4"/>
    <n v="1900"/>
    <n v="1"/>
    <m/>
    <m/>
    <m/>
    <m/>
    <m/>
    <m/>
    <m/>
    <m/>
    <m/>
    <m/>
    <m/>
    <m/>
    <m/>
  </r>
  <r>
    <s v="BIOCON"/>
    <x v="5"/>
    <n v="2019"/>
    <n v="5"/>
    <d v="2019-05-02T00:00:00"/>
    <n v="20"/>
    <n v="280"/>
    <n v="5600"/>
    <n v="125"/>
    <n v="258.66000000000003"/>
    <n v="32332.500000000004"/>
    <n v="252.4"/>
    <d v="2020-02-10T00:00:00"/>
    <n v="31550"/>
    <n v="-782.50000000000364"/>
    <n v="-2.4201654681821807E-2"/>
    <n v="321"/>
  </r>
  <r>
    <m/>
    <x v="5"/>
    <n v="2019"/>
    <n v="7"/>
    <d v="2019-07-09T00:00:00"/>
    <n v="30"/>
    <n v="230"/>
    <n v="6900"/>
    <m/>
    <m/>
    <m/>
    <m/>
    <m/>
    <m/>
    <m/>
    <m/>
    <m/>
  </r>
  <r>
    <m/>
    <x v="5"/>
    <n v="2019"/>
    <n v="8"/>
    <d v="2019-08-19T00:00:00"/>
    <n v="10"/>
    <n v="219"/>
    <n v="2190"/>
    <m/>
    <m/>
    <m/>
    <m/>
    <m/>
    <m/>
    <m/>
    <m/>
    <m/>
  </r>
  <r>
    <m/>
    <x v="5"/>
    <n v="2019"/>
    <n v="9"/>
    <d v="2019-09-25T00:00:00"/>
    <n v="10"/>
    <n v="218"/>
    <n v="2180"/>
    <m/>
    <m/>
    <m/>
    <m/>
    <m/>
    <m/>
    <m/>
    <m/>
    <m/>
  </r>
  <r>
    <m/>
    <x v="5"/>
    <n v="2019"/>
    <n v="10"/>
    <d v="2019-10-27T00:00:00"/>
    <n v="5"/>
    <n v="242.5"/>
    <n v="1212.5"/>
    <m/>
    <m/>
    <m/>
    <m/>
    <m/>
    <m/>
    <m/>
    <m/>
    <m/>
  </r>
  <r>
    <m/>
    <x v="5"/>
    <n v="2020"/>
    <n v="1"/>
    <d v="2020-01-08T00:00:00"/>
    <n v="25"/>
    <n v="280"/>
    <n v="7000"/>
    <m/>
    <m/>
    <m/>
    <m/>
    <m/>
    <m/>
    <m/>
    <m/>
    <m/>
  </r>
  <r>
    <m/>
    <x v="5"/>
    <n v="2020"/>
    <n v="2"/>
    <d v="2020-02-28T00:00:00"/>
    <n v="25"/>
    <n v="290"/>
    <n v="7250"/>
    <m/>
    <m/>
    <m/>
    <m/>
    <m/>
    <m/>
    <m/>
    <m/>
    <m/>
  </r>
  <r>
    <m/>
    <x v="5"/>
    <n v="1900"/>
    <n v="1"/>
    <m/>
    <m/>
    <m/>
    <n v="0"/>
    <m/>
    <m/>
    <m/>
    <m/>
    <m/>
    <m/>
    <m/>
    <m/>
    <m/>
  </r>
  <r>
    <m/>
    <x v="5"/>
    <n v="1900"/>
    <n v="1"/>
    <m/>
    <m/>
    <m/>
    <m/>
    <m/>
    <m/>
    <m/>
    <m/>
    <m/>
    <m/>
    <m/>
    <m/>
    <m/>
  </r>
  <r>
    <m/>
    <x v="5"/>
    <n v="1900"/>
    <n v="1"/>
    <m/>
    <m/>
    <m/>
    <m/>
    <m/>
    <m/>
    <m/>
    <m/>
    <m/>
    <m/>
    <m/>
    <m/>
    <m/>
  </r>
  <r>
    <m/>
    <x v="5"/>
    <n v="1900"/>
    <n v="1"/>
    <m/>
    <m/>
    <m/>
    <m/>
    <m/>
    <m/>
    <m/>
    <m/>
    <m/>
    <m/>
    <m/>
    <m/>
    <m/>
  </r>
  <r>
    <m/>
    <x v="5"/>
    <n v="1900"/>
    <n v="1"/>
    <m/>
    <m/>
    <m/>
    <m/>
    <m/>
    <m/>
    <m/>
    <m/>
    <m/>
    <m/>
    <m/>
    <m/>
    <m/>
  </r>
  <r>
    <m/>
    <x v="5"/>
    <n v="1900"/>
    <n v="1"/>
    <m/>
    <m/>
    <m/>
    <m/>
    <m/>
    <m/>
    <m/>
    <m/>
    <m/>
    <m/>
    <m/>
    <m/>
    <m/>
  </r>
  <r>
    <m/>
    <x v="5"/>
    <n v="1900"/>
    <n v="1"/>
    <m/>
    <m/>
    <m/>
    <m/>
    <m/>
    <m/>
    <m/>
    <m/>
    <m/>
    <m/>
    <m/>
    <m/>
    <m/>
  </r>
  <r>
    <m/>
    <x v="5"/>
    <n v="1900"/>
    <n v="1"/>
    <m/>
    <m/>
    <m/>
    <n v="0"/>
    <m/>
    <m/>
    <m/>
    <m/>
    <m/>
    <m/>
    <m/>
    <m/>
    <m/>
  </r>
  <r>
    <s v="YesBank"/>
    <x v="6"/>
    <n v="2019"/>
    <n v="12"/>
    <d v="2019-12-19T00:00:00"/>
    <n v="200"/>
    <n v="48.4"/>
    <n v="9680"/>
    <n v="2100"/>
    <n v="28.466666666666665"/>
    <n v="59780"/>
    <n v="60.45"/>
    <d v="2020-02-10T00:00:00"/>
    <n v="126945"/>
    <n v="67165"/>
    <n v="1.123536299765808"/>
    <n v="90"/>
  </r>
  <r>
    <m/>
    <x v="6"/>
    <n v="2020"/>
    <n v="1"/>
    <d v="2020-01-13T00:00:00"/>
    <n v="50"/>
    <n v="42"/>
    <n v="2100"/>
    <m/>
    <m/>
    <m/>
    <m/>
    <m/>
    <m/>
    <m/>
    <m/>
    <m/>
  </r>
  <r>
    <m/>
    <x v="6"/>
    <n v="2020"/>
    <n v="1"/>
    <d v="2020-01-15T00:00:00"/>
    <n v="50"/>
    <n v="39"/>
    <n v="1950"/>
    <m/>
    <m/>
    <m/>
    <m/>
    <m/>
    <m/>
    <m/>
    <m/>
    <m/>
  </r>
  <r>
    <m/>
    <x v="6"/>
    <n v="2020"/>
    <n v="2"/>
    <d v="2020-02-05T00:00:00"/>
    <n v="200"/>
    <n v="38"/>
    <n v="7600"/>
    <m/>
    <m/>
    <m/>
    <m/>
    <m/>
    <m/>
    <m/>
    <m/>
    <m/>
  </r>
  <r>
    <m/>
    <x v="6"/>
    <n v="2020"/>
    <n v="3"/>
    <d v="2020-03-03T00:00:00"/>
    <n v="250"/>
    <n v="31"/>
    <n v="7750"/>
    <m/>
    <m/>
    <m/>
    <m/>
    <m/>
    <m/>
    <m/>
    <m/>
    <m/>
  </r>
  <r>
    <m/>
    <x v="6"/>
    <n v="2020"/>
    <n v="3"/>
    <d v="2020-03-04T00:00:00"/>
    <n v="250"/>
    <n v="29"/>
    <n v="7250"/>
    <m/>
    <m/>
    <m/>
    <m/>
    <m/>
    <m/>
    <m/>
    <m/>
    <m/>
  </r>
  <r>
    <m/>
    <x v="6"/>
    <n v="2020"/>
    <n v="3"/>
    <d v="2020-03-05T00:00:00"/>
    <n v="100"/>
    <n v="29"/>
    <n v="2900"/>
    <m/>
    <m/>
    <m/>
    <m/>
    <m/>
    <m/>
    <m/>
    <m/>
    <m/>
  </r>
  <r>
    <m/>
    <x v="6"/>
    <n v="2020"/>
    <n v="3"/>
    <d v="2020-03-09T00:00:00"/>
    <n v="1000"/>
    <n v="20.55"/>
    <n v="20550"/>
    <m/>
    <m/>
    <m/>
    <m/>
    <m/>
    <m/>
    <m/>
    <m/>
    <m/>
  </r>
  <r>
    <m/>
    <x v="6"/>
    <n v="1900"/>
    <n v="1"/>
    <m/>
    <m/>
    <m/>
    <m/>
    <m/>
    <m/>
    <m/>
    <m/>
    <m/>
    <m/>
    <m/>
    <m/>
    <m/>
  </r>
  <r>
    <m/>
    <x v="6"/>
    <n v="1900"/>
    <n v="1"/>
    <m/>
    <m/>
    <m/>
    <m/>
    <m/>
    <m/>
    <m/>
    <m/>
    <m/>
    <m/>
    <m/>
    <m/>
    <m/>
  </r>
  <r>
    <m/>
    <x v="6"/>
    <n v="1900"/>
    <n v="1"/>
    <m/>
    <m/>
    <m/>
    <m/>
    <m/>
    <m/>
    <m/>
    <m/>
    <m/>
    <m/>
    <m/>
    <m/>
    <m/>
  </r>
  <r>
    <m/>
    <x v="6"/>
    <n v="1900"/>
    <n v="1"/>
    <m/>
    <m/>
    <m/>
    <m/>
    <m/>
    <m/>
    <m/>
    <m/>
    <m/>
    <m/>
    <m/>
    <m/>
    <m/>
  </r>
  <r>
    <m/>
    <x v="6"/>
    <n v="1900"/>
    <n v="1"/>
    <m/>
    <m/>
    <m/>
    <m/>
    <m/>
    <m/>
    <m/>
    <m/>
    <m/>
    <m/>
    <m/>
    <m/>
    <m/>
  </r>
  <r>
    <m/>
    <x v="6"/>
    <n v="1900"/>
    <n v="1"/>
    <m/>
    <m/>
    <m/>
    <m/>
    <m/>
    <m/>
    <m/>
    <m/>
    <m/>
    <m/>
    <m/>
    <m/>
    <m/>
  </r>
  <r>
    <m/>
    <x v="6"/>
    <n v="1900"/>
    <n v="1"/>
    <m/>
    <m/>
    <m/>
    <n v="0"/>
    <m/>
    <m/>
    <m/>
    <m/>
    <m/>
    <m/>
    <m/>
    <m/>
    <m/>
  </r>
  <r>
    <s v="Granules India"/>
    <x v="7"/>
    <n v="2020"/>
    <n v="1"/>
    <d v="2020-01-23T00:00:00"/>
    <n v="100"/>
    <n v="156.80000000000001"/>
    <n v="15680.000000000002"/>
    <n v="100"/>
    <n v="156.80000000000001"/>
    <n v="15680.000000000002"/>
    <n v="140.9"/>
    <d v="2020-02-10T00:00:00"/>
    <n v="14090"/>
    <n v="-1590.0000000000018"/>
    <n v="-0.1014030612244899"/>
    <n v="55"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m/>
    <x v="7"/>
    <n v="1900"/>
    <n v="1"/>
    <m/>
    <m/>
    <m/>
    <n v="0"/>
    <m/>
    <m/>
    <m/>
    <m/>
    <m/>
    <m/>
    <m/>
    <m/>
    <m/>
  </r>
  <r>
    <s v="Infosys"/>
    <x v="8"/>
    <n v="2020"/>
    <n v="1"/>
    <d v="2020-01-08T00:00:00"/>
    <n v="10"/>
    <n v="716.33"/>
    <n v="7163.3"/>
    <n v="40"/>
    <n v="635.05250000000001"/>
    <n v="25402.1"/>
    <n v="534.29999999999995"/>
    <d v="2020-02-10T00:00:00"/>
    <n v="21372"/>
    <n v="-4030.0999999999985"/>
    <n v="-0.15865223741344214"/>
    <n v="70"/>
  </r>
  <r>
    <m/>
    <x v="8"/>
    <n v="2020"/>
    <n v="3"/>
    <d v="2020-03-13T00:00:00"/>
    <n v="20"/>
    <n v="625.79"/>
    <n v="12515.8"/>
    <m/>
    <m/>
    <m/>
    <m/>
    <m/>
    <m/>
    <m/>
    <m/>
    <m/>
  </r>
  <r>
    <m/>
    <x v="8"/>
    <n v="2020"/>
    <n v="3"/>
    <d v="2020-03-17T00:00:00"/>
    <n v="10"/>
    <n v="572.29999999999995"/>
    <n v="5723"/>
    <m/>
    <m/>
    <m/>
    <m/>
    <m/>
    <m/>
    <m/>
    <m/>
    <m/>
  </r>
  <r>
    <m/>
    <x v="8"/>
    <n v="1900"/>
    <n v="1"/>
    <m/>
    <m/>
    <m/>
    <n v="0"/>
    <m/>
    <m/>
    <m/>
    <m/>
    <m/>
    <m/>
    <m/>
    <m/>
    <m/>
  </r>
  <r>
    <m/>
    <x v="8"/>
    <n v="1900"/>
    <n v="1"/>
    <m/>
    <m/>
    <m/>
    <n v="0"/>
    <m/>
    <m/>
    <m/>
    <m/>
    <m/>
    <m/>
    <m/>
    <m/>
    <m/>
  </r>
  <r>
    <m/>
    <x v="8"/>
    <n v="1900"/>
    <n v="1"/>
    <m/>
    <m/>
    <m/>
    <n v="0"/>
    <m/>
    <m/>
    <m/>
    <m/>
    <m/>
    <m/>
    <m/>
    <m/>
    <m/>
  </r>
  <r>
    <m/>
    <x v="8"/>
    <n v="1900"/>
    <n v="1"/>
    <m/>
    <m/>
    <m/>
    <n v="0"/>
    <m/>
    <m/>
    <m/>
    <m/>
    <m/>
    <m/>
    <m/>
    <m/>
    <m/>
  </r>
  <r>
    <m/>
    <x v="8"/>
    <n v="1900"/>
    <n v="1"/>
    <m/>
    <m/>
    <m/>
    <n v="0"/>
    <m/>
    <m/>
    <m/>
    <m/>
    <m/>
    <m/>
    <m/>
    <m/>
    <m/>
  </r>
  <r>
    <m/>
    <x v="8"/>
    <n v="1900"/>
    <n v="1"/>
    <m/>
    <m/>
    <m/>
    <n v="0"/>
    <m/>
    <m/>
    <m/>
    <m/>
    <m/>
    <m/>
    <m/>
    <m/>
    <m/>
  </r>
  <r>
    <s v="PC Jweller"/>
    <x v="9"/>
    <n v="2019"/>
    <n v="11"/>
    <d v="2019-11-06T00:00:00"/>
    <n v="100"/>
    <n v="35.700000000000003"/>
    <n v="3570.0000000000005"/>
    <n v="250"/>
    <n v="26.58"/>
    <n v="6645"/>
    <n v="10.199999999999999"/>
    <d v="2020-02-10T00:00:00"/>
    <n v="2550"/>
    <n v="-4095"/>
    <n v="-0.61625282167042894"/>
    <n v="133"/>
  </r>
  <r>
    <m/>
    <x v="9"/>
    <n v="2020"/>
    <n v="2"/>
    <d v="2020-02-05T00:00:00"/>
    <n v="150"/>
    <n v="20.5"/>
    <n v="3075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m/>
    <x v="9"/>
    <n v="1900"/>
    <n v="1"/>
    <m/>
    <m/>
    <m/>
    <n v="0"/>
    <m/>
    <m/>
    <m/>
    <m/>
    <m/>
    <m/>
    <m/>
    <m/>
    <m/>
  </r>
  <r>
    <s v="Relcom"/>
    <x v="10"/>
    <n v="2019"/>
    <n v="12"/>
    <d v="2019-12-06T00:00:00"/>
    <n v="5000"/>
    <n v="1.2"/>
    <n v="6000"/>
    <n v="5000"/>
    <n v="1.2"/>
    <n v="6000"/>
    <n v="0.7"/>
    <d v="2020-02-10T00:00:00"/>
    <n v="3500"/>
    <n v="-2500"/>
    <n v="-0.41666666666666669"/>
    <n v="103"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m/>
    <x v="10"/>
    <n v="1900"/>
    <n v="1"/>
    <m/>
    <m/>
    <m/>
    <n v="0"/>
    <m/>
    <m/>
    <m/>
    <m/>
    <m/>
    <m/>
    <m/>
    <m/>
    <m/>
  </r>
  <r>
    <s v="NCC"/>
    <x v="11"/>
    <n v="2020"/>
    <n v="2"/>
    <d v="2020-02-06T00:00:00"/>
    <n v="250"/>
    <n v="52.5"/>
    <n v="13125"/>
    <n v="1200"/>
    <n v="32.779166666666669"/>
    <n v="39335"/>
    <n v="20.2"/>
    <d v="2020-02-10T00:00:00"/>
    <n v="24240"/>
    <n v="-15095"/>
    <n v="-0.38375492563874414"/>
    <n v="41"/>
  </r>
  <r>
    <m/>
    <x v="11"/>
    <n v="2020"/>
    <n v="2"/>
    <d v="2020-02-10T00:00:00"/>
    <n v="50"/>
    <n v="49"/>
    <n v="2450"/>
    <m/>
    <m/>
    <m/>
    <m/>
    <m/>
    <m/>
    <m/>
    <m/>
    <m/>
  </r>
  <r>
    <m/>
    <x v="11"/>
    <n v="2020"/>
    <n v="2"/>
    <d v="2020-02-18T00:00:00"/>
    <n v="100"/>
    <n v="40"/>
    <n v="4000"/>
    <m/>
    <m/>
    <m/>
    <m/>
    <m/>
    <m/>
    <m/>
    <m/>
    <m/>
  </r>
  <r>
    <m/>
    <x v="11"/>
    <n v="2020"/>
    <n v="3"/>
    <d v="2020-03-05T00:00:00"/>
    <n v="200"/>
    <n v="35.5"/>
    <n v="7100"/>
    <m/>
    <m/>
    <m/>
    <m/>
    <m/>
    <m/>
    <m/>
    <m/>
    <m/>
  </r>
  <r>
    <m/>
    <x v="11"/>
    <n v="2020"/>
    <n v="3"/>
    <d v="2020-03-13T00:00:00"/>
    <n v="600"/>
    <n v="21.1"/>
    <n v="12660"/>
    <m/>
    <m/>
    <m/>
    <m/>
    <m/>
    <m/>
    <m/>
    <m/>
    <m/>
  </r>
  <r>
    <m/>
    <x v="11"/>
    <n v="1900"/>
    <n v="1"/>
    <m/>
    <m/>
    <m/>
    <n v="0"/>
    <m/>
    <m/>
    <m/>
    <m/>
    <m/>
    <m/>
    <m/>
    <m/>
    <m/>
  </r>
  <r>
    <m/>
    <x v="11"/>
    <n v="1900"/>
    <n v="1"/>
    <m/>
    <m/>
    <m/>
    <n v="0"/>
    <m/>
    <m/>
    <m/>
    <m/>
    <m/>
    <m/>
    <m/>
    <m/>
    <m/>
  </r>
  <r>
    <m/>
    <x v="11"/>
    <n v="1900"/>
    <n v="1"/>
    <m/>
    <m/>
    <m/>
    <n v="0"/>
    <m/>
    <m/>
    <m/>
    <m/>
    <m/>
    <m/>
    <m/>
    <m/>
    <m/>
  </r>
  <r>
    <m/>
    <x v="11"/>
    <n v="1900"/>
    <n v="1"/>
    <m/>
    <m/>
    <m/>
    <n v="0"/>
    <m/>
    <m/>
    <m/>
    <m/>
    <m/>
    <m/>
    <m/>
    <m/>
    <m/>
  </r>
  <r>
    <s v="JSW Steel"/>
    <x v="12"/>
    <n v="2019"/>
    <n v="12"/>
    <d v="2019-12-31T00:00:00"/>
    <n v="100"/>
    <n v="270.76"/>
    <n v="27076"/>
    <n v="100"/>
    <n v="270.76"/>
    <n v="27076"/>
    <n v="164.35"/>
    <d v="2020-02-10T00:00:00"/>
    <n v="16435"/>
    <n v="-10641"/>
    <n v="-0.39300487516619886"/>
    <n v="78"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m/>
    <x v="12"/>
    <n v="1900"/>
    <n v="1"/>
    <m/>
    <m/>
    <m/>
    <n v="0"/>
    <m/>
    <m/>
    <m/>
    <m/>
    <m/>
    <m/>
    <m/>
    <m/>
    <m/>
  </r>
  <r>
    <s v="Punjab National Bank"/>
    <x v="13"/>
    <n v="2020"/>
    <n v="1"/>
    <d v="2020-01-07T00:00:00"/>
    <n v="1000"/>
    <n v="66.25"/>
    <n v="66250"/>
    <n v="1000"/>
    <n v="66.25"/>
    <n v="66250"/>
    <n v="36.75"/>
    <d v="2020-02-10T00:00:00"/>
    <n v="36750"/>
    <n v="-29500"/>
    <n v="-0.44528301886792454"/>
    <n v="71"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m/>
    <x v="13"/>
    <n v="1900"/>
    <n v="1"/>
    <m/>
    <m/>
    <m/>
    <n v="0"/>
    <m/>
    <m/>
    <m/>
    <m/>
    <m/>
    <m/>
    <m/>
    <m/>
    <m/>
  </r>
  <r>
    <s v="KNR Constructions"/>
    <x v="14"/>
    <n v="2020"/>
    <n v="2"/>
    <d v="2020-02-05T00:00:00"/>
    <n v="1"/>
    <n v="1"/>
    <n v="1"/>
    <n v="1"/>
    <n v="1"/>
    <n v="1"/>
    <n v="1"/>
    <d v="2020-02-10T00:00:00"/>
    <n v="1"/>
    <n v="0"/>
    <n v="0"/>
    <n v="42"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4"/>
    <n v="1900"/>
    <n v="1"/>
    <m/>
    <m/>
    <m/>
    <n v="0"/>
    <m/>
    <m/>
    <m/>
    <m/>
    <m/>
    <m/>
    <m/>
    <m/>
    <m/>
  </r>
  <r>
    <m/>
    <x v="15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21">
  <location ref="A3:C17" firstHeaderRow="1" firstDataRow="1" firstDataCol="2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x="2"/>
        <item x="0"/>
        <item h="1"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8"/>
        <item x="0"/>
        <item x="1"/>
        <item x="2"/>
        <item x="10"/>
        <item x="3"/>
        <item x="12"/>
        <item x="9"/>
        <item x="4"/>
        <item x="5"/>
        <item x="6"/>
        <item x="11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4">
    <i>
      <x v="1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/>
    </i>
    <i r="1">
      <x v="11"/>
    </i>
    <i r="1">
      <x v="12"/>
    </i>
  </rowItems>
  <colItems count="1">
    <i/>
  </colItems>
  <dataFields count="1">
    <dataField name="Sum of TotalValue" fld="6" baseField="2" baseItem="1" numFmtId="1"/>
  </dataFields>
  <formats count="2">
    <format dxfId="50">
      <pivotArea outline="0" collapsedLevelsAreSubtotals="1" fieldPosition="0"/>
    </format>
    <format dxfId="49">
      <pivotArea dataOnly="0" labelOnly="1" outline="0" axis="axisValues" fieldPosition="0"/>
    </format>
  </format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>
  <location ref="A21:D35" firstHeaderRow="0" firstDataRow="1" firstDataCol="1"/>
  <pivotFields count="17">
    <pivotField showAll="0"/>
    <pivotField axis="axisRow" showAll="0">
      <items count="18">
        <item x="5"/>
        <item x="3"/>
        <item x="2"/>
        <item x="0"/>
        <item x="4"/>
        <item x="6"/>
        <item h="1" x="15"/>
        <item h="1" x="14"/>
        <item x="8"/>
        <item x="9"/>
        <item x="10"/>
        <item h="1" x="1"/>
        <item x="12"/>
        <item x="13"/>
        <item x="7"/>
        <item h="1" m="1" x="16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Value" fld="7" baseField="0" baseItem="0" numFmtId="1"/>
    <dataField name="Sum of CurrentValue" fld="13" baseField="0" baseItem="0" numFmtId="1"/>
    <dataField name="Sum of P/L" fld="14" baseField="1" baseItem="0" numFmtId="1"/>
  </dataFields>
  <formats count="6"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4"/>
  <sheetViews>
    <sheetView workbookViewId="0">
      <selection activeCell="A2" sqref="A2:H21"/>
    </sheetView>
  </sheetViews>
  <sheetFormatPr defaultRowHeight="15" x14ac:dyDescent="0.25"/>
  <cols>
    <col min="1" max="1" width="27" customWidth="1"/>
    <col min="2" max="2" width="29" hidden="1" customWidth="1"/>
    <col min="3" max="3" width="16.140625" hidden="1" customWidth="1"/>
    <col min="4" max="4" width="17.140625" hidden="1" customWidth="1"/>
    <col min="5" max="5" width="14" customWidth="1"/>
    <col min="6" max="6" width="9.7109375" bestFit="1" customWidth="1"/>
    <col min="7" max="7" width="9.7109375" style="14" bestFit="1" customWidth="1"/>
    <col min="8" max="8" width="10.5703125" style="14" bestFit="1" customWidth="1"/>
    <col min="10" max="10" width="8.7109375" bestFit="1" customWidth="1"/>
    <col min="11" max="11" width="9.5703125" style="21" bestFit="1" customWidth="1"/>
    <col min="12" max="12" width="12.140625" style="13" bestFit="1" customWidth="1"/>
    <col min="13" max="13" width="11" bestFit="1" customWidth="1"/>
    <col min="14" max="14" width="12.85546875" bestFit="1" customWidth="1"/>
    <col min="15" max="15" width="8.42578125" customWidth="1"/>
    <col min="17" max="17" width="9.7109375" style="14" bestFit="1" customWidth="1"/>
    <col min="19" max="19" width="7" style="13" customWidth="1"/>
    <col min="20" max="20" width="9.140625" style="13"/>
    <col min="21" max="21" width="9.5703125" bestFit="1" customWidth="1"/>
    <col min="24" max="24" width="6.28515625" customWidth="1"/>
  </cols>
  <sheetData>
    <row r="1" spans="1:24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</v>
      </c>
      <c r="F1" s="1" t="s">
        <v>0</v>
      </c>
      <c r="G1" s="2" t="s">
        <v>1</v>
      </c>
      <c r="H1" s="2" t="s">
        <v>69</v>
      </c>
      <c r="I1" s="1" t="s">
        <v>2</v>
      </c>
      <c r="J1" s="2" t="s">
        <v>3</v>
      </c>
      <c r="K1" s="38" t="s">
        <v>5</v>
      </c>
      <c r="L1" s="10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17" t="s">
        <v>19</v>
      </c>
      <c r="S1" s="95"/>
      <c r="T1" s="95"/>
      <c r="V1" t="s">
        <v>17</v>
      </c>
      <c r="W1" t="s">
        <v>9</v>
      </c>
      <c r="X1" t="s">
        <v>10</v>
      </c>
    </row>
    <row r="2" spans="1:24" x14ac:dyDescent="0.25">
      <c r="A2" s="78" t="s">
        <v>11</v>
      </c>
      <c r="B2" s="35" t="str">
        <f>A2</f>
        <v>LT Foods</v>
      </c>
      <c r="C2" s="35">
        <f>YEAR(E2)</f>
        <v>2019</v>
      </c>
      <c r="D2" s="35">
        <f>MONTH(E2)</f>
        <v>4</v>
      </c>
      <c r="E2" s="7">
        <v>43578</v>
      </c>
      <c r="F2" s="3">
        <v>250</v>
      </c>
      <c r="G2" s="25">
        <v>38</v>
      </c>
      <c r="H2" s="25">
        <f>F2*G2</f>
        <v>9500</v>
      </c>
      <c r="I2" s="78">
        <f>SUM(F2:F21)</f>
        <v>2100</v>
      </c>
      <c r="J2" s="79">
        <f>SUM(H2:H21)/SUM(F2:F21)</f>
        <v>21.811904761904763</v>
      </c>
      <c r="K2" s="80">
        <f>I2*J2</f>
        <v>45805</v>
      </c>
      <c r="L2" s="81">
        <v>22</v>
      </c>
      <c r="M2" s="82">
        <v>43871</v>
      </c>
      <c r="N2" s="78">
        <f>I2*L2</f>
        <v>46200</v>
      </c>
      <c r="O2" s="78">
        <f>N2-K2</f>
        <v>395</v>
      </c>
      <c r="P2" s="83">
        <f>(O2/K2)</f>
        <v>8.6235127169522977E-3</v>
      </c>
      <c r="Q2" s="76">
        <f ca="1">TODAY()-E2</f>
        <v>345</v>
      </c>
      <c r="S2" s="94" t="s">
        <v>18</v>
      </c>
      <c r="T2" s="94"/>
      <c r="U2" s="20">
        <f>SUM(K:K)</f>
        <v>414767.55</v>
      </c>
      <c r="V2" s="21">
        <f>SUM(N:N)</f>
        <v>305187.5</v>
      </c>
      <c r="W2" s="21">
        <f>SUM(O:O)</f>
        <v>-109580.05000000002</v>
      </c>
      <c r="X2" s="15">
        <f>(W2/U2)</f>
        <v>-0.26419629500909608</v>
      </c>
    </row>
    <row r="3" spans="1:24" x14ac:dyDescent="0.25">
      <c r="A3" s="78"/>
      <c r="B3" s="35" t="str">
        <f>A2</f>
        <v>LT Foods</v>
      </c>
      <c r="C3" s="35">
        <f t="shared" ref="C3:C95" si="0">YEAR(E3)</f>
        <v>2019</v>
      </c>
      <c r="D3" s="35">
        <f t="shared" ref="D3:D95" si="1">MONTH(E3)</f>
        <v>5</v>
      </c>
      <c r="E3" s="12">
        <v>43602</v>
      </c>
      <c r="F3" s="3">
        <v>100</v>
      </c>
      <c r="G3" s="25">
        <v>27.5</v>
      </c>
      <c r="H3" s="25">
        <f t="shared" ref="H3:H102" si="2">F3*G3</f>
        <v>2750</v>
      </c>
      <c r="I3" s="78"/>
      <c r="J3" s="79"/>
      <c r="K3" s="80"/>
      <c r="L3" s="81"/>
      <c r="M3" s="78"/>
      <c r="N3" s="78"/>
      <c r="O3" s="78"/>
      <c r="P3" s="83"/>
      <c r="Q3" s="76"/>
      <c r="S3" s="93" t="s">
        <v>72</v>
      </c>
      <c r="T3" s="93"/>
      <c r="U3" s="21">
        <f>SUM(T:T)</f>
        <v>337751</v>
      </c>
    </row>
    <row r="4" spans="1:24" x14ac:dyDescent="0.25">
      <c r="A4" s="78"/>
      <c r="B4" s="35" t="str">
        <f>A2</f>
        <v>LT Foods</v>
      </c>
      <c r="C4" s="35">
        <f t="shared" si="0"/>
        <v>2019</v>
      </c>
      <c r="D4" s="35">
        <f t="shared" si="1"/>
        <v>5</v>
      </c>
      <c r="E4" s="18">
        <v>43612</v>
      </c>
      <c r="F4" s="3">
        <v>100</v>
      </c>
      <c r="G4" s="25">
        <v>31.5</v>
      </c>
      <c r="H4" s="25">
        <f t="shared" si="2"/>
        <v>3150</v>
      </c>
      <c r="I4" s="78"/>
      <c r="J4" s="79"/>
      <c r="K4" s="80"/>
      <c r="L4" s="81"/>
      <c r="M4" s="78"/>
      <c r="N4" s="78"/>
      <c r="O4" s="78"/>
      <c r="P4" s="83"/>
      <c r="Q4" s="76"/>
      <c r="R4" s="13"/>
      <c r="S4" s="93" t="s">
        <v>73</v>
      </c>
      <c r="T4" s="93"/>
      <c r="U4" s="24">
        <f>U2+U3</f>
        <v>752518.55</v>
      </c>
    </row>
    <row r="5" spans="1:24" x14ac:dyDescent="0.25">
      <c r="A5" s="78"/>
      <c r="B5" s="35" t="str">
        <f>A2</f>
        <v>LT Foods</v>
      </c>
      <c r="C5" s="35">
        <f t="shared" si="0"/>
        <v>2019</v>
      </c>
      <c r="D5" s="35">
        <f t="shared" si="1"/>
        <v>6</v>
      </c>
      <c r="E5" s="22">
        <v>43633</v>
      </c>
      <c r="F5" s="3">
        <v>100</v>
      </c>
      <c r="G5" s="25">
        <v>24.25</v>
      </c>
      <c r="H5" s="25">
        <f t="shared" si="2"/>
        <v>2425</v>
      </c>
      <c r="I5" s="78"/>
      <c r="J5" s="79"/>
      <c r="K5" s="80"/>
      <c r="L5" s="81"/>
      <c r="M5" s="78"/>
      <c r="N5" s="78"/>
      <c r="O5" s="78"/>
      <c r="P5" s="83"/>
      <c r="Q5" s="76"/>
      <c r="R5" s="13"/>
    </row>
    <row r="6" spans="1:24" x14ac:dyDescent="0.25">
      <c r="A6" s="78"/>
      <c r="B6" s="35" t="str">
        <f>A2</f>
        <v>LT Foods</v>
      </c>
      <c r="C6" s="35">
        <f t="shared" si="0"/>
        <v>2019</v>
      </c>
      <c r="D6" s="35">
        <f t="shared" si="1"/>
        <v>6</v>
      </c>
      <c r="E6" s="23">
        <v>43636</v>
      </c>
      <c r="F6" s="3">
        <v>150</v>
      </c>
      <c r="G6" s="25">
        <v>22</v>
      </c>
      <c r="H6" s="25">
        <f t="shared" si="2"/>
        <v>3300</v>
      </c>
      <c r="I6" s="78"/>
      <c r="J6" s="79"/>
      <c r="K6" s="80"/>
      <c r="L6" s="81"/>
      <c r="M6" s="78"/>
      <c r="N6" s="78"/>
      <c r="O6" s="78"/>
      <c r="P6" s="83"/>
      <c r="Q6" s="76"/>
    </row>
    <row r="7" spans="1:24" x14ac:dyDescent="0.25">
      <c r="A7" s="78"/>
      <c r="B7" s="35" t="str">
        <f>A2</f>
        <v>LT Foods</v>
      </c>
      <c r="C7" s="35">
        <f t="shared" si="0"/>
        <v>2019</v>
      </c>
      <c r="D7" s="35">
        <f t="shared" si="1"/>
        <v>8</v>
      </c>
      <c r="E7" s="31">
        <v>43685</v>
      </c>
      <c r="F7" s="3">
        <v>100</v>
      </c>
      <c r="G7" s="25">
        <v>18.25</v>
      </c>
      <c r="H7" s="25">
        <f t="shared" si="2"/>
        <v>1825</v>
      </c>
      <c r="I7" s="78"/>
      <c r="J7" s="79"/>
      <c r="K7" s="80"/>
      <c r="L7" s="81"/>
      <c r="M7" s="78"/>
      <c r="N7" s="78"/>
      <c r="O7" s="78"/>
      <c r="P7" s="83"/>
      <c r="Q7" s="76"/>
    </row>
    <row r="8" spans="1:24" x14ac:dyDescent="0.25">
      <c r="A8" s="78"/>
      <c r="B8" s="35" t="str">
        <f>A2</f>
        <v>LT Foods</v>
      </c>
      <c r="C8" s="35">
        <f t="shared" si="0"/>
        <v>2019</v>
      </c>
      <c r="D8" s="35">
        <f t="shared" si="1"/>
        <v>8</v>
      </c>
      <c r="E8" s="34">
        <v>43698</v>
      </c>
      <c r="F8" s="3">
        <v>100</v>
      </c>
      <c r="G8" s="25">
        <v>21</v>
      </c>
      <c r="H8" s="25">
        <f t="shared" si="2"/>
        <v>2100</v>
      </c>
      <c r="I8" s="78"/>
      <c r="J8" s="79"/>
      <c r="K8" s="80"/>
      <c r="L8" s="81"/>
      <c r="M8" s="78"/>
      <c r="N8" s="78"/>
      <c r="O8" s="78"/>
      <c r="P8" s="83"/>
      <c r="Q8" s="76"/>
    </row>
    <row r="9" spans="1:24" x14ac:dyDescent="0.25">
      <c r="A9" s="78"/>
      <c r="B9" s="60" t="str">
        <f>A2</f>
        <v>LT Foods</v>
      </c>
      <c r="C9" s="60">
        <f t="shared" ref="C9:C10" si="3">YEAR(E9)</f>
        <v>2019</v>
      </c>
      <c r="D9" s="60">
        <f t="shared" ref="D9:D10" si="4">MONTH(E9)</f>
        <v>10</v>
      </c>
      <c r="E9" s="53">
        <v>43761</v>
      </c>
      <c r="F9" s="3">
        <v>50</v>
      </c>
      <c r="G9" s="25">
        <v>23.5</v>
      </c>
      <c r="H9" s="25">
        <f>F9*G9</f>
        <v>1175</v>
      </c>
      <c r="I9" s="78"/>
      <c r="J9" s="79"/>
      <c r="K9" s="80"/>
      <c r="L9" s="81"/>
      <c r="M9" s="78"/>
      <c r="N9" s="78"/>
      <c r="O9" s="78"/>
      <c r="P9" s="83"/>
      <c r="Q9" s="76"/>
      <c r="V9" s="13"/>
    </row>
    <row r="10" spans="1:24" x14ac:dyDescent="0.25">
      <c r="A10" s="78"/>
      <c r="B10" s="60" t="str">
        <f>A2</f>
        <v>LT Foods</v>
      </c>
      <c r="C10" s="60">
        <f t="shared" si="3"/>
        <v>2019</v>
      </c>
      <c r="D10" s="60">
        <f t="shared" si="4"/>
        <v>11</v>
      </c>
      <c r="E10" s="40">
        <v>43795</v>
      </c>
      <c r="F10" s="3">
        <v>100</v>
      </c>
      <c r="G10" s="25">
        <v>22.1</v>
      </c>
      <c r="H10" s="25">
        <f t="shared" ref="H10:H13" si="5">F10*G10</f>
        <v>2210</v>
      </c>
      <c r="I10" s="78"/>
      <c r="J10" s="79"/>
      <c r="K10" s="80"/>
      <c r="L10" s="81"/>
      <c r="M10" s="78"/>
      <c r="N10" s="78"/>
      <c r="O10" s="78"/>
      <c r="P10" s="83"/>
      <c r="Q10" s="76"/>
      <c r="V10" s="13"/>
    </row>
    <row r="11" spans="1:24" x14ac:dyDescent="0.25">
      <c r="A11" s="78"/>
      <c r="B11" s="41" t="str">
        <f>A2</f>
        <v>LT Foods</v>
      </c>
      <c r="C11" s="60">
        <f t="shared" ref="C11:C13" si="6">YEAR(E11)</f>
        <v>2019</v>
      </c>
      <c r="D11" s="60">
        <f t="shared" ref="D11:D13" si="7">MONTH(E11)</f>
        <v>12</v>
      </c>
      <c r="E11" s="40">
        <v>43822</v>
      </c>
      <c r="F11" s="3">
        <v>200</v>
      </c>
      <c r="G11" s="25">
        <v>20</v>
      </c>
      <c r="H11" s="25">
        <f t="shared" si="5"/>
        <v>4000</v>
      </c>
      <c r="I11" s="78"/>
      <c r="J11" s="79"/>
      <c r="K11" s="80"/>
      <c r="L11" s="81"/>
      <c r="M11" s="78"/>
      <c r="N11" s="78"/>
      <c r="O11" s="78"/>
      <c r="P11" s="83"/>
      <c r="Q11" s="76"/>
      <c r="V11" s="13"/>
    </row>
    <row r="12" spans="1:24" x14ac:dyDescent="0.25">
      <c r="A12" s="78"/>
      <c r="B12" s="41" t="str">
        <f>A2</f>
        <v>LT Foods</v>
      </c>
      <c r="C12" s="60">
        <f t="shared" si="6"/>
        <v>2020</v>
      </c>
      <c r="D12" s="60">
        <f t="shared" si="7"/>
        <v>3</v>
      </c>
      <c r="E12" s="40">
        <v>43902</v>
      </c>
      <c r="F12" s="3">
        <v>250</v>
      </c>
      <c r="G12" s="25">
        <v>17</v>
      </c>
      <c r="H12" s="25">
        <f t="shared" si="5"/>
        <v>4250</v>
      </c>
      <c r="I12" s="78"/>
      <c r="J12" s="79"/>
      <c r="K12" s="80"/>
      <c r="L12" s="81"/>
      <c r="M12" s="78"/>
      <c r="N12" s="78"/>
      <c r="O12" s="78"/>
      <c r="P12" s="83"/>
      <c r="Q12" s="76"/>
      <c r="V12" s="13"/>
    </row>
    <row r="13" spans="1:24" x14ac:dyDescent="0.25">
      <c r="A13" s="78"/>
      <c r="B13" s="41" t="str">
        <f>A2</f>
        <v>LT Foods</v>
      </c>
      <c r="C13" s="60">
        <f t="shared" si="6"/>
        <v>2020</v>
      </c>
      <c r="D13" s="60">
        <f t="shared" si="7"/>
        <v>3</v>
      </c>
      <c r="E13" s="67">
        <v>43903</v>
      </c>
      <c r="F13" s="3">
        <v>600</v>
      </c>
      <c r="G13" s="25">
        <v>15.2</v>
      </c>
      <c r="H13" s="25">
        <f t="shared" si="5"/>
        <v>9120</v>
      </c>
      <c r="I13" s="78"/>
      <c r="J13" s="79"/>
      <c r="K13" s="80"/>
      <c r="L13" s="81"/>
      <c r="M13" s="78"/>
      <c r="N13" s="78"/>
      <c r="O13" s="78"/>
      <c r="P13" s="83"/>
      <c r="Q13" s="76"/>
      <c r="V13" s="13"/>
    </row>
    <row r="14" spans="1:24" x14ac:dyDescent="0.25">
      <c r="A14" s="78"/>
      <c r="B14" s="69" t="str">
        <f>A2</f>
        <v>LT Foods</v>
      </c>
      <c r="C14" s="69">
        <f t="shared" ref="C14:C21" si="8">YEAR(E14)</f>
        <v>1900</v>
      </c>
      <c r="D14" s="69">
        <f t="shared" ref="D14:D21" si="9">MONTH(E14)</f>
        <v>1</v>
      </c>
      <c r="E14" s="70"/>
      <c r="F14" s="3"/>
      <c r="G14" s="25"/>
      <c r="H14" s="25"/>
      <c r="I14" s="78"/>
      <c r="J14" s="79"/>
      <c r="K14" s="80"/>
      <c r="L14" s="81"/>
      <c r="M14" s="78"/>
      <c r="N14" s="78"/>
      <c r="O14" s="78"/>
      <c r="P14" s="83"/>
      <c r="Q14" s="76"/>
      <c r="R14" s="9">
        <v>250</v>
      </c>
      <c r="S14" s="13">
        <v>15</v>
      </c>
      <c r="T14" s="13">
        <f>R14*S14</f>
        <v>3750</v>
      </c>
      <c r="V14" s="13"/>
    </row>
    <row r="15" spans="1:24" x14ac:dyDescent="0.25">
      <c r="A15" s="78"/>
      <c r="B15" s="69" t="str">
        <f>A2</f>
        <v>LT Foods</v>
      </c>
      <c r="C15" s="69">
        <f t="shared" si="8"/>
        <v>1900</v>
      </c>
      <c r="D15" s="69">
        <f t="shared" si="9"/>
        <v>1</v>
      </c>
      <c r="E15" s="70"/>
      <c r="F15" s="3"/>
      <c r="G15" s="25"/>
      <c r="H15" s="25"/>
      <c r="I15" s="78"/>
      <c r="J15" s="79"/>
      <c r="K15" s="80"/>
      <c r="L15" s="81"/>
      <c r="M15" s="78"/>
      <c r="N15" s="78"/>
      <c r="O15" s="78"/>
      <c r="P15" s="83"/>
      <c r="Q15" s="76"/>
      <c r="R15" s="13">
        <v>250</v>
      </c>
      <c r="S15" s="13">
        <v>14</v>
      </c>
      <c r="T15" s="13">
        <f>R15*S15</f>
        <v>3500</v>
      </c>
      <c r="V15" s="13"/>
    </row>
    <row r="16" spans="1:24" x14ac:dyDescent="0.25">
      <c r="A16" s="78"/>
      <c r="B16" s="69" t="str">
        <f>A2</f>
        <v>LT Foods</v>
      </c>
      <c r="C16" s="69">
        <f t="shared" si="8"/>
        <v>1900</v>
      </c>
      <c r="D16" s="69">
        <f t="shared" si="9"/>
        <v>1</v>
      </c>
      <c r="E16" s="70"/>
      <c r="F16" s="3"/>
      <c r="G16" s="25"/>
      <c r="H16" s="25"/>
      <c r="I16" s="78"/>
      <c r="J16" s="79"/>
      <c r="K16" s="80"/>
      <c r="L16" s="81"/>
      <c r="M16" s="78"/>
      <c r="N16" s="78"/>
      <c r="O16" s="78"/>
      <c r="P16" s="83"/>
      <c r="Q16" s="76"/>
      <c r="R16" s="13">
        <v>250</v>
      </c>
      <c r="S16" s="13">
        <v>13</v>
      </c>
      <c r="T16" s="13">
        <f>R16*S16</f>
        <v>3250</v>
      </c>
      <c r="V16" s="13"/>
    </row>
    <row r="17" spans="1:22" x14ac:dyDescent="0.25">
      <c r="A17" s="78"/>
      <c r="B17" s="69" t="str">
        <f>A2</f>
        <v>LT Foods</v>
      </c>
      <c r="C17" s="69">
        <f t="shared" si="8"/>
        <v>1900</v>
      </c>
      <c r="D17" s="69">
        <f t="shared" si="9"/>
        <v>1</v>
      </c>
      <c r="E17" s="70"/>
      <c r="F17" s="3"/>
      <c r="G17" s="25"/>
      <c r="H17" s="25"/>
      <c r="I17" s="78"/>
      <c r="J17" s="79"/>
      <c r="K17" s="80"/>
      <c r="L17" s="81"/>
      <c r="M17" s="78"/>
      <c r="N17" s="78"/>
      <c r="O17" s="78"/>
      <c r="P17" s="83"/>
      <c r="Q17" s="76"/>
      <c r="R17" s="13">
        <v>250</v>
      </c>
      <c r="S17" s="13">
        <v>12</v>
      </c>
      <c r="T17" s="13">
        <f t="shared" ref="T17" si="10">R17*S17</f>
        <v>3000</v>
      </c>
      <c r="V17" s="13"/>
    </row>
    <row r="18" spans="1:22" x14ac:dyDescent="0.25">
      <c r="A18" s="78"/>
      <c r="B18" s="69" t="str">
        <f>A2</f>
        <v>LT Foods</v>
      </c>
      <c r="C18" s="69">
        <f t="shared" si="8"/>
        <v>1900</v>
      </c>
      <c r="D18" s="69">
        <f t="shared" si="9"/>
        <v>1</v>
      </c>
      <c r="E18" s="70"/>
      <c r="F18" s="3"/>
      <c r="G18" s="25"/>
      <c r="H18" s="25"/>
      <c r="I18" s="78"/>
      <c r="J18" s="79"/>
      <c r="K18" s="80"/>
      <c r="L18" s="81"/>
      <c r="M18" s="78"/>
      <c r="N18" s="78"/>
      <c r="O18" s="78"/>
      <c r="P18" s="83"/>
      <c r="Q18" s="76"/>
      <c r="R18" s="13"/>
      <c r="V18" s="13"/>
    </row>
    <row r="19" spans="1:22" x14ac:dyDescent="0.25">
      <c r="A19" s="78"/>
      <c r="B19" s="69" t="str">
        <f>A2</f>
        <v>LT Foods</v>
      </c>
      <c r="C19" s="69">
        <f t="shared" si="8"/>
        <v>1900</v>
      </c>
      <c r="D19" s="69">
        <f t="shared" si="9"/>
        <v>1</v>
      </c>
      <c r="E19" s="70"/>
      <c r="F19" s="3"/>
      <c r="G19" s="25"/>
      <c r="H19" s="25"/>
      <c r="I19" s="78"/>
      <c r="J19" s="79"/>
      <c r="K19" s="80"/>
      <c r="L19" s="81"/>
      <c r="M19" s="78"/>
      <c r="N19" s="78"/>
      <c r="O19" s="78"/>
      <c r="P19" s="83"/>
      <c r="Q19" s="76"/>
      <c r="R19" s="13"/>
      <c r="V19" s="13"/>
    </row>
    <row r="20" spans="1:22" x14ac:dyDescent="0.25">
      <c r="A20" s="78"/>
      <c r="B20" s="41" t="str">
        <f>A2</f>
        <v>LT Foods</v>
      </c>
      <c r="C20" s="69">
        <f t="shared" si="8"/>
        <v>1900</v>
      </c>
      <c r="D20" s="69">
        <f t="shared" si="9"/>
        <v>1</v>
      </c>
      <c r="E20" s="40"/>
      <c r="F20" s="3"/>
      <c r="G20" s="25"/>
      <c r="H20" s="25"/>
      <c r="I20" s="78"/>
      <c r="J20" s="79"/>
      <c r="K20" s="80"/>
      <c r="L20" s="81"/>
      <c r="M20" s="78"/>
      <c r="N20" s="78"/>
      <c r="O20" s="78"/>
      <c r="P20" s="83"/>
      <c r="Q20" s="76"/>
      <c r="R20" s="13"/>
      <c r="V20" s="13"/>
    </row>
    <row r="21" spans="1:22" x14ac:dyDescent="0.25">
      <c r="A21" s="78"/>
      <c r="B21" s="35" t="str">
        <f>A2</f>
        <v>LT Foods</v>
      </c>
      <c r="C21" s="69">
        <f t="shared" si="8"/>
        <v>1900</v>
      </c>
      <c r="D21" s="69">
        <f t="shared" si="9"/>
        <v>1</v>
      </c>
      <c r="E21" s="5"/>
      <c r="F21" s="3"/>
      <c r="G21" s="25"/>
      <c r="H21" s="25"/>
      <c r="I21" s="78"/>
      <c r="J21" s="79"/>
      <c r="K21" s="80"/>
      <c r="L21" s="81"/>
      <c r="M21" s="78"/>
      <c r="N21" s="78"/>
      <c r="O21" s="78"/>
      <c r="P21" s="83"/>
      <c r="Q21" s="76"/>
      <c r="R21" s="13"/>
      <c r="V21" s="13"/>
    </row>
    <row r="22" spans="1:22" x14ac:dyDescent="0.25">
      <c r="A22" s="77" t="s">
        <v>114</v>
      </c>
      <c r="B22" s="36" t="str">
        <f>A22</f>
        <v>India Cements</v>
      </c>
      <c r="C22" s="35">
        <f t="shared" si="0"/>
        <v>2019</v>
      </c>
      <c r="D22" s="35">
        <f t="shared" si="1"/>
        <v>9</v>
      </c>
      <c r="E22" s="8">
        <v>43717</v>
      </c>
      <c r="F22" s="3">
        <v>1</v>
      </c>
      <c r="G22" s="25">
        <v>1</v>
      </c>
      <c r="H22" s="25">
        <f t="shared" si="2"/>
        <v>1</v>
      </c>
      <c r="I22" s="78">
        <f>SUM(F22:F29)</f>
        <v>1</v>
      </c>
      <c r="J22" s="79">
        <f>SUM(H22:H30)/SUM(F22:F30)</f>
        <v>1</v>
      </c>
      <c r="K22" s="80">
        <f>I22*J22</f>
        <v>1</v>
      </c>
      <c r="L22" s="81">
        <v>1</v>
      </c>
      <c r="M22" s="82">
        <f>M2</f>
        <v>43871</v>
      </c>
      <c r="N22" s="78">
        <f>I22*L22</f>
        <v>1</v>
      </c>
      <c r="O22" s="78">
        <f>N22-K22</f>
        <v>0</v>
      </c>
      <c r="P22" s="83">
        <f>(O22/K22)</f>
        <v>0</v>
      </c>
      <c r="Q22" s="76">
        <f ca="1">TODAY()-E22</f>
        <v>206</v>
      </c>
    </row>
    <row r="23" spans="1:22" x14ac:dyDescent="0.25">
      <c r="A23" s="77"/>
      <c r="B23" s="36" t="str">
        <f>A22</f>
        <v>India Cements</v>
      </c>
      <c r="C23" s="35">
        <f t="shared" si="0"/>
        <v>1900</v>
      </c>
      <c r="D23" s="35">
        <f t="shared" si="1"/>
        <v>1</v>
      </c>
      <c r="E23" s="8"/>
      <c r="F23" s="3"/>
      <c r="G23" s="25"/>
      <c r="H23" s="25">
        <f t="shared" si="2"/>
        <v>0</v>
      </c>
      <c r="I23" s="78"/>
      <c r="J23" s="79"/>
      <c r="K23" s="80"/>
      <c r="L23" s="81"/>
      <c r="M23" s="78"/>
      <c r="N23" s="78"/>
      <c r="O23" s="78"/>
      <c r="P23" s="83"/>
      <c r="Q23" s="76"/>
      <c r="R23" s="13">
        <v>100</v>
      </c>
      <c r="S23" s="13">
        <v>65</v>
      </c>
      <c r="T23" s="13">
        <f t="shared" ref="T23:T26" si="11">R23*S23</f>
        <v>6500</v>
      </c>
      <c r="V23" s="13"/>
    </row>
    <row r="24" spans="1:22" x14ac:dyDescent="0.25">
      <c r="A24" s="77"/>
      <c r="B24" s="36" t="str">
        <f>A22</f>
        <v>India Cements</v>
      </c>
      <c r="C24" s="35">
        <f t="shared" si="0"/>
        <v>1900</v>
      </c>
      <c r="D24" s="35">
        <f t="shared" si="1"/>
        <v>1</v>
      </c>
      <c r="E24" s="6"/>
      <c r="F24" s="3"/>
      <c r="G24" s="25"/>
      <c r="H24" s="25">
        <f t="shared" si="2"/>
        <v>0</v>
      </c>
      <c r="I24" s="78"/>
      <c r="J24" s="79"/>
      <c r="K24" s="80"/>
      <c r="L24" s="81"/>
      <c r="M24" s="78"/>
      <c r="N24" s="78"/>
      <c r="O24" s="78"/>
      <c r="P24" s="83"/>
      <c r="Q24" s="76"/>
      <c r="R24" s="13">
        <v>100</v>
      </c>
      <c r="S24" s="13">
        <v>60</v>
      </c>
      <c r="T24" s="13">
        <f t="shared" si="11"/>
        <v>6000</v>
      </c>
      <c r="V24" s="13"/>
    </row>
    <row r="25" spans="1:22" x14ac:dyDescent="0.25">
      <c r="A25" s="77"/>
      <c r="B25" s="36" t="str">
        <f>A22</f>
        <v>India Cements</v>
      </c>
      <c r="C25" s="35">
        <f t="shared" si="0"/>
        <v>1900</v>
      </c>
      <c r="D25" s="35">
        <f t="shared" si="1"/>
        <v>1</v>
      </c>
      <c r="E25" s="6"/>
      <c r="F25" s="3"/>
      <c r="G25" s="25"/>
      <c r="H25" s="25">
        <f t="shared" si="2"/>
        <v>0</v>
      </c>
      <c r="I25" s="78"/>
      <c r="J25" s="79"/>
      <c r="K25" s="80"/>
      <c r="L25" s="81"/>
      <c r="M25" s="78"/>
      <c r="N25" s="78"/>
      <c r="O25" s="78"/>
      <c r="P25" s="83"/>
      <c r="Q25" s="76"/>
      <c r="R25" s="13">
        <v>100</v>
      </c>
      <c r="S25" s="13">
        <v>55</v>
      </c>
      <c r="T25" s="13">
        <f t="shared" si="11"/>
        <v>5500</v>
      </c>
      <c r="V25" s="13"/>
    </row>
    <row r="26" spans="1:22" x14ac:dyDescent="0.25">
      <c r="A26" s="77"/>
      <c r="B26" s="36" t="str">
        <f>A22</f>
        <v>India Cements</v>
      </c>
      <c r="C26" s="35">
        <f t="shared" si="0"/>
        <v>1900</v>
      </c>
      <c r="D26" s="35">
        <f t="shared" si="1"/>
        <v>1</v>
      </c>
      <c r="E26" s="6"/>
      <c r="F26" s="3"/>
      <c r="G26" s="25"/>
      <c r="H26" s="25">
        <f t="shared" si="2"/>
        <v>0</v>
      </c>
      <c r="I26" s="78"/>
      <c r="J26" s="79"/>
      <c r="K26" s="80"/>
      <c r="L26" s="81"/>
      <c r="M26" s="78"/>
      <c r="N26" s="78"/>
      <c r="O26" s="78"/>
      <c r="P26" s="83"/>
      <c r="Q26" s="76"/>
      <c r="R26" s="13">
        <v>200</v>
      </c>
      <c r="S26" s="13">
        <v>50</v>
      </c>
      <c r="T26" s="13">
        <f t="shared" si="11"/>
        <v>10000</v>
      </c>
      <c r="V26" s="13"/>
    </row>
    <row r="27" spans="1:22" x14ac:dyDescent="0.25">
      <c r="A27" s="77"/>
      <c r="B27" s="36" t="str">
        <f>A22</f>
        <v>India Cements</v>
      </c>
      <c r="C27" s="35">
        <f t="shared" si="0"/>
        <v>1900</v>
      </c>
      <c r="D27" s="35">
        <f t="shared" si="1"/>
        <v>1</v>
      </c>
      <c r="E27" s="6"/>
      <c r="F27" s="3"/>
      <c r="G27" s="25"/>
      <c r="H27" s="25">
        <f t="shared" si="2"/>
        <v>0</v>
      </c>
      <c r="I27" s="78"/>
      <c r="J27" s="79"/>
      <c r="K27" s="80"/>
      <c r="L27" s="81"/>
      <c r="M27" s="78"/>
      <c r="N27" s="78"/>
      <c r="O27" s="78"/>
      <c r="P27" s="83"/>
      <c r="Q27" s="76"/>
      <c r="R27" s="13"/>
      <c r="V27" s="13"/>
    </row>
    <row r="28" spans="1:22" x14ac:dyDescent="0.25">
      <c r="A28" s="77"/>
      <c r="B28" s="36" t="str">
        <f>A22</f>
        <v>India Cements</v>
      </c>
      <c r="C28" s="35">
        <f t="shared" si="0"/>
        <v>1900</v>
      </c>
      <c r="D28" s="35">
        <f t="shared" si="1"/>
        <v>1</v>
      </c>
      <c r="E28" s="6"/>
      <c r="F28" s="3"/>
      <c r="G28" s="25"/>
      <c r="H28" s="25">
        <f t="shared" si="2"/>
        <v>0</v>
      </c>
      <c r="I28" s="78"/>
      <c r="J28" s="79"/>
      <c r="K28" s="80"/>
      <c r="L28" s="81"/>
      <c r="M28" s="78"/>
      <c r="N28" s="78"/>
      <c r="O28" s="78"/>
      <c r="P28" s="83"/>
      <c r="Q28" s="76"/>
      <c r="R28" s="13"/>
      <c r="V28" s="13"/>
    </row>
    <row r="29" spans="1:22" x14ac:dyDescent="0.25">
      <c r="A29" s="77"/>
      <c r="B29" s="36" t="str">
        <f>A22</f>
        <v>India Cements</v>
      </c>
      <c r="C29" s="35">
        <f t="shared" si="0"/>
        <v>1900</v>
      </c>
      <c r="D29" s="35">
        <f t="shared" si="1"/>
        <v>1</v>
      </c>
      <c r="E29" s="6"/>
      <c r="F29" s="3"/>
      <c r="G29" s="25"/>
      <c r="H29" s="25">
        <f t="shared" si="2"/>
        <v>0</v>
      </c>
      <c r="I29" s="78"/>
      <c r="J29" s="79"/>
      <c r="K29" s="80"/>
      <c r="L29" s="81"/>
      <c r="M29" s="78"/>
      <c r="N29" s="78"/>
      <c r="O29" s="78"/>
      <c r="P29" s="83"/>
      <c r="Q29" s="76"/>
      <c r="R29" s="13"/>
      <c r="V29" s="13"/>
    </row>
    <row r="30" spans="1:22" x14ac:dyDescent="0.25">
      <c r="A30" s="77"/>
      <c r="B30" s="36" t="str">
        <f>A22</f>
        <v>India Cements</v>
      </c>
      <c r="C30" s="35">
        <f t="shared" si="0"/>
        <v>1900</v>
      </c>
      <c r="D30" s="35">
        <f t="shared" si="1"/>
        <v>1</v>
      </c>
      <c r="E30" s="6"/>
      <c r="F30" s="3"/>
      <c r="G30" s="25"/>
      <c r="H30" s="25">
        <f t="shared" si="2"/>
        <v>0</v>
      </c>
      <c r="I30" s="78"/>
      <c r="J30" s="79"/>
      <c r="K30" s="80"/>
      <c r="L30" s="81"/>
      <c r="M30" s="78"/>
      <c r="N30" s="78"/>
      <c r="O30" s="78"/>
      <c r="P30" s="83"/>
      <c r="Q30" s="76"/>
      <c r="R30" s="13"/>
      <c r="V30" s="13"/>
    </row>
    <row r="31" spans="1:22" x14ac:dyDescent="0.25">
      <c r="A31" s="77" t="s">
        <v>13</v>
      </c>
      <c r="B31" s="36" t="str">
        <f>A31</f>
        <v>Indian Oil</v>
      </c>
      <c r="C31" s="35">
        <f t="shared" si="0"/>
        <v>2019</v>
      </c>
      <c r="D31" s="35">
        <f t="shared" si="1"/>
        <v>4</v>
      </c>
      <c r="E31" s="8">
        <v>43578</v>
      </c>
      <c r="F31" s="3">
        <v>10</v>
      </c>
      <c r="G31" s="25">
        <v>162.87</v>
      </c>
      <c r="H31" s="25">
        <f t="shared" si="2"/>
        <v>1628.7</v>
      </c>
      <c r="I31" s="78">
        <f>SUM(F31:F39)</f>
        <v>100</v>
      </c>
      <c r="J31" s="79">
        <f>SUM(H31:H39)/SUM(F31:F39)</f>
        <v>131.33700000000002</v>
      </c>
      <c r="K31" s="80">
        <f>I31*J31</f>
        <v>13133.700000000003</v>
      </c>
      <c r="L31" s="81">
        <v>78.95</v>
      </c>
      <c r="M31" s="82">
        <f t="shared" ref="M31" si="12">M22</f>
        <v>43871</v>
      </c>
      <c r="N31" s="78">
        <f>I31*L31</f>
        <v>7895</v>
      </c>
      <c r="O31" s="78">
        <f>N31-K31</f>
        <v>-5238.7000000000025</v>
      </c>
      <c r="P31" s="83">
        <f>(O31/K31)</f>
        <v>-0.39887465070772149</v>
      </c>
      <c r="Q31" s="76">
        <f ca="1">TODAY()-E31</f>
        <v>345</v>
      </c>
    </row>
    <row r="32" spans="1:22" x14ac:dyDescent="0.25">
      <c r="A32" s="77"/>
      <c r="B32" s="36" t="str">
        <f>A31</f>
        <v>Indian Oil</v>
      </c>
      <c r="C32" s="35">
        <f t="shared" si="0"/>
        <v>2019</v>
      </c>
      <c r="D32" s="35">
        <f t="shared" si="1"/>
        <v>5</v>
      </c>
      <c r="E32" s="8">
        <v>43598</v>
      </c>
      <c r="F32" s="3">
        <v>10</v>
      </c>
      <c r="G32" s="25">
        <v>145</v>
      </c>
      <c r="H32" s="25">
        <f t="shared" si="2"/>
        <v>1450</v>
      </c>
      <c r="I32" s="78"/>
      <c r="J32" s="79"/>
      <c r="K32" s="80"/>
      <c r="L32" s="81"/>
      <c r="M32" s="78"/>
      <c r="N32" s="78"/>
      <c r="O32" s="78"/>
      <c r="P32" s="83"/>
      <c r="Q32" s="76"/>
    </row>
    <row r="33" spans="1:22" x14ac:dyDescent="0.25">
      <c r="A33" s="77"/>
      <c r="B33" s="36" t="str">
        <f>A31</f>
        <v>Indian Oil</v>
      </c>
      <c r="C33" s="35">
        <f t="shared" si="0"/>
        <v>2019</v>
      </c>
      <c r="D33" s="35">
        <f t="shared" si="1"/>
        <v>7</v>
      </c>
      <c r="E33" s="8">
        <v>43675</v>
      </c>
      <c r="F33" s="3">
        <v>20</v>
      </c>
      <c r="G33" s="25">
        <v>140</v>
      </c>
      <c r="H33" s="25">
        <f t="shared" si="2"/>
        <v>2800</v>
      </c>
      <c r="I33" s="78"/>
      <c r="J33" s="79"/>
      <c r="K33" s="80"/>
      <c r="L33" s="81"/>
      <c r="M33" s="78"/>
      <c r="N33" s="78"/>
      <c r="O33" s="78"/>
      <c r="P33" s="83"/>
      <c r="Q33" s="76"/>
    </row>
    <row r="34" spans="1:22" x14ac:dyDescent="0.25">
      <c r="A34" s="77"/>
      <c r="B34" s="36" t="str">
        <f>A31</f>
        <v>Indian Oil</v>
      </c>
      <c r="C34" s="35">
        <f t="shared" si="0"/>
        <v>2019</v>
      </c>
      <c r="D34" s="35">
        <f t="shared" si="1"/>
        <v>8</v>
      </c>
      <c r="E34" s="8">
        <v>43684</v>
      </c>
      <c r="F34" s="3">
        <v>20</v>
      </c>
      <c r="G34" s="25">
        <v>129</v>
      </c>
      <c r="H34" s="25">
        <f t="shared" si="2"/>
        <v>2580</v>
      </c>
      <c r="I34" s="78"/>
      <c r="J34" s="79"/>
      <c r="K34" s="80"/>
      <c r="L34" s="81"/>
      <c r="M34" s="78"/>
      <c r="N34" s="78"/>
      <c r="O34" s="78"/>
      <c r="P34" s="83"/>
      <c r="Q34" s="76"/>
    </row>
    <row r="35" spans="1:22" x14ac:dyDescent="0.25">
      <c r="A35" s="77"/>
      <c r="B35" s="36" t="str">
        <f>A31</f>
        <v>Indian Oil</v>
      </c>
      <c r="C35" s="35">
        <f t="shared" si="0"/>
        <v>2019</v>
      </c>
      <c r="D35" s="35">
        <f t="shared" si="1"/>
        <v>8</v>
      </c>
      <c r="E35" s="8">
        <v>43698</v>
      </c>
      <c r="F35" s="3">
        <v>10</v>
      </c>
      <c r="G35" s="25">
        <v>122.5</v>
      </c>
      <c r="H35" s="25">
        <f t="shared" si="2"/>
        <v>1225</v>
      </c>
      <c r="I35" s="78"/>
      <c r="J35" s="79"/>
      <c r="K35" s="80"/>
      <c r="L35" s="81"/>
      <c r="M35" s="78"/>
      <c r="N35" s="78"/>
      <c r="O35" s="78"/>
      <c r="P35" s="83"/>
      <c r="Q35" s="76"/>
    </row>
    <row r="36" spans="1:22" x14ac:dyDescent="0.25">
      <c r="A36" s="77"/>
      <c r="B36" s="36" t="str">
        <f>A31</f>
        <v>Indian Oil</v>
      </c>
      <c r="C36" s="35">
        <f t="shared" si="0"/>
        <v>2020</v>
      </c>
      <c r="D36" s="35">
        <f t="shared" si="1"/>
        <v>1</v>
      </c>
      <c r="E36" s="8">
        <v>43851</v>
      </c>
      <c r="F36" s="3">
        <v>30</v>
      </c>
      <c r="G36" s="25">
        <v>115</v>
      </c>
      <c r="H36" s="25">
        <f t="shared" si="2"/>
        <v>3450</v>
      </c>
      <c r="I36" s="78"/>
      <c r="J36" s="79"/>
      <c r="K36" s="80"/>
      <c r="L36" s="81"/>
      <c r="M36" s="78"/>
      <c r="N36" s="78"/>
      <c r="O36" s="78"/>
      <c r="P36" s="83"/>
      <c r="Q36" s="76"/>
      <c r="V36" s="13"/>
    </row>
    <row r="37" spans="1:22" x14ac:dyDescent="0.25">
      <c r="A37" s="77"/>
      <c r="B37" s="36" t="str">
        <f>A31</f>
        <v>Indian Oil</v>
      </c>
      <c r="C37" s="35">
        <f t="shared" si="0"/>
        <v>1900</v>
      </c>
      <c r="D37" s="35">
        <f t="shared" si="1"/>
        <v>1</v>
      </c>
      <c r="E37" s="6"/>
      <c r="F37" s="3"/>
      <c r="G37" s="25"/>
      <c r="H37" s="25">
        <f t="shared" si="2"/>
        <v>0</v>
      </c>
      <c r="I37" s="78"/>
      <c r="J37" s="79"/>
      <c r="K37" s="80"/>
      <c r="L37" s="81"/>
      <c r="M37" s="78"/>
      <c r="N37" s="78"/>
      <c r="O37" s="78"/>
      <c r="P37" s="83"/>
      <c r="Q37" s="76"/>
      <c r="R37" s="9">
        <v>50</v>
      </c>
      <c r="S37" s="13">
        <v>80</v>
      </c>
      <c r="T37" s="13">
        <f t="shared" ref="T37" si="13">R37*S37</f>
        <v>4000</v>
      </c>
      <c r="V37" s="13"/>
    </row>
    <row r="38" spans="1:22" x14ac:dyDescent="0.25">
      <c r="A38" s="77"/>
      <c r="B38" s="36" t="str">
        <f>A31</f>
        <v>Indian Oil</v>
      </c>
      <c r="C38" s="35">
        <f t="shared" si="0"/>
        <v>1900</v>
      </c>
      <c r="D38" s="35">
        <f t="shared" si="1"/>
        <v>1</v>
      </c>
      <c r="E38" s="6"/>
      <c r="F38" s="3"/>
      <c r="G38" s="25"/>
      <c r="H38" s="25">
        <f t="shared" si="2"/>
        <v>0</v>
      </c>
      <c r="I38" s="78"/>
      <c r="J38" s="79"/>
      <c r="K38" s="80"/>
      <c r="L38" s="81"/>
      <c r="M38" s="78"/>
      <c r="N38" s="78"/>
      <c r="O38" s="78"/>
      <c r="P38" s="83"/>
      <c r="Q38" s="76"/>
      <c r="R38" s="13">
        <v>50</v>
      </c>
      <c r="S38" s="13">
        <v>70</v>
      </c>
      <c r="T38" s="13">
        <f t="shared" ref="T38:T39" si="14">R38*S38</f>
        <v>3500</v>
      </c>
      <c r="V38" s="13"/>
    </row>
    <row r="39" spans="1:22" x14ac:dyDescent="0.25">
      <c r="A39" s="77"/>
      <c r="B39" s="36" t="str">
        <f>A31</f>
        <v>Indian Oil</v>
      </c>
      <c r="C39" s="35">
        <f t="shared" si="0"/>
        <v>1900</v>
      </c>
      <c r="D39" s="35">
        <f t="shared" si="1"/>
        <v>1</v>
      </c>
      <c r="E39" s="6"/>
      <c r="F39" s="3"/>
      <c r="G39" s="25"/>
      <c r="H39" s="25">
        <f t="shared" si="2"/>
        <v>0</v>
      </c>
      <c r="I39" s="78"/>
      <c r="J39" s="79"/>
      <c r="K39" s="80"/>
      <c r="L39" s="81"/>
      <c r="M39" s="78"/>
      <c r="N39" s="78"/>
      <c r="O39" s="78"/>
      <c r="P39" s="83"/>
      <c r="Q39" s="76"/>
      <c r="R39" s="13">
        <v>50</v>
      </c>
      <c r="S39" s="13">
        <v>60</v>
      </c>
      <c r="T39" s="13">
        <f t="shared" si="14"/>
        <v>3000</v>
      </c>
      <c r="V39" s="13"/>
    </row>
    <row r="40" spans="1:22" x14ac:dyDescent="0.25">
      <c r="A40" s="77" t="s">
        <v>14</v>
      </c>
      <c r="B40" s="36" t="str">
        <f>A40</f>
        <v>Fineotex Chemical</v>
      </c>
      <c r="C40" s="35">
        <f t="shared" si="0"/>
        <v>2019</v>
      </c>
      <c r="D40" s="35">
        <f t="shared" si="1"/>
        <v>4</v>
      </c>
      <c r="E40" s="8">
        <v>43573</v>
      </c>
      <c r="F40" s="3">
        <v>100</v>
      </c>
      <c r="G40" s="25">
        <v>40</v>
      </c>
      <c r="H40" s="25">
        <f t="shared" si="2"/>
        <v>4000</v>
      </c>
      <c r="I40" s="78">
        <f>SUM(F40:F57)</f>
        <v>1650</v>
      </c>
      <c r="J40" s="79">
        <f>SUM(H40:H57)/SUM(F40:F57)</f>
        <v>22.66030303030303</v>
      </c>
      <c r="K40" s="80">
        <f>I40*J40</f>
        <v>37389.5</v>
      </c>
      <c r="L40" s="81">
        <v>15.04</v>
      </c>
      <c r="M40" s="82">
        <f t="shared" ref="M40" si="15">M31</f>
        <v>43871</v>
      </c>
      <c r="N40" s="78">
        <f>I40*L40</f>
        <v>24816</v>
      </c>
      <c r="O40" s="78">
        <f>N40-K40</f>
        <v>-12573.5</v>
      </c>
      <c r="P40" s="83">
        <f>(O40/K40)</f>
        <v>-0.33628425092606212</v>
      </c>
      <c r="Q40" s="76">
        <f ca="1">TODAY()-E40</f>
        <v>350</v>
      </c>
    </row>
    <row r="41" spans="1:22" x14ac:dyDescent="0.25">
      <c r="A41" s="77"/>
      <c r="B41" s="36" t="str">
        <f>A40</f>
        <v>Fineotex Chemical</v>
      </c>
      <c r="C41" s="35">
        <f t="shared" si="0"/>
        <v>2019</v>
      </c>
      <c r="D41" s="35">
        <f t="shared" si="1"/>
        <v>5</v>
      </c>
      <c r="E41" s="19">
        <v>43591</v>
      </c>
      <c r="F41" s="3">
        <v>50</v>
      </c>
      <c r="G41" s="25">
        <v>35.75</v>
      </c>
      <c r="H41" s="25">
        <f t="shared" si="2"/>
        <v>1787.5</v>
      </c>
      <c r="I41" s="78"/>
      <c r="J41" s="79"/>
      <c r="K41" s="80"/>
      <c r="L41" s="81"/>
      <c r="M41" s="78"/>
      <c r="N41" s="78"/>
      <c r="O41" s="78"/>
      <c r="P41" s="83"/>
      <c r="Q41" s="76"/>
    </row>
    <row r="42" spans="1:22" x14ac:dyDescent="0.25">
      <c r="A42" s="77"/>
      <c r="B42" s="36" t="str">
        <f>A40</f>
        <v>Fineotex Chemical</v>
      </c>
      <c r="C42" s="35">
        <f t="shared" si="0"/>
        <v>2019</v>
      </c>
      <c r="D42" s="35">
        <f t="shared" si="1"/>
        <v>7</v>
      </c>
      <c r="E42" s="19">
        <v>43669</v>
      </c>
      <c r="F42" s="3">
        <v>100</v>
      </c>
      <c r="G42" s="25">
        <v>30</v>
      </c>
      <c r="H42" s="25">
        <f t="shared" si="2"/>
        <v>3000</v>
      </c>
      <c r="I42" s="78"/>
      <c r="J42" s="79"/>
      <c r="K42" s="80"/>
      <c r="L42" s="81"/>
      <c r="M42" s="78"/>
      <c r="N42" s="78"/>
      <c r="O42" s="78"/>
      <c r="P42" s="83"/>
      <c r="Q42" s="76"/>
    </row>
    <row r="43" spans="1:22" x14ac:dyDescent="0.25">
      <c r="A43" s="77"/>
      <c r="B43" s="36" t="str">
        <f>A40</f>
        <v>Fineotex Chemical</v>
      </c>
      <c r="C43" s="35">
        <f t="shared" si="0"/>
        <v>2019</v>
      </c>
      <c r="D43" s="35">
        <f t="shared" si="1"/>
        <v>8</v>
      </c>
      <c r="E43" s="19">
        <v>43679</v>
      </c>
      <c r="F43" s="3">
        <v>100</v>
      </c>
      <c r="G43" s="25">
        <v>25</v>
      </c>
      <c r="H43" s="25">
        <f t="shared" si="2"/>
        <v>2500</v>
      </c>
      <c r="I43" s="78"/>
      <c r="J43" s="79"/>
      <c r="K43" s="80"/>
      <c r="L43" s="81"/>
      <c r="M43" s="78"/>
      <c r="N43" s="78"/>
      <c r="O43" s="78"/>
      <c r="P43" s="83"/>
      <c r="Q43" s="76"/>
    </row>
    <row r="44" spans="1:22" x14ac:dyDescent="0.25">
      <c r="A44" s="77"/>
      <c r="B44" s="36" t="str">
        <f>A40</f>
        <v>Fineotex Chemical</v>
      </c>
      <c r="C44" s="35">
        <f t="shared" si="0"/>
        <v>2019</v>
      </c>
      <c r="D44" s="35">
        <f t="shared" si="1"/>
        <v>8</v>
      </c>
      <c r="E44" s="19">
        <v>43697</v>
      </c>
      <c r="F44" s="3">
        <v>50</v>
      </c>
      <c r="G44" s="25">
        <v>25</v>
      </c>
      <c r="H44" s="25">
        <f t="shared" si="2"/>
        <v>1250</v>
      </c>
      <c r="I44" s="78"/>
      <c r="J44" s="79"/>
      <c r="K44" s="80"/>
      <c r="L44" s="81"/>
      <c r="M44" s="78"/>
      <c r="N44" s="78"/>
      <c r="O44" s="78"/>
      <c r="P44" s="83"/>
      <c r="Q44" s="76"/>
    </row>
    <row r="45" spans="1:22" x14ac:dyDescent="0.25">
      <c r="A45" s="77"/>
      <c r="B45" s="36" t="str">
        <f>A40</f>
        <v>Fineotex Chemical</v>
      </c>
      <c r="C45" s="35">
        <f t="shared" si="0"/>
        <v>2019</v>
      </c>
      <c r="D45" s="35">
        <f t="shared" si="1"/>
        <v>2</v>
      </c>
      <c r="E45" s="19">
        <v>43501</v>
      </c>
      <c r="F45" s="3">
        <v>100</v>
      </c>
      <c r="G45" s="25">
        <v>29.07</v>
      </c>
      <c r="H45" s="25">
        <f t="shared" si="2"/>
        <v>2907</v>
      </c>
      <c r="I45" s="78"/>
      <c r="J45" s="79"/>
      <c r="K45" s="80"/>
      <c r="L45" s="81"/>
      <c r="M45" s="78"/>
      <c r="N45" s="78"/>
      <c r="O45" s="78"/>
      <c r="P45" s="83"/>
      <c r="Q45" s="76"/>
      <c r="R45" s="13"/>
    </row>
    <row r="46" spans="1:22" x14ac:dyDescent="0.25">
      <c r="A46" s="77"/>
      <c r="B46" s="68" t="str">
        <f>A40</f>
        <v>Fineotex Chemical</v>
      </c>
      <c r="C46" s="69">
        <f t="shared" si="0"/>
        <v>2020</v>
      </c>
      <c r="D46" s="69">
        <f t="shared" si="1"/>
        <v>2</v>
      </c>
      <c r="E46" s="19">
        <v>43879</v>
      </c>
      <c r="F46" s="3">
        <v>100</v>
      </c>
      <c r="G46" s="25">
        <v>25</v>
      </c>
      <c r="H46" s="25">
        <f t="shared" si="2"/>
        <v>2500</v>
      </c>
      <c r="I46" s="78"/>
      <c r="J46" s="79"/>
      <c r="K46" s="80"/>
      <c r="L46" s="81"/>
      <c r="M46" s="78"/>
      <c r="N46" s="78"/>
      <c r="O46" s="78"/>
      <c r="P46" s="83"/>
      <c r="Q46" s="76"/>
    </row>
    <row r="47" spans="1:22" x14ac:dyDescent="0.25">
      <c r="A47" s="77"/>
      <c r="B47" s="68" t="str">
        <f>A40</f>
        <v>Fineotex Chemical</v>
      </c>
      <c r="C47" s="69">
        <f t="shared" si="0"/>
        <v>2020</v>
      </c>
      <c r="D47" s="69">
        <f t="shared" si="1"/>
        <v>3</v>
      </c>
      <c r="E47" s="19">
        <v>43892</v>
      </c>
      <c r="F47" s="3">
        <v>150</v>
      </c>
      <c r="G47" s="25">
        <v>23</v>
      </c>
      <c r="H47" s="25">
        <f t="shared" si="2"/>
        <v>3450</v>
      </c>
      <c r="I47" s="78"/>
      <c r="J47" s="79"/>
      <c r="K47" s="80"/>
      <c r="L47" s="81"/>
      <c r="M47" s="78"/>
      <c r="N47" s="78"/>
      <c r="O47" s="78"/>
      <c r="P47" s="83"/>
      <c r="Q47" s="76"/>
    </row>
    <row r="48" spans="1:22" x14ac:dyDescent="0.25">
      <c r="A48" s="77"/>
      <c r="B48" s="68" t="str">
        <f>A40</f>
        <v>Fineotex Chemical</v>
      </c>
      <c r="C48" s="69">
        <f t="shared" si="0"/>
        <v>2020</v>
      </c>
      <c r="D48" s="69">
        <f t="shared" si="1"/>
        <v>3</v>
      </c>
      <c r="E48" s="19">
        <v>43894</v>
      </c>
      <c r="F48" s="3">
        <v>250</v>
      </c>
      <c r="G48" s="25">
        <v>22</v>
      </c>
      <c r="H48" s="25">
        <f t="shared" si="2"/>
        <v>5500</v>
      </c>
      <c r="I48" s="78"/>
      <c r="J48" s="79"/>
      <c r="K48" s="80"/>
      <c r="L48" s="81"/>
      <c r="M48" s="78"/>
      <c r="N48" s="78"/>
      <c r="O48" s="78"/>
      <c r="P48" s="83"/>
      <c r="Q48" s="76"/>
      <c r="R48" s="9">
        <v>250</v>
      </c>
      <c r="S48" s="13">
        <v>15</v>
      </c>
      <c r="T48" s="13">
        <f>R48*S48</f>
        <v>3750</v>
      </c>
    </row>
    <row r="49" spans="1:20" x14ac:dyDescent="0.25">
      <c r="A49" s="77"/>
      <c r="B49" s="36" t="str">
        <f>A40</f>
        <v>Fineotex Chemical</v>
      </c>
      <c r="C49" s="35">
        <f t="shared" si="0"/>
        <v>2020</v>
      </c>
      <c r="D49" s="35">
        <f t="shared" si="1"/>
        <v>3</v>
      </c>
      <c r="E49" s="19">
        <v>43903</v>
      </c>
      <c r="F49" s="3">
        <v>250</v>
      </c>
      <c r="G49" s="25">
        <v>18.5</v>
      </c>
      <c r="H49" s="25">
        <f t="shared" si="2"/>
        <v>4625</v>
      </c>
      <c r="I49" s="78"/>
      <c r="J49" s="79"/>
      <c r="K49" s="80"/>
      <c r="L49" s="81"/>
      <c r="M49" s="78"/>
      <c r="N49" s="78"/>
      <c r="O49" s="78"/>
      <c r="P49" s="83"/>
      <c r="Q49" s="76"/>
      <c r="R49" s="13">
        <v>250</v>
      </c>
      <c r="S49" s="13">
        <v>14</v>
      </c>
      <c r="T49" s="13">
        <f t="shared" ref="T49:T51" si="16">R49*S49</f>
        <v>3500</v>
      </c>
    </row>
    <row r="50" spans="1:20" x14ac:dyDescent="0.25">
      <c r="A50" s="77"/>
      <c r="B50" s="68" t="str">
        <f>A40</f>
        <v>Fineotex Chemical</v>
      </c>
      <c r="C50" s="69">
        <f t="shared" ref="C50:C57" si="17">YEAR(E50)</f>
        <v>2020</v>
      </c>
      <c r="D50" s="69">
        <f t="shared" ref="D50:D57" si="18">MONTH(E50)</f>
        <v>3</v>
      </c>
      <c r="E50" s="8">
        <v>43913</v>
      </c>
      <c r="F50" s="3">
        <v>100</v>
      </c>
      <c r="G50" s="25">
        <v>14</v>
      </c>
      <c r="H50" s="25">
        <f t="shared" si="2"/>
        <v>1400</v>
      </c>
      <c r="I50" s="78"/>
      <c r="J50" s="79"/>
      <c r="K50" s="80"/>
      <c r="L50" s="81"/>
      <c r="M50" s="78"/>
      <c r="N50" s="78"/>
      <c r="O50" s="78"/>
      <c r="P50" s="83"/>
      <c r="Q50" s="76"/>
      <c r="R50" s="13">
        <v>250</v>
      </c>
      <c r="S50" s="13">
        <v>13</v>
      </c>
      <c r="T50" s="13">
        <f t="shared" si="16"/>
        <v>3250</v>
      </c>
    </row>
    <row r="51" spans="1:20" x14ac:dyDescent="0.25">
      <c r="A51" s="77"/>
      <c r="B51" s="68" t="str">
        <f>A40</f>
        <v>Fineotex Chemical</v>
      </c>
      <c r="C51" s="69">
        <f t="shared" si="17"/>
        <v>2020</v>
      </c>
      <c r="D51" s="69">
        <f t="shared" si="18"/>
        <v>3</v>
      </c>
      <c r="E51" s="8">
        <v>43921</v>
      </c>
      <c r="F51" s="3">
        <v>200</v>
      </c>
      <c r="G51" s="25">
        <v>14.85</v>
      </c>
      <c r="H51" s="25">
        <f t="shared" si="2"/>
        <v>2970</v>
      </c>
      <c r="I51" s="78"/>
      <c r="J51" s="79"/>
      <c r="K51" s="80"/>
      <c r="L51" s="81"/>
      <c r="M51" s="78"/>
      <c r="N51" s="78"/>
      <c r="O51" s="78"/>
      <c r="P51" s="83"/>
      <c r="Q51" s="76"/>
      <c r="R51" s="13">
        <v>250</v>
      </c>
      <c r="S51" s="13">
        <v>12</v>
      </c>
      <c r="T51" s="13">
        <f t="shared" si="16"/>
        <v>3000</v>
      </c>
    </row>
    <row r="52" spans="1:20" x14ac:dyDescent="0.25">
      <c r="A52" s="77"/>
      <c r="B52" s="68" t="str">
        <f>A40</f>
        <v>Fineotex Chemical</v>
      </c>
      <c r="C52" s="69">
        <f t="shared" si="17"/>
        <v>2020</v>
      </c>
      <c r="D52" s="69">
        <f t="shared" si="18"/>
        <v>4</v>
      </c>
      <c r="E52" s="8">
        <v>43922</v>
      </c>
      <c r="F52" s="3">
        <v>100</v>
      </c>
      <c r="G52" s="25">
        <v>15</v>
      </c>
      <c r="H52" s="25">
        <f t="shared" si="2"/>
        <v>1500</v>
      </c>
      <c r="I52" s="78"/>
      <c r="J52" s="79"/>
      <c r="K52" s="80"/>
      <c r="L52" s="81"/>
      <c r="M52" s="78"/>
      <c r="N52" s="78"/>
      <c r="O52" s="78"/>
      <c r="P52" s="83"/>
      <c r="Q52" s="76"/>
      <c r="R52" s="13">
        <v>500</v>
      </c>
      <c r="S52" s="13">
        <v>11</v>
      </c>
      <c r="T52" s="13">
        <f>R52*S52</f>
        <v>5500</v>
      </c>
    </row>
    <row r="53" spans="1:20" x14ac:dyDescent="0.25">
      <c r="A53" s="77"/>
      <c r="B53" s="73" t="str">
        <f>A40</f>
        <v>Fineotex Chemical</v>
      </c>
      <c r="C53" s="74">
        <f t="shared" si="17"/>
        <v>1900</v>
      </c>
      <c r="D53" s="74">
        <f t="shared" si="18"/>
        <v>1</v>
      </c>
      <c r="E53" s="73"/>
      <c r="F53" s="3"/>
      <c r="G53" s="25"/>
      <c r="H53" s="25">
        <f t="shared" si="2"/>
        <v>0</v>
      </c>
      <c r="I53" s="78"/>
      <c r="J53" s="79"/>
      <c r="K53" s="80"/>
      <c r="L53" s="81"/>
      <c r="M53" s="78"/>
      <c r="N53" s="78"/>
      <c r="O53" s="78"/>
      <c r="P53" s="83"/>
      <c r="Q53" s="76"/>
      <c r="R53" s="13"/>
    </row>
    <row r="54" spans="1:20" x14ac:dyDescent="0.25">
      <c r="A54" s="77"/>
      <c r="B54" s="73" t="str">
        <f>A40</f>
        <v>Fineotex Chemical</v>
      </c>
      <c r="C54" s="74">
        <f t="shared" si="17"/>
        <v>1900</v>
      </c>
      <c r="D54" s="74">
        <f t="shared" si="18"/>
        <v>1</v>
      </c>
      <c r="E54" s="73"/>
      <c r="F54" s="3"/>
      <c r="G54" s="25"/>
      <c r="H54" s="25">
        <f t="shared" si="2"/>
        <v>0</v>
      </c>
      <c r="I54" s="78"/>
      <c r="J54" s="79"/>
      <c r="K54" s="80"/>
      <c r="L54" s="81"/>
      <c r="M54" s="78"/>
      <c r="N54" s="78"/>
      <c r="O54" s="78"/>
      <c r="P54" s="83"/>
      <c r="Q54" s="76"/>
      <c r="R54" s="13"/>
    </row>
    <row r="55" spans="1:20" x14ac:dyDescent="0.25">
      <c r="A55" s="77"/>
      <c r="B55" s="73" t="str">
        <f>A40</f>
        <v>Fineotex Chemical</v>
      </c>
      <c r="C55" s="74">
        <f t="shared" si="17"/>
        <v>1900</v>
      </c>
      <c r="D55" s="74">
        <f t="shared" si="18"/>
        <v>1</v>
      </c>
      <c r="E55" s="73"/>
      <c r="F55" s="3"/>
      <c r="G55" s="25"/>
      <c r="H55" s="25">
        <f t="shared" si="2"/>
        <v>0</v>
      </c>
      <c r="I55" s="78"/>
      <c r="J55" s="79"/>
      <c r="K55" s="80"/>
      <c r="L55" s="81"/>
      <c r="M55" s="78"/>
      <c r="N55" s="78"/>
      <c r="O55" s="78"/>
      <c r="P55" s="83"/>
      <c r="Q55" s="76"/>
      <c r="R55" s="13"/>
    </row>
    <row r="56" spans="1:20" x14ac:dyDescent="0.25">
      <c r="A56" s="77"/>
      <c r="B56" s="73" t="str">
        <f>A40</f>
        <v>Fineotex Chemical</v>
      </c>
      <c r="C56" s="74">
        <f t="shared" si="17"/>
        <v>1900</v>
      </c>
      <c r="D56" s="74">
        <f t="shared" si="18"/>
        <v>1</v>
      </c>
      <c r="E56" s="73"/>
      <c r="F56" s="3"/>
      <c r="G56" s="25"/>
      <c r="H56" s="25">
        <f t="shared" si="2"/>
        <v>0</v>
      </c>
      <c r="I56" s="78"/>
      <c r="J56" s="79"/>
      <c r="K56" s="80"/>
      <c r="L56" s="81"/>
      <c r="M56" s="78"/>
      <c r="N56" s="78"/>
      <c r="O56" s="78"/>
      <c r="P56" s="83"/>
      <c r="Q56" s="76"/>
      <c r="R56" s="13"/>
    </row>
    <row r="57" spans="1:20" x14ac:dyDescent="0.25">
      <c r="A57" s="77"/>
      <c r="B57" s="36" t="str">
        <f>A40</f>
        <v>Fineotex Chemical</v>
      </c>
      <c r="C57" s="74">
        <f t="shared" si="17"/>
        <v>1900</v>
      </c>
      <c r="D57" s="74">
        <f t="shared" si="18"/>
        <v>1</v>
      </c>
      <c r="E57" s="6"/>
      <c r="F57" s="3"/>
      <c r="G57" s="25"/>
      <c r="H57" s="25">
        <f t="shared" si="2"/>
        <v>0</v>
      </c>
      <c r="I57" s="78"/>
      <c r="J57" s="79"/>
      <c r="K57" s="80"/>
      <c r="L57" s="81"/>
      <c r="M57" s="78"/>
      <c r="N57" s="78"/>
      <c r="O57" s="78"/>
      <c r="P57" s="83"/>
      <c r="Q57" s="76"/>
      <c r="R57" s="13">
        <v>500</v>
      </c>
      <c r="S57" s="13">
        <v>10</v>
      </c>
      <c r="T57" s="13">
        <f t="shared" ref="T57" si="19">R57*S57</f>
        <v>5000</v>
      </c>
    </row>
    <row r="58" spans="1:20" x14ac:dyDescent="0.25">
      <c r="A58" s="99" t="s">
        <v>15</v>
      </c>
      <c r="B58" s="36" t="str">
        <f>A58</f>
        <v>Vakrangee</v>
      </c>
      <c r="C58" s="35">
        <f t="shared" si="0"/>
        <v>2019</v>
      </c>
      <c r="D58" s="35">
        <f t="shared" si="1"/>
        <v>4</v>
      </c>
      <c r="E58" s="8">
        <v>43579</v>
      </c>
      <c r="F58" s="3">
        <v>25</v>
      </c>
      <c r="G58" s="25">
        <v>61.67</v>
      </c>
      <c r="H58" s="25">
        <f t="shared" si="2"/>
        <v>1541.75</v>
      </c>
      <c r="I58" s="90">
        <f>SUM(F58:F72)</f>
        <v>1250</v>
      </c>
      <c r="J58" s="102">
        <f>SUM(H58:H72)/SUM(F58:F72)</f>
        <v>27.605399999999999</v>
      </c>
      <c r="K58" s="105">
        <f>I58*J58</f>
        <v>34506.75</v>
      </c>
      <c r="L58" s="108">
        <v>18.850000000000001</v>
      </c>
      <c r="M58" s="87">
        <f>M40</f>
        <v>43871</v>
      </c>
      <c r="N58" s="90">
        <f>I58*L58</f>
        <v>23562.5</v>
      </c>
      <c r="O58" s="90">
        <f>N58-K58</f>
        <v>-10944.25</v>
      </c>
      <c r="P58" s="84">
        <f>(O58/K58)</f>
        <v>-0.31716258413209009</v>
      </c>
      <c r="Q58" s="96">
        <f ca="1">TODAY()-E58</f>
        <v>344</v>
      </c>
    </row>
    <row r="59" spans="1:20" x14ac:dyDescent="0.25">
      <c r="A59" s="100"/>
      <c r="B59" s="36" t="str">
        <f>A58</f>
        <v>Vakrangee</v>
      </c>
      <c r="C59" s="35">
        <f t="shared" si="0"/>
        <v>2019</v>
      </c>
      <c r="D59" s="35">
        <f t="shared" si="1"/>
        <v>5</v>
      </c>
      <c r="E59" s="8">
        <v>43600</v>
      </c>
      <c r="F59" s="3">
        <v>50</v>
      </c>
      <c r="G59" s="25">
        <v>50</v>
      </c>
      <c r="H59" s="25">
        <f t="shared" si="2"/>
        <v>2500</v>
      </c>
      <c r="I59" s="91"/>
      <c r="J59" s="103"/>
      <c r="K59" s="106"/>
      <c r="L59" s="109"/>
      <c r="M59" s="88"/>
      <c r="N59" s="91"/>
      <c r="O59" s="91"/>
      <c r="P59" s="85"/>
      <c r="Q59" s="97"/>
      <c r="R59" s="13"/>
    </row>
    <row r="60" spans="1:20" x14ac:dyDescent="0.25">
      <c r="A60" s="100"/>
      <c r="B60" s="36" t="str">
        <f>A58</f>
        <v>Vakrangee</v>
      </c>
      <c r="C60" s="35">
        <f t="shared" si="0"/>
        <v>2019</v>
      </c>
      <c r="D60" s="35">
        <f t="shared" si="1"/>
        <v>8</v>
      </c>
      <c r="E60" s="8">
        <v>43697</v>
      </c>
      <c r="F60" s="3">
        <v>25</v>
      </c>
      <c r="G60" s="25">
        <v>34.5</v>
      </c>
      <c r="H60" s="25">
        <f t="shared" si="2"/>
        <v>862.5</v>
      </c>
      <c r="I60" s="91"/>
      <c r="J60" s="103"/>
      <c r="K60" s="106"/>
      <c r="L60" s="109"/>
      <c r="M60" s="88"/>
      <c r="N60" s="91"/>
      <c r="O60" s="91"/>
      <c r="P60" s="85"/>
      <c r="Q60" s="97"/>
      <c r="R60" s="13"/>
    </row>
    <row r="61" spans="1:20" x14ac:dyDescent="0.25">
      <c r="A61" s="100"/>
      <c r="B61" s="36" t="str">
        <f>A58</f>
        <v>Vakrangee</v>
      </c>
      <c r="C61" s="35">
        <f t="shared" si="0"/>
        <v>2019</v>
      </c>
      <c r="D61" s="35">
        <f t="shared" si="1"/>
        <v>8</v>
      </c>
      <c r="E61" s="8">
        <v>43697</v>
      </c>
      <c r="F61" s="3">
        <v>25</v>
      </c>
      <c r="G61" s="25">
        <v>34</v>
      </c>
      <c r="H61" s="25">
        <f t="shared" si="2"/>
        <v>850</v>
      </c>
      <c r="I61" s="91"/>
      <c r="J61" s="103"/>
      <c r="K61" s="106"/>
      <c r="L61" s="109"/>
      <c r="M61" s="88"/>
      <c r="N61" s="91"/>
      <c r="O61" s="91"/>
      <c r="P61" s="85"/>
      <c r="Q61" s="97"/>
      <c r="R61" s="13"/>
    </row>
    <row r="62" spans="1:20" x14ac:dyDescent="0.25">
      <c r="A62" s="100"/>
      <c r="B62" s="36" t="str">
        <f>A58</f>
        <v>Vakrangee</v>
      </c>
      <c r="C62" s="35">
        <f t="shared" si="0"/>
        <v>2019</v>
      </c>
      <c r="D62" s="35">
        <f t="shared" si="1"/>
        <v>8</v>
      </c>
      <c r="E62" s="8">
        <v>43698</v>
      </c>
      <c r="F62" s="3">
        <v>25</v>
      </c>
      <c r="G62" s="25">
        <v>32</v>
      </c>
      <c r="H62" s="25">
        <f t="shared" si="2"/>
        <v>800</v>
      </c>
      <c r="I62" s="91"/>
      <c r="J62" s="103"/>
      <c r="K62" s="106"/>
      <c r="L62" s="109"/>
      <c r="M62" s="88"/>
      <c r="N62" s="91"/>
      <c r="O62" s="91"/>
      <c r="P62" s="85"/>
      <c r="Q62" s="97"/>
    </row>
    <row r="63" spans="1:20" x14ac:dyDescent="0.25">
      <c r="A63" s="100"/>
      <c r="B63" s="36" t="str">
        <f>A58</f>
        <v>Vakrangee</v>
      </c>
      <c r="C63" s="35">
        <f t="shared" si="0"/>
        <v>2019</v>
      </c>
      <c r="D63" s="35">
        <f t="shared" si="1"/>
        <v>9</v>
      </c>
      <c r="E63" s="8">
        <v>43732</v>
      </c>
      <c r="F63" s="3">
        <v>100</v>
      </c>
      <c r="G63" s="25">
        <v>30</v>
      </c>
      <c r="H63" s="25">
        <f t="shared" si="2"/>
        <v>3000</v>
      </c>
      <c r="I63" s="91"/>
      <c r="J63" s="103"/>
      <c r="K63" s="106"/>
      <c r="L63" s="109"/>
      <c r="M63" s="88"/>
      <c r="N63" s="91"/>
      <c r="O63" s="91"/>
      <c r="P63" s="85"/>
      <c r="Q63" s="97"/>
    </row>
    <row r="64" spans="1:20" x14ac:dyDescent="0.25">
      <c r="A64" s="100"/>
      <c r="B64" s="36" t="str">
        <f>A58</f>
        <v>Vakrangee</v>
      </c>
      <c r="C64" s="35">
        <f t="shared" si="0"/>
        <v>2019</v>
      </c>
      <c r="D64" s="35">
        <f t="shared" si="1"/>
        <v>10</v>
      </c>
      <c r="E64" s="8">
        <v>43739</v>
      </c>
      <c r="F64" s="3">
        <v>50</v>
      </c>
      <c r="G64" s="25">
        <v>30</v>
      </c>
      <c r="H64" s="25">
        <f t="shared" si="2"/>
        <v>1500</v>
      </c>
      <c r="I64" s="91"/>
      <c r="J64" s="103"/>
      <c r="K64" s="106"/>
      <c r="L64" s="109"/>
      <c r="M64" s="88"/>
      <c r="N64" s="91"/>
      <c r="O64" s="91"/>
      <c r="P64" s="85"/>
      <c r="Q64" s="97"/>
    </row>
    <row r="65" spans="1:20" x14ac:dyDescent="0.25">
      <c r="A65" s="100"/>
      <c r="B65" s="52" t="str">
        <f>A58</f>
        <v>Vakrangee</v>
      </c>
      <c r="C65" s="51">
        <f t="shared" ref="C65" si="20">YEAR(E65)</f>
        <v>2019</v>
      </c>
      <c r="D65" s="51">
        <f t="shared" ref="D65" si="21">MONTH(E65)</f>
        <v>10</v>
      </c>
      <c r="E65" s="8">
        <v>43745</v>
      </c>
      <c r="F65" s="3">
        <v>50</v>
      </c>
      <c r="G65" s="25">
        <v>28</v>
      </c>
      <c r="H65" s="25">
        <f t="shared" si="2"/>
        <v>1400</v>
      </c>
      <c r="I65" s="91"/>
      <c r="J65" s="103"/>
      <c r="K65" s="106"/>
      <c r="L65" s="109"/>
      <c r="M65" s="88"/>
      <c r="N65" s="91"/>
      <c r="O65" s="91"/>
      <c r="P65" s="85"/>
      <c r="Q65" s="97"/>
    </row>
    <row r="66" spans="1:20" x14ac:dyDescent="0.25">
      <c r="A66" s="100"/>
      <c r="B66" s="36" t="str">
        <f>A58</f>
        <v>Vakrangee</v>
      </c>
      <c r="C66" s="35">
        <f t="shared" si="0"/>
        <v>2019</v>
      </c>
      <c r="D66" s="35">
        <f t="shared" si="1"/>
        <v>10</v>
      </c>
      <c r="E66" s="8">
        <v>43747</v>
      </c>
      <c r="F66" s="3">
        <v>100</v>
      </c>
      <c r="G66" s="25">
        <v>26</v>
      </c>
      <c r="H66" s="25">
        <f t="shared" si="2"/>
        <v>2600</v>
      </c>
      <c r="I66" s="91"/>
      <c r="J66" s="103"/>
      <c r="K66" s="106"/>
      <c r="L66" s="109"/>
      <c r="M66" s="88"/>
      <c r="N66" s="91"/>
      <c r="O66" s="91"/>
      <c r="P66" s="85"/>
      <c r="Q66" s="97"/>
    </row>
    <row r="67" spans="1:20" x14ac:dyDescent="0.25">
      <c r="A67" s="100"/>
      <c r="B67" s="52" t="str">
        <f>A58</f>
        <v>Vakrangee</v>
      </c>
      <c r="C67" s="48">
        <f t="shared" si="0"/>
        <v>2019</v>
      </c>
      <c r="D67" s="48">
        <f t="shared" si="1"/>
        <v>10</v>
      </c>
      <c r="E67" s="8">
        <v>43749</v>
      </c>
      <c r="F67" s="3">
        <v>250</v>
      </c>
      <c r="G67" s="25">
        <v>24.9</v>
      </c>
      <c r="H67" s="25">
        <f t="shared" si="2"/>
        <v>6225</v>
      </c>
      <c r="I67" s="91"/>
      <c r="J67" s="103"/>
      <c r="K67" s="106"/>
      <c r="L67" s="109"/>
      <c r="M67" s="88"/>
      <c r="N67" s="91"/>
      <c r="O67" s="91"/>
      <c r="P67" s="85"/>
      <c r="Q67" s="97"/>
    </row>
    <row r="68" spans="1:20" x14ac:dyDescent="0.25">
      <c r="A68" s="100"/>
      <c r="B68" s="65" t="str">
        <f>A58</f>
        <v>Vakrangee</v>
      </c>
      <c r="C68" s="48">
        <f t="shared" si="0"/>
        <v>2019</v>
      </c>
      <c r="D68" s="48">
        <f t="shared" si="1"/>
        <v>12</v>
      </c>
      <c r="E68" s="8">
        <v>43823</v>
      </c>
      <c r="F68" s="3">
        <v>50</v>
      </c>
      <c r="G68" s="25">
        <v>41</v>
      </c>
      <c r="H68" s="25">
        <f t="shared" si="2"/>
        <v>2050</v>
      </c>
      <c r="I68" s="91"/>
      <c r="J68" s="103"/>
      <c r="K68" s="106"/>
      <c r="L68" s="109"/>
      <c r="M68" s="88"/>
      <c r="N68" s="91"/>
      <c r="O68" s="91"/>
      <c r="P68" s="85"/>
      <c r="Q68" s="97"/>
    </row>
    <row r="69" spans="1:20" x14ac:dyDescent="0.25">
      <c r="A69" s="100"/>
      <c r="B69" s="49" t="str">
        <f>A58</f>
        <v>Vakrangee</v>
      </c>
      <c r="C69" s="48">
        <f t="shared" si="0"/>
        <v>2020</v>
      </c>
      <c r="D69" s="48">
        <f t="shared" si="1"/>
        <v>2</v>
      </c>
      <c r="E69" s="8">
        <v>43871</v>
      </c>
      <c r="F69" s="3">
        <v>50</v>
      </c>
      <c r="G69" s="25">
        <v>44</v>
      </c>
      <c r="H69" s="25">
        <f t="shared" si="2"/>
        <v>2200</v>
      </c>
      <c r="I69" s="91"/>
      <c r="J69" s="103"/>
      <c r="K69" s="106"/>
      <c r="L69" s="109"/>
      <c r="M69" s="88"/>
      <c r="N69" s="91"/>
      <c r="O69" s="91"/>
      <c r="P69" s="85"/>
      <c r="Q69" s="97"/>
      <c r="R69" s="9">
        <v>450</v>
      </c>
      <c r="S69" s="13">
        <v>25</v>
      </c>
      <c r="T69" s="13">
        <f>R69*S69</f>
        <v>11250</v>
      </c>
    </row>
    <row r="70" spans="1:20" x14ac:dyDescent="0.25">
      <c r="A70" s="100"/>
      <c r="B70" s="68" t="str">
        <f>A58</f>
        <v>Vakrangee</v>
      </c>
      <c r="C70" s="69">
        <f t="shared" ref="C70:C72" si="22">YEAR(E70)</f>
        <v>2020</v>
      </c>
      <c r="D70" s="69">
        <f t="shared" ref="D70:D72" si="23">MONTH(E70)</f>
        <v>3</v>
      </c>
      <c r="E70" s="8">
        <v>43916</v>
      </c>
      <c r="F70" s="3">
        <v>100</v>
      </c>
      <c r="G70" s="25">
        <v>22.5</v>
      </c>
      <c r="H70" s="25">
        <f t="shared" si="2"/>
        <v>2250</v>
      </c>
      <c r="I70" s="91"/>
      <c r="J70" s="103"/>
      <c r="K70" s="106"/>
      <c r="L70" s="109"/>
      <c r="M70" s="88"/>
      <c r="N70" s="91"/>
      <c r="O70" s="91"/>
      <c r="P70" s="85"/>
      <c r="Q70" s="97"/>
      <c r="R70" s="13">
        <v>500</v>
      </c>
      <c r="S70" s="13">
        <v>23</v>
      </c>
      <c r="T70" s="13">
        <f>R70*S70</f>
        <v>11500</v>
      </c>
    </row>
    <row r="71" spans="1:20" x14ac:dyDescent="0.25">
      <c r="A71" s="100"/>
      <c r="B71" s="49" t="str">
        <f>A58</f>
        <v>Vakrangee</v>
      </c>
      <c r="C71" s="69">
        <f t="shared" si="22"/>
        <v>2020</v>
      </c>
      <c r="D71" s="69">
        <f t="shared" si="23"/>
        <v>3</v>
      </c>
      <c r="E71" s="8">
        <v>43921</v>
      </c>
      <c r="F71" s="3">
        <v>100</v>
      </c>
      <c r="G71" s="25">
        <v>19.899999999999999</v>
      </c>
      <c r="H71" s="25">
        <f t="shared" si="2"/>
        <v>1989.9999999999998</v>
      </c>
      <c r="I71" s="91"/>
      <c r="J71" s="103"/>
      <c r="K71" s="106"/>
      <c r="L71" s="109"/>
      <c r="M71" s="88"/>
      <c r="N71" s="91"/>
      <c r="O71" s="91"/>
      <c r="P71" s="85"/>
      <c r="Q71" s="97"/>
      <c r="R71" s="13">
        <v>250</v>
      </c>
      <c r="S71" s="13">
        <v>20</v>
      </c>
      <c r="T71" s="13">
        <f t="shared" ref="T71:T72" si="24">R71*S71</f>
        <v>5000</v>
      </c>
    </row>
    <row r="72" spans="1:20" x14ac:dyDescent="0.25">
      <c r="A72" s="101"/>
      <c r="B72" s="49" t="str">
        <f>A58</f>
        <v>Vakrangee</v>
      </c>
      <c r="C72" s="69">
        <f t="shared" si="22"/>
        <v>2020</v>
      </c>
      <c r="D72" s="69">
        <f t="shared" si="23"/>
        <v>4</v>
      </c>
      <c r="E72" s="8">
        <v>43922</v>
      </c>
      <c r="F72" s="3">
        <v>250</v>
      </c>
      <c r="G72" s="25">
        <v>18.95</v>
      </c>
      <c r="H72" s="25">
        <f t="shared" si="2"/>
        <v>4737.5</v>
      </c>
      <c r="I72" s="92"/>
      <c r="J72" s="104"/>
      <c r="K72" s="107"/>
      <c r="L72" s="110"/>
      <c r="M72" s="89"/>
      <c r="N72" s="92"/>
      <c r="O72" s="92"/>
      <c r="P72" s="86"/>
      <c r="Q72" s="98"/>
      <c r="R72" s="13">
        <v>750</v>
      </c>
      <c r="S72" s="13">
        <v>18</v>
      </c>
      <c r="T72" s="13">
        <f t="shared" si="24"/>
        <v>13500</v>
      </c>
    </row>
    <row r="73" spans="1:20" x14ac:dyDescent="0.25">
      <c r="A73" s="77" t="s">
        <v>16</v>
      </c>
      <c r="B73" s="36" t="str">
        <f>A73</f>
        <v>BIOCON</v>
      </c>
      <c r="C73" s="35">
        <f t="shared" si="0"/>
        <v>2019</v>
      </c>
      <c r="D73" s="35">
        <f t="shared" si="1"/>
        <v>5</v>
      </c>
      <c r="E73" s="8">
        <v>43587</v>
      </c>
      <c r="F73" s="3">
        <v>20</v>
      </c>
      <c r="G73" s="25">
        <v>280</v>
      </c>
      <c r="H73" s="25">
        <f t="shared" si="2"/>
        <v>5600</v>
      </c>
      <c r="I73" s="78">
        <f>SUM(F73:F87)</f>
        <v>125</v>
      </c>
      <c r="J73" s="79">
        <f>SUM(H73:H87)/SUM(F73:F87)</f>
        <v>258.66000000000003</v>
      </c>
      <c r="K73" s="80">
        <f>I73*J73</f>
        <v>32332.500000000004</v>
      </c>
      <c r="L73" s="81">
        <v>278.39999999999998</v>
      </c>
      <c r="M73" s="82">
        <f>M58</f>
        <v>43871</v>
      </c>
      <c r="N73" s="78">
        <f>I73*L73</f>
        <v>34800</v>
      </c>
      <c r="O73" s="78">
        <f>N73-K73</f>
        <v>2467.4999999999964</v>
      </c>
      <c r="P73" s="83">
        <f>(O73/K73)</f>
        <v>7.6316399907213978E-2</v>
      </c>
      <c r="Q73" s="76">
        <f ca="1">TODAY()-E73</f>
        <v>336</v>
      </c>
    </row>
    <row r="74" spans="1:20" x14ac:dyDescent="0.25">
      <c r="A74" s="77"/>
      <c r="B74" s="36" t="str">
        <f>A73</f>
        <v>BIOCON</v>
      </c>
      <c r="C74" s="35">
        <f t="shared" si="0"/>
        <v>2019</v>
      </c>
      <c r="D74" s="35">
        <f t="shared" si="1"/>
        <v>7</v>
      </c>
      <c r="E74" s="8">
        <v>43655</v>
      </c>
      <c r="F74" s="3">
        <v>30</v>
      </c>
      <c r="G74" s="25">
        <v>230</v>
      </c>
      <c r="H74" s="25">
        <f t="shared" si="2"/>
        <v>6900</v>
      </c>
      <c r="I74" s="78"/>
      <c r="J74" s="79"/>
      <c r="K74" s="80"/>
      <c r="L74" s="81"/>
      <c r="M74" s="78"/>
      <c r="N74" s="78"/>
      <c r="O74" s="78"/>
      <c r="P74" s="83"/>
      <c r="Q74" s="76"/>
    </row>
    <row r="75" spans="1:20" x14ac:dyDescent="0.25">
      <c r="A75" s="77"/>
      <c r="B75" s="36" t="str">
        <f>A73</f>
        <v>BIOCON</v>
      </c>
      <c r="C75" s="35">
        <f t="shared" si="0"/>
        <v>2019</v>
      </c>
      <c r="D75" s="35">
        <f t="shared" si="1"/>
        <v>8</v>
      </c>
      <c r="E75" s="8">
        <v>43696</v>
      </c>
      <c r="F75" s="3">
        <v>10</v>
      </c>
      <c r="G75" s="25">
        <v>219</v>
      </c>
      <c r="H75" s="25">
        <f t="shared" si="2"/>
        <v>2190</v>
      </c>
      <c r="I75" s="78"/>
      <c r="J75" s="79"/>
      <c r="K75" s="80"/>
      <c r="L75" s="81"/>
      <c r="M75" s="78"/>
      <c r="N75" s="78"/>
      <c r="O75" s="78"/>
      <c r="P75" s="83"/>
      <c r="Q75" s="76"/>
    </row>
    <row r="76" spans="1:20" x14ac:dyDescent="0.25">
      <c r="A76" s="77"/>
      <c r="B76" s="36" t="str">
        <f>A73</f>
        <v>BIOCON</v>
      </c>
      <c r="C76" s="35">
        <f t="shared" si="0"/>
        <v>2019</v>
      </c>
      <c r="D76" s="35">
        <f t="shared" si="1"/>
        <v>9</v>
      </c>
      <c r="E76" s="8">
        <v>43733</v>
      </c>
      <c r="F76" s="3">
        <v>10</v>
      </c>
      <c r="G76" s="25">
        <v>218</v>
      </c>
      <c r="H76" s="25">
        <f t="shared" si="2"/>
        <v>2180</v>
      </c>
      <c r="I76" s="78"/>
      <c r="J76" s="79"/>
      <c r="K76" s="80"/>
      <c r="L76" s="81"/>
      <c r="M76" s="78"/>
      <c r="N76" s="78"/>
      <c r="O76" s="78"/>
      <c r="P76" s="83"/>
      <c r="Q76" s="76"/>
    </row>
    <row r="77" spans="1:20" x14ac:dyDescent="0.25">
      <c r="A77" s="77"/>
      <c r="B77" s="36" t="str">
        <f>A73</f>
        <v>BIOCON</v>
      </c>
      <c r="C77" s="35">
        <f t="shared" si="0"/>
        <v>2019</v>
      </c>
      <c r="D77" s="35">
        <f t="shared" si="1"/>
        <v>10</v>
      </c>
      <c r="E77" s="8">
        <v>43765</v>
      </c>
      <c r="F77" s="3">
        <v>5</v>
      </c>
      <c r="G77" s="25">
        <v>242.5</v>
      </c>
      <c r="H77" s="25">
        <f t="shared" si="2"/>
        <v>1212.5</v>
      </c>
      <c r="I77" s="78"/>
      <c r="J77" s="79"/>
      <c r="K77" s="80"/>
      <c r="L77" s="81"/>
      <c r="M77" s="78"/>
      <c r="N77" s="78"/>
      <c r="O77" s="78"/>
      <c r="P77" s="83"/>
      <c r="Q77" s="76"/>
    </row>
    <row r="78" spans="1:20" x14ac:dyDescent="0.25">
      <c r="A78" s="77"/>
      <c r="B78" s="36" t="str">
        <f>A73</f>
        <v>BIOCON</v>
      </c>
      <c r="C78" s="35">
        <f t="shared" si="0"/>
        <v>2020</v>
      </c>
      <c r="D78" s="35">
        <f t="shared" si="1"/>
        <v>1</v>
      </c>
      <c r="E78" s="8">
        <v>43838</v>
      </c>
      <c r="F78" s="3">
        <v>25</v>
      </c>
      <c r="G78" s="25">
        <v>280</v>
      </c>
      <c r="H78" s="25">
        <f t="shared" si="2"/>
        <v>7000</v>
      </c>
      <c r="I78" s="78"/>
      <c r="J78" s="79"/>
      <c r="K78" s="80"/>
      <c r="L78" s="81"/>
      <c r="M78" s="78"/>
      <c r="N78" s="78"/>
      <c r="O78" s="78"/>
      <c r="P78" s="83"/>
      <c r="Q78" s="76"/>
    </row>
    <row r="79" spans="1:20" x14ac:dyDescent="0.25">
      <c r="A79" s="77"/>
      <c r="B79" s="36" t="str">
        <f>A73</f>
        <v>BIOCON</v>
      </c>
      <c r="C79" s="35">
        <f t="shared" si="0"/>
        <v>2020</v>
      </c>
      <c r="D79" s="35">
        <f t="shared" si="1"/>
        <v>2</v>
      </c>
      <c r="E79" s="8">
        <v>43889</v>
      </c>
      <c r="F79" s="3">
        <v>25</v>
      </c>
      <c r="G79" s="25">
        <v>290</v>
      </c>
      <c r="H79" s="25">
        <f t="shared" si="2"/>
        <v>7250</v>
      </c>
      <c r="I79" s="78"/>
      <c r="J79" s="79"/>
      <c r="K79" s="80"/>
      <c r="L79" s="81"/>
      <c r="M79" s="78"/>
      <c r="N79" s="78"/>
      <c r="O79" s="78"/>
      <c r="P79" s="83"/>
      <c r="Q79" s="76"/>
    </row>
    <row r="80" spans="1:20" x14ac:dyDescent="0.25">
      <c r="A80" s="77"/>
      <c r="B80" s="36" t="str">
        <f>A73</f>
        <v>BIOCON</v>
      </c>
      <c r="C80" s="35">
        <f t="shared" si="0"/>
        <v>1900</v>
      </c>
      <c r="D80" s="35">
        <f t="shared" si="1"/>
        <v>1</v>
      </c>
      <c r="E80" s="11"/>
      <c r="F80" s="3"/>
      <c r="G80" s="25"/>
      <c r="H80" s="25">
        <f t="shared" si="2"/>
        <v>0</v>
      </c>
      <c r="I80" s="78"/>
      <c r="J80" s="79"/>
      <c r="K80" s="80"/>
      <c r="L80" s="81"/>
      <c r="M80" s="78"/>
      <c r="N80" s="78"/>
      <c r="O80" s="78"/>
      <c r="P80" s="83"/>
      <c r="Q80" s="76"/>
      <c r="R80" s="9">
        <v>50</v>
      </c>
      <c r="S80" s="13">
        <v>220</v>
      </c>
      <c r="T80" s="13">
        <f>R80*S80</f>
        <v>11000</v>
      </c>
    </row>
    <row r="81" spans="1:20" x14ac:dyDescent="0.25">
      <c r="A81" s="77"/>
      <c r="B81" s="68" t="str">
        <f>A73</f>
        <v>BIOCON</v>
      </c>
      <c r="C81" s="69">
        <f t="shared" ref="C81:C87" si="25">YEAR(E81)</f>
        <v>1900</v>
      </c>
      <c r="D81" s="69">
        <f t="shared" ref="D81:D87" si="26">MONTH(E81)</f>
        <v>1</v>
      </c>
      <c r="E81" s="68"/>
      <c r="F81" s="3"/>
      <c r="G81" s="25"/>
      <c r="H81" s="25"/>
      <c r="I81" s="78"/>
      <c r="J81" s="79"/>
      <c r="K81" s="80"/>
      <c r="L81" s="81"/>
      <c r="M81" s="78"/>
      <c r="N81" s="78"/>
      <c r="O81" s="78"/>
      <c r="P81" s="83"/>
      <c r="Q81" s="76"/>
      <c r="R81" s="13">
        <v>50</v>
      </c>
      <c r="S81" s="13">
        <v>210</v>
      </c>
      <c r="T81" s="13">
        <f>R81*S81</f>
        <v>10500</v>
      </c>
    </row>
    <row r="82" spans="1:20" x14ac:dyDescent="0.25">
      <c r="A82" s="77"/>
      <c r="B82" s="68" t="str">
        <f>A73</f>
        <v>BIOCON</v>
      </c>
      <c r="C82" s="69">
        <f t="shared" si="25"/>
        <v>1900</v>
      </c>
      <c r="D82" s="69">
        <f t="shared" si="26"/>
        <v>1</v>
      </c>
      <c r="E82" s="68"/>
      <c r="F82" s="3"/>
      <c r="G82" s="25"/>
      <c r="H82" s="25"/>
      <c r="I82" s="78"/>
      <c r="J82" s="79"/>
      <c r="K82" s="80"/>
      <c r="L82" s="81"/>
      <c r="M82" s="78"/>
      <c r="N82" s="78"/>
      <c r="O82" s="78"/>
      <c r="P82" s="83"/>
      <c r="Q82" s="76"/>
      <c r="R82" s="13">
        <v>75</v>
      </c>
      <c r="S82" s="13">
        <v>200</v>
      </c>
      <c r="T82" s="13">
        <f>R82*S82</f>
        <v>15000</v>
      </c>
    </row>
    <row r="83" spans="1:20" x14ac:dyDescent="0.25">
      <c r="A83" s="77"/>
      <c r="B83" s="68" t="str">
        <f>A73</f>
        <v>BIOCON</v>
      </c>
      <c r="C83" s="69">
        <f t="shared" si="25"/>
        <v>1900</v>
      </c>
      <c r="D83" s="69">
        <f t="shared" si="26"/>
        <v>1</v>
      </c>
      <c r="E83" s="68"/>
      <c r="F83" s="3"/>
      <c r="G83" s="25"/>
      <c r="H83" s="25"/>
      <c r="I83" s="78"/>
      <c r="J83" s="79"/>
      <c r="K83" s="80"/>
      <c r="L83" s="81"/>
      <c r="M83" s="78"/>
      <c r="N83" s="78"/>
      <c r="O83" s="78"/>
      <c r="P83" s="83"/>
      <c r="Q83" s="76"/>
      <c r="R83" s="13"/>
    </row>
    <row r="84" spans="1:20" x14ac:dyDescent="0.25">
      <c r="A84" s="77"/>
      <c r="B84" s="68" t="str">
        <f>A73</f>
        <v>BIOCON</v>
      </c>
      <c r="C84" s="69">
        <f t="shared" si="25"/>
        <v>1900</v>
      </c>
      <c r="D84" s="69">
        <f t="shared" si="26"/>
        <v>1</v>
      </c>
      <c r="E84" s="68"/>
      <c r="F84" s="3"/>
      <c r="G84" s="25"/>
      <c r="H84" s="25"/>
      <c r="I84" s="78"/>
      <c r="J84" s="79"/>
      <c r="K84" s="80"/>
      <c r="L84" s="81"/>
      <c r="M84" s="78"/>
      <c r="N84" s="78"/>
      <c r="O84" s="78"/>
      <c r="P84" s="83"/>
      <c r="Q84" s="76"/>
      <c r="R84" s="13"/>
    </row>
    <row r="85" spans="1:20" x14ac:dyDescent="0.25">
      <c r="A85" s="77"/>
      <c r="B85" s="68" t="str">
        <f>A73</f>
        <v>BIOCON</v>
      </c>
      <c r="C85" s="69">
        <f t="shared" si="25"/>
        <v>1900</v>
      </c>
      <c r="D85" s="69">
        <f t="shared" si="26"/>
        <v>1</v>
      </c>
      <c r="E85" s="68"/>
      <c r="F85" s="3"/>
      <c r="G85" s="25"/>
      <c r="H85" s="25"/>
      <c r="I85" s="78"/>
      <c r="J85" s="79"/>
      <c r="K85" s="80"/>
      <c r="L85" s="81"/>
      <c r="M85" s="78"/>
      <c r="N85" s="78"/>
      <c r="O85" s="78"/>
      <c r="P85" s="83"/>
      <c r="Q85" s="76"/>
      <c r="R85" s="13"/>
    </row>
    <row r="86" spans="1:20" x14ac:dyDescent="0.25">
      <c r="A86" s="77"/>
      <c r="B86" s="68" t="str">
        <f>A73</f>
        <v>BIOCON</v>
      </c>
      <c r="C86" s="69">
        <f t="shared" si="25"/>
        <v>1900</v>
      </c>
      <c r="D86" s="69">
        <f t="shared" si="26"/>
        <v>1</v>
      </c>
      <c r="E86" s="68"/>
      <c r="F86" s="3"/>
      <c r="G86" s="25"/>
      <c r="H86" s="25"/>
      <c r="I86" s="78"/>
      <c r="J86" s="79"/>
      <c r="K86" s="80"/>
      <c r="L86" s="81"/>
      <c r="M86" s="78"/>
      <c r="N86" s="78"/>
      <c r="O86" s="78"/>
      <c r="P86" s="83"/>
      <c r="Q86" s="76"/>
      <c r="R86" s="13"/>
    </row>
    <row r="87" spans="1:20" x14ac:dyDescent="0.25">
      <c r="A87" s="77"/>
      <c r="B87" s="36" t="str">
        <f>A73</f>
        <v>BIOCON</v>
      </c>
      <c r="C87" s="69">
        <f t="shared" si="25"/>
        <v>1900</v>
      </c>
      <c r="D87" s="69">
        <f t="shared" si="26"/>
        <v>1</v>
      </c>
      <c r="E87" s="11"/>
      <c r="F87" s="3"/>
      <c r="G87" s="25"/>
      <c r="H87" s="25">
        <f t="shared" si="2"/>
        <v>0</v>
      </c>
      <c r="I87" s="78"/>
      <c r="J87" s="79"/>
      <c r="K87" s="80"/>
      <c r="L87" s="81"/>
      <c r="M87" s="78"/>
      <c r="N87" s="78"/>
      <c r="O87" s="78"/>
      <c r="P87" s="83"/>
      <c r="Q87" s="76"/>
      <c r="R87" s="13"/>
    </row>
    <row r="88" spans="1:20" x14ac:dyDescent="0.25">
      <c r="A88" s="77" t="s">
        <v>71</v>
      </c>
      <c r="B88" s="36" t="str">
        <f>A88</f>
        <v>YesBank</v>
      </c>
      <c r="C88" s="35">
        <f t="shared" si="0"/>
        <v>2019</v>
      </c>
      <c r="D88" s="35">
        <f t="shared" si="1"/>
        <v>12</v>
      </c>
      <c r="E88" s="8">
        <v>43818</v>
      </c>
      <c r="F88" s="3">
        <v>200</v>
      </c>
      <c r="G88" s="25">
        <v>48.4</v>
      </c>
      <c r="H88" s="25">
        <f t="shared" si="2"/>
        <v>9680</v>
      </c>
      <c r="I88" s="78">
        <f>SUM(F88:F102)</f>
        <v>2100</v>
      </c>
      <c r="J88" s="79">
        <f>SUM(H88:H102)/SUM(F88:F102)</f>
        <v>28.466666666666665</v>
      </c>
      <c r="K88" s="80">
        <f>I88*J88</f>
        <v>59780</v>
      </c>
      <c r="L88" s="81">
        <v>23.95</v>
      </c>
      <c r="M88" s="82">
        <f t="shared" ref="M88" si="27">M73</f>
        <v>43871</v>
      </c>
      <c r="N88" s="78">
        <f>I88*L88</f>
        <v>50295</v>
      </c>
      <c r="O88" s="78">
        <f>N88-K88</f>
        <v>-9485</v>
      </c>
      <c r="P88" s="83">
        <f>(O88/K88)</f>
        <v>-0.15866510538641687</v>
      </c>
      <c r="Q88" s="76">
        <f ca="1">TODAY()-E88</f>
        <v>105</v>
      </c>
    </row>
    <row r="89" spans="1:20" x14ac:dyDescent="0.25">
      <c r="A89" s="77"/>
      <c r="B89" s="36" t="str">
        <f>A88</f>
        <v>YesBank</v>
      </c>
      <c r="C89" s="35">
        <f t="shared" si="0"/>
        <v>2020</v>
      </c>
      <c r="D89" s="35">
        <f t="shared" si="1"/>
        <v>1</v>
      </c>
      <c r="E89" s="8">
        <v>43843</v>
      </c>
      <c r="F89" s="3">
        <v>50</v>
      </c>
      <c r="G89" s="25">
        <v>42</v>
      </c>
      <c r="H89" s="25">
        <f t="shared" si="2"/>
        <v>2100</v>
      </c>
      <c r="I89" s="78"/>
      <c r="J89" s="79"/>
      <c r="K89" s="80"/>
      <c r="L89" s="81"/>
      <c r="M89" s="78"/>
      <c r="N89" s="78"/>
      <c r="O89" s="78"/>
      <c r="P89" s="83"/>
      <c r="Q89" s="76"/>
    </row>
    <row r="90" spans="1:20" x14ac:dyDescent="0.25">
      <c r="A90" s="77"/>
      <c r="B90" s="36" t="str">
        <f>A88</f>
        <v>YesBank</v>
      </c>
      <c r="C90" s="35">
        <f t="shared" si="0"/>
        <v>2020</v>
      </c>
      <c r="D90" s="35">
        <f t="shared" si="1"/>
        <v>1</v>
      </c>
      <c r="E90" s="8">
        <v>43845</v>
      </c>
      <c r="F90" s="3">
        <v>50</v>
      </c>
      <c r="G90" s="25">
        <v>39</v>
      </c>
      <c r="H90" s="25">
        <f t="shared" si="2"/>
        <v>1950</v>
      </c>
      <c r="I90" s="78"/>
      <c r="J90" s="79"/>
      <c r="K90" s="80"/>
      <c r="L90" s="81"/>
      <c r="M90" s="78"/>
      <c r="N90" s="78"/>
      <c r="O90" s="78"/>
      <c r="P90" s="83"/>
      <c r="Q90" s="76"/>
    </row>
    <row r="91" spans="1:20" x14ac:dyDescent="0.25">
      <c r="A91" s="77"/>
      <c r="B91" s="36" t="str">
        <f>A88</f>
        <v>YesBank</v>
      </c>
      <c r="C91" s="35">
        <f t="shared" si="0"/>
        <v>2020</v>
      </c>
      <c r="D91" s="35">
        <f t="shared" si="1"/>
        <v>2</v>
      </c>
      <c r="E91" s="8">
        <v>43866</v>
      </c>
      <c r="F91" s="3">
        <v>200</v>
      </c>
      <c r="G91" s="25">
        <v>38</v>
      </c>
      <c r="H91" s="25">
        <f t="shared" si="2"/>
        <v>7600</v>
      </c>
      <c r="I91" s="78"/>
      <c r="J91" s="79"/>
      <c r="K91" s="80"/>
      <c r="L91" s="81"/>
      <c r="M91" s="78"/>
      <c r="N91" s="78"/>
      <c r="O91" s="78"/>
      <c r="P91" s="83"/>
      <c r="Q91" s="76"/>
    </row>
    <row r="92" spans="1:20" x14ac:dyDescent="0.25">
      <c r="A92" s="77"/>
      <c r="B92" s="36" t="str">
        <f>A88</f>
        <v>YesBank</v>
      </c>
      <c r="C92" s="35">
        <f t="shared" si="0"/>
        <v>2020</v>
      </c>
      <c r="D92" s="35">
        <f t="shared" si="1"/>
        <v>3</v>
      </c>
      <c r="E92" s="8">
        <v>43893</v>
      </c>
      <c r="F92" s="3">
        <v>250</v>
      </c>
      <c r="G92" s="25">
        <v>31</v>
      </c>
      <c r="H92" s="25">
        <f t="shared" si="2"/>
        <v>7750</v>
      </c>
      <c r="I92" s="78"/>
      <c r="J92" s="79"/>
      <c r="K92" s="80"/>
      <c r="L92" s="81"/>
      <c r="M92" s="78"/>
      <c r="N92" s="78"/>
      <c r="O92" s="78"/>
      <c r="P92" s="83"/>
      <c r="Q92" s="76"/>
    </row>
    <row r="93" spans="1:20" x14ac:dyDescent="0.25">
      <c r="A93" s="77"/>
      <c r="B93" s="36" t="str">
        <f>A88</f>
        <v>YesBank</v>
      </c>
      <c r="C93" s="35">
        <f t="shared" si="0"/>
        <v>2020</v>
      </c>
      <c r="D93" s="35">
        <f t="shared" si="1"/>
        <v>3</v>
      </c>
      <c r="E93" s="8">
        <v>43894</v>
      </c>
      <c r="F93" s="3">
        <v>250</v>
      </c>
      <c r="G93" s="25">
        <v>29</v>
      </c>
      <c r="H93" s="25">
        <f t="shared" si="2"/>
        <v>7250</v>
      </c>
      <c r="I93" s="78"/>
      <c r="J93" s="79"/>
      <c r="K93" s="80"/>
      <c r="L93" s="81"/>
      <c r="M93" s="78"/>
      <c r="N93" s="78"/>
      <c r="O93" s="78"/>
      <c r="P93" s="83"/>
      <c r="Q93" s="76"/>
    </row>
    <row r="94" spans="1:20" x14ac:dyDescent="0.25">
      <c r="A94" s="77"/>
      <c r="B94" s="36" t="str">
        <f>A88</f>
        <v>YesBank</v>
      </c>
      <c r="C94" s="35">
        <f t="shared" si="0"/>
        <v>2020</v>
      </c>
      <c r="D94" s="35">
        <f t="shared" si="1"/>
        <v>3</v>
      </c>
      <c r="E94" s="8">
        <v>43895</v>
      </c>
      <c r="F94" s="3">
        <v>100</v>
      </c>
      <c r="G94" s="25">
        <v>29</v>
      </c>
      <c r="H94" s="25">
        <f t="shared" si="2"/>
        <v>2900</v>
      </c>
      <c r="I94" s="78"/>
      <c r="J94" s="79"/>
      <c r="K94" s="80"/>
      <c r="L94" s="81"/>
      <c r="M94" s="78"/>
      <c r="N94" s="78"/>
      <c r="O94" s="78"/>
      <c r="P94" s="83"/>
      <c r="Q94" s="76"/>
    </row>
    <row r="95" spans="1:20" x14ac:dyDescent="0.25">
      <c r="A95" s="77"/>
      <c r="B95" s="36" t="str">
        <f>A88</f>
        <v>YesBank</v>
      </c>
      <c r="C95" s="35">
        <f t="shared" si="0"/>
        <v>2020</v>
      </c>
      <c r="D95" s="35">
        <f t="shared" si="1"/>
        <v>3</v>
      </c>
      <c r="E95" s="8">
        <v>43899</v>
      </c>
      <c r="F95" s="3">
        <v>1000</v>
      </c>
      <c r="G95" s="25">
        <v>20.55</v>
      </c>
      <c r="H95" s="25">
        <f t="shared" si="2"/>
        <v>20550</v>
      </c>
      <c r="I95" s="78"/>
      <c r="J95" s="79"/>
      <c r="K95" s="80"/>
      <c r="L95" s="81"/>
      <c r="M95" s="78"/>
      <c r="N95" s="78"/>
      <c r="O95" s="78"/>
      <c r="P95" s="83"/>
      <c r="Q95" s="76"/>
    </row>
    <row r="96" spans="1:20" x14ac:dyDescent="0.25">
      <c r="A96" s="77"/>
      <c r="B96" s="68" t="str">
        <f>A88</f>
        <v>YesBank</v>
      </c>
      <c r="C96" s="69">
        <f t="shared" ref="C96:C102" si="28">YEAR(E96)</f>
        <v>1900</v>
      </c>
      <c r="D96" s="69">
        <f t="shared" ref="D96:D102" si="29">MONTH(E96)</f>
        <v>1</v>
      </c>
      <c r="E96" s="8"/>
      <c r="F96" s="3"/>
      <c r="G96" s="25"/>
      <c r="H96" s="25">
        <f t="shared" si="2"/>
        <v>0</v>
      </c>
      <c r="I96" s="78"/>
      <c r="J96" s="79"/>
      <c r="K96" s="80"/>
      <c r="L96" s="81"/>
      <c r="M96" s="78"/>
      <c r="N96" s="78"/>
      <c r="O96" s="78"/>
      <c r="P96" s="83"/>
      <c r="Q96" s="76"/>
      <c r="R96" s="13">
        <v>1000</v>
      </c>
      <c r="S96" s="13">
        <v>10</v>
      </c>
      <c r="T96" s="13">
        <f>R96*S96</f>
        <v>10000</v>
      </c>
    </row>
    <row r="97" spans="1:20" x14ac:dyDescent="0.25">
      <c r="A97" s="77"/>
      <c r="B97" s="68" t="str">
        <f>A88</f>
        <v>YesBank</v>
      </c>
      <c r="C97" s="69">
        <f t="shared" si="28"/>
        <v>1900</v>
      </c>
      <c r="D97" s="69">
        <f t="shared" si="29"/>
        <v>1</v>
      </c>
      <c r="E97" s="8"/>
      <c r="F97" s="3"/>
      <c r="G97" s="25"/>
      <c r="H97" s="25"/>
      <c r="I97" s="78"/>
      <c r="J97" s="79"/>
      <c r="K97" s="80"/>
      <c r="L97" s="81"/>
      <c r="M97" s="78"/>
      <c r="N97" s="78"/>
      <c r="O97" s="78"/>
      <c r="P97" s="83"/>
      <c r="Q97" s="76"/>
      <c r="R97" s="13">
        <v>1000</v>
      </c>
      <c r="S97" s="13">
        <v>9</v>
      </c>
      <c r="T97" s="13">
        <f>R97*S97</f>
        <v>9000</v>
      </c>
    </row>
    <row r="98" spans="1:20" x14ac:dyDescent="0.25">
      <c r="A98" s="77"/>
      <c r="B98" s="68" t="str">
        <f>A88</f>
        <v>YesBank</v>
      </c>
      <c r="C98" s="69">
        <f t="shared" si="28"/>
        <v>1900</v>
      </c>
      <c r="D98" s="69">
        <f t="shared" si="29"/>
        <v>1</v>
      </c>
      <c r="E98" s="8"/>
      <c r="F98" s="3"/>
      <c r="G98" s="25"/>
      <c r="H98" s="25"/>
      <c r="I98" s="78"/>
      <c r="J98" s="79"/>
      <c r="K98" s="80"/>
      <c r="L98" s="81"/>
      <c r="M98" s="78"/>
      <c r="N98" s="78"/>
      <c r="O98" s="78"/>
      <c r="P98" s="83"/>
      <c r="Q98" s="76"/>
      <c r="R98" s="13">
        <v>1000</v>
      </c>
      <c r="S98" s="13">
        <v>15</v>
      </c>
      <c r="T98" s="13">
        <f>R98*S98</f>
        <v>15000</v>
      </c>
    </row>
    <row r="99" spans="1:20" x14ac:dyDescent="0.25">
      <c r="A99" s="77"/>
      <c r="B99" s="68" t="str">
        <f>A88</f>
        <v>YesBank</v>
      </c>
      <c r="C99" s="69">
        <f t="shared" si="28"/>
        <v>1900</v>
      </c>
      <c r="D99" s="69">
        <f t="shared" si="29"/>
        <v>1</v>
      </c>
      <c r="E99" s="8"/>
      <c r="F99" s="3"/>
      <c r="G99" s="25"/>
      <c r="H99" s="25"/>
      <c r="I99" s="78"/>
      <c r="J99" s="79"/>
      <c r="K99" s="80"/>
      <c r="L99" s="81"/>
      <c r="M99" s="78"/>
      <c r="N99" s="78"/>
      <c r="O99" s="78"/>
      <c r="P99" s="83"/>
      <c r="Q99" s="76"/>
      <c r="R99" s="13"/>
    </row>
    <row r="100" spans="1:20" x14ac:dyDescent="0.25">
      <c r="A100" s="77"/>
      <c r="B100" s="68" t="str">
        <f>A88</f>
        <v>YesBank</v>
      </c>
      <c r="C100" s="69">
        <f t="shared" si="28"/>
        <v>1900</v>
      </c>
      <c r="D100" s="69">
        <f t="shared" si="29"/>
        <v>1</v>
      </c>
      <c r="E100" s="8"/>
      <c r="F100" s="3"/>
      <c r="G100" s="25"/>
      <c r="H100" s="25"/>
      <c r="I100" s="78"/>
      <c r="J100" s="79"/>
      <c r="K100" s="80"/>
      <c r="L100" s="81"/>
      <c r="M100" s="78"/>
      <c r="N100" s="78"/>
      <c r="O100" s="78"/>
      <c r="P100" s="83"/>
      <c r="Q100" s="76"/>
      <c r="R100" s="13"/>
    </row>
    <row r="101" spans="1:20" x14ac:dyDescent="0.25">
      <c r="A101" s="77"/>
      <c r="B101" s="68" t="str">
        <f>A88</f>
        <v>YesBank</v>
      </c>
      <c r="C101" s="69">
        <f t="shared" si="28"/>
        <v>1900</v>
      </c>
      <c r="D101" s="69">
        <f t="shared" si="29"/>
        <v>1</v>
      </c>
      <c r="E101" s="8"/>
      <c r="F101" s="3"/>
      <c r="G101" s="25"/>
      <c r="H101" s="25"/>
      <c r="I101" s="78"/>
      <c r="J101" s="79"/>
      <c r="K101" s="80"/>
      <c r="L101" s="81"/>
      <c r="M101" s="78"/>
      <c r="N101" s="78"/>
      <c r="O101" s="78"/>
      <c r="P101" s="83"/>
      <c r="Q101" s="76"/>
      <c r="R101" s="13"/>
    </row>
    <row r="102" spans="1:20" x14ac:dyDescent="0.25">
      <c r="A102" s="77"/>
      <c r="B102" s="36" t="str">
        <f>A88</f>
        <v>YesBank</v>
      </c>
      <c r="C102" s="69">
        <f t="shared" si="28"/>
        <v>1900</v>
      </c>
      <c r="D102" s="69">
        <f t="shared" si="29"/>
        <v>1</v>
      </c>
      <c r="E102" s="16"/>
      <c r="F102" s="3"/>
      <c r="G102" s="25"/>
      <c r="H102" s="25">
        <f t="shared" si="2"/>
        <v>0</v>
      </c>
      <c r="I102" s="78"/>
      <c r="J102" s="79"/>
      <c r="K102" s="80"/>
      <c r="L102" s="81"/>
      <c r="M102" s="78"/>
      <c r="N102" s="78"/>
      <c r="O102" s="78"/>
      <c r="P102" s="83"/>
      <c r="Q102" s="76"/>
      <c r="R102" s="13"/>
    </row>
    <row r="103" spans="1:20" x14ac:dyDescent="0.25">
      <c r="A103" s="77" t="s">
        <v>117</v>
      </c>
      <c r="B103" s="44" t="str">
        <f>A103</f>
        <v>Granules India</v>
      </c>
      <c r="C103" s="43">
        <f t="shared" ref="C103:C111" si="30">YEAR(E103)</f>
        <v>2020</v>
      </c>
      <c r="D103" s="43">
        <f t="shared" ref="D103:D111" si="31">MONTH(E103)</f>
        <v>1</v>
      </c>
      <c r="E103" s="8">
        <v>43853</v>
      </c>
      <c r="F103" s="3">
        <v>100</v>
      </c>
      <c r="G103" s="25">
        <v>156.80000000000001</v>
      </c>
      <c r="H103" s="25">
        <f t="shared" ref="H103:H111" si="32">F103*G103</f>
        <v>15680.000000000002</v>
      </c>
      <c r="I103" s="78">
        <f>SUM(F103:F111)</f>
        <v>100</v>
      </c>
      <c r="J103" s="79">
        <f>SUM(H103:H111)/SUM(F103:F111)</f>
        <v>156.80000000000001</v>
      </c>
      <c r="K103" s="80">
        <f>I103*J103</f>
        <v>15680.000000000002</v>
      </c>
      <c r="L103" s="81">
        <v>141.75</v>
      </c>
      <c r="M103" s="82">
        <f t="shared" ref="M103" si="33">M88</f>
        <v>43871</v>
      </c>
      <c r="N103" s="78">
        <f>I103*L103</f>
        <v>14175</v>
      </c>
      <c r="O103" s="78">
        <f>N103-K103</f>
        <v>-1505.0000000000018</v>
      </c>
      <c r="P103" s="83">
        <f>(O103/K103)</f>
        <v>-9.598214285714296E-2</v>
      </c>
      <c r="Q103" s="76">
        <f ca="1">TODAY()-E103</f>
        <v>70</v>
      </c>
    </row>
    <row r="104" spans="1:20" x14ac:dyDescent="0.25">
      <c r="A104" s="77"/>
      <c r="B104" s="44" t="str">
        <f>A103</f>
        <v>Granules India</v>
      </c>
      <c r="C104" s="43">
        <f t="shared" si="30"/>
        <v>1900</v>
      </c>
      <c r="D104" s="43">
        <f t="shared" si="31"/>
        <v>1</v>
      </c>
      <c r="E104" s="8"/>
      <c r="F104" s="3"/>
      <c r="G104" s="25"/>
      <c r="H104" s="25">
        <f t="shared" si="32"/>
        <v>0</v>
      </c>
      <c r="I104" s="78"/>
      <c r="J104" s="79"/>
      <c r="K104" s="80"/>
      <c r="L104" s="81"/>
      <c r="M104" s="78"/>
      <c r="N104" s="78"/>
      <c r="O104" s="78"/>
      <c r="P104" s="83"/>
      <c r="Q104" s="76"/>
      <c r="R104" s="13">
        <v>100</v>
      </c>
      <c r="S104" s="13">
        <v>115</v>
      </c>
      <c r="T104" s="13">
        <f>R104*S104</f>
        <v>11500</v>
      </c>
    </row>
    <row r="105" spans="1:20" x14ac:dyDescent="0.25">
      <c r="A105" s="77"/>
      <c r="B105" s="44" t="str">
        <f>A103</f>
        <v>Granules India</v>
      </c>
      <c r="C105" s="43">
        <f t="shared" si="30"/>
        <v>1900</v>
      </c>
      <c r="D105" s="43">
        <f t="shared" si="31"/>
        <v>1</v>
      </c>
      <c r="E105" s="44"/>
      <c r="F105" s="3"/>
      <c r="G105" s="25"/>
      <c r="H105" s="25">
        <f t="shared" si="32"/>
        <v>0</v>
      </c>
      <c r="I105" s="78"/>
      <c r="J105" s="79"/>
      <c r="K105" s="80"/>
      <c r="L105" s="81"/>
      <c r="M105" s="78"/>
      <c r="N105" s="78"/>
      <c r="O105" s="78"/>
      <c r="P105" s="83"/>
      <c r="Q105" s="76"/>
      <c r="R105">
        <v>100</v>
      </c>
      <c r="S105" s="13">
        <v>105</v>
      </c>
      <c r="T105" s="13">
        <f>R105*S105</f>
        <v>10500</v>
      </c>
    </row>
    <row r="106" spans="1:20" x14ac:dyDescent="0.25">
      <c r="A106" s="77"/>
      <c r="B106" s="44" t="str">
        <f>A103</f>
        <v>Granules India</v>
      </c>
      <c r="C106" s="43">
        <f t="shared" si="30"/>
        <v>1900</v>
      </c>
      <c r="D106" s="43">
        <f t="shared" si="31"/>
        <v>1</v>
      </c>
      <c r="E106" s="44"/>
      <c r="F106" s="3"/>
      <c r="G106" s="25"/>
      <c r="H106" s="25">
        <f t="shared" si="32"/>
        <v>0</v>
      </c>
      <c r="I106" s="78"/>
      <c r="J106" s="79"/>
      <c r="K106" s="80"/>
      <c r="L106" s="81"/>
      <c r="M106" s="78"/>
      <c r="N106" s="78"/>
      <c r="O106" s="78"/>
      <c r="P106" s="83"/>
      <c r="Q106" s="76"/>
      <c r="R106">
        <v>100</v>
      </c>
      <c r="S106" s="13">
        <v>90</v>
      </c>
      <c r="T106" s="13">
        <f>R106*S106</f>
        <v>9000</v>
      </c>
    </row>
    <row r="107" spans="1:20" x14ac:dyDescent="0.25">
      <c r="A107" s="77"/>
      <c r="B107" s="44" t="str">
        <f>A103</f>
        <v>Granules India</v>
      </c>
      <c r="C107" s="43">
        <f t="shared" si="30"/>
        <v>1900</v>
      </c>
      <c r="D107" s="43">
        <f t="shared" si="31"/>
        <v>1</v>
      </c>
      <c r="E107" s="44"/>
      <c r="F107" s="3"/>
      <c r="G107" s="25"/>
      <c r="H107" s="25">
        <f t="shared" si="32"/>
        <v>0</v>
      </c>
      <c r="I107" s="78"/>
      <c r="J107" s="79"/>
      <c r="K107" s="80"/>
      <c r="L107" s="81"/>
      <c r="M107" s="78"/>
      <c r="N107" s="78"/>
      <c r="O107" s="78"/>
      <c r="P107" s="83"/>
      <c r="Q107" s="76"/>
      <c r="R107">
        <v>100</v>
      </c>
      <c r="S107" s="13">
        <v>70</v>
      </c>
      <c r="T107" s="13">
        <f>R107*S107</f>
        <v>7000</v>
      </c>
    </row>
    <row r="108" spans="1:20" x14ac:dyDescent="0.25">
      <c r="A108" s="77"/>
      <c r="B108" s="44" t="str">
        <f>A103</f>
        <v>Granules India</v>
      </c>
      <c r="C108" s="43">
        <f t="shared" si="30"/>
        <v>1900</v>
      </c>
      <c r="D108" s="43">
        <f t="shared" si="31"/>
        <v>1</v>
      </c>
      <c r="E108" s="44"/>
      <c r="F108" s="3"/>
      <c r="G108" s="25"/>
      <c r="H108" s="25">
        <f t="shared" si="32"/>
        <v>0</v>
      </c>
      <c r="I108" s="78"/>
      <c r="J108" s="79"/>
      <c r="K108" s="80"/>
      <c r="L108" s="81"/>
      <c r="M108" s="78"/>
      <c r="N108" s="78"/>
      <c r="O108" s="78"/>
      <c r="P108" s="83"/>
      <c r="Q108" s="76"/>
    </row>
    <row r="109" spans="1:20" x14ac:dyDescent="0.25">
      <c r="A109" s="77"/>
      <c r="B109" s="44" t="str">
        <f>A103</f>
        <v>Granules India</v>
      </c>
      <c r="C109" s="43">
        <f t="shared" si="30"/>
        <v>1900</v>
      </c>
      <c r="D109" s="43">
        <f t="shared" si="31"/>
        <v>1</v>
      </c>
      <c r="E109" s="44"/>
      <c r="F109" s="3"/>
      <c r="G109" s="25"/>
      <c r="H109" s="25">
        <f t="shared" si="32"/>
        <v>0</v>
      </c>
      <c r="I109" s="78"/>
      <c r="J109" s="79"/>
      <c r="K109" s="80"/>
      <c r="L109" s="81"/>
      <c r="M109" s="78"/>
      <c r="N109" s="78"/>
      <c r="O109" s="78"/>
      <c r="P109" s="83"/>
      <c r="Q109" s="76"/>
    </row>
    <row r="110" spans="1:20" x14ac:dyDescent="0.25">
      <c r="A110" s="77"/>
      <c r="B110" s="44" t="str">
        <f>A103</f>
        <v>Granules India</v>
      </c>
      <c r="C110" s="43">
        <f t="shared" si="30"/>
        <v>1900</v>
      </c>
      <c r="D110" s="43">
        <f t="shared" si="31"/>
        <v>1</v>
      </c>
      <c r="E110" s="44"/>
      <c r="F110" s="3"/>
      <c r="G110" s="25"/>
      <c r="H110" s="25">
        <f t="shared" si="32"/>
        <v>0</v>
      </c>
      <c r="I110" s="78"/>
      <c r="J110" s="79"/>
      <c r="K110" s="80"/>
      <c r="L110" s="81"/>
      <c r="M110" s="78"/>
      <c r="N110" s="78"/>
      <c r="O110" s="78"/>
      <c r="P110" s="83"/>
      <c r="Q110" s="76"/>
    </row>
    <row r="111" spans="1:20" x14ac:dyDescent="0.25">
      <c r="A111" s="77"/>
      <c r="B111" s="44" t="str">
        <f>A103</f>
        <v>Granules India</v>
      </c>
      <c r="C111" s="43">
        <f t="shared" si="30"/>
        <v>1900</v>
      </c>
      <c r="D111" s="43">
        <f t="shared" si="31"/>
        <v>1</v>
      </c>
      <c r="E111" s="44"/>
      <c r="F111" s="3"/>
      <c r="G111" s="25"/>
      <c r="H111" s="25">
        <f t="shared" si="32"/>
        <v>0</v>
      </c>
      <c r="I111" s="78"/>
      <c r="J111" s="79"/>
      <c r="K111" s="80"/>
      <c r="L111" s="81"/>
      <c r="M111" s="78"/>
      <c r="N111" s="78"/>
      <c r="O111" s="78"/>
      <c r="P111" s="83"/>
      <c r="Q111" s="76"/>
    </row>
    <row r="112" spans="1:20" x14ac:dyDescent="0.25">
      <c r="A112" s="77" t="s">
        <v>109</v>
      </c>
      <c r="B112" s="46" t="str">
        <f>A112</f>
        <v>Infosys</v>
      </c>
      <c r="C112" s="45">
        <f t="shared" ref="C112:C120" si="34">YEAR(E112)</f>
        <v>2020</v>
      </c>
      <c r="D112" s="45">
        <f t="shared" ref="D112:D120" si="35">MONTH(E112)</f>
        <v>1</v>
      </c>
      <c r="E112" s="8">
        <v>43838</v>
      </c>
      <c r="F112" s="3">
        <v>10</v>
      </c>
      <c r="G112" s="25">
        <v>716.33</v>
      </c>
      <c r="H112" s="25">
        <f t="shared" ref="H112:H120" si="36">F112*G112</f>
        <v>7163.3</v>
      </c>
      <c r="I112" s="78">
        <f>SUM(F112:F120)</f>
        <v>40</v>
      </c>
      <c r="J112" s="79">
        <f>SUM(H112:H120)/SUM(F112:F120)</f>
        <v>635.05250000000001</v>
      </c>
      <c r="K112" s="80">
        <f>I112*J112</f>
        <v>25402.1</v>
      </c>
      <c r="L112" s="81">
        <v>602.79999999999995</v>
      </c>
      <c r="M112" s="82">
        <f t="shared" ref="M112" si="37">M103</f>
        <v>43871</v>
      </c>
      <c r="N112" s="78">
        <f>I112*L112</f>
        <v>24112</v>
      </c>
      <c r="O112" s="78">
        <f>N112-K112</f>
        <v>-1290.0999999999985</v>
      </c>
      <c r="P112" s="83">
        <f>(O112/K112)</f>
        <v>-5.0787139645934731E-2</v>
      </c>
      <c r="Q112" s="76">
        <f ca="1">TODAY()-E112</f>
        <v>85</v>
      </c>
    </row>
    <row r="113" spans="1:20" x14ac:dyDescent="0.25">
      <c r="A113" s="77"/>
      <c r="B113" s="46" t="str">
        <f>A112</f>
        <v>Infosys</v>
      </c>
      <c r="C113" s="45">
        <f t="shared" si="34"/>
        <v>2020</v>
      </c>
      <c r="D113" s="45">
        <f t="shared" si="35"/>
        <v>3</v>
      </c>
      <c r="E113" s="8">
        <v>43903</v>
      </c>
      <c r="F113" s="3">
        <v>20</v>
      </c>
      <c r="G113" s="25">
        <v>625.79</v>
      </c>
      <c r="H113" s="25">
        <f t="shared" si="36"/>
        <v>12515.8</v>
      </c>
      <c r="I113" s="78"/>
      <c r="J113" s="79"/>
      <c r="K113" s="80"/>
      <c r="L113" s="81"/>
      <c r="M113" s="78"/>
      <c r="N113" s="78"/>
      <c r="O113" s="78"/>
      <c r="P113" s="83"/>
      <c r="Q113" s="76"/>
    </row>
    <row r="114" spans="1:20" x14ac:dyDescent="0.25">
      <c r="A114" s="77"/>
      <c r="B114" s="46" t="str">
        <f>A112</f>
        <v>Infosys</v>
      </c>
      <c r="C114" s="45">
        <f t="shared" si="34"/>
        <v>2020</v>
      </c>
      <c r="D114" s="45">
        <f t="shared" si="35"/>
        <v>3</v>
      </c>
      <c r="E114" s="8">
        <v>43907</v>
      </c>
      <c r="F114" s="3">
        <v>10</v>
      </c>
      <c r="G114" s="25">
        <v>572.29999999999995</v>
      </c>
      <c r="H114" s="25">
        <f t="shared" si="36"/>
        <v>5723</v>
      </c>
      <c r="I114" s="78"/>
      <c r="J114" s="79"/>
      <c r="K114" s="80"/>
      <c r="L114" s="81"/>
      <c r="M114" s="78"/>
      <c r="N114" s="78"/>
      <c r="O114" s="78"/>
      <c r="P114" s="83"/>
      <c r="Q114" s="76"/>
    </row>
    <row r="115" spans="1:20" x14ac:dyDescent="0.25">
      <c r="A115" s="77"/>
      <c r="B115" s="46" t="str">
        <f>A112</f>
        <v>Infosys</v>
      </c>
      <c r="C115" s="45">
        <f t="shared" si="34"/>
        <v>1900</v>
      </c>
      <c r="D115" s="45">
        <f t="shared" si="35"/>
        <v>1</v>
      </c>
      <c r="E115" s="46"/>
      <c r="F115" s="3"/>
      <c r="G115" s="25"/>
      <c r="H115" s="25">
        <f t="shared" si="36"/>
        <v>0</v>
      </c>
      <c r="I115" s="78"/>
      <c r="J115" s="79"/>
      <c r="K115" s="80"/>
      <c r="L115" s="81"/>
      <c r="M115" s="78"/>
      <c r="N115" s="78"/>
      <c r="O115" s="78"/>
      <c r="P115" s="83"/>
      <c r="Q115" s="76"/>
      <c r="R115" s="9">
        <v>10</v>
      </c>
      <c r="S115" s="13">
        <v>510</v>
      </c>
      <c r="T115" s="13">
        <f>R115*S115</f>
        <v>5100</v>
      </c>
    </row>
    <row r="116" spans="1:20" x14ac:dyDescent="0.25">
      <c r="A116" s="77"/>
      <c r="B116" s="46" t="str">
        <f>A112</f>
        <v>Infosys</v>
      </c>
      <c r="C116" s="45">
        <f t="shared" si="34"/>
        <v>1900</v>
      </c>
      <c r="D116" s="45">
        <f t="shared" si="35"/>
        <v>1</v>
      </c>
      <c r="E116" s="46"/>
      <c r="F116" s="3"/>
      <c r="G116" s="25"/>
      <c r="H116" s="25">
        <f t="shared" si="36"/>
        <v>0</v>
      </c>
      <c r="I116" s="78"/>
      <c r="J116" s="79"/>
      <c r="K116" s="80"/>
      <c r="L116" s="81"/>
      <c r="M116" s="78"/>
      <c r="N116" s="78"/>
      <c r="O116" s="78"/>
      <c r="P116" s="83"/>
      <c r="Q116" s="76"/>
      <c r="R116">
        <v>10</v>
      </c>
      <c r="S116" s="13">
        <v>475</v>
      </c>
      <c r="T116" s="13">
        <f>R116*S116</f>
        <v>4750</v>
      </c>
    </row>
    <row r="117" spans="1:20" x14ac:dyDescent="0.25">
      <c r="A117" s="77"/>
      <c r="B117" s="46" t="str">
        <f>A112</f>
        <v>Infosys</v>
      </c>
      <c r="C117" s="45">
        <f t="shared" si="34"/>
        <v>1900</v>
      </c>
      <c r="D117" s="45">
        <f t="shared" si="35"/>
        <v>1</v>
      </c>
      <c r="E117" s="46"/>
      <c r="F117" s="3"/>
      <c r="G117" s="25"/>
      <c r="H117" s="25">
        <f t="shared" si="36"/>
        <v>0</v>
      </c>
      <c r="I117" s="78"/>
      <c r="J117" s="79"/>
      <c r="K117" s="80"/>
      <c r="L117" s="81"/>
      <c r="M117" s="78"/>
      <c r="N117" s="78"/>
      <c r="O117" s="78"/>
      <c r="P117" s="83"/>
      <c r="Q117" s="76"/>
      <c r="R117">
        <v>20</v>
      </c>
      <c r="S117" s="13">
        <v>450</v>
      </c>
      <c r="T117" s="13">
        <f>R117*S117</f>
        <v>9000</v>
      </c>
    </row>
    <row r="118" spans="1:20" x14ac:dyDescent="0.25">
      <c r="A118" s="77"/>
      <c r="B118" s="46" t="str">
        <f>A112</f>
        <v>Infosys</v>
      </c>
      <c r="C118" s="45">
        <f t="shared" si="34"/>
        <v>1900</v>
      </c>
      <c r="D118" s="45">
        <f t="shared" si="35"/>
        <v>1</v>
      </c>
      <c r="E118" s="46"/>
      <c r="F118" s="3"/>
      <c r="G118" s="25"/>
      <c r="H118" s="25">
        <f t="shared" si="36"/>
        <v>0</v>
      </c>
      <c r="I118" s="78"/>
      <c r="J118" s="79"/>
      <c r="K118" s="80"/>
      <c r="L118" s="81"/>
      <c r="M118" s="78"/>
      <c r="N118" s="78"/>
      <c r="O118" s="78"/>
      <c r="P118" s="83"/>
      <c r="Q118" s="76"/>
    </row>
    <row r="119" spans="1:20" x14ac:dyDescent="0.25">
      <c r="A119" s="77"/>
      <c r="B119" s="46" t="str">
        <f>A112</f>
        <v>Infosys</v>
      </c>
      <c r="C119" s="45">
        <f t="shared" si="34"/>
        <v>1900</v>
      </c>
      <c r="D119" s="45">
        <f t="shared" si="35"/>
        <v>1</v>
      </c>
      <c r="E119" s="46"/>
      <c r="F119" s="3"/>
      <c r="G119" s="25"/>
      <c r="H119" s="25">
        <f t="shared" si="36"/>
        <v>0</v>
      </c>
      <c r="I119" s="78"/>
      <c r="J119" s="79"/>
      <c r="K119" s="80"/>
      <c r="L119" s="81"/>
      <c r="M119" s="78"/>
      <c r="N119" s="78"/>
      <c r="O119" s="78"/>
      <c r="P119" s="83"/>
      <c r="Q119" s="76"/>
    </row>
    <row r="120" spans="1:20" x14ac:dyDescent="0.25">
      <c r="A120" s="77"/>
      <c r="B120" s="46" t="str">
        <f>A112</f>
        <v>Infosys</v>
      </c>
      <c r="C120" s="45">
        <f t="shared" si="34"/>
        <v>1900</v>
      </c>
      <c r="D120" s="45">
        <f t="shared" si="35"/>
        <v>1</v>
      </c>
      <c r="E120" s="46"/>
      <c r="F120" s="3"/>
      <c r="G120" s="25"/>
      <c r="H120" s="25">
        <f t="shared" si="36"/>
        <v>0</v>
      </c>
      <c r="I120" s="78"/>
      <c r="J120" s="79"/>
      <c r="K120" s="80"/>
      <c r="L120" s="81"/>
      <c r="M120" s="78"/>
      <c r="N120" s="78"/>
      <c r="O120" s="78"/>
      <c r="P120" s="83"/>
      <c r="Q120" s="76"/>
    </row>
    <row r="121" spans="1:20" x14ac:dyDescent="0.25">
      <c r="A121" s="77" t="s">
        <v>110</v>
      </c>
      <c r="B121" s="55" t="str">
        <f>A121</f>
        <v>PC Jweller</v>
      </c>
      <c r="C121" s="54">
        <f t="shared" ref="C121:C129" si="38">YEAR(E121)</f>
        <v>2019</v>
      </c>
      <c r="D121" s="54">
        <f t="shared" ref="D121:D129" si="39">MONTH(E121)</f>
        <v>11</v>
      </c>
      <c r="E121" s="8">
        <v>43775</v>
      </c>
      <c r="F121" s="3">
        <v>100</v>
      </c>
      <c r="G121" s="25">
        <v>35.700000000000003</v>
      </c>
      <c r="H121" s="25">
        <f t="shared" ref="H121:H129" si="40">F121*G121</f>
        <v>3570.0000000000005</v>
      </c>
      <c r="I121" s="78">
        <f>SUM(F121:F129)</f>
        <v>250</v>
      </c>
      <c r="J121" s="79">
        <f>SUM(H121:H129)/SUM(F121:F129)</f>
        <v>26.58</v>
      </c>
      <c r="K121" s="80">
        <f>I121*J121</f>
        <v>6645</v>
      </c>
      <c r="L121" s="81">
        <v>12.12</v>
      </c>
      <c r="M121" s="82">
        <f t="shared" ref="M121" si="41">M112</f>
        <v>43871</v>
      </c>
      <c r="N121" s="78">
        <f>I121*L121</f>
        <v>3030</v>
      </c>
      <c r="O121" s="78">
        <f>N121-K121</f>
        <v>-3615</v>
      </c>
      <c r="P121" s="83">
        <f>(O121/K121)</f>
        <v>-0.54401805869074493</v>
      </c>
      <c r="Q121" s="76">
        <f ca="1">TODAY()-E121</f>
        <v>148</v>
      </c>
    </row>
    <row r="122" spans="1:20" x14ac:dyDescent="0.25">
      <c r="A122" s="77"/>
      <c r="B122" s="55" t="str">
        <f>A121</f>
        <v>PC Jweller</v>
      </c>
      <c r="C122" s="54">
        <f t="shared" si="38"/>
        <v>2020</v>
      </c>
      <c r="D122" s="54">
        <f t="shared" si="39"/>
        <v>2</v>
      </c>
      <c r="E122" s="8">
        <v>43866</v>
      </c>
      <c r="F122" s="3">
        <v>150</v>
      </c>
      <c r="G122" s="25">
        <v>20.5</v>
      </c>
      <c r="H122" s="25">
        <f t="shared" si="40"/>
        <v>3075</v>
      </c>
      <c r="I122" s="78"/>
      <c r="J122" s="79"/>
      <c r="K122" s="80"/>
      <c r="L122" s="81"/>
      <c r="M122" s="78"/>
      <c r="N122" s="78"/>
      <c r="O122" s="78"/>
      <c r="P122" s="83"/>
      <c r="Q122" s="76"/>
    </row>
    <row r="123" spans="1:20" x14ac:dyDescent="0.25">
      <c r="A123" s="77"/>
      <c r="B123" s="55" t="str">
        <f>A121</f>
        <v>PC Jweller</v>
      </c>
      <c r="C123" s="54">
        <f t="shared" si="38"/>
        <v>1900</v>
      </c>
      <c r="D123" s="54">
        <f t="shared" si="39"/>
        <v>1</v>
      </c>
      <c r="E123" s="55"/>
      <c r="F123" s="3"/>
      <c r="G123" s="25"/>
      <c r="H123" s="25">
        <f t="shared" si="40"/>
        <v>0</v>
      </c>
      <c r="I123" s="78"/>
      <c r="J123" s="79"/>
      <c r="K123" s="80"/>
      <c r="L123" s="81"/>
      <c r="M123" s="78"/>
      <c r="N123" s="78"/>
      <c r="O123" s="78"/>
      <c r="P123" s="83"/>
      <c r="Q123" s="76"/>
      <c r="R123" s="13">
        <v>100</v>
      </c>
      <c r="S123" s="13">
        <v>5</v>
      </c>
      <c r="T123" s="13">
        <f>R123*S123</f>
        <v>500</v>
      </c>
    </row>
    <row r="124" spans="1:20" x14ac:dyDescent="0.25">
      <c r="A124" s="77"/>
      <c r="B124" s="55" t="str">
        <f>A121</f>
        <v>PC Jweller</v>
      </c>
      <c r="C124" s="54">
        <f t="shared" si="38"/>
        <v>1900</v>
      </c>
      <c r="D124" s="54">
        <f t="shared" si="39"/>
        <v>1</v>
      </c>
      <c r="E124" s="55"/>
      <c r="F124" s="3"/>
      <c r="G124" s="25"/>
      <c r="H124" s="25">
        <f t="shared" si="40"/>
        <v>0</v>
      </c>
      <c r="I124" s="78"/>
      <c r="J124" s="79"/>
      <c r="K124" s="80"/>
      <c r="L124" s="81"/>
      <c r="M124" s="78"/>
      <c r="N124" s="78"/>
      <c r="O124" s="78"/>
      <c r="P124" s="83"/>
      <c r="Q124" s="76"/>
      <c r="R124" s="13">
        <v>100</v>
      </c>
      <c r="S124" s="13">
        <v>4</v>
      </c>
      <c r="T124" s="13">
        <f>R124*S124</f>
        <v>400</v>
      </c>
    </row>
    <row r="125" spans="1:20" x14ac:dyDescent="0.25">
      <c r="A125" s="77"/>
      <c r="B125" s="55" t="str">
        <f>A121</f>
        <v>PC Jweller</v>
      </c>
      <c r="C125" s="54">
        <f t="shared" si="38"/>
        <v>1900</v>
      </c>
      <c r="D125" s="54">
        <f t="shared" si="39"/>
        <v>1</v>
      </c>
      <c r="E125" s="55"/>
      <c r="F125" s="3"/>
      <c r="G125" s="25"/>
      <c r="H125" s="25">
        <f t="shared" si="40"/>
        <v>0</v>
      </c>
      <c r="I125" s="78"/>
      <c r="J125" s="79"/>
      <c r="K125" s="80"/>
      <c r="L125" s="81"/>
      <c r="M125" s="78"/>
      <c r="N125" s="78"/>
      <c r="O125" s="78"/>
      <c r="P125" s="83"/>
      <c r="Q125" s="76"/>
    </row>
    <row r="126" spans="1:20" x14ac:dyDescent="0.25">
      <c r="A126" s="77"/>
      <c r="B126" s="55" t="str">
        <f>A121</f>
        <v>PC Jweller</v>
      </c>
      <c r="C126" s="54">
        <f t="shared" si="38"/>
        <v>1900</v>
      </c>
      <c r="D126" s="54">
        <f t="shared" si="39"/>
        <v>1</v>
      </c>
      <c r="E126" s="55"/>
      <c r="F126" s="3"/>
      <c r="G126" s="25"/>
      <c r="H126" s="25">
        <f t="shared" si="40"/>
        <v>0</v>
      </c>
      <c r="I126" s="78"/>
      <c r="J126" s="79"/>
      <c r="K126" s="80"/>
      <c r="L126" s="81"/>
      <c r="M126" s="78"/>
      <c r="N126" s="78"/>
      <c r="O126" s="78"/>
      <c r="P126" s="83"/>
      <c r="Q126" s="76"/>
    </row>
    <row r="127" spans="1:20" x14ac:dyDescent="0.25">
      <c r="A127" s="77"/>
      <c r="B127" s="55" t="str">
        <f>A121</f>
        <v>PC Jweller</v>
      </c>
      <c r="C127" s="54">
        <f t="shared" si="38"/>
        <v>1900</v>
      </c>
      <c r="D127" s="54">
        <f t="shared" si="39"/>
        <v>1</v>
      </c>
      <c r="E127" s="55"/>
      <c r="F127" s="3"/>
      <c r="G127" s="25"/>
      <c r="H127" s="25">
        <f t="shared" si="40"/>
        <v>0</v>
      </c>
      <c r="I127" s="78"/>
      <c r="J127" s="79"/>
      <c r="K127" s="80"/>
      <c r="L127" s="81"/>
      <c r="M127" s="78"/>
      <c r="N127" s="78"/>
      <c r="O127" s="78"/>
      <c r="P127" s="83"/>
      <c r="Q127" s="76"/>
    </row>
    <row r="128" spans="1:20" x14ac:dyDescent="0.25">
      <c r="A128" s="77"/>
      <c r="B128" s="55" t="str">
        <f>A121</f>
        <v>PC Jweller</v>
      </c>
      <c r="C128" s="54">
        <f t="shared" si="38"/>
        <v>1900</v>
      </c>
      <c r="D128" s="54">
        <f t="shared" si="39"/>
        <v>1</v>
      </c>
      <c r="E128" s="55"/>
      <c r="F128" s="3"/>
      <c r="G128" s="25"/>
      <c r="H128" s="25">
        <f t="shared" si="40"/>
        <v>0</v>
      </c>
      <c r="I128" s="78"/>
      <c r="J128" s="79"/>
      <c r="K128" s="80"/>
      <c r="L128" s="81"/>
      <c r="M128" s="78"/>
      <c r="N128" s="78"/>
      <c r="O128" s="78"/>
      <c r="P128" s="83"/>
      <c r="Q128" s="76"/>
    </row>
    <row r="129" spans="1:20" x14ac:dyDescent="0.25">
      <c r="A129" s="77"/>
      <c r="B129" s="55" t="str">
        <f>A121</f>
        <v>PC Jweller</v>
      </c>
      <c r="C129" s="54">
        <f t="shared" si="38"/>
        <v>1900</v>
      </c>
      <c r="D129" s="54">
        <f t="shared" si="39"/>
        <v>1</v>
      </c>
      <c r="E129" s="55"/>
      <c r="F129" s="3"/>
      <c r="G129" s="25"/>
      <c r="H129" s="25">
        <f t="shared" si="40"/>
        <v>0</v>
      </c>
      <c r="I129" s="78"/>
      <c r="J129" s="79"/>
      <c r="K129" s="80"/>
      <c r="L129" s="81"/>
      <c r="M129" s="78"/>
      <c r="N129" s="78"/>
      <c r="O129" s="78"/>
      <c r="P129" s="83"/>
      <c r="Q129" s="76"/>
    </row>
    <row r="130" spans="1:20" x14ac:dyDescent="0.25">
      <c r="A130" s="77" t="s">
        <v>112</v>
      </c>
      <c r="B130" s="57" t="str">
        <f>A130</f>
        <v>Relcom</v>
      </c>
      <c r="C130" s="56">
        <f t="shared" ref="C130:C138" si="42">YEAR(E130)</f>
        <v>2019</v>
      </c>
      <c r="D130" s="56">
        <f t="shared" ref="D130:D138" si="43">MONTH(E130)</f>
        <v>12</v>
      </c>
      <c r="E130" s="8">
        <v>43805</v>
      </c>
      <c r="F130" s="3">
        <v>5000</v>
      </c>
      <c r="G130" s="25">
        <v>1.2</v>
      </c>
      <c r="H130" s="25">
        <f t="shared" ref="H130:H138" si="44">F130*G130</f>
        <v>6000</v>
      </c>
      <c r="I130" s="78">
        <f>SUM(F130:F138)</f>
        <v>5000</v>
      </c>
      <c r="J130" s="79">
        <f>SUM(H130:H138)/SUM(F130:F138)</f>
        <v>1.2</v>
      </c>
      <c r="K130" s="80">
        <f>I130*J130</f>
        <v>6000</v>
      </c>
      <c r="L130" s="81">
        <v>0.7</v>
      </c>
      <c r="M130" s="82">
        <f t="shared" ref="M130" si="45">M121</f>
        <v>43871</v>
      </c>
      <c r="N130" s="78">
        <f>I130*L130</f>
        <v>3500</v>
      </c>
      <c r="O130" s="78">
        <f>N130-K130</f>
        <v>-2500</v>
      </c>
      <c r="P130" s="83">
        <f>(O130/K130)</f>
        <v>-0.41666666666666669</v>
      </c>
      <c r="Q130" s="76">
        <f ca="1">TODAY()-E130</f>
        <v>118</v>
      </c>
    </row>
    <row r="131" spans="1:20" x14ac:dyDescent="0.25">
      <c r="A131" s="77"/>
      <c r="B131" s="57" t="str">
        <f>A130</f>
        <v>Relcom</v>
      </c>
      <c r="C131" s="56">
        <f t="shared" si="42"/>
        <v>1900</v>
      </c>
      <c r="D131" s="56">
        <f t="shared" si="43"/>
        <v>1</v>
      </c>
      <c r="E131" s="8"/>
      <c r="F131" s="3"/>
      <c r="G131" s="25"/>
      <c r="H131" s="25">
        <f t="shared" si="44"/>
        <v>0</v>
      </c>
      <c r="I131" s="78"/>
      <c r="J131" s="79"/>
      <c r="K131" s="80"/>
      <c r="L131" s="81"/>
      <c r="M131" s="78"/>
      <c r="N131" s="78"/>
      <c r="O131" s="78"/>
      <c r="P131" s="83"/>
      <c r="Q131" s="76"/>
      <c r="R131">
        <v>5000</v>
      </c>
      <c r="S131" s="13">
        <v>0.6</v>
      </c>
      <c r="T131" s="13">
        <f>R131*S131</f>
        <v>3000</v>
      </c>
    </row>
    <row r="132" spans="1:20" x14ac:dyDescent="0.25">
      <c r="A132" s="77"/>
      <c r="B132" s="57" t="str">
        <f>A130</f>
        <v>Relcom</v>
      </c>
      <c r="C132" s="56">
        <f t="shared" si="42"/>
        <v>1900</v>
      </c>
      <c r="D132" s="56">
        <f t="shared" si="43"/>
        <v>1</v>
      </c>
      <c r="E132" s="57"/>
      <c r="F132" s="3"/>
      <c r="G132" s="25"/>
      <c r="H132" s="25">
        <f t="shared" si="44"/>
        <v>0</v>
      </c>
      <c r="I132" s="78"/>
      <c r="J132" s="79"/>
      <c r="K132" s="80"/>
      <c r="L132" s="81"/>
      <c r="M132" s="78"/>
      <c r="N132" s="78"/>
      <c r="O132" s="78"/>
      <c r="P132" s="83"/>
      <c r="Q132" s="76"/>
    </row>
    <row r="133" spans="1:20" x14ac:dyDescent="0.25">
      <c r="A133" s="77"/>
      <c r="B133" s="57" t="str">
        <f>A130</f>
        <v>Relcom</v>
      </c>
      <c r="C133" s="56">
        <f t="shared" si="42"/>
        <v>1900</v>
      </c>
      <c r="D133" s="56">
        <f t="shared" si="43"/>
        <v>1</v>
      </c>
      <c r="E133" s="57"/>
      <c r="F133" s="3"/>
      <c r="G133" s="25"/>
      <c r="H133" s="25">
        <f t="shared" si="44"/>
        <v>0</v>
      </c>
      <c r="I133" s="78"/>
      <c r="J133" s="79"/>
      <c r="K133" s="80"/>
      <c r="L133" s="81"/>
      <c r="M133" s="78"/>
      <c r="N133" s="78"/>
      <c r="O133" s="78"/>
      <c r="P133" s="83"/>
      <c r="Q133" s="76"/>
    </row>
    <row r="134" spans="1:20" x14ac:dyDescent="0.25">
      <c r="A134" s="77"/>
      <c r="B134" s="57" t="str">
        <f>A130</f>
        <v>Relcom</v>
      </c>
      <c r="C134" s="56">
        <f t="shared" si="42"/>
        <v>1900</v>
      </c>
      <c r="D134" s="56">
        <f t="shared" si="43"/>
        <v>1</v>
      </c>
      <c r="E134" s="57"/>
      <c r="F134" s="3"/>
      <c r="G134" s="25"/>
      <c r="H134" s="25">
        <f t="shared" si="44"/>
        <v>0</v>
      </c>
      <c r="I134" s="78"/>
      <c r="J134" s="79"/>
      <c r="K134" s="80"/>
      <c r="L134" s="81"/>
      <c r="M134" s="78"/>
      <c r="N134" s="78"/>
      <c r="O134" s="78"/>
      <c r="P134" s="83"/>
      <c r="Q134" s="76"/>
    </row>
    <row r="135" spans="1:20" x14ac:dyDescent="0.25">
      <c r="A135" s="77"/>
      <c r="B135" s="57" t="str">
        <f>A130</f>
        <v>Relcom</v>
      </c>
      <c r="C135" s="56">
        <f t="shared" si="42"/>
        <v>1900</v>
      </c>
      <c r="D135" s="56">
        <f t="shared" si="43"/>
        <v>1</v>
      </c>
      <c r="E135" s="57"/>
      <c r="F135" s="3"/>
      <c r="G135" s="25"/>
      <c r="H135" s="25">
        <f t="shared" si="44"/>
        <v>0</v>
      </c>
      <c r="I135" s="78"/>
      <c r="J135" s="79"/>
      <c r="K135" s="80"/>
      <c r="L135" s="81"/>
      <c r="M135" s="78"/>
      <c r="N135" s="78"/>
      <c r="O135" s="78"/>
      <c r="P135" s="83"/>
      <c r="Q135" s="76"/>
    </row>
    <row r="136" spans="1:20" x14ac:dyDescent="0.25">
      <c r="A136" s="77"/>
      <c r="B136" s="57" t="str">
        <f>A130</f>
        <v>Relcom</v>
      </c>
      <c r="C136" s="56">
        <f t="shared" si="42"/>
        <v>1900</v>
      </c>
      <c r="D136" s="56">
        <f t="shared" si="43"/>
        <v>1</v>
      </c>
      <c r="E136" s="57"/>
      <c r="F136" s="3"/>
      <c r="G136" s="25"/>
      <c r="H136" s="25">
        <f t="shared" si="44"/>
        <v>0</v>
      </c>
      <c r="I136" s="78"/>
      <c r="J136" s="79"/>
      <c r="K136" s="80"/>
      <c r="L136" s="81"/>
      <c r="M136" s="78"/>
      <c r="N136" s="78"/>
      <c r="O136" s="78"/>
      <c r="P136" s="83"/>
      <c r="Q136" s="76"/>
    </row>
    <row r="137" spans="1:20" x14ac:dyDescent="0.25">
      <c r="A137" s="77"/>
      <c r="B137" s="57" t="str">
        <f>A130</f>
        <v>Relcom</v>
      </c>
      <c r="C137" s="56">
        <f t="shared" si="42"/>
        <v>1900</v>
      </c>
      <c r="D137" s="56">
        <f t="shared" si="43"/>
        <v>1</v>
      </c>
      <c r="E137" s="57"/>
      <c r="F137" s="3"/>
      <c r="G137" s="25"/>
      <c r="H137" s="25">
        <f t="shared" si="44"/>
        <v>0</v>
      </c>
      <c r="I137" s="78"/>
      <c r="J137" s="79"/>
      <c r="K137" s="80"/>
      <c r="L137" s="81"/>
      <c r="M137" s="78"/>
      <c r="N137" s="78"/>
      <c r="O137" s="78"/>
      <c r="P137" s="83"/>
      <c r="Q137" s="76"/>
    </row>
    <row r="138" spans="1:20" x14ac:dyDescent="0.25">
      <c r="A138" s="77"/>
      <c r="B138" s="57" t="str">
        <f>A130</f>
        <v>Relcom</v>
      </c>
      <c r="C138" s="56">
        <f t="shared" si="42"/>
        <v>1900</v>
      </c>
      <c r="D138" s="56">
        <f t="shared" si="43"/>
        <v>1</v>
      </c>
      <c r="E138" s="57"/>
      <c r="F138" s="3"/>
      <c r="G138" s="25"/>
      <c r="H138" s="25">
        <f t="shared" si="44"/>
        <v>0</v>
      </c>
      <c r="I138" s="78"/>
      <c r="J138" s="79"/>
      <c r="K138" s="80"/>
      <c r="L138" s="81"/>
      <c r="M138" s="78"/>
      <c r="N138" s="78"/>
      <c r="O138" s="78"/>
      <c r="P138" s="83"/>
      <c r="Q138" s="76"/>
    </row>
    <row r="139" spans="1:20" x14ac:dyDescent="0.25">
      <c r="A139" s="77" t="s">
        <v>120</v>
      </c>
      <c r="B139" s="58" t="str">
        <f>A139</f>
        <v>NCC</v>
      </c>
      <c r="C139" s="59">
        <f t="shared" ref="C139:C147" si="46">YEAR(E139)</f>
        <v>2020</v>
      </c>
      <c r="D139" s="59">
        <f t="shared" ref="D139:D147" si="47">MONTH(E139)</f>
        <v>2</v>
      </c>
      <c r="E139" s="8">
        <v>43867</v>
      </c>
      <c r="F139" s="3">
        <v>250</v>
      </c>
      <c r="G139" s="25">
        <v>52.5</v>
      </c>
      <c r="H139" s="25">
        <f t="shared" ref="H139:H147" si="48">F139*G139</f>
        <v>13125</v>
      </c>
      <c r="I139" s="78">
        <f>SUM(F139:F147)</f>
        <v>1500</v>
      </c>
      <c r="J139" s="79">
        <f>SUM(H139:H147)/SUM(F139:F147)</f>
        <v>29.843333333333334</v>
      </c>
      <c r="K139" s="80">
        <f>I139*J139</f>
        <v>44765</v>
      </c>
      <c r="L139" s="81">
        <v>18.7</v>
      </c>
      <c r="M139" s="82">
        <f t="shared" ref="M139" si="49">M130</f>
        <v>43871</v>
      </c>
      <c r="N139" s="78">
        <f>I139*L139</f>
        <v>28050</v>
      </c>
      <c r="O139" s="78">
        <f>N139-K139</f>
        <v>-16715</v>
      </c>
      <c r="P139" s="83">
        <f>(O139/K139)</f>
        <v>-0.37339439294091364</v>
      </c>
      <c r="Q139" s="76">
        <f ca="1">TODAY()-E139</f>
        <v>56</v>
      </c>
    </row>
    <row r="140" spans="1:20" x14ac:dyDescent="0.25">
      <c r="A140" s="77"/>
      <c r="B140" s="58" t="str">
        <f>A139</f>
        <v>NCC</v>
      </c>
      <c r="C140" s="59">
        <f t="shared" si="46"/>
        <v>2020</v>
      </c>
      <c r="D140" s="59">
        <f t="shared" si="47"/>
        <v>2</v>
      </c>
      <c r="E140" s="8">
        <v>43871</v>
      </c>
      <c r="F140" s="3">
        <v>50</v>
      </c>
      <c r="G140" s="25">
        <v>49</v>
      </c>
      <c r="H140" s="25">
        <f t="shared" si="48"/>
        <v>2450</v>
      </c>
      <c r="I140" s="78"/>
      <c r="J140" s="79"/>
      <c r="K140" s="80"/>
      <c r="L140" s="81"/>
      <c r="M140" s="78"/>
      <c r="N140" s="78"/>
      <c r="O140" s="78"/>
      <c r="P140" s="83"/>
      <c r="Q140" s="76"/>
    </row>
    <row r="141" spans="1:20" x14ac:dyDescent="0.25">
      <c r="A141" s="77"/>
      <c r="B141" s="58" t="str">
        <f>A139</f>
        <v>NCC</v>
      </c>
      <c r="C141" s="59">
        <f t="shared" si="46"/>
        <v>2020</v>
      </c>
      <c r="D141" s="59">
        <f t="shared" si="47"/>
        <v>2</v>
      </c>
      <c r="E141" s="8">
        <v>43879</v>
      </c>
      <c r="F141" s="3">
        <v>100</v>
      </c>
      <c r="G141" s="25">
        <v>40</v>
      </c>
      <c r="H141" s="25">
        <f t="shared" si="48"/>
        <v>4000</v>
      </c>
      <c r="I141" s="78"/>
      <c r="J141" s="79"/>
      <c r="K141" s="80"/>
      <c r="L141" s="81"/>
      <c r="M141" s="78"/>
      <c r="N141" s="78"/>
      <c r="O141" s="78"/>
      <c r="P141" s="83"/>
      <c r="Q141" s="76"/>
    </row>
    <row r="142" spans="1:20" x14ac:dyDescent="0.25">
      <c r="A142" s="77"/>
      <c r="B142" s="58" t="str">
        <f>A139</f>
        <v>NCC</v>
      </c>
      <c r="C142" s="59">
        <f t="shared" si="46"/>
        <v>2020</v>
      </c>
      <c r="D142" s="59">
        <f t="shared" si="47"/>
        <v>3</v>
      </c>
      <c r="E142" s="8">
        <v>43895</v>
      </c>
      <c r="F142" s="3">
        <v>200</v>
      </c>
      <c r="G142" s="25">
        <v>35.5</v>
      </c>
      <c r="H142" s="25">
        <f t="shared" si="48"/>
        <v>7100</v>
      </c>
      <c r="I142" s="78"/>
      <c r="J142" s="79"/>
      <c r="K142" s="80"/>
      <c r="L142" s="81"/>
      <c r="M142" s="78"/>
      <c r="N142" s="78"/>
      <c r="O142" s="78"/>
      <c r="P142" s="83"/>
      <c r="Q142" s="76"/>
    </row>
    <row r="143" spans="1:20" x14ac:dyDescent="0.25">
      <c r="A143" s="77"/>
      <c r="B143" s="58" t="str">
        <f>A139</f>
        <v>NCC</v>
      </c>
      <c r="C143" s="59">
        <f t="shared" si="46"/>
        <v>2020</v>
      </c>
      <c r="D143" s="59">
        <f t="shared" si="47"/>
        <v>3</v>
      </c>
      <c r="E143" s="8">
        <v>43903</v>
      </c>
      <c r="F143" s="3">
        <v>600</v>
      </c>
      <c r="G143" s="25">
        <v>21.1</v>
      </c>
      <c r="H143" s="25">
        <f t="shared" si="48"/>
        <v>12660</v>
      </c>
      <c r="I143" s="78"/>
      <c r="J143" s="79"/>
      <c r="K143" s="80"/>
      <c r="L143" s="81"/>
      <c r="M143" s="78"/>
      <c r="N143" s="78"/>
      <c r="O143" s="78"/>
      <c r="P143" s="83"/>
      <c r="Q143" s="76"/>
    </row>
    <row r="144" spans="1:20" x14ac:dyDescent="0.25">
      <c r="A144" s="77"/>
      <c r="B144" s="58" t="str">
        <f>A139</f>
        <v>NCC</v>
      </c>
      <c r="C144" s="59">
        <f t="shared" si="46"/>
        <v>2020</v>
      </c>
      <c r="D144" s="59">
        <f t="shared" si="47"/>
        <v>4</v>
      </c>
      <c r="E144" s="8">
        <v>43922</v>
      </c>
      <c r="F144" s="3">
        <v>300</v>
      </c>
      <c r="G144" s="25">
        <v>18.100000000000001</v>
      </c>
      <c r="H144" s="25">
        <f t="shared" si="48"/>
        <v>5430</v>
      </c>
      <c r="I144" s="78"/>
      <c r="J144" s="79"/>
      <c r="K144" s="80"/>
      <c r="L144" s="81"/>
      <c r="M144" s="78"/>
      <c r="N144" s="78"/>
      <c r="O144" s="78"/>
      <c r="P144" s="83"/>
      <c r="Q144" s="76"/>
      <c r="R144">
        <v>550</v>
      </c>
      <c r="S144" s="13">
        <v>15</v>
      </c>
      <c r="T144" s="13">
        <f>R144*S144</f>
        <v>8250</v>
      </c>
    </row>
    <row r="145" spans="1:20" x14ac:dyDescent="0.25">
      <c r="A145" s="77"/>
      <c r="B145" s="58" t="str">
        <f>A139</f>
        <v>NCC</v>
      </c>
      <c r="C145" s="59">
        <f t="shared" si="46"/>
        <v>1900</v>
      </c>
      <c r="D145" s="59">
        <f t="shared" si="47"/>
        <v>1</v>
      </c>
      <c r="E145" s="58"/>
      <c r="F145" s="3"/>
      <c r="G145" s="25"/>
      <c r="H145" s="25">
        <f t="shared" si="48"/>
        <v>0</v>
      </c>
      <c r="I145" s="78"/>
      <c r="J145" s="79"/>
      <c r="K145" s="80"/>
      <c r="L145" s="81"/>
      <c r="M145" s="78"/>
      <c r="N145" s="78"/>
      <c r="O145" s="78"/>
      <c r="P145" s="83"/>
      <c r="Q145" s="76"/>
      <c r="R145">
        <v>250</v>
      </c>
      <c r="S145" s="13">
        <v>14</v>
      </c>
      <c r="T145" s="13">
        <f>R145*S145</f>
        <v>3500</v>
      </c>
    </row>
    <row r="146" spans="1:20" x14ac:dyDescent="0.25">
      <c r="A146" s="77"/>
      <c r="B146" s="58" t="str">
        <f>A139</f>
        <v>NCC</v>
      </c>
      <c r="C146" s="59">
        <f t="shared" si="46"/>
        <v>1900</v>
      </c>
      <c r="D146" s="59">
        <f t="shared" si="47"/>
        <v>1</v>
      </c>
      <c r="E146" s="58"/>
      <c r="F146" s="3"/>
      <c r="G146" s="25"/>
      <c r="H146" s="25">
        <f t="shared" si="48"/>
        <v>0</v>
      </c>
      <c r="I146" s="78"/>
      <c r="J146" s="79"/>
      <c r="K146" s="80"/>
      <c r="L146" s="81"/>
      <c r="M146" s="78"/>
      <c r="N146" s="78"/>
      <c r="O146" s="78"/>
      <c r="P146" s="83"/>
      <c r="Q146" s="76"/>
      <c r="R146">
        <v>250</v>
      </c>
      <c r="S146" s="13">
        <v>13</v>
      </c>
      <c r="T146" s="13">
        <f>R146*S146</f>
        <v>3250</v>
      </c>
    </row>
    <row r="147" spans="1:20" x14ac:dyDescent="0.25">
      <c r="A147" s="77"/>
      <c r="B147" s="58" t="str">
        <f>A139</f>
        <v>NCC</v>
      </c>
      <c r="C147" s="59">
        <f t="shared" si="46"/>
        <v>1900</v>
      </c>
      <c r="D147" s="59">
        <f t="shared" si="47"/>
        <v>1</v>
      </c>
      <c r="E147" s="58"/>
      <c r="F147" s="3"/>
      <c r="G147" s="25"/>
      <c r="H147" s="25">
        <f t="shared" si="48"/>
        <v>0</v>
      </c>
      <c r="I147" s="78"/>
      <c r="J147" s="79"/>
      <c r="K147" s="80"/>
      <c r="L147" s="81"/>
      <c r="M147" s="78"/>
      <c r="N147" s="78"/>
      <c r="O147" s="78"/>
      <c r="P147" s="83"/>
      <c r="Q147" s="76"/>
    </row>
    <row r="148" spans="1:20" x14ac:dyDescent="0.25">
      <c r="A148" s="77" t="s">
        <v>95</v>
      </c>
      <c r="B148" s="61" t="str">
        <f>A148</f>
        <v>JSW Steel</v>
      </c>
      <c r="C148" s="62">
        <f t="shared" ref="C148:C156" si="50">YEAR(E148)</f>
        <v>2019</v>
      </c>
      <c r="D148" s="62">
        <f t="shared" ref="D148:D156" si="51">MONTH(E148)</f>
        <v>12</v>
      </c>
      <c r="E148" s="8">
        <v>43830</v>
      </c>
      <c r="F148" s="3">
        <v>100</v>
      </c>
      <c r="G148" s="25">
        <v>270.76</v>
      </c>
      <c r="H148" s="25">
        <f t="shared" ref="H148:H156" si="52">F148*G148</f>
        <v>27076</v>
      </c>
      <c r="I148" s="78">
        <f>SUM(F148:F156)</f>
        <v>100</v>
      </c>
      <c r="J148" s="79">
        <f>SUM(H148:H156)/SUM(F148:F156)</f>
        <v>270.76</v>
      </c>
      <c r="K148" s="80">
        <f>I148*J148</f>
        <v>27076</v>
      </c>
      <c r="L148" s="81">
        <v>143</v>
      </c>
      <c r="M148" s="82">
        <f t="shared" ref="M148" si="53">M139</f>
        <v>43871</v>
      </c>
      <c r="N148" s="78">
        <f>I148*L148</f>
        <v>14300</v>
      </c>
      <c r="O148" s="78">
        <f>N148-K148</f>
        <v>-12776</v>
      </c>
      <c r="P148" s="83">
        <f>(O148/K148)</f>
        <v>-0.47185699512483381</v>
      </c>
      <c r="Q148" s="76">
        <f ca="1">TODAY()-E148</f>
        <v>93</v>
      </c>
    </row>
    <row r="149" spans="1:20" x14ac:dyDescent="0.25">
      <c r="A149" s="77"/>
      <c r="B149" s="61" t="str">
        <f>A148</f>
        <v>JSW Steel</v>
      </c>
      <c r="C149" s="62">
        <f t="shared" si="50"/>
        <v>1900</v>
      </c>
      <c r="D149" s="62">
        <f t="shared" si="51"/>
        <v>1</v>
      </c>
      <c r="E149" s="8"/>
      <c r="F149" s="3"/>
      <c r="G149" s="25"/>
      <c r="H149" s="25">
        <f t="shared" si="52"/>
        <v>0</v>
      </c>
      <c r="I149" s="78"/>
      <c r="J149" s="79"/>
      <c r="K149" s="80"/>
      <c r="L149" s="81"/>
      <c r="M149" s="78"/>
      <c r="N149" s="78"/>
      <c r="O149" s="78"/>
      <c r="P149" s="83"/>
      <c r="Q149" s="76"/>
      <c r="R149" s="9">
        <v>150</v>
      </c>
      <c r="S149" s="13">
        <v>140</v>
      </c>
      <c r="T149" s="13">
        <f>R149*S149</f>
        <v>21000</v>
      </c>
    </row>
    <row r="150" spans="1:20" x14ac:dyDescent="0.25">
      <c r="A150" s="77"/>
      <c r="B150" s="61" t="str">
        <f>A148</f>
        <v>JSW Steel</v>
      </c>
      <c r="C150" s="62">
        <f t="shared" si="50"/>
        <v>1900</v>
      </c>
      <c r="D150" s="62">
        <f t="shared" si="51"/>
        <v>1</v>
      </c>
      <c r="E150" s="61"/>
      <c r="F150" s="3"/>
      <c r="G150" s="25"/>
      <c r="H150" s="25">
        <f t="shared" si="52"/>
        <v>0</v>
      </c>
      <c r="I150" s="78"/>
      <c r="J150" s="79"/>
      <c r="K150" s="80"/>
      <c r="L150" s="81"/>
      <c r="M150" s="78"/>
      <c r="N150" s="78"/>
      <c r="O150" s="78"/>
      <c r="P150" s="83"/>
      <c r="Q150" s="76"/>
      <c r="R150">
        <v>250</v>
      </c>
      <c r="S150" s="13">
        <v>95</v>
      </c>
      <c r="T150" s="13">
        <f>R150*S150</f>
        <v>23750</v>
      </c>
    </row>
    <row r="151" spans="1:20" x14ac:dyDescent="0.25">
      <c r="A151" s="77"/>
      <c r="B151" s="61" t="str">
        <f>A148</f>
        <v>JSW Steel</v>
      </c>
      <c r="C151" s="62">
        <f t="shared" si="50"/>
        <v>1900</v>
      </c>
      <c r="D151" s="62">
        <f t="shared" si="51"/>
        <v>1</v>
      </c>
      <c r="E151" s="61"/>
      <c r="F151" s="3"/>
      <c r="G151" s="25"/>
      <c r="H151" s="25">
        <f t="shared" si="52"/>
        <v>0</v>
      </c>
      <c r="I151" s="78"/>
      <c r="J151" s="79"/>
      <c r="K151" s="80"/>
      <c r="L151" s="81"/>
      <c r="M151" s="78"/>
      <c r="N151" s="78"/>
      <c r="O151" s="78"/>
      <c r="P151" s="83"/>
      <c r="Q151" s="76"/>
    </row>
    <row r="152" spans="1:20" x14ac:dyDescent="0.25">
      <c r="A152" s="77"/>
      <c r="B152" s="61" t="str">
        <f>A148</f>
        <v>JSW Steel</v>
      </c>
      <c r="C152" s="62">
        <f t="shared" si="50"/>
        <v>1900</v>
      </c>
      <c r="D152" s="62">
        <f t="shared" si="51"/>
        <v>1</v>
      </c>
      <c r="E152" s="61"/>
      <c r="F152" s="3"/>
      <c r="G152" s="25"/>
      <c r="H152" s="25">
        <f t="shared" si="52"/>
        <v>0</v>
      </c>
      <c r="I152" s="78"/>
      <c r="J152" s="79"/>
      <c r="K152" s="80"/>
      <c r="L152" s="81"/>
      <c r="M152" s="78"/>
      <c r="N152" s="78"/>
      <c r="O152" s="78"/>
      <c r="P152" s="83"/>
      <c r="Q152" s="76"/>
    </row>
    <row r="153" spans="1:20" x14ac:dyDescent="0.25">
      <c r="A153" s="77"/>
      <c r="B153" s="61" t="str">
        <f>A148</f>
        <v>JSW Steel</v>
      </c>
      <c r="C153" s="62">
        <f t="shared" si="50"/>
        <v>1900</v>
      </c>
      <c r="D153" s="62">
        <f t="shared" si="51"/>
        <v>1</v>
      </c>
      <c r="E153" s="61"/>
      <c r="F153" s="3"/>
      <c r="G153" s="25"/>
      <c r="H153" s="25">
        <f t="shared" si="52"/>
        <v>0</v>
      </c>
      <c r="I153" s="78"/>
      <c r="J153" s="79"/>
      <c r="K153" s="80"/>
      <c r="L153" s="81"/>
      <c r="M153" s="78"/>
      <c r="N153" s="78"/>
      <c r="O153" s="78"/>
      <c r="P153" s="83"/>
      <c r="Q153" s="76"/>
    </row>
    <row r="154" spans="1:20" x14ac:dyDescent="0.25">
      <c r="A154" s="77"/>
      <c r="B154" s="61" t="str">
        <f>A148</f>
        <v>JSW Steel</v>
      </c>
      <c r="C154" s="62">
        <f t="shared" si="50"/>
        <v>1900</v>
      </c>
      <c r="D154" s="62">
        <f t="shared" si="51"/>
        <v>1</v>
      </c>
      <c r="E154" s="61"/>
      <c r="F154" s="3"/>
      <c r="G154" s="25"/>
      <c r="H154" s="25">
        <f t="shared" si="52"/>
        <v>0</v>
      </c>
      <c r="I154" s="78"/>
      <c r="J154" s="79"/>
      <c r="K154" s="80"/>
      <c r="L154" s="81"/>
      <c r="M154" s="78"/>
      <c r="N154" s="78"/>
      <c r="O154" s="78"/>
      <c r="P154" s="83"/>
      <c r="Q154" s="76"/>
    </row>
    <row r="155" spans="1:20" x14ac:dyDescent="0.25">
      <c r="A155" s="77"/>
      <c r="B155" s="61" t="str">
        <f>A148</f>
        <v>JSW Steel</v>
      </c>
      <c r="C155" s="62">
        <f t="shared" si="50"/>
        <v>1900</v>
      </c>
      <c r="D155" s="62">
        <f t="shared" si="51"/>
        <v>1</v>
      </c>
      <c r="E155" s="61"/>
      <c r="F155" s="3"/>
      <c r="G155" s="25"/>
      <c r="H155" s="25">
        <f t="shared" si="52"/>
        <v>0</v>
      </c>
      <c r="I155" s="78"/>
      <c r="J155" s="79"/>
      <c r="K155" s="80"/>
      <c r="L155" s="81"/>
      <c r="M155" s="78"/>
      <c r="N155" s="78"/>
      <c r="O155" s="78"/>
      <c r="P155" s="83"/>
      <c r="Q155" s="76"/>
    </row>
    <row r="156" spans="1:20" x14ac:dyDescent="0.25">
      <c r="A156" s="77"/>
      <c r="B156" s="61" t="str">
        <f>A148</f>
        <v>JSW Steel</v>
      </c>
      <c r="C156" s="62">
        <f t="shared" si="50"/>
        <v>1900</v>
      </c>
      <c r="D156" s="62">
        <f t="shared" si="51"/>
        <v>1</v>
      </c>
      <c r="E156" s="61"/>
      <c r="F156" s="3"/>
      <c r="G156" s="25"/>
      <c r="H156" s="25">
        <f t="shared" si="52"/>
        <v>0</v>
      </c>
      <c r="I156" s="78"/>
      <c r="J156" s="79"/>
      <c r="K156" s="80"/>
      <c r="L156" s="81"/>
      <c r="M156" s="78"/>
      <c r="N156" s="78"/>
      <c r="O156" s="78"/>
      <c r="P156" s="83"/>
      <c r="Q156" s="76"/>
    </row>
    <row r="157" spans="1:20" x14ac:dyDescent="0.25">
      <c r="A157" s="77" t="s">
        <v>115</v>
      </c>
      <c r="B157" s="66" t="str">
        <f>A157</f>
        <v>Punjab National Bank</v>
      </c>
      <c r="C157" s="62">
        <f t="shared" ref="C157:C174" si="54">YEAR(E157)</f>
        <v>2020</v>
      </c>
      <c r="D157" s="62">
        <f t="shared" ref="D157:D174" si="55">MONTH(E157)</f>
        <v>1</v>
      </c>
      <c r="E157" s="8">
        <v>43837</v>
      </c>
      <c r="F157" s="3">
        <v>1000</v>
      </c>
      <c r="G157" s="25">
        <v>66.25</v>
      </c>
      <c r="H157" s="25">
        <f t="shared" ref="H157:H174" si="56">F157*G157</f>
        <v>66250</v>
      </c>
      <c r="I157" s="78">
        <f>SUM(F157:F165)</f>
        <v>1000</v>
      </c>
      <c r="J157" s="79">
        <f>SUM(H157:H165)/SUM(F157:F165)</f>
        <v>66.25</v>
      </c>
      <c r="K157" s="80">
        <f>I157*J157</f>
        <v>66250</v>
      </c>
      <c r="L157" s="81">
        <v>30.45</v>
      </c>
      <c r="M157" s="82">
        <f t="shared" ref="M157" si="57">M148</f>
        <v>43871</v>
      </c>
      <c r="N157" s="78">
        <f>I157*L157</f>
        <v>30450</v>
      </c>
      <c r="O157" s="78">
        <f>N157-K157</f>
        <v>-35800</v>
      </c>
      <c r="P157" s="83">
        <f>(O157/K157)</f>
        <v>-0.54037735849056601</v>
      </c>
      <c r="Q157" s="76">
        <f ca="1">TODAY()-E157</f>
        <v>86</v>
      </c>
    </row>
    <row r="158" spans="1:20" x14ac:dyDescent="0.25">
      <c r="A158" s="77"/>
      <c r="B158" s="66" t="str">
        <f>A157</f>
        <v>Punjab National Bank</v>
      </c>
      <c r="C158" s="62">
        <f t="shared" si="54"/>
        <v>1900</v>
      </c>
      <c r="D158" s="62">
        <f t="shared" si="55"/>
        <v>1</v>
      </c>
      <c r="E158" s="8"/>
      <c r="F158" s="3"/>
      <c r="G158" s="25"/>
      <c r="H158" s="25">
        <f t="shared" si="56"/>
        <v>0</v>
      </c>
      <c r="I158" s="78"/>
      <c r="J158" s="79"/>
      <c r="K158" s="80"/>
      <c r="L158" s="81"/>
      <c r="M158" s="78"/>
      <c r="N158" s="78"/>
      <c r="O158" s="78"/>
      <c r="P158" s="83"/>
      <c r="Q158" s="76"/>
      <c r="R158">
        <v>500</v>
      </c>
      <c r="S158" s="13">
        <v>30</v>
      </c>
      <c r="T158" s="13">
        <f>R158*S158</f>
        <v>15000</v>
      </c>
    </row>
    <row r="159" spans="1:20" x14ac:dyDescent="0.25">
      <c r="A159" s="77"/>
      <c r="B159" s="66" t="str">
        <f>A157</f>
        <v>Punjab National Bank</v>
      </c>
      <c r="C159" s="62">
        <f t="shared" si="54"/>
        <v>1900</v>
      </c>
      <c r="D159" s="62">
        <f t="shared" si="55"/>
        <v>1</v>
      </c>
      <c r="E159" s="61"/>
      <c r="F159" s="3"/>
      <c r="G159" s="25"/>
      <c r="H159" s="25">
        <f t="shared" si="56"/>
        <v>0</v>
      </c>
      <c r="I159" s="78"/>
      <c r="J159" s="79"/>
      <c r="K159" s="80"/>
      <c r="L159" s="81"/>
      <c r="M159" s="78"/>
      <c r="N159" s="78"/>
      <c r="O159" s="78"/>
      <c r="P159" s="83"/>
      <c r="Q159" s="76"/>
      <c r="R159">
        <v>500</v>
      </c>
      <c r="S159" s="13">
        <v>29</v>
      </c>
      <c r="T159" s="13">
        <f>R159*S159</f>
        <v>14500</v>
      </c>
    </row>
    <row r="160" spans="1:20" x14ac:dyDescent="0.25">
      <c r="A160" s="77"/>
      <c r="B160" s="66" t="str">
        <f>A157</f>
        <v>Punjab National Bank</v>
      </c>
      <c r="C160" s="62">
        <f t="shared" si="54"/>
        <v>1900</v>
      </c>
      <c r="D160" s="62">
        <f t="shared" si="55"/>
        <v>1</v>
      </c>
      <c r="E160" s="61"/>
      <c r="F160" s="3"/>
      <c r="G160" s="25"/>
      <c r="H160" s="25">
        <f t="shared" si="56"/>
        <v>0</v>
      </c>
      <c r="I160" s="78"/>
      <c r="J160" s="79"/>
      <c r="K160" s="80"/>
      <c r="L160" s="81"/>
      <c r="M160" s="78"/>
      <c r="N160" s="78"/>
      <c r="O160" s="78"/>
      <c r="P160" s="83"/>
      <c r="Q160" s="76"/>
    </row>
    <row r="161" spans="1:20" x14ac:dyDescent="0.25">
      <c r="A161" s="77"/>
      <c r="B161" s="66" t="str">
        <f>A157</f>
        <v>Punjab National Bank</v>
      </c>
      <c r="C161" s="62">
        <f t="shared" si="54"/>
        <v>1900</v>
      </c>
      <c r="D161" s="62">
        <f t="shared" si="55"/>
        <v>1</v>
      </c>
      <c r="E161" s="61"/>
      <c r="F161" s="3"/>
      <c r="G161" s="25"/>
      <c r="H161" s="25">
        <f t="shared" si="56"/>
        <v>0</v>
      </c>
      <c r="I161" s="78"/>
      <c r="J161" s="79"/>
      <c r="K161" s="80"/>
      <c r="L161" s="81"/>
      <c r="M161" s="78"/>
      <c r="N161" s="78"/>
      <c r="O161" s="78"/>
      <c r="P161" s="83"/>
      <c r="Q161" s="76"/>
    </row>
    <row r="162" spans="1:20" x14ac:dyDescent="0.25">
      <c r="A162" s="77"/>
      <c r="B162" s="66" t="str">
        <f>A157</f>
        <v>Punjab National Bank</v>
      </c>
      <c r="C162" s="62">
        <f t="shared" si="54"/>
        <v>1900</v>
      </c>
      <c r="D162" s="62">
        <f t="shared" si="55"/>
        <v>1</v>
      </c>
      <c r="E162" s="61"/>
      <c r="F162" s="3"/>
      <c r="G162" s="25"/>
      <c r="H162" s="25">
        <f t="shared" si="56"/>
        <v>0</v>
      </c>
      <c r="I162" s="78"/>
      <c r="J162" s="79"/>
      <c r="K162" s="80"/>
      <c r="L162" s="81"/>
      <c r="M162" s="78"/>
      <c r="N162" s="78"/>
      <c r="O162" s="78"/>
      <c r="P162" s="83"/>
      <c r="Q162" s="76"/>
    </row>
    <row r="163" spans="1:20" x14ac:dyDescent="0.25">
      <c r="A163" s="77"/>
      <c r="B163" s="66" t="str">
        <f>A157</f>
        <v>Punjab National Bank</v>
      </c>
      <c r="C163" s="62">
        <f t="shared" si="54"/>
        <v>1900</v>
      </c>
      <c r="D163" s="62">
        <f t="shared" si="55"/>
        <v>1</v>
      </c>
      <c r="E163" s="61"/>
      <c r="F163" s="3"/>
      <c r="G163" s="25"/>
      <c r="H163" s="25">
        <f t="shared" si="56"/>
        <v>0</v>
      </c>
      <c r="I163" s="78"/>
      <c r="J163" s="79"/>
      <c r="K163" s="80"/>
      <c r="L163" s="81"/>
      <c r="M163" s="78"/>
      <c r="N163" s="78"/>
      <c r="O163" s="78"/>
      <c r="P163" s="83"/>
      <c r="Q163" s="76"/>
    </row>
    <row r="164" spans="1:20" x14ac:dyDescent="0.25">
      <c r="A164" s="77"/>
      <c r="B164" s="66" t="str">
        <f>A157</f>
        <v>Punjab National Bank</v>
      </c>
      <c r="C164" s="62">
        <f t="shared" si="54"/>
        <v>1900</v>
      </c>
      <c r="D164" s="62">
        <f t="shared" si="55"/>
        <v>1</v>
      </c>
      <c r="E164" s="61"/>
      <c r="F164" s="3"/>
      <c r="G164" s="25"/>
      <c r="H164" s="25">
        <f t="shared" si="56"/>
        <v>0</v>
      </c>
      <c r="I164" s="78"/>
      <c r="J164" s="79"/>
      <c r="K164" s="80"/>
      <c r="L164" s="81"/>
      <c r="M164" s="78"/>
      <c r="N164" s="78"/>
      <c r="O164" s="78"/>
      <c r="P164" s="83"/>
      <c r="Q164" s="76"/>
    </row>
    <row r="165" spans="1:20" x14ac:dyDescent="0.25">
      <c r="A165" s="77"/>
      <c r="B165" s="66" t="str">
        <f>A157</f>
        <v>Punjab National Bank</v>
      </c>
      <c r="C165" s="62">
        <f t="shared" si="54"/>
        <v>1900</v>
      </c>
      <c r="D165" s="62">
        <f t="shared" si="55"/>
        <v>1</v>
      </c>
      <c r="E165" s="61"/>
      <c r="F165" s="3"/>
      <c r="G165" s="25"/>
      <c r="H165" s="25">
        <f t="shared" si="56"/>
        <v>0</v>
      </c>
      <c r="I165" s="78"/>
      <c r="J165" s="79"/>
      <c r="K165" s="80"/>
      <c r="L165" s="81"/>
      <c r="M165" s="78"/>
      <c r="N165" s="78"/>
      <c r="O165" s="78"/>
      <c r="P165" s="83"/>
      <c r="Q165" s="76"/>
    </row>
    <row r="166" spans="1:20" x14ac:dyDescent="0.25">
      <c r="A166" s="77" t="s">
        <v>118</v>
      </c>
      <c r="B166" s="66" t="str">
        <f>A166</f>
        <v>KNR Constructions</v>
      </c>
      <c r="C166" s="64">
        <f t="shared" si="54"/>
        <v>2020</v>
      </c>
      <c r="D166" s="64">
        <f t="shared" si="55"/>
        <v>2</v>
      </c>
      <c r="E166" s="8">
        <v>43866</v>
      </c>
      <c r="F166" s="3">
        <v>1</v>
      </c>
      <c r="G166" s="25">
        <v>1</v>
      </c>
      <c r="H166" s="25">
        <f t="shared" si="56"/>
        <v>1</v>
      </c>
      <c r="I166" s="78">
        <f>SUM(F166:F174)</f>
        <v>1</v>
      </c>
      <c r="J166" s="79">
        <f>SUM(H166:H174)/SUM(F166:F174)</f>
        <v>1</v>
      </c>
      <c r="K166" s="80">
        <f>I166*J166</f>
        <v>1</v>
      </c>
      <c r="L166" s="81">
        <v>1</v>
      </c>
      <c r="M166" s="82">
        <f t="shared" ref="M166" si="58">M157</f>
        <v>43871</v>
      </c>
      <c r="N166" s="78">
        <f>I166*L166</f>
        <v>1</v>
      </c>
      <c r="O166" s="78">
        <f>N166-K166</f>
        <v>0</v>
      </c>
      <c r="P166" s="83">
        <f>(O166/K166)</f>
        <v>0</v>
      </c>
      <c r="Q166" s="76">
        <f ca="1">TODAY()-E166</f>
        <v>57</v>
      </c>
      <c r="R166">
        <v>1</v>
      </c>
      <c r="S166" s="13">
        <v>1</v>
      </c>
      <c r="T166" s="13">
        <f>R166*S166</f>
        <v>1</v>
      </c>
    </row>
    <row r="167" spans="1:20" x14ac:dyDescent="0.25">
      <c r="A167" s="77"/>
      <c r="B167" s="66" t="str">
        <f>A166</f>
        <v>KNR Constructions</v>
      </c>
      <c r="C167" s="64">
        <f t="shared" si="54"/>
        <v>1900</v>
      </c>
      <c r="D167" s="64">
        <f t="shared" si="55"/>
        <v>1</v>
      </c>
      <c r="E167" s="8"/>
      <c r="F167" s="3"/>
      <c r="G167" s="25"/>
      <c r="H167" s="25">
        <f t="shared" si="56"/>
        <v>0</v>
      </c>
      <c r="I167" s="78"/>
      <c r="J167" s="79"/>
      <c r="K167" s="80"/>
      <c r="L167" s="81"/>
      <c r="M167" s="78"/>
      <c r="N167" s="78"/>
      <c r="O167" s="78"/>
      <c r="P167" s="83"/>
      <c r="Q167" s="76"/>
    </row>
    <row r="168" spans="1:20" x14ac:dyDescent="0.25">
      <c r="A168" s="77"/>
      <c r="B168" s="66" t="str">
        <f>A166</f>
        <v>KNR Constructions</v>
      </c>
      <c r="C168" s="64">
        <f t="shared" si="54"/>
        <v>1900</v>
      </c>
      <c r="D168" s="64">
        <f t="shared" si="55"/>
        <v>1</v>
      </c>
      <c r="E168" s="63"/>
      <c r="F168" s="3"/>
      <c r="G168" s="25"/>
      <c r="H168" s="25">
        <f t="shared" si="56"/>
        <v>0</v>
      </c>
      <c r="I168" s="78"/>
      <c r="J168" s="79"/>
      <c r="K168" s="80"/>
      <c r="L168" s="81"/>
      <c r="M168" s="78"/>
      <c r="N168" s="78"/>
      <c r="O168" s="78"/>
      <c r="P168" s="83"/>
      <c r="Q168" s="76"/>
    </row>
    <row r="169" spans="1:20" x14ac:dyDescent="0.25">
      <c r="A169" s="77"/>
      <c r="B169" s="66" t="str">
        <f>A166</f>
        <v>KNR Constructions</v>
      </c>
      <c r="C169" s="64">
        <f t="shared" si="54"/>
        <v>1900</v>
      </c>
      <c r="D169" s="64">
        <f t="shared" si="55"/>
        <v>1</v>
      </c>
      <c r="E169" s="63"/>
      <c r="F169" s="3"/>
      <c r="G169" s="25"/>
      <c r="H169" s="25">
        <f t="shared" si="56"/>
        <v>0</v>
      </c>
      <c r="I169" s="78"/>
      <c r="J169" s="79"/>
      <c r="K169" s="80"/>
      <c r="L169" s="81"/>
      <c r="M169" s="78"/>
      <c r="N169" s="78"/>
      <c r="O169" s="78"/>
      <c r="P169" s="83"/>
      <c r="Q169" s="76"/>
    </row>
    <row r="170" spans="1:20" x14ac:dyDescent="0.25">
      <c r="A170" s="77"/>
      <c r="B170" s="66" t="str">
        <f>A166</f>
        <v>KNR Constructions</v>
      </c>
      <c r="C170" s="64">
        <f t="shared" si="54"/>
        <v>1900</v>
      </c>
      <c r="D170" s="64">
        <f t="shared" si="55"/>
        <v>1</v>
      </c>
      <c r="E170" s="63"/>
      <c r="F170" s="3"/>
      <c r="G170" s="25"/>
      <c r="H170" s="25">
        <f t="shared" si="56"/>
        <v>0</v>
      </c>
      <c r="I170" s="78"/>
      <c r="J170" s="79"/>
      <c r="K170" s="80"/>
      <c r="L170" s="81"/>
      <c r="M170" s="78"/>
      <c r="N170" s="78"/>
      <c r="O170" s="78"/>
      <c r="P170" s="83"/>
      <c r="Q170" s="76"/>
    </row>
    <row r="171" spans="1:20" x14ac:dyDescent="0.25">
      <c r="A171" s="77"/>
      <c r="B171" s="66" t="str">
        <f>A166</f>
        <v>KNR Constructions</v>
      </c>
      <c r="C171" s="64">
        <f t="shared" si="54"/>
        <v>1900</v>
      </c>
      <c r="D171" s="64">
        <f t="shared" si="55"/>
        <v>1</v>
      </c>
      <c r="E171" s="63"/>
      <c r="F171" s="3"/>
      <c r="G171" s="25"/>
      <c r="H171" s="25">
        <f t="shared" si="56"/>
        <v>0</v>
      </c>
      <c r="I171" s="78"/>
      <c r="J171" s="79"/>
      <c r="K171" s="80"/>
      <c r="L171" s="81"/>
      <c r="M171" s="78"/>
      <c r="N171" s="78"/>
      <c r="O171" s="78"/>
      <c r="P171" s="83"/>
      <c r="Q171" s="76"/>
    </row>
    <row r="172" spans="1:20" x14ac:dyDescent="0.25">
      <c r="A172" s="77"/>
      <c r="B172" s="66" t="str">
        <f>A166</f>
        <v>KNR Constructions</v>
      </c>
      <c r="C172" s="64">
        <f t="shared" si="54"/>
        <v>1900</v>
      </c>
      <c r="D172" s="64">
        <f t="shared" si="55"/>
        <v>1</v>
      </c>
      <c r="E172" s="63"/>
      <c r="F172" s="3"/>
      <c r="G172" s="25"/>
      <c r="H172" s="25">
        <f t="shared" si="56"/>
        <v>0</v>
      </c>
      <c r="I172" s="78"/>
      <c r="J172" s="79"/>
      <c r="K172" s="80"/>
      <c r="L172" s="81"/>
      <c r="M172" s="78"/>
      <c r="N172" s="78"/>
      <c r="O172" s="78"/>
      <c r="P172" s="83"/>
      <c r="Q172" s="76"/>
    </row>
    <row r="173" spans="1:20" x14ac:dyDescent="0.25">
      <c r="A173" s="77"/>
      <c r="B173" s="66" t="str">
        <f>A166</f>
        <v>KNR Constructions</v>
      </c>
      <c r="C173" s="64">
        <f t="shared" si="54"/>
        <v>1900</v>
      </c>
      <c r="D173" s="64">
        <f t="shared" si="55"/>
        <v>1</v>
      </c>
      <c r="E173" s="63"/>
      <c r="F173" s="3"/>
      <c r="G173" s="25"/>
      <c r="H173" s="25">
        <f t="shared" si="56"/>
        <v>0</v>
      </c>
      <c r="I173" s="78"/>
      <c r="J173" s="79"/>
      <c r="K173" s="80"/>
      <c r="L173" s="81"/>
      <c r="M173" s="78"/>
      <c r="N173" s="78"/>
      <c r="O173" s="78"/>
      <c r="P173" s="83"/>
      <c r="Q173" s="76"/>
    </row>
    <row r="174" spans="1:20" x14ac:dyDescent="0.25">
      <c r="A174" s="77"/>
      <c r="B174" s="66" t="str">
        <f>A166</f>
        <v>KNR Constructions</v>
      </c>
      <c r="C174" s="64">
        <f t="shared" si="54"/>
        <v>1900</v>
      </c>
      <c r="D174" s="64">
        <f t="shared" si="55"/>
        <v>1</v>
      </c>
      <c r="E174" s="63"/>
      <c r="F174" s="3"/>
      <c r="G174" s="25"/>
      <c r="H174" s="25">
        <f t="shared" si="56"/>
        <v>0</v>
      </c>
      <c r="I174" s="78"/>
      <c r="J174" s="79"/>
      <c r="K174" s="80"/>
      <c r="L174" s="81"/>
      <c r="M174" s="78"/>
      <c r="N174" s="78"/>
      <c r="O174" s="78"/>
      <c r="P174" s="83"/>
      <c r="Q174" s="76"/>
    </row>
  </sheetData>
  <mergeCells count="154">
    <mergeCell ref="Q166:Q174"/>
    <mergeCell ref="A166:A174"/>
    <mergeCell ref="I166:I174"/>
    <mergeCell ref="J166:J174"/>
    <mergeCell ref="K166:K174"/>
    <mergeCell ref="L166:L174"/>
    <mergeCell ref="M166:M174"/>
    <mergeCell ref="N166:N174"/>
    <mergeCell ref="O166:O174"/>
    <mergeCell ref="P166:P174"/>
    <mergeCell ref="Q139:Q147"/>
    <mergeCell ref="A139:A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12:Q120"/>
    <mergeCell ref="A112:A120"/>
    <mergeCell ref="I112:I120"/>
    <mergeCell ref="J112:J120"/>
    <mergeCell ref="K112:K120"/>
    <mergeCell ref="L112:L120"/>
    <mergeCell ref="M112:M120"/>
    <mergeCell ref="N112:N120"/>
    <mergeCell ref="O112:O120"/>
    <mergeCell ref="P112:P120"/>
    <mergeCell ref="A88:A102"/>
    <mergeCell ref="I88:I102"/>
    <mergeCell ref="J88:J102"/>
    <mergeCell ref="K88:K102"/>
    <mergeCell ref="L88:L102"/>
    <mergeCell ref="Q22:Q30"/>
    <mergeCell ref="Q31:Q39"/>
    <mergeCell ref="Q40:Q57"/>
    <mergeCell ref="Q73:Q87"/>
    <mergeCell ref="Q88:Q102"/>
    <mergeCell ref="Q58:Q72"/>
    <mergeCell ref="A58:A72"/>
    <mergeCell ref="I58:I72"/>
    <mergeCell ref="J58:J72"/>
    <mergeCell ref="K58:K72"/>
    <mergeCell ref="L58:L72"/>
    <mergeCell ref="A73:A87"/>
    <mergeCell ref="I73:I87"/>
    <mergeCell ref="J73:J87"/>
    <mergeCell ref="K73:K87"/>
    <mergeCell ref="L73:L87"/>
    <mergeCell ref="I40:I57"/>
    <mergeCell ref="J40:J57"/>
    <mergeCell ref="K40:K57"/>
    <mergeCell ref="L40:L57"/>
    <mergeCell ref="M40:M57"/>
    <mergeCell ref="N40:N57"/>
    <mergeCell ref="O40:O57"/>
    <mergeCell ref="P40:P57"/>
    <mergeCell ref="A31:A39"/>
    <mergeCell ref="I31:I39"/>
    <mergeCell ref="J31:J39"/>
    <mergeCell ref="S1:T1"/>
    <mergeCell ref="O2:O21"/>
    <mergeCell ref="Q2:Q21"/>
    <mergeCell ref="O22:O30"/>
    <mergeCell ref="P2:P21"/>
    <mergeCell ref="P22:P30"/>
    <mergeCell ref="L2:L21"/>
    <mergeCell ref="M2:M21"/>
    <mergeCell ref="N2:N21"/>
    <mergeCell ref="L22:L30"/>
    <mergeCell ref="M22:M30"/>
    <mergeCell ref="N22:N30"/>
    <mergeCell ref="Q103:Q111"/>
    <mergeCell ref="A103:A111"/>
    <mergeCell ref="I103:I111"/>
    <mergeCell ref="J103:J111"/>
    <mergeCell ref="K103:K111"/>
    <mergeCell ref="L103:L111"/>
    <mergeCell ref="S3:T3"/>
    <mergeCell ref="S2:T2"/>
    <mergeCell ref="S4:T4"/>
    <mergeCell ref="K31:K39"/>
    <mergeCell ref="L31:L39"/>
    <mergeCell ref="I2:I21"/>
    <mergeCell ref="J2:J21"/>
    <mergeCell ref="A2:A21"/>
    <mergeCell ref="K2:K21"/>
    <mergeCell ref="A22:A30"/>
    <mergeCell ref="I22:I30"/>
    <mergeCell ref="J22:J30"/>
    <mergeCell ref="K22:K30"/>
    <mergeCell ref="M31:M39"/>
    <mergeCell ref="N31:N39"/>
    <mergeCell ref="O31:O39"/>
    <mergeCell ref="P31:P39"/>
    <mergeCell ref="A40:A57"/>
    <mergeCell ref="P58:P72"/>
    <mergeCell ref="M103:M111"/>
    <mergeCell ref="N103:N111"/>
    <mergeCell ref="O103:O111"/>
    <mergeCell ref="P103:P111"/>
    <mergeCell ref="M58:M72"/>
    <mergeCell ref="N58:N72"/>
    <mergeCell ref="O58:O72"/>
    <mergeCell ref="M88:M102"/>
    <mergeCell ref="N88:N102"/>
    <mergeCell ref="O88:O102"/>
    <mergeCell ref="P88:P102"/>
    <mergeCell ref="M73:M87"/>
    <mergeCell ref="N73:N87"/>
    <mergeCell ref="O73:O87"/>
    <mergeCell ref="P73:P87"/>
    <mergeCell ref="M121:M129"/>
    <mergeCell ref="N121:N129"/>
    <mergeCell ref="O121:O129"/>
    <mergeCell ref="P121:P129"/>
    <mergeCell ref="Q121:Q129"/>
    <mergeCell ref="A121:A129"/>
    <mergeCell ref="I121:I129"/>
    <mergeCell ref="J121:J129"/>
    <mergeCell ref="K121:K129"/>
    <mergeCell ref="L121:L129"/>
    <mergeCell ref="Q130:Q138"/>
    <mergeCell ref="A130:A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48:Q156"/>
    <mergeCell ref="A157:A165"/>
    <mergeCell ref="I157:I165"/>
    <mergeCell ref="J157:J165"/>
    <mergeCell ref="K157:K165"/>
    <mergeCell ref="L157:L165"/>
    <mergeCell ref="M157:M165"/>
    <mergeCell ref="N157:N165"/>
    <mergeCell ref="O157:O165"/>
    <mergeCell ref="P157:P165"/>
    <mergeCell ref="Q157:Q165"/>
    <mergeCell ref="A148:A156"/>
    <mergeCell ref="I148:I156"/>
    <mergeCell ref="J148:J156"/>
    <mergeCell ref="K148:K156"/>
    <mergeCell ref="L148:L156"/>
    <mergeCell ref="M148:M156"/>
    <mergeCell ref="N148:N156"/>
    <mergeCell ref="O148:O156"/>
    <mergeCell ref="P148:P156"/>
  </mergeCells>
  <conditionalFormatting sqref="P175:P1038 P2:P57">
    <cfRule type="cellIs" dxfId="48" priority="45" operator="greaterThan">
      <formula>0.2</formula>
    </cfRule>
    <cfRule type="cellIs" dxfId="47" priority="46" operator="lessThan">
      <formula>-0.1</formula>
    </cfRule>
  </conditionalFormatting>
  <conditionalFormatting sqref="P58">
    <cfRule type="cellIs" dxfId="46" priority="43" operator="greaterThan">
      <formula>0.2</formula>
    </cfRule>
    <cfRule type="cellIs" dxfId="45" priority="44" operator="lessThan">
      <formula>-0.1</formula>
    </cfRule>
  </conditionalFormatting>
  <conditionalFormatting sqref="P73:P87">
    <cfRule type="cellIs" dxfId="44" priority="41" operator="greaterThan">
      <formula>0.2</formula>
    </cfRule>
    <cfRule type="cellIs" dxfId="43" priority="42" operator="lessThan">
      <formula>-0.1</formula>
    </cfRule>
  </conditionalFormatting>
  <conditionalFormatting sqref="W2">
    <cfRule type="cellIs" dxfId="42" priority="40" operator="greaterThan">
      <formula>0</formula>
    </cfRule>
  </conditionalFormatting>
  <conditionalFormatting sqref="P88:P102">
    <cfRule type="cellIs" dxfId="41" priority="38" operator="greaterThan">
      <formula>0.2</formula>
    </cfRule>
    <cfRule type="cellIs" dxfId="40" priority="39" operator="lessThan">
      <formula>-0.1</formula>
    </cfRule>
  </conditionalFormatting>
  <conditionalFormatting sqref="Q175:Q1038 Q73:Q102 Q2:Q58">
    <cfRule type="cellIs" dxfId="39" priority="25" stopIfTrue="1" operator="greaterThan">
      <formula>300</formula>
    </cfRule>
  </conditionalFormatting>
  <conditionalFormatting sqref="P103:P111">
    <cfRule type="cellIs" dxfId="38" priority="23" operator="greaterThan">
      <formula>0.2</formula>
    </cfRule>
    <cfRule type="cellIs" dxfId="37" priority="24" operator="lessThan">
      <formula>-0.1</formula>
    </cfRule>
  </conditionalFormatting>
  <conditionalFormatting sqref="Q103:Q111">
    <cfRule type="cellIs" dxfId="36" priority="22" stopIfTrue="1" operator="greaterThan">
      <formula>300</formula>
    </cfRule>
  </conditionalFormatting>
  <conditionalFormatting sqref="P112:P120">
    <cfRule type="cellIs" dxfId="35" priority="20" operator="greaterThan">
      <formula>0.2</formula>
    </cfRule>
    <cfRule type="cellIs" dxfId="34" priority="21" operator="lessThan">
      <formula>-0.1</formula>
    </cfRule>
  </conditionalFormatting>
  <conditionalFormatting sqref="Q112:Q120">
    <cfRule type="cellIs" dxfId="33" priority="19" stopIfTrue="1" operator="greaterThan">
      <formula>300</formula>
    </cfRule>
  </conditionalFormatting>
  <conditionalFormatting sqref="P121:P129">
    <cfRule type="cellIs" dxfId="32" priority="17" operator="greaterThan">
      <formula>0.2</formula>
    </cfRule>
    <cfRule type="cellIs" dxfId="31" priority="18" operator="lessThan">
      <formula>-0.1</formula>
    </cfRule>
  </conditionalFormatting>
  <conditionalFormatting sqref="Q121:Q129">
    <cfRule type="cellIs" dxfId="30" priority="16" stopIfTrue="1" operator="greaterThan">
      <formula>300</formula>
    </cfRule>
  </conditionalFormatting>
  <conditionalFormatting sqref="P130:P138">
    <cfRule type="cellIs" dxfId="29" priority="14" operator="greaterThan">
      <formula>0.2</formula>
    </cfRule>
    <cfRule type="cellIs" dxfId="28" priority="15" operator="lessThan">
      <formula>-0.1</formula>
    </cfRule>
  </conditionalFormatting>
  <conditionalFormatting sqref="Q130:Q138">
    <cfRule type="cellIs" dxfId="27" priority="13" stopIfTrue="1" operator="greaterThan">
      <formula>300</formula>
    </cfRule>
  </conditionalFormatting>
  <conditionalFormatting sqref="P139:P147">
    <cfRule type="cellIs" dxfId="26" priority="11" operator="greaterThan">
      <formula>0.2</formula>
    </cfRule>
    <cfRule type="cellIs" dxfId="25" priority="12" operator="lessThan">
      <formula>-0.1</formula>
    </cfRule>
  </conditionalFormatting>
  <conditionalFormatting sqref="Q139:Q147">
    <cfRule type="cellIs" dxfId="24" priority="10" stopIfTrue="1" operator="greaterThan">
      <formula>300</formula>
    </cfRule>
  </conditionalFormatting>
  <conditionalFormatting sqref="P148:P156">
    <cfRule type="cellIs" dxfId="23" priority="8" operator="greaterThan">
      <formula>0.2</formula>
    </cfRule>
    <cfRule type="cellIs" dxfId="22" priority="9" operator="lessThan">
      <formula>-0.1</formula>
    </cfRule>
  </conditionalFormatting>
  <conditionalFormatting sqref="Q148:Q156">
    <cfRule type="cellIs" dxfId="21" priority="7" stopIfTrue="1" operator="greaterThan">
      <formula>300</formula>
    </cfRule>
  </conditionalFormatting>
  <conditionalFormatting sqref="P157:P165">
    <cfRule type="cellIs" dxfId="20" priority="5" operator="greaterThan">
      <formula>0.2</formula>
    </cfRule>
    <cfRule type="cellIs" dxfId="19" priority="6" operator="lessThan">
      <formula>-0.1</formula>
    </cfRule>
  </conditionalFormatting>
  <conditionalFormatting sqref="Q157:Q165">
    <cfRule type="cellIs" dxfId="18" priority="4" stopIfTrue="1" operator="greaterThan">
      <formula>300</formula>
    </cfRule>
  </conditionalFormatting>
  <conditionalFormatting sqref="P166:P174">
    <cfRule type="cellIs" dxfId="17" priority="2" operator="greaterThan">
      <formula>0.2</formula>
    </cfRule>
    <cfRule type="cellIs" dxfId="16" priority="3" operator="lessThan">
      <formula>-0.1</formula>
    </cfRule>
  </conditionalFormatting>
  <conditionalFormatting sqref="Q166:Q174">
    <cfRule type="cellIs" dxfId="15" priority="1" stopIfTrue="1" operator="greaterThan">
      <formula>300</formula>
    </cfRule>
  </conditionalFormatting>
  <pageMargins left="0.7" right="0.7" top="0.75" bottom="0.75" header="0.3" footer="0.3"/>
  <pageSetup orientation="portrait" r:id="rId1"/>
  <ignoredErrors>
    <ignoredError sqref="J22 J31 I40:J40 I73:J7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9"/>
  <sheetViews>
    <sheetView topLeftCell="A25" workbookViewId="0">
      <selection activeCell="B34" sqref="B34"/>
    </sheetView>
  </sheetViews>
  <sheetFormatPr defaultRowHeight="15" x14ac:dyDescent="0.25"/>
  <cols>
    <col min="1" max="1" width="20.140625" customWidth="1"/>
    <col min="2" max="2" width="17.42578125" customWidth="1"/>
    <col min="3" max="3" width="19.7109375" style="21" customWidth="1"/>
    <col min="4" max="4" width="10.42578125" style="21" customWidth="1"/>
    <col min="5" max="5" width="12" bestFit="1" customWidth="1"/>
    <col min="6" max="6" width="17.42578125" bestFit="1" customWidth="1"/>
  </cols>
  <sheetData>
    <row r="3" spans="1:4" x14ac:dyDescent="0.25">
      <c r="A3" s="39" t="s">
        <v>66</v>
      </c>
      <c r="B3" s="39" t="s">
        <v>67</v>
      </c>
      <c r="C3" s="21" t="s">
        <v>70</v>
      </c>
    </row>
    <row r="4" spans="1:4" x14ac:dyDescent="0.25">
      <c r="A4">
        <v>2019</v>
      </c>
      <c r="B4">
        <v>4</v>
      </c>
      <c r="C4" s="21">
        <v>16712.45</v>
      </c>
      <c r="D4" s="42">
        <f>SUM(C4:C20)</f>
        <v>409959.55</v>
      </c>
    </row>
    <row r="5" spans="1:4" x14ac:dyDescent="0.25">
      <c r="A5">
        <v>2019</v>
      </c>
      <c r="B5">
        <v>5</v>
      </c>
      <c r="C5" s="21">
        <v>19025</v>
      </c>
    </row>
    <row r="6" spans="1:4" x14ac:dyDescent="0.25">
      <c r="A6">
        <v>2019</v>
      </c>
      <c r="B6">
        <v>6</v>
      </c>
      <c r="C6" s="21">
        <v>5725</v>
      </c>
    </row>
    <row r="7" spans="1:4" x14ac:dyDescent="0.25">
      <c r="A7">
        <v>2019</v>
      </c>
      <c r="B7">
        <v>7</v>
      </c>
      <c r="C7" s="21">
        <v>15700</v>
      </c>
    </row>
    <row r="8" spans="1:4" x14ac:dyDescent="0.25">
      <c r="A8">
        <v>2019</v>
      </c>
      <c r="B8">
        <v>8</v>
      </c>
      <c r="C8" s="21">
        <v>19932.5</v>
      </c>
    </row>
    <row r="9" spans="1:4" x14ac:dyDescent="0.25">
      <c r="A9">
        <v>2019</v>
      </c>
      <c r="B9">
        <v>9</v>
      </c>
      <c r="C9" s="21">
        <v>5181</v>
      </c>
    </row>
    <row r="10" spans="1:4" x14ac:dyDescent="0.25">
      <c r="A10">
        <v>2019</v>
      </c>
      <c r="B10">
        <v>10</v>
      </c>
      <c r="C10" s="21">
        <v>14112.5</v>
      </c>
    </row>
    <row r="11" spans="1:4" x14ac:dyDescent="0.25">
      <c r="A11">
        <v>2019</v>
      </c>
      <c r="B11">
        <v>11</v>
      </c>
      <c r="C11" s="21">
        <v>5780</v>
      </c>
    </row>
    <row r="12" spans="1:4" x14ac:dyDescent="0.25">
      <c r="A12">
        <v>2019</v>
      </c>
      <c r="B12">
        <v>12</v>
      </c>
      <c r="C12" s="21">
        <v>48806</v>
      </c>
    </row>
    <row r="13" spans="1:4" x14ac:dyDescent="0.25">
      <c r="A13">
        <v>2019</v>
      </c>
      <c r="B13">
        <v>2</v>
      </c>
      <c r="C13" s="21">
        <v>2890</v>
      </c>
    </row>
    <row r="14" spans="1:4" x14ac:dyDescent="0.25">
      <c r="A14">
        <v>2019</v>
      </c>
      <c r="B14">
        <v>3</v>
      </c>
      <c r="C14" s="21">
        <v>4000</v>
      </c>
    </row>
    <row r="15" spans="1:4" x14ac:dyDescent="0.25">
      <c r="A15">
        <v>2020</v>
      </c>
      <c r="B15">
        <v>1</v>
      </c>
      <c r="C15" s="21">
        <v>103593.3</v>
      </c>
    </row>
    <row r="16" spans="1:4" x14ac:dyDescent="0.25">
      <c r="A16">
        <v>2020</v>
      </c>
      <c r="B16">
        <v>2</v>
      </c>
      <c r="C16" s="21">
        <v>45108</v>
      </c>
    </row>
    <row r="17" spans="1:4" x14ac:dyDescent="0.25">
      <c r="A17">
        <v>2020</v>
      </c>
      <c r="B17">
        <v>3</v>
      </c>
      <c r="C17" s="21">
        <v>103393.8</v>
      </c>
    </row>
    <row r="21" spans="1:4" x14ac:dyDescent="0.25">
      <c r="A21" s="39" t="s">
        <v>74</v>
      </c>
      <c r="B21" s="21" t="s">
        <v>70</v>
      </c>
      <c r="C21" s="21" t="s">
        <v>76</v>
      </c>
      <c r="D21" s="21" t="s">
        <v>77</v>
      </c>
    </row>
    <row r="22" spans="1:4" x14ac:dyDescent="0.25">
      <c r="A22" s="71" t="s">
        <v>16</v>
      </c>
      <c r="B22" s="21">
        <v>32332.5</v>
      </c>
      <c r="C22" s="21">
        <v>31550</v>
      </c>
      <c r="D22" s="21">
        <v>-782.50000000000364</v>
      </c>
    </row>
    <row r="23" spans="1:4" x14ac:dyDescent="0.25">
      <c r="A23" s="71" t="s">
        <v>14</v>
      </c>
      <c r="B23" s="21">
        <v>46989</v>
      </c>
      <c r="C23" s="21">
        <v>27300</v>
      </c>
      <c r="D23" s="21">
        <v>-19689</v>
      </c>
    </row>
    <row r="24" spans="1:4" x14ac:dyDescent="0.25">
      <c r="A24" s="71" t="s">
        <v>13</v>
      </c>
      <c r="B24" s="21">
        <v>13133.7</v>
      </c>
      <c r="C24" s="21">
        <v>8760</v>
      </c>
      <c r="D24" s="21">
        <v>-4373.7000000000025</v>
      </c>
    </row>
    <row r="25" spans="1:4" x14ac:dyDescent="0.25">
      <c r="A25" s="71" t="s">
        <v>11</v>
      </c>
      <c r="B25" s="21">
        <v>45805</v>
      </c>
      <c r="C25" s="21">
        <v>36120</v>
      </c>
      <c r="D25" s="21">
        <v>-9685</v>
      </c>
    </row>
    <row r="26" spans="1:4" x14ac:dyDescent="0.25">
      <c r="A26" s="71" t="s">
        <v>15</v>
      </c>
      <c r="B26" s="21">
        <v>25529.25</v>
      </c>
      <c r="C26" s="21">
        <v>24320</v>
      </c>
      <c r="D26" s="21">
        <v>-1209.25</v>
      </c>
    </row>
    <row r="27" spans="1:4" x14ac:dyDescent="0.25">
      <c r="A27" s="71" t="s">
        <v>71</v>
      </c>
      <c r="B27" s="21">
        <v>59780</v>
      </c>
      <c r="C27" s="21">
        <v>126945</v>
      </c>
      <c r="D27" s="21">
        <v>67165</v>
      </c>
    </row>
    <row r="28" spans="1:4" x14ac:dyDescent="0.25">
      <c r="A28" s="71" t="s">
        <v>109</v>
      </c>
      <c r="B28" s="21">
        <v>25402.1</v>
      </c>
      <c r="C28" s="21">
        <v>21372</v>
      </c>
      <c r="D28" s="21">
        <v>-4030.0999999999985</v>
      </c>
    </row>
    <row r="29" spans="1:4" x14ac:dyDescent="0.25">
      <c r="A29" s="71" t="s">
        <v>110</v>
      </c>
      <c r="B29" s="21">
        <v>6645</v>
      </c>
      <c r="C29" s="21">
        <v>2550</v>
      </c>
      <c r="D29" s="21">
        <v>-4095</v>
      </c>
    </row>
    <row r="30" spans="1:4" x14ac:dyDescent="0.25">
      <c r="A30" s="71" t="s">
        <v>112</v>
      </c>
      <c r="B30" s="21">
        <v>6000</v>
      </c>
      <c r="C30" s="21">
        <v>3500</v>
      </c>
      <c r="D30" s="21">
        <v>-2500</v>
      </c>
    </row>
    <row r="31" spans="1:4" x14ac:dyDescent="0.25">
      <c r="A31" s="71" t="s">
        <v>95</v>
      </c>
      <c r="B31" s="21">
        <v>27076</v>
      </c>
      <c r="C31" s="21">
        <v>16435</v>
      </c>
      <c r="D31" s="21">
        <v>-10641</v>
      </c>
    </row>
    <row r="32" spans="1:4" x14ac:dyDescent="0.25">
      <c r="A32" s="71" t="s">
        <v>115</v>
      </c>
      <c r="B32" s="21">
        <v>66250</v>
      </c>
      <c r="C32" s="21">
        <v>36750</v>
      </c>
      <c r="D32" s="21">
        <v>-29500</v>
      </c>
    </row>
    <row r="33" spans="1:4" x14ac:dyDescent="0.25">
      <c r="A33" s="71" t="s">
        <v>117</v>
      </c>
      <c r="B33" s="21">
        <v>15680.000000000002</v>
      </c>
      <c r="C33" s="21">
        <v>14090</v>
      </c>
      <c r="D33" s="21">
        <v>-1590.0000000000018</v>
      </c>
    </row>
    <row r="34" spans="1:4" x14ac:dyDescent="0.25">
      <c r="A34" s="71" t="s">
        <v>120</v>
      </c>
      <c r="B34" s="21">
        <v>39335</v>
      </c>
      <c r="C34" s="21">
        <v>24240</v>
      </c>
      <c r="D34" s="21">
        <v>-15095</v>
      </c>
    </row>
    <row r="35" spans="1:4" x14ac:dyDescent="0.25">
      <c r="A35" s="71" t="s">
        <v>75</v>
      </c>
      <c r="B35" s="21">
        <v>409957.55000000005</v>
      </c>
      <c r="C35" s="21">
        <v>373932</v>
      </c>
      <c r="D35" s="21">
        <v>-36025.550000000003</v>
      </c>
    </row>
    <row r="36" spans="1:4" x14ac:dyDescent="0.25">
      <c r="C36"/>
      <c r="D36"/>
    </row>
    <row r="37" spans="1:4" x14ac:dyDescent="0.25">
      <c r="C37"/>
    </row>
    <row r="38" spans="1:4" x14ac:dyDescent="0.25">
      <c r="C38"/>
    </row>
    <row r="39" spans="1:4" x14ac:dyDescent="0.25">
      <c r="C39"/>
    </row>
    <row r="40" spans="1:4" x14ac:dyDescent="0.25">
      <c r="C40"/>
    </row>
    <row r="41" spans="1:4" x14ac:dyDescent="0.25">
      <c r="C41"/>
    </row>
    <row r="42" spans="1:4" x14ac:dyDescent="0.25">
      <c r="C42"/>
    </row>
    <row r="43" spans="1:4" x14ac:dyDescent="0.25">
      <c r="C43"/>
    </row>
    <row r="44" spans="1:4" x14ac:dyDescent="0.25">
      <c r="C44"/>
    </row>
    <row r="45" spans="1:4" x14ac:dyDescent="0.25">
      <c r="C45"/>
    </row>
    <row r="46" spans="1:4" x14ac:dyDescent="0.25">
      <c r="C46"/>
    </row>
    <row r="47" spans="1:4" x14ac:dyDescent="0.25">
      <c r="C47"/>
    </row>
    <row r="48" spans="1:4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>
      <selection activeCell="A10" sqref="A10"/>
    </sheetView>
  </sheetViews>
  <sheetFormatPr defaultRowHeight="15" x14ac:dyDescent="0.25"/>
  <cols>
    <col min="1" max="1" width="4.85546875" bestFit="1" customWidth="1"/>
    <col min="2" max="2" width="9.7109375" bestFit="1" customWidth="1"/>
    <col min="3" max="3" width="28.42578125" bestFit="1" customWidth="1"/>
    <col min="4" max="4" width="17.42578125" bestFit="1" customWidth="1"/>
    <col min="5" max="5" width="17.85546875" bestFit="1" customWidth="1"/>
    <col min="6" max="6" width="18" bestFit="1" customWidth="1"/>
    <col min="7" max="7" width="12.28515625" bestFit="1" customWidth="1"/>
    <col min="8" max="8" width="12.5703125" bestFit="1" customWidth="1"/>
    <col min="9" max="10" width="12.5703125" customWidth="1"/>
    <col min="11" max="11" width="13.5703125" bestFit="1" customWidth="1"/>
    <col min="12" max="12" width="11" bestFit="1" customWidth="1"/>
    <col min="13" max="13" width="11" customWidth="1"/>
    <col min="14" max="14" width="13.7109375" style="21" bestFit="1" customWidth="1"/>
    <col min="15" max="15" width="12.140625" bestFit="1" customWidth="1"/>
    <col min="16" max="16" width="6.42578125" bestFit="1" customWidth="1"/>
    <col min="17" max="17" width="34.140625" bestFit="1" customWidth="1"/>
    <col min="18" max="18" width="15.28515625" bestFit="1" customWidth="1"/>
    <col min="19" max="19" width="18.140625" style="21" bestFit="1" customWidth="1"/>
    <col min="20" max="20" width="18.85546875" bestFit="1" customWidth="1"/>
  </cols>
  <sheetData>
    <row r="1" spans="1:20" x14ac:dyDescent="0.25">
      <c r="A1" t="s">
        <v>21</v>
      </c>
      <c r="B1" t="s">
        <v>22</v>
      </c>
      <c r="C1" t="s">
        <v>4</v>
      </c>
      <c r="D1" t="s">
        <v>49</v>
      </c>
      <c r="E1" t="s">
        <v>50</v>
      </c>
      <c r="F1" t="s">
        <v>29</v>
      </c>
      <c r="G1" t="s">
        <v>54</v>
      </c>
      <c r="H1" t="s">
        <v>37</v>
      </c>
      <c r="I1" t="s">
        <v>61</v>
      </c>
      <c r="J1" t="s">
        <v>6</v>
      </c>
      <c r="K1" t="s">
        <v>28</v>
      </c>
      <c r="L1" t="s">
        <v>23</v>
      </c>
      <c r="M1" t="s">
        <v>25</v>
      </c>
      <c r="N1" s="21" t="s">
        <v>63</v>
      </c>
      <c r="O1" t="s">
        <v>64</v>
      </c>
      <c r="P1" t="s">
        <v>24</v>
      </c>
      <c r="Q1" t="s">
        <v>26</v>
      </c>
      <c r="R1" t="s">
        <v>59</v>
      </c>
      <c r="S1" s="21" t="s">
        <v>60</v>
      </c>
      <c r="T1" t="s">
        <v>46</v>
      </c>
    </row>
    <row r="2" spans="1:20" x14ac:dyDescent="0.25">
      <c r="A2" s="28">
        <v>1</v>
      </c>
      <c r="B2" s="29">
        <v>43640</v>
      </c>
      <c r="C2" s="28" t="s">
        <v>43</v>
      </c>
      <c r="D2" s="28">
        <v>69</v>
      </c>
      <c r="E2" s="28">
        <v>78</v>
      </c>
      <c r="F2" s="28">
        <v>73</v>
      </c>
      <c r="G2" s="29">
        <v>43644</v>
      </c>
      <c r="H2" s="28" t="s">
        <v>45</v>
      </c>
      <c r="I2" s="29"/>
      <c r="J2" s="28"/>
      <c r="K2" s="29">
        <v>43650</v>
      </c>
      <c r="L2" s="28">
        <v>76</v>
      </c>
      <c r="M2" s="29">
        <v>43662</v>
      </c>
      <c r="N2" s="30"/>
      <c r="O2" s="29"/>
      <c r="P2" s="28"/>
      <c r="Q2" s="28" t="s">
        <v>44</v>
      </c>
      <c r="R2" s="28">
        <f t="shared" ref="R2:R10" si="0">M2-B2</f>
        <v>22</v>
      </c>
      <c r="S2" s="30">
        <f t="shared" ref="S2:S10" si="1">IF(K2="","NA", K2-B2)</f>
        <v>10</v>
      </c>
      <c r="T2" s="27" t="s">
        <v>62</v>
      </c>
    </row>
    <row r="3" spans="1:20" s="28" customFormat="1" x14ac:dyDescent="0.25">
      <c r="A3" s="28">
        <v>2</v>
      </c>
      <c r="B3" s="29">
        <v>43664</v>
      </c>
      <c r="C3" s="28" t="s">
        <v>20</v>
      </c>
      <c r="D3" s="28">
        <v>211</v>
      </c>
      <c r="E3" s="28">
        <v>236</v>
      </c>
      <c r="F3" s="28">
        <v>222</v>
      </c>
      <c r="G3" s="29">
        <v>43668</v>
      </c>
      <c r="H3" s="28" t="s">
        <v>38</v>
      </c>
      <c r="I3" s="29">
        <v>43677</v>
      </c>
      <c r="J3" s="33">
        <v>211</v>
      </c>
      <c r="L3" s="28">
        <v>230</v>
      </c>
      <c r="M3" s="29">
        <v>43683</v>
      </c>
      <c r="N3" s="30">
        <v>220</v>
      </c>
      <c r="O3" s="29">
        <v>43677</v>
      </c>
      <c r="P3" s="28" t="s">
        <v>65</v>
      </c>
      <c r="Q3" s="28" t="s">
        <v>27</v>
      </c>
      <c r="R3" s="28">
        <f t="shared" si="0"/>
        <v>19</v>
      </c>
      <c r="S3" s="30" t="str">
        <f t="shared" si="1"/>
        <v>NA</v>
      </c>
    </row>
    <row r="4" spans="1:20" s="28" customFormat="1" x14ac:dyDescent="0.25">
      <c r="A4" s="28">
        <v>3</v>
      </c>
      <c r="B4" s="29">
        <v>43665</v>
      </c>
      <c r="C4" s="28" t="s">
        <v>55</v>
      </c>
      <c r="D4" s="28">
        <v>83</v>
      </c>
      <c r="E4" s="28">
        <v>97</v>
      </c>
      <c r="F4" s="28">
        <v>80</v>
      </c>
      <c r="G4" s="29">
        <v>43677</v>
      </c>
      <c r="H4" s="28" t="s">
        <v>57</v>
      </c>
      <c r="I4" s="29">
        <v>43677</v>
      </c>
      <c r="J4" s="37">
        <v>75</v>
      </c>
      <c r="L4" s="28">
        <v>80</v>
      </c>
      <c r="M4" s="29">
        <v>43686</v>
      </c>
      <c r="N4" s="30"/>
      <c r="O4" s="29"/>
      <c r="P4" s="28" t="s">
        <v>65</v>
      </c>
      <c r="Q4" s="28" t="s">
        <v>56</v>
      </c>
      <c r="R4" s="28">
        <f>M4-B4</f>
        <v>21</v>
      </c>
      <c r="S4" s="30" t="str">
        <f>IF(K4="","NA", K4-B4)</f>
        <v>NA</v>
      </c>
    </row>
    <row r="5" spans="1:20" s="28" customFormat="1" x14ac:dyDescent="0.25">
      <c r="A5" s="28">
        <v>4</v>
      </c>
      <c r="B5" s="29">
        <v>43664</v>
      </c>
      <c r="C5" s="28" t="s">
        <v>34</v>
      </c>
      <c r="E5" s="28">
        <v>97</v>
      </c>
      <c r="F5" s="28">
        <v>95</v>
      </c>
      <c r="G5" s="29">
        <v>43677</v>
      </c>
      <c r="H5" s="28" t="s">
        <v>39</v>
      </c>
      <c r="I5" s="29">
        <v>43677</v>
      </c>
      <c r="J5" s="28">
        <v>91</v>
      </c>
      <c r="L5" s="28">
        <v>100</v>
      </c>
      <c r="M5" s="29">
        <v>43683</v>
      </c>
      <c r="N5" s="30"/>
      <c r="O5" s="29"/>
      <c r="P5" s="28" t="s">
        <v>65</v>
      </c>
      <c r="Q5" s="28" t="s">
        <v>27</v>
      </c>
      <c r="R5" s="28">
        <f t="shared" si="0"/>
        <v>19</v>
      </c>
      <c r="S5" s="30" t="str">
        <f t="shared" si="1"/>
        <v>NA</v>
      </c>
    </row>
    <row r="6" spans="1:20" s="28" customFormat="1" x14ac:dyDescent="0.25">
      <c r="A6" s="28">
        <v>5</v>
      </c>
      <c r="B6" s="29">
        <v>43664</v>
      </c>
      <c r="C6" s="28" t="s">
        <v>30</v>
      </c>
      <c r="E6" s="28">
        <v>80</v>
      </c>
      <c r="F6" s="28">
        <v>74</v>
      </c>
      <c r="G6" s="29">
        <v>43668</v>
      </c>
      <c r="H6" s="28" t="s">
        <v>40</v>
      </c>
      <c r="I6" s="29">
        <v>43677</v>
      </c>
      <c r="J6" s="33">
        <v>62.95</v>
      </c>
      <c r="L6" s="28">
        <v>72</v>
      </c>
      <c r="M6" s="29">
        <v>43686</v>
      </c>
      <c r="N6" s="30">
        <v>70</v>
      </c>
      <c r="O6" s="29">
        <v>43677</v>
      </c>
      <c r="P6" s="28" t="s">
        <v>65</v>
      </c>
      <c r="Q6" s="28" t="s">
        <v>31</v>
      </c>
      <c r="R6" s="28">
        <f t="shared" si="0"/>
        <v>22</v>
      </c>
      <c r="S6" s="30" t="str">
        <f t="shared" si="1"/>
        <v>NA</v>
      </c>
    </row>
    <row r="7" spans="1:20" s="28" customFormat="1" x14ac:dyDescent="0.25">
      <c r="A7" s="28">
        <v>6</v>
      </c>
      <c r="B7" s="29">
        <v>43664</v>
      </c>
      <c r="C7" s="28" t="s">
        <v>32</v>
      </c>
      <c r="E7" s="28">
        <v>126</v>
      </c>
      <c r="F7" s="28">
        <v>92</v>
      </c>
      <c r="G7" s="29">
        <v>43668</v>
      </c>
      <c r="H7" s="28" t="s">
        <v>41</v>
      </c>
      <c r="I7" s="29">
        <v>43677</v>
      </c>
      <c r="J7" s="33">
        <v>81.75</v>
      </c>
      <c r="L7" s="28">
        <v>100</v>
      </c>
      <c r="M7" s="29">
        <v>43689</v>
      </c>
      <c r="N7" s="30">
        <v>90</v>
      </c>
      <c r="O7" s="29">
        <v>43677</v>
      </c>
      <c r="P7" s="28" t="s">
        <v>65</v>
      </c>
      <c r="Q7" s="28" t="s">
        <v>33</v>
      </c>
      <c r="R7" s="28">
        <f t="shared" si="0"/>
        <v>25</v>
      </c>
      <c r="S7" s="30" t="str">
        <f t="shared" si="1"/>
        <v>NA</v>
      </c>
    </row>
    <row r="8" spans="1:20" s="28" customFormat="1" x14ac:dyDescent="0.25">
      <c r="A8" s="28">
        <v>7</v>
      </c>
      <c r="B8" s="29">
        <v>43664</v>
      </c>
      <c r="C8" s="28" t="s">
        <v>35</v>
      </c>
      <c r="E8" s="28">
        <v>475</v>
      </c>
      <c r="F8" s="28">
        <v>445</v>
      </c>
      <c r="G8" s="29">
        <v>43677</v>
      </c>
      <c r="H8" s="28" t="s">
        <v>42</v>
      </c>
      <c r="I8" s="29">
        <v>43677</v>
      </c>
      <c r="J8" s="37">
        <v>420</v>
      </c>
      <c r="L8" s="28">
        <v>450</v>
      </c>
      <c r="M8" s="29">
        <v>43689</v>
      </c>
      <c r="N8" s="30"/>
      <c r="O8" s="29"/>
      <c r="P8" s="28" t="s">
        <v>65</v>
      </c>
      <c r="Q8" s="28" t="s">
        <v>36</v>
      </c>
      <c r="R8" s="28">
        <f t="shared" si="0"/>
        <v>25</v>
      </c>
      <c r="S8" s="30" t="str">
        <f t="shared" si="1"/>
        <v>NA</v>
      </c>
    </row>
    <row r="9" spans="1:20" s="28" customFormat="1" x14ac:dyDescent="0.25">
      <c r="A9" s="28">
        <v>8</v>
      </c>
      <c r="B9" s="29">
        <v>43664</v>
      </c>
      <c r="C9" s="28" t="s">
        <v>52</v>
      </c>
      <c r="D9" s="28">
        <v>136</v>
      </c>
      <c r="E9" s="28">
        <v>159</v>
      </c>
      <c r="F9" s="28">
        <v>150</v>
      </c>
      <c r="G9" s="29">
        <v>43670</v>
      </c>
      <c r="H9" s="28" t="s">
        <v>58</v>
      </c>
      <c r="I9" s="29">
        <v>43677</v>
      </c>
      <c r="J9" s="33">
        <v>131</v>
      </c>
      <c r="L9" s="28">
        <v>150</v>
      </c>
      <c r="M9" s="29">
        <v>43693</v>
      </c>
      <c r="N9" s="30"/>
      <c r="O9" s="29"/>
      <c r="P9" s="28" t="s">
        <v>65</v>
      </c>
      <c r="Q9" s="28" t="s">
        <v>53</v>
      </c>
      <c r="R9" s="28">
        <f t="shared" si="0"/>
        <v>29</v>
      </c>
      <c r="S9" s="30" t="str">
        <f t="shared" si="1"/>
        <v>NA</v>
      </c>
    </row>
    <row r="10" spans="1:20" x14ac:dyDescent="0.25">
      <c r="A10" s="13">
        <v>9</v>
      </c>
      <c r="B10" s="26">
        <v>43664</v>
      </c>
      <c r="C10" t="s">
        <v>48</v>
      </c>
      <c r="D10">
        <v>175</v>
      </c>
      <c r="E10">
        <v>183</v>
      </c>
      <c r="F10">
        <v>177</v>
      </c>
      <c r="G10" s="26">
        <v>43671</v>
      </c>
      <c r="H10" t="s">
        <v>51</v>
      </c>
      <c r="I10" s="26">
        <v>43677</v>
      </c>
      <c r="J10" s="32">
        <v>170.5</v>
      </c>
      <c r="L10">
        <v>180</v>
      </c>
      <c r="M10" s="26">
        <v>43724</v>
      </c>
      <c r="O10" s="26"/>
      <c r="Q10" t="s">
        <v>47</v>
      </c>
      <c r="R10">
        <f t="shared" si="0"/>
        <v>60</v>
      </c>
      <c r="S10" s="21" t="str">
        <f t="shared" si="1"/>
        <v>NA</v>
      </c>
    </row>
    <row r="11" spans="1:20" x14ac:dyDescent="0.25">
      <c r="A11" s="13"/>
    </row>
    <row r="25" spans="3:3" x14ac:dyDescent="0.25">
      <c r="C25" s="47"/>
    </row>
    <row r="26" spans="3:3" x14ac:dyDescent="0.25">
      <c r="C26" s="47"/>
    </row>
    <row r="27" spans="3:3" x14ac:dyDescent="0.25">
      <c r="C27" s="47"/>
    </row>
    <row r="28" spans="3:3" x14ac:dyDescent="0.25">
      <c r="C28" s="47"/>
    </row>
    <row r="29" spans="3:3" x14ac:dyDescent="0.25">
      <c r="C29" s="47"/>
    </row>
    <row r="30" spans="3:3" x14ac:dyDescent="0.25">
      <c r="C30" s="47"/>
    </row>
    <row r="31" spans="3:3" x14ac:dyDescent="0.25">
      <c r="C31" s="47"/>
    </row>
    <row r="32" spans="3:3" x14ac:dyDescent="0.25">
      <c r="C32" s="47"/>
    </row>
    <row r="33" spans="3:3" x14ac:dyDescent="0.25">
      <c r="C33" s="47"/>
    </row>
    <row r="34" spans="3:3" x14ac:dyDescent="0.25">
      <c r="C34" s="47"/>
    </row>
    <row r="35" spans="3:3" x14ac:dyDescent="0.25">
      <c r="C35" s="4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11" sqref="A11"/>
    </sheetView>
  </sheetViews>
  <sheetFormatPr defaultRowHeight="15" x14ac:dyDescent="0.25"/>
  <cols>
    <col min="1" max="1" width="9.42578125" bestFit="1" customWidth="1"/>
    <col min="2" max="2" width="25" bestFit="1" customWidth="1"/>
    <col min="3" max="3" width="7.42578125" bestFit="1" customWidth="1"/>
    <col min="8" max="8" width="91.140625" bestFit="1" customWidth="1"/>
  </cols>
  <sheetData>
    <row r="1" spans="1:8" x14ac:dyDescent="0.25">
      <c r="A1" t="s">
        <v>12</v>
      </c>
      <c r="B1" t="s">
        <v>4</v>
      </c>
      <c r="C1" t="s">
        <v>80</v>
      </c>
      <c r="D1" t="s">
        <v>79</v>
      </c>
      <c r="E1" t="s">
        <v>93</v>
      </c>
      <c r="F1" t="s">
        <v>83</v>
      </c>
      <c r="G1" t="s">
        <v>98</v>
      </c>
      <c r="H1" t="s">
        <v>26</v>
      </c>
    </row>
    <row r="2" spans="1:8" x14ac:dyDescent="0.25">
      <c r="A2" s="26">
        <v>43747</v>
      </c>
      <c r="B2" t="s">
        <v>78</v>
      </c>
      <c r="C2">
        <v>91</v>
      </c>
      <c r="D2">
        <v>93</v>
      </c>
      <c r="E2">
        <v>95</v>
      </c>
      <c r="F2" t="s">
        <v>81</v>
      </c>
      <c r="G2" t="s">
        <v>99</v>
      </c>
      <c r="H2" t="s">
        <v>82</v>
      </c>
    </row>
    <row r="3" spans="1:8" x14ac:dyDescent="0.25">
      <c r="A3" s="26">
        <v>43747</v>
      </c>
      <c r="B3" t="s">
        <v>84</v>
      </c>
      <c r="C3">
        <v>251.5</v>
      </c>
      <c r="D3">
        <v>243</v>
      </c>
      <c r="F3" t="s">
        <v>85</v>
      </c>
      <c r="G3" t="s">
        <v>100</v>
      </c>
      <c r="H3" t="s">
        <v>94</v>
      </c>
    </row>
    <row r="4" spans="1:8" x14ac:dyDescent="0.25">
      <c r="A4" s="26">
        <v>43747</v>
      </c>
      <c r="B4" t="s">
        <v>86</v>
      </c>
      <c r="C4">
        <v>459</v>
      </c>
      <c r="D4">
        <v>475</v>
      </c>
      <c r="F4" t="s">
        <v>81</v>
      </c>
      <c r="H4" t="s">
        <v>87</v>
      </c>
    </row>
    <row r="5" spans="1:8" x14ac:dyDescent="0.25">
      <c r="A5" s="26">
        <v>43747</v>
      </c>
      <c r="B5" t="s">
        <v>88</v>
      </c>
      <c r="C5">
        <v>490</v>
      </c>
      <c r="G5" t="s">
        <v>101</v>
      </c>
      <c r="H5" t="s">
        <v>89</v>
      </c>
    </row>
    <row r="6" spans="1:8" x14ac:dyDescent="0.25">
      <c r="A6" s="26">
        <v>43747</v>
      </c>
      <c r="B6" t="s">
        <v>90</v>
      </c>
      <c r="C6">
        <v>385</v>
      </c>
      <c r="D6">
        <v>375</v>
      </c>
      <c r="F6" t="s">
        <v>92</v>
      </c>
      <c r="G6" t="s">
        <v>100</v>
      </c>
      <c r="H6" t="s">
        <v>91</v>
      </c>
    </row>
    <row r="7" spans="1:8" x14ac:dyDescent="0.25">
      <c r="A7" s="26">
        <v>43747</v>
      </c>
      <c r="B7" t="s">
        <v>95</v>
      </c>
      <c r="C7">
        <v>211</v>
      </c>
      <c r="D7">
        <v>240</v>
      </c>
      <c r="F7" t="s">
        <v>97</v>
      </c>
      <c r="G7" t="s">
        <v>102</v>
      </c>
      <c r="H7" t="s">
        <v>96</v>
      </c>
    </row>
    <row r="8" spans="1:8" x14ac:dyDescent="0.25">
      <c r="A8" s="26">
        <v>43748</v>
      </c>
      <c r="B8" t="s">
        <v>103</v>
      </c>
      <c r="C8">
        <v>240</v>
      </c>
      <c r="D8">
        <v>210</v>
      </c>
      <c r="E8">
        <v>195</v>
      </c>
      <c r="F8" t="s">
        <v>85</v>
      </c>
      <c r="G8" t="s">
        <v>99</v>
      </c>
      <c r="H8" t="s">
        <v>104</v>
      </c>
    </row>
    <row r="9" spans="1:8" ht="45" x14ac:dyDescent="0.25">
      <c r="A9" s="26">
        <v>43749</v>
      </c>
      <c r="B9" t="s">
        <v>103</v>
      </c>
      <c r="C9">
        <v>185</v>
      </c>
      <c r="D9">
        <v>205</v>
      </c>
      <c r="E9">
        <v>205</v>
      </c>
      <c r="F9" t="s">
        <v>81</v>
      </c>
      <c r="G9" t="s">
        <v>99</v>
      </c>
      <c r="H9" s="50" t="s">
        <v>105</v>
      </c>
    </row>
    <row r="10" spans="1:8" x14ac:dyDescent="0.25">
      <c r="A10" s="26">
        <v>43749</v>
      </c>
      <c r="B10" t="s">
        <v>86</v>
      </c>
      <c r="C10">
        <v>441</v>
      </c>
      <c r="D10">
        <v>410</v>
      </c>
      <c r="F10" t="s">
        <v>92</v>
      </c>
      <c r="G10" t="s">
        <v>100</v>
      </c>
      <c r="H10" t="s">
        <v>106</v>
      </c>
    </row>
    <row r="11" spans="1:8" x14ac:dyDescent="0.25">
      <c r="A11" s="26">
        <v>43755</v>
      </c>
      <c r="B11" t="s">
        <v>108</v>
      </c>
      <c r="H11" t="s">
        <v>107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tabSelected="1" topLeftCell="A38" workbookViewId="0">
      <selection activeCell="J38" sqref="J38:J46"/>
    </sheetView>
  </sheetViews>
  <sheetFormatPr defaultRowHeight="15" x14ac:dyDescent="0.25"/>
  <cols>
    <col min="1" max="1" width="11.5703125" customWidth="1"/>
    <col min="2" max="2" width="12.42578125" hidden="1" customWidth="1"/>
    <col min="3" max="4" width="0" hidden="1" customWidth="1"/>
    <col min="5" max="5" width="10.7109375" bestFit="1" customWidth="1"/>
    <col min="8" max="8" width="10.5703125" bestFit="1" customWidth="1"/>
    <col min="12" max="12" width="12.140625" bestFit="1" customWidth="1"/>
    <col min="13" max="13" width="11" bestFit="1" customWidth="1"/>
    <col min="17" max="17" width="11.5703125" bestFit="1" customWidth="1"/>
    <col min="19" max="19" width="11.5703125" bestFit="1" customWidth="1"/>
  </cols>
  <sheetData>
    <row r="1" spans="1:19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</v>
      </c>
      <c r="F1" s="1" t="s">
        <v>0</v>
      </c>
      <c r="G1" s="2" t="s">
        <v>1</v>
      </c>
      <c r="H1" s="2" t="s">
        <v>69</v>
      </c>
      <c r="I1" s="1" t="s">
        <v>2</v>
      </c>
      <c r="J1" s="2" t="s">
        <v>3</v>
      </c>
      <c r="K1" s="38" t="s">
        <v>5</v>
      </c>
      <c r="L1" s="10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17" t="s">
        <v>119</v>
      </c>
    </row>
    <row r="2" spans="1:19" x14ac:dyDescent="0.25">
      <c r="A2" s="77" t="s">
        <v>111</v>
      </c>
      <c r="B2" s="73" t="str">
        <f>A2</f>
        <v>Vodafone</v>
      </c>
      <c r="C2" s="74">
        <f t="shared" ref="C2:C46" si="0">YEAR(E2)</f>
        <v>2019</v>
      </c>
      <c r="D2" s="74">
        <f t="shared" ref="D2:D46" si="1">MONTH(E2)</f>
        <v>11</v>
      </c>
      <c r="E2" s="8">
        <v>43784</v>
      </c>
      <c r="F2" s="3">
        <v>1000</v>
      </c>
      <c r="G2" s="25">
        <v>3.75</v>
      </c>
      <c r="H2" s="25">
        <f t="shared" ref="H2:H46" si="2">F2*G2</f>
        <v>3750</v>
      </c>
      <c r="I2" s="78">
        <f>SUM(F2:F10)</f>
        <v>1000</v>
      </c>
      <c r="J2" s="79">
        <f>SUM(H2:H10)/SUM(F2:F10)</f>
        <v>3.75</v>
      </c>
      <c r="K2" s="80">
        <f>I2*J2</f>
        <v>3750</v>
      </c>
      <c r="L2" s="81">
        <v>7.5</v>
      </c>
      <c r="M2" s="82">
        <v>43789</v>
      </c>
      <c r="N2" s="78">
        <f>I2*L2</f>
        <v>7500</v>
      </c>
      <c r="O2" s="78">
        <f>N2-K2</f>
        <v>3750</v>
      </c>
      <c r="P2" s="83">
        <f>(O2/K2)</f>
        <v>1</v>
      </c>
      <c r="Q2" s="76">
        <f>M2-E2</f>
        <v>5</v>
      </c>
      <c r="S2" s="72">
        <f>SUM(O:O)</f>
        <v>38470.000000000029</v>
      </c>
    </row>
    <row r="3" spans="1:19" x14ac:dyDescent="0.25">
      <c r="A3" s="77"/>
      <c r="B3" s="73" t="str">
        <f>A2</f>
        <v>Vodafone</v>
      </c>
      <c r="C3" s="74">
        <f t="shared" si="0"/>
        <v>1900</v>
      </c>
      <c r="D3" s="74">
        <f t="shared" si="1"/>
        <v>1</v>
      </c>
      <c r="E3" s="8"/>
      <c r="F3" s="3"/>
      <c r="G3" s="25"/>
      <c r="H3" s="25">
        <f t="shared" si="2"/>
        <v>0</v>
      </c>
      <c r="I3" s="78"/>
      <c r="J3" s="79"/>
      <c r="K3" s="80"/>
      <c r="L3" s="81"/>
      <c r="M3" s="78"/>
      <c r="N3" s="78"/>
      <c r="O3" s="78"/>
      <c r="P3" s="83"/>
      <c r="Q3" s="76"/>
    </row>
    <row r="4" spans="1:19" x14ac:dyDescent="0.25">
      <c r="A4" s="77"/>
      <c r="B4" s="73" t="str">
        <f>A2</f>
        <v>Vodafone</v>
      </c>
      <c r="C4" s="74">
        <f t="shared" si="0"/>
        <v>1900</v>
      </c>
      <c r="D4" s="74">
        <f t="shared" si="1"/>
        <v>1</v>
      </c>
      <c r="E4" s="73"/>
      <c r="F4" s="3"/>
      <c r="G4" s="25"/>
      <c r="H4" s="25">
        <f t="shared" si="2"/>
        <v>0</v>
      </c>
      <c r="I4" s="78"/>
      <c r="J4" s="79"/>
      <c r="K4" s="80"/>
      <c r="L4" s="81"/>
      <c r="M4" s="78"/>
      <c r="N4" s="78"/>
      <c r="O4" s="78"/>
      <c r="P4" s="83"/>
      <c r="Q4" s="76"/>
    </row>
    <row r="5" spans="1:19" x14ac:dyDescent="0.25">
      <c r="A5" s="77"/>
      <c r="B5" s="73" t="str">
        <f>A2</f>
        <v>Vodafone</v>
      </c>
      <c r="C5" s="74">
        <f t="shared" si="0"/>
        <v>1900</v>
      </c>
      <c r="D5" s="74">
        <f t="shared" si="1"/>
        <v>1</v>
      </c>
      <c r="E5" s="73"/>
      <c r="F5" s="3"/>
      <c r="G5" s="25"/>
      <c r="H5" s="25">
        <f t="shared" si="2"/>
        <v>0</v>
      </c>
      <c r="I5" s="78"/>
      <c r="J5" s="79"/>
      <c r="K5" s="80"/>
      <c r="L5" s="81"/>
      <c r="M5" s="78"/>
      <c r="N5" s="78"/>
      <c r="O5" s="78"/>
      <c r="P5" s="83"/>
      <c r="Q5" s="76"/>
    </row>
    <row r="6" spans="1:19" x14ac:dyDescent="0.25">
      <c r="A6" s="77"/>
      <c r="B6" s="73" t="str">
        <f>A2</f>
        <v>Vodafone</v>
      </c>
      <c r="C6" s="74">
        <f t="shared" si="0"/>
        <v>1900</v>
      </c>
      <c r="D6" s="74">
        <f t="shared" si="1"/>
        <v>1</v>
      </c>
      <c r="E6" s="73"/>
      <c r="F6" s="3"/>
      <c r="G6" s="25"/>
      <c r="H6" s="25">
        <f t="shared" si="2"/>
        <v>0</v>
      </c>
      <c r="I6" s="78"/>
      <c r="J6" s="79"/>
      <c r="K6" s="80"/>
      <c r="L6" s="81"/>
      <c r="M6" s="78"/>
      <c r="N6" s="78"/>
      <c r="O6" s="78"/>
      <c r="P6" s="83"/>
      <c r="Q6" s="76"/>
    </row>
    <row r="7" spans="1:19" x14ac:dyDescent="0.25">
      <c r="A7" s="77"/>
      <c r="B7" s="73" t="str">
        <f>A2</f>
        <v>Vodafone</v>
      </c>
      <c r="C7" s="74">
        <f t="shared" si="0"/>
        <v>1900</v>
      </c>
      <c r="D7" s="74">
        <f t="shared" si="1"/>
        <v>1</v>
      </c>
      <c r="E7" s="73"/>
      <c r="F7" s="3"/>
      <c r="G7" s="25"/>
      <c r="H7" s="25">
        <f t="shared" si="2"/>
        <v>0</v>
      </c>
      <c r="I7" s="78"/>
      <c r="J7" s="79"/>
      <c r="K7" s="80"/>
      <c r="L7" s="81"/>
      <c r="M7" s="78"/>
      <c r="N7" s="78"/>
      <c r="O7" s="78"/>
      <c r="P7" s="83"/>
      <c r="Q7" s="76"/>
    </row>
    <row r="8" spans="1:19" x14ac:dyDescent="0.25">
      <c r="A8" s="77"/>
      <c r="B8" s="73" t="str">
        <f>A2</f>
        <v>Vodafone</v>
      </c>
      <c r="C8" s="74">
        <f t="shared" si="0"/>
        <v>1900</v>
      </c>
      <c r="D8" s="74">
        <f t="shared" si="1"/>
        <v>1</v>
      </c>
      <c r="E8" s="73"/>
      <c r="F8" s="3"/>
      <c r="G8" s="25"/>
      <c r="H8" s="25">
        <f t="shared" si="2"/>
        <v>0</v>
      </c>
      <c r="I8" s="78"/>
      <c r="J8" s="79"/>
      <c r="K8" s="80"/>
      <c r="L8" s="81"/>
      <c r="M8" s="78"/>
      <c r="N8" s="78"/>
      <c r="O8" s="78"/>
      <c r="P8" s="83"/>
      <c r="Q8" s="76"/>
    </row>
    <row r="9" spans="1:19" x14ac:dyDescent="0.25">
      <c r="A9" s="77"/>
      <c r="B9" s="73" t="str">
        <f>A2</f>
        <v>Vodafone</v>
      </c>
      <c r="C9" s="74">
        <f t="shared" si="0"/>
        <v>1900</v>
      </c>
      <c r="D9" s="74">
        <f t="shared" si="1"/>
        <v>1</v>
      </c>
      <c r="E9" s="73"/>
      <c r="F9" s="3"/>
      <c r="G9" s="25"/>
      <c r="H9" s="25">
        <f t="shared" si="2"/>
        <v>0</v>
      </c>
      <c r="I9" s="78"/>
      <c r="J9" s="79"/>
      <c r="K9" s="80"/>
      <c r="L9" s="81"/>
      <c r="M9" s="78"/>
      <c r="N9" s="78"/>
      <c r="O9" s="78"/>
      <c r="P9" s="83"/>
      <c r="Q9" s="76"/>
    </row>
    <row r="10" spans="1:19" x14ac:dyDescent="0.25">
      <c r="A10" s="77"/>
      <c r="B10" s="73" t="str">
        <f>A2</f>
        <v>Vodafone</v>
      </c>
      <c r="C10" s="74">
        <f t="shared" si="0"/>
        <v>1900</v>
      </c>
      <c r="D10" s="74">
        <f t="shared" si="1"/>
        <v>1</v>
      </c>
      <c r="E10" s="73"/>
      <c r="F10" s="3"/>
      <c r="G10" s="25"/>
      <c r="H10" s="25">
        <f t="shared" si="2"/>
        <v>0</v>
      </c>
      <c r="I10" s="78"/>
      <c r="J10" s="79"/>
      <c r="K10" s="80"/>
      <c r="L10" s="81"/>
      <c r="M10" s="78"/>
      <c r="N10" s="78"/>
      <c r="O10" s="78"/>
      <c r="P10" s="83"/>
      <c r="Q10" s="76"/>
    </row>
    <row r="11" spans="1:19" x14ac:dyDescent="0.25">
      <c r="A11" s="77" t="s">
        <v>71</v>
      </c>
      <c r="B11" s="73" t="str">
        <f>A11</f>
        <v>YesBank</v>
      </c>
      <c r="C11" s="74">
        <f t="shared" si="0"/>
        <v>2019</v>
      </c>
      <c r="D11" s="74">
        <f t="shared" si="1"/>
        <v>9</v>
      </c>
      <c r="E11" s="8">
        <v>43727</v>
      </c>
      <c r="F11" s="3">
        <v>10</v>
      </c>
      <c r="G11" s="25">
        <v>54</v>
      </c>
      <c r="H11" s="25">
        <f t="shared" si="2"/>
        <v>540</v>
      </c>
      <c r="I11" s="78">
        <f>SUM(F11:F19)</f>
        <v>5200</v>
      </c>
      <c r="J11" s="79">
        <f>SUM(H11:H19)/SUM(F11:F19)</f>
        <v>48.048557692307689</v>
      </c>
      <c r="K11" s="80">
        <f>I11*J11</f>
        <v>249852.49999999997</v>
      </c>
      <c r="L11" s="81">
        <v>50.25</v>
      </c>
      <c r="M11" s="82">
        <v>43822</v>
      </c>
      <c r="N11" s="78">
        <f>I11*L11</f>
        <v>261300</v>
      </c>
      <c r="O11" s="78">
        <f>N11-K11</f>
        <v>11447.500000000029</v>
      </c>
      <c r="P11" s="83">
        <f>(O11/K11)</f>
        <v>4.5817032048908975E-2</v>
      </c>
      <c r="Q11" s="76">
        <f>M11-E11</f>
        <v>95</v>
      </c>
    </row>
    <row r="12" spans="1:19" x14ac:dyDescent="0.25">
      <c r="A12" s="77"/>
      <c r="B12" s="73" t="str">
        <f>A11</f>
        <v>YesBank</v>
      </c>
      <c r="C12" s="74">
        <f t="shared" si="0"/>
        <v>2019</v>
      </c>
      <c r="D12" s="74">
        <f t="shared" si="1"/>
        <v>9</v>
      </c>
      <c r="E12" s="8">
        <v>43735</v>
      </c>
      <c r="F12" s="3">
        <v>10</v>
      </c>
      <c r="G12" s="25">
        <v>49</v>
      </c>
      <c r="H12" s="25">
        <f t="shared" si="2"/>
        <v>490</v>
      </c>
      <c r="I12" s="78"/>
      <c r="J12" s="79"/>
      <c r="K12" s="80"/>
      <c r="L12" s="81"/>
      <c r="M12" s="78"/>
      <c r="N12" s="78"/>
      <c r="O12" s="78"/>
      <c r="P12" s="83"/>
      <c r="Q12" s="76"/>
    </row>
    <row r="13" spans="1:19" x14ac:dyDescent="0.25">
      <c r="A13" s="77"/>
      <c r="B13" s="73" t="str">
        <f>A11</f>
        <v>YesBank</v>
      </c>
      <c r="C13" s="74">
        <f t="shared" si="0"/>
        <v>2019</v>
      </c>
      <c r="D13" s="74">
        <f t="shared" si="1"/>
        <v>9</v>
      </c>
      <c r="E13" s="8">
        <v>43738</v>
      </c>
      <c r="F13" s="3">
        <v>30</v>
      </c>
      <c r="G13" s="25">
        <v>44.5</v>
      </c>
      <c r="H13" s="25">
        <f t="shared" si="2"/>
        <v>1335</v>
      </c>
      <c r="I13" s="78"/>
      <c r="J13" s="79"/>
      <c r="K13" s="80"/>
      <c r="L13" s="81"/>
      <c r="M13" s="78"/>
      <c r="N13" s="78"/>
      <c r="O13" s="78"/>
      <c r="P13" s="83"/>
      <c r="Q13" s="76"/>
    </row>
    <row r="14" spans="1:19" x14ac:dyDescent="0.25">
      <c r="A14" s="77"/>
      <c r="B14" s="73" t="str">
        <f>A11</f>
        <v>YesBank</v>
      </c>
      <c r="C14" s="74">
        <f t="shared" si="0"/>
        <v>2019</v>
      </c>
      <c r="D14" s="74">
        <f t="shared" si="1"/>
        <v>10</v>
      </c>
      <c r="E14" s="8">
        <v>43739</v>
      </c>
      <c r="F14" s="3">
        <v>25</v>
      </c>
      <c r="G14" s="25">
        <v>39</v>
      </c>
      <c r="H14" s="25">
        <f t="shared" si="2"/>
        <v>975</v>
      </c>
      <c r="I14" s="78"/>
      <c r="J14" s="79"/>
      <c r="K14" s="80"/>
      <c r="L14" s="81"/>
      <c r="M14" s="78"/>
      <c r="N14" s="78"/>
      <c r="O14" s="78"/>
      <c r="P14" s="83"/>
      <c r="Q14" s="76"/>
    </row>
    <row r="15" spans="1:19" x14ac:dyDescent="0.25">
      <c r="A15" s="77"/>
      <c r="B15" s="73" t="str">
        <f>A11</f>
        <v>YesBank</v>
      </c>
      <c r="C15" s="74">
        <f t="shared" si="0"/>
        <v>2019</v>
      </c>
      <c r="D15" s="74">
        <f t="shared" si="1"/>
        <v>10</v>
      </c>
      <c r="E15" s="8">
        <v>43739</v>
      </c>
      <c r="F15" s="3">
        <v>100</v>
      </c>
      <c r="G15" s="25">
        <v>31</v>
      </c>
      <c r="H15" s="25">
        <f t="shared" si="2"/>
        <v>3100</v>
      </c>
      <c r="I15" s="78"/>
      <c r="J15" s="79"/>
      <c r="K15" s="80"/>
      <c r="L15" s="81"/>
      <c r="M15" s="78"/>
      <c r="N15" s="78"/>
      <c r="O15" s="78"/>
      <c r="P15" s="83"/>
      <c r="Q15" s="76"/>
    </row>
    <row r="16" spans="1:19" x14ac:dyDescent="0.25">
      <c r="A16" s="77"/>
      <c r="B16" s="73" t="str">
        <f>A11</f>
        <v>YesBank</v>
      </c>
      <c r="C16" s="74">
        <f t="shared" si="0"/>
        <v>2019</v>
      </c>
      <c r="D16" s="74">
        <f t="shared" si="1"/>
        <v>10</v>
      </c>
      <c r="E16" s="8">
        <v>43768</v>
      </c>
      <c r="F16" s="3">
        <v>25</v>
      </c>
      <c r="G16" s="25">
        <v>56.5</v>
      </c>
      <c r="H16" s="25">
        <f t="shared" si="2"/>
        <v>1412.5</v>
      </c>
      <c r="I16" s="78"/>
      <c r="J16" s="79"/>
      <c r="K16" s="80"/>
      <c r="L16" s="81"/>
      <c r="M16" s="78"/>
      <c r="N16" s="78"/>
      <c r="O16" s="78"/>
      <c r="P16" s="83"/>
      <c r="Q16" s="76"/>
    </row>
    <row r="17" spans="1:17" x14ac:dyDescent="0.25">
      <c r="A17" s="77"/>
      <c r="B17" s="73" t="str">
        <f>A11</f>
        <v>YesBank</v>
      </c>
      <c r="C17" s="74">
        <f t="shared" si="0"/>
        <v>2019</v>
      </c>
      <c r="D17" s="74">
        <f t="shared" si="1"/>
        <v>12</v>
      </c>
      <c r="E17" s="8">
        <v>43818</v>
      </c>
      <c r="F17" s="3">
        <v>5000</v>
      </c>
      <c r="G17" s="25">
        <v>48.4</v>
      </c>
      <c r="H17" s="25">
        <f t="shared" si="2"/>
        <v>242000</v>
      </c>
      <c r="I17" s="78"/>
      <c r="J17" s="79"/>
      <c r="K17" s="80"/>
      <c r="L17" s="81"/>
      <c r="M17" s="78"/>
      <c r="N17" s="78"/>
      <c r="O17" s="78"/>
      <c r="P17" s="83"/>
      <c r="Q17" s="76"/>
    </row>
    <row r="18" spans="1:17" x14ac:dyDescent="0.25">
      <c r="A18" s="77"/>
      <c r="B18" s="73" t="str">
        <f>A11</f>
        <v>YesBank</v>
      </c>
      <c r="C18" s="74">
        <f t="shared" si="0"/>
        <v>1900</v>
      </c>
      <c r="D18" s="74">
        <f t="shared" si="1"/>
        <v>1</v>
      </c>
      <c r="E18" s="73"/>
      <c r="F18" s="3"/>
      <c r="G18" s="25"/>
      <c r="H18" s="25">
        <f t="shared" si="2"/>
        <v>0</v>
      </c>
      <c r="I18" s="78"/>
      <c r="J18" s="79"/>
      <c r="K18" s="80"/>
      <c r="L18" s="81"/>
      <c r="M18" s="78"/>
      <c r="N18" s="78"/>
      <c r="O18" s="78"/>
      <c r="P18" s="83"/>
      <c r="Q18" s="76"/>
    </row>
    <row r="19" spans="1:17" x14ac:dyDescent="0.25">
      <c r="A19" s="77"/>
      <c r="B19" s="73" t="str">
        <f>A11</f>
        <v>YesBank</v>
      </c>
      <c r="C19" s="74">
        <f t="shared" si="0"/>
        <v>1900</v>
      </c>
      <c r="D19" s="74">
        <f t="shared" si="1"/>
        <v>1</v>
      </c>
      <c r="E19" s="73"/>
      <c r="F19" s="3"/>
      <c r="G19" s="25"/>
      <c r="H19" s="25">
        <f t="shared" si="2"/>
        <v>0</v>
      </c>
      <c r="I19" s="78"/>
      <c r="J19" s="79"/>
      <c r="K19" s="80"/>
      <c r="L19" s="81"/>
      <c r="M19" s="78"/>
      <c r="N19" s="78"/>
      <c r="O19" s="78"/>
      <c r="P19" s="83"/>
      <c r="Q19" s="76"/>
    </row>
    <row r="20" spans="1:17" x14ac:dyDescent="0.25">
      <c r="A20" s="77" t="s">
        <v>109</v>
      </c>
      <c r="B20" s="73" t="str">
        <f>A20</f>
        <v>Infosys</v>
      </c>
      <c r="C20" s="74">
        <f t="shared" si="0"/>
        <v>2019</v>
      </c>
      <c r="D20" s="74">
        <f t="shared" si="1"/>
        <v>10</v>
      </c>
      <c r="E20" s="8">
        <v>43762</v>
      </c>
      <c r="F20" s="3">
        <v>5</v>
      </c>
      <c r="G20" s="25">
        <v>640</v>
      </c>
      <c r="H20" s="25">
        <f t="shared" si="2"/>
        <v>3200</v>
      </c>
      <c r="I20" s="78">
        <f>SUM(F20:F28)</f>
        <v>250</v>
      </c>
      <c r="J20" s="79">
        <f>SUM(H20:H28)/SUM(F20:F28)</f>
        <v>713.89</v>
      </c>
      <c r="K20" s="80">
        <f>I20*J20</f>
        <v>178472.5</v>
      </c>
      <c r="L20" s="81">
        <v>740</v>
      </c>
      <c r="M20" s="82">
        <v>43840</v>
      </c>
      <c r="N20" s="78">
        <f>I20*L20</f>
        <v>185000</v>
      </c>
      <c r="O20" s="78">
        <f>N20-K20</f>
        <v>6527.5</v>
      </c>
      <c r="P20" s="83">
        <f>(O20/K20)</f>
        <v>3.6574262141226242E-2</v>
      </c>
      <c r="Q20" s="76">
        <f>M20-E20</f>
        <v>78</v>
      </c>
    </row>
    <row r="21" spans="1:17" x14ac:dyDescent="0.25">
      <c r="A21" s="77"/>
      <c r="B21" s="73" t="str">
        <f>A20</f>
        <v>Infosys</v>
      </c>
      <c r="C21" s="74">
        <f t="shared" si="0"/>
        <v>2019</v>
      </c>
      <c r="D21" s="74">
        <f t="shared" si="1"/>
        <v>11</v>
      </c>
      <c r="E21" s="8">
        <v>43773</v>
      </c>
      <c r="F21" s="3">
        <v>5</v>
      </c>
      <c r="G21" s="25">
        <v>710.5</v>
      </c>
      <c r="H21" s="25">
        <f t="shared" si="2"/>
        <v>3552.5</v>
      </c>
      <c r="I21" s="78"/>
      <c r="J21" s="79"/>
      <c r="K21" s="80"/>
      <c r="L21" s="81"/>
      <c r="M21" s="78"/>
      <c r="N21" s="78"/>
      <c r="O21" s="78"/>
      <c r="P21" s="83"/>
      <c r="Q21" s="76"/>
    </row>
    <row r="22" spans="1:17" x14ac:dyDescent="0.25">
      <c r="A22" s="77"/>
      <c r="B22" s="73" t="str">
        <f>A20</f>
        <v>Infosys</v>
      </c>
      <c r="C22" s="74">
        <f t="shared" si="0"/>
        <v>2010</v>
      </c>
      <c r="D22" s="74">
        <f t="shared" si="1"/>
        <v>1</v>
      </c>
      <c r="E22" s="8">
        <v>40186</v>
      </c>
      <c r="F22" s="3">
        <v>240</v>
      </c>
      <c r="G22" s="25">
        <v>715.5</v>
      </c>
      <c r="H22" s="25">
        <f t="shared" si="2"/>
        <v>171720</v>
      </c>
      <c r="I22" s="78"/>
      <c r="J22" s="79"/>
      <c r="K22" s="80"/>
      <c r="L22" s="81"/>
      <c r="M22" s="78"/>
      <c r="N22" s="78"/>
      <c r="O22" s="78"/>
      <c r="P22" s="83"/>
      <c r="Q22" s="76"/>
    </row>
    <row r="23" spans="1:17" x14ac:dyDescent="0.25">
      <c r="A23" s="77"/>
      <c r="B23" s="73" t="str">
        <f>A20</f>
        <v>Infosys</v>
      </c>
      <c r="C23" s="74">
        <f t="shared" si="0"/>
        <v>1900</v>
      </c>
      <c r="D23" s="74">
        <f t="shared" si="1"/>
        <v>1</v>
      </c>
      <c r="E23" s="73"/>
      <c r="F23" s="3"/>
      <c r="G23" s="25"/>
      <c r="H23" s="25">
        <f t="shared" si="2"/>
        <v>0</v>
      </c>
      <c r="I23" s="78"/>
      <c r="J23" s="79"/>
      <c r="K23" s="80"/>
      <c r="L23" s="81"/>
      <c r="M23" s="78"/>
      <c r="N23" s="78"/>
      <c r="O23" s="78"/>
      <c r="P23" s="83"/>
      <c r="Q23" s="76"/>
    </row>
    <row r="24" spans="1:17" x14ac:dyDescent="0.25">
      <c r="A24" s="77"/>
      <c r="B24" s="73" t="str">
        <f>A20</f>
        <v>Infosys</v>
      </c>
      <c r="C24" s="74">
        <f t="shared" si="0"/>
        <v>1900</v>
      </c>
      <c r="D24" s="74">
        <f t="shared" si="1"/>
        <v>1</v>
      </c>
      <c r="E24" s="73"/>
      <c r="F24" s="3"/>
      <c r="G24" s="25"/>
      <c r="H24" s="25">
        <f t="shared" si="2"/>
        <v>0</v>
      </c>
      <c r="I24" s="78"/>
      <c r="J24" s="79"/>
      <c r="K24" s="80"/>
      <c r="L24" s="81"/>
      <c r="M24" s="78"/>
      <c r="N24" s="78"/>
      <c r="O24" s="78"/>
      <c r="P24" s="83"/>
      <c r="Q24" s="76"/>
    </row>
    <row r="25" spans="1:17" x14ac:dyDescent="0.25">
      <c r="A25" s="77"/>
      <c r="B25" s="73" t="str">
        <f>A20</f>
        <v>Infosys</v>
      </c>
      <c r="C25" s="74">
        <f t="shared" si="0"/>
        <v>1900</v>
      </c>
      <c r="D25" s="74">
        <f t="shared" si="1"/>
        <v>1</v>
      </c>
      <c r="E25" s="73"/>
      <c r="F25" s="3"/>
      <c r="G25" s="25"/>
      <c r="H25" s="25">
        <f t="shared" si="2"/>
        <v>0</v>
      </c>
      <c r="I25" s="78"/>
      <c r="J25" s="79"/>
      <c r="K25" s="80"/>
      <c r="L25" s="81"/>
      <c r="M25" s="78"/>
      <c r="N25" s="78"/>
      <c r="O25" s="78"/>
      <c r="P25" s="83"/>
      <c r="Q25" s="76"/>
    </row>
    <row r="26" spans="1:17" x14ac:dyDescent="0.25">
      <c r="A26" s="77"/>
      <c r="B26" s="73" t="str">
        <f>A20</f>
        <v>Infosys</v>
      </c>
      <c r="C26" s="74">
        <f t="shared" si="0"/>
        <v>1900</v>
      </c>
      <c r="D26" s="74">
        <f t="shared" si="1"/>
        <v>1</v>
      </c>
      <c r="E26" s="73"/>
      <c r="F26" s="3"/>
      <c r="G26" s="25"/>
      <c r="H26" s="25">
        <f t="shared" si="2"/>
        <v>0</v>
      </c>
      <c r="I26" s="78"/>
      <c r="J26" s="79"/>
      <c r="K26" s="80"/>
      <c r="L26" s="81"/>
      <c r="M26" s="78"/>
      <c r="N26" s="78"/>
      <c r="O26" s="78"/>
      <c r="P26" s="83"/>
      <c r="Q26" s="76"/>
    </row>
    <row r="27" spans="1:17" x14ac:dyDescent="0.25">
      <c r="A27" s="77"/>
      <c r="B27" s="73" t="str">
        <f>A20</f>
        <v>Infosys</v>
      </c>
      <c r="C27" s="74">
        <f t="shared" si="0"/>
        <v>1900</v>
      </c>
      <c r="D27" s="74">
        <f t="shared" si="1"/>
        <v>1</v>
      </c>
      <c r="E27" s="73"/>
      <c r="F27" s="3"/>
      <c r="G27" s="25"/>
      <c r="H27" s="25">
        <f t="shared" si="2"/>
        <v>0</v>
      </c>
      <c r="I27" s="78"/>
      <c r="J27" s="79"/>
      <c r="K27" s="80"/>
      <c r="L27" s="81"/>
      <c r="M27" s="78"/>
      <c r="N27" s="78"/>
      <c r="O27" s="78"/>
      <c r="P27" s="83"/>
      <c r="Q27" s="76"/>
    </row>
    <row r="28" spans="1:17" x14ac:dyDescent="0.25">
      <c r="A28" s="77"/>
      <c r="B28" s="73" t="str">
        <f>A20</f>
        <v>Infosys</v>
      </c>
      <c r="C28" s="74">
        <f t="shared" si="0"/>
        <v>1900</v>
      </c>
      <c r="D28" s="74">
        <f t="shared" si="1"/>
        <v>1</v>
      </c>
      <c r="E28" s="73"/>
      <c r="F28" s="3"/>
      <c r="G28" s="25"/>
      <c r="H28" s="25">
        <f t="shared" si="2"/>
        <v>0</v>
      </c>
      <c r="I28" s="78"/>
      <c r="J28" s="79"/>
      <c r="K28" s="80"/>
      <c r="L28" s="81"/>
      <c r="M28" s="78"/>
      <c r="N28" s="78"/>
      <c r="O28" s="78"/>
      <c r="P28" s="83"/>
      <c r="Q28" s="76"/>
    </row>
    <row r="29" spans="1:17" x14ac:dyDescent="0.25">
      <c r="A29" s="77" t="s">
        <v>116</v>
      </c>
      <c r="B29" s="74" t="str">
        <f>A29</f>
        <v>Aster DM Healthcare</v>
      </c>
      <c r="C29" s="74">
        <f t="shared" si="0"/>
        <v>2020</v>
      </c>
      <c r="D29" s="74">
        <f t="shared" si="1"/>
        <v>1</v>
      </c>
      <c r="E29" s="8">
        <v>43840</v>
      </c>
      <c r="F29" s="3">
        <v>250</v>
      </c>
      <c r="G29" s="25">
        <v>163.5</v>
      </c>
      <c r="H29" s="25">
        <f t="shared" si="2"/>
        <v>40875</v>
      </c>
      <c r="I29" s="78">
        <f>SUM(F29:F37)</f>
        <v>250</v>
      </c>
      <c r="J29" s="79">
        <f>SUM(H29:H37)/SUM(F29:F37)</f>
        <v>163.5</v>
      </c>
      <c r="K29" s="80">
        <f>I29*J29</f>
        <v>40875</v>
      </c>
      <c r="L29" s="81">
        <v>170</v>
      </c>
      <c r="M29" s="82">
        <v>43858</v>
      </c>
      <c r="N29" s="78">
        <f>I29*L29</f>
        <v>42500</v>
      </c>
      <c r="O29" s="78">
        <f>N29-K29</f>
        <v>1625</v>
      </c>
      <c r="P29" s="83">
        <f>(O29/K29)</f>
        <v>3.9755351681957186E-2</v>
      </c>
      <c r="Q29" s="76">
        <f ca="1">TODAY()-E29</f>
        <v>83</v>
      </c>
    </row>
    <row r="30" spans="1:17" x14ac:dyDescent="0.25">
      <c r="A30" s="77"/>
      <c r="B30" s="74" t="str">
        <f>A29</f>
        <v>Aster DM Healthcare</v>
      </c>
      <c r="C30" s="74">
        <f t="shared" si="0"/>
        <v>1900</v>
      </c>
      <c r="D30" s="74">
        <f t="shared" si="1"/>
        <v>1</v>
      </c>
      <c r="E30" s="8"/>
      <c r="F30" s="3"/>
      <c r="G30" s="25"/>
      <c r="H30" s="25">
        <f t="shared" si="2"/>
        <v>0</v>
      </c>
      <c r="I30" s="78"/>
      <c r="J30" s="79"/>
      <c r="K30" s="80"/>
      <c r="L30" s="81"/>
      <c r="M30" s="78"/>
      <c r="N30" s="78"/>
      <c r="O30" s="78"/>
      <c r="P30" s="83"/>
      <c r="Q30" s="76"/>
    </row>
    <row r="31" spans="1:17" x14ac:dyDescent="0.25">
      <c r="A31" s="77"/>
      <c r="B31" s="74" t="str">
        <f>A29</f>
        <v>Aster DM Healthcare</v>
      </c>
      <c r="C31" s="74">
        <f t="shared" si="0"/>
        <v>1900</v>
      </c>
      <c r="D31" s="74">
        <f t="shared" si="1"/>
        <v>1</v>
      </c>
      <c r="E31" s="73"/>
      <c r="F31" s="3"/>
      <c r="G31" s="25"/>
      <c r="H31" s="25">
        <f t="shared" si="2"/>
        <v>0</v>
      </c>
      <c r="I31" s="78"/>
      <c r="J31" s="79"/>
      <c r="K31" s="80"/>
      <c r="L31" s="81"/>
      <c r="M31" s="78"/>
      <c r="N31" s="78"/>
      <c r="O31" s="78"/>
      <c r="P31" s="83"/>
      <c r="Q31" s="76"/>
    </row>
    <row r="32" spans="1:17" x14ac:dyDescent="0.25">
      <c r="A32" s="77"/>
      <c r="B32" s="74" t="str">
        <f>A29</f>
        <v>Aster DM Healthcare</v>
      </c>
      <c r="C32" s="74">
        <f t="shared" si="0"/>
        <v>1900</v>
      </c>
      <c r="D32" s="74">
        <f t="shared" si="1"/>
        <v>1</v>
      </c>
      <c r="E32" s="73"/>
      <c r="F32" s="3"/>
      <c r="G32" s="25"/>
      <c r="H32" s="25">
        <f t="shared" si="2"/>
        <v>0</v>
      </c>
      <c r="I32" s="78"/>
      <c r="J32" s="79"/>
      <c r="K32" s="80"/>
      <c r="L32" s="81"/>
      <c r="M32" s="78"/>
      <c r="N32" s="78"/>
      <c r="O32" s="78"/>
      <c r="P32" s="83"/>
      <c r="Q32" s="76"/>
    </row>
    <row r="33" spans="1:17" x14ac:dyDescent="0.25">
      <c r="A33" s="77"/>
      <c r="B33" s="74" t="str">
        <f>A29</f>
        <v>Aster DM Healthcare</v>
      </c>
      <c r="C33" s="74">
        <f t="shared" si="0"/>
        <v>1900</v>
      </c>
      <c r="D33" s="74">
        <f t="shared" si="1"/>
        <v>1</v>
      </c>
      <c r="E33" s="73"/>
      <c r="F33" s="3"/>
      <c r="G33" s="25"/>
      <c r="H33" s="25">
        <f t="shared" si="2"/>
        <v>0</v>
      </c>
      <c r="I33" s="78"/>
      <c r="J33" s="79"/>
      <c r="K33" s="80"/>
      <c r="L33" s="81"/>
      <c r="M33" s="78"/>
      <c r="N33" s="78"/>
      <c r="O33" s="78"/>
      <c r="P33" s="83"/>
      <c r="Q33" s="76"/>
    </row>
    <row r="34" spans="1:17" x14ac:dyDescent="0.25">
      <c r="A34" s="77"/>
      <c r="B34" s="74" t="str">
        <f>A29</f>
        <v>Aster DM Healthcare</v>
      </c>
      <c r="C34" s="74">
        <f t="shared" si="0"/>
        <v>1900</v>
      </c>
      <c r="D34" s="74">
        <f t="shared" si="1"/>
        <v>1</v>
      </c>
      <c r="E34" s="73"/>
      <c r="F34" s="3"/>
      <c r="G34" s="25"/>
      <c r="H34" s="25">
        <f t="shared" si="2"/>
        <v>0</v>
      </c>
      <c r="I34" s="78"/>
      <c r="J34" s="79"/>
      <c r="K34" s="80"/>
      <c r="L34" s="81"/>
      <c r="M34" s="78"/>
      <c r="N34" s="78"/>
      <c r="O34" s="78"/>
      <c r="P34" s="83"/>
      <c r="Q34" s="76"/>
    </row>
    <row r="35" spans="1:17" x14ac:dyDescent="0.25">
      <c r="A35" s="77"/>
      <c r="B35" s="74" t="str">
        <f>A29</f>
        <v>Aster DM Healthcare</v>
      </c>
      <c r="C35" s="74">
        <f t="shared" si="0"/>
        <v>1900</v>
      </c>
      <c r="D35" s="74">
        <f t="shared" si="1"/>
        <v>1</v>
      </c>
      <c r="E35" s="73"/>
      <c r="F35" s="3"/>
      <c r="G35" s="25"/>
      <c r="H35" s="25">
        <f t="shared" si="2"/>
        <v>0</v>
      </c>
      <c r="I35" s="78"/>
      <c r="J35" s="79"/>
      <c r="K35" s="80"/>
      <c r="L35" s="81"/>
      <c r="M35" s="78"/>
      <c r="N35" s="78"/>
      <c r="O35" s="78"/>
      <c r="P35" s="83"/>
      <c r="Q35" s="76"/>
    </row>
    <row r="36" spans="1:17" x14ac:dyDescent="0.25">
      <c r="A36" s="77"/>
      <c r="B36" s="74" t="str">
        <f>A29</f>
        <v>Aster DM Healthcare</v>
      </c>
      <c r="C36" s="74">
        <f t="shared" si="0"/>
        <v>1900</v>
      </c>
      <c r="D36" s="74">
        <f t="shared" si="1"/>
        <v>1</v>
      </c>
      <c r="E36" s="73"/>
      <c r="F36" s="3"/>
      <c r="G36" s="25"/>
      <c r="H36" s="25">
        <f t="shared" si="2"/>
        <v>0</v>
      </c>
      <c r="I36" s="78"/>
      <c r="J36" s="79"/>
      <c r="K36" s="80"/>
      <c r="L36" s="81"/>
      <c r="M36" s="78"/>
      <c r="N36" s="78"/>
      <c r="O36" s="78"/>
      <c r="P36" s="83"/>
      <c r="Q36" s="76"/>
    </row>
    <row r="37" spans="1:17" x14ac:dyDescent="0.25">
      <c r="A37" s="77"/>
      <c r="B37" s="74" t="str">
        <f>A29</f>
        <v>Aster DM Healthcare</v>
      </c>
      <c r="C37" s="74">
        <f t="shared" si="0"/>
        <v>1900</v>
      </c>
      <c r="D37" s="74">
        <f t="shared" si="1"/>
        <v>1</v>
      </c>
      <c r="E37" s="73"/>
      <c r="F37" s="3"/>
      <c r="G37" s="25"/>
      <c r="H37" s="25">
        <f t="shared" si="2"/>
        <v>0</v>
      </c>
      <c r="I37" s="78"/>
      <c r="J37" s="79"/>
      <c r="K37" s="80"/>
      <c r="L37" s="81"/>
      <c r="M37" s="78"/>
      <c r="N37" s="78"/>
      <c r="O37" s="78"/>
      <c r="P37" s="83"/>
      <c r="Q37" s="76"/>
    </row>
    <row r="38" spans="1:17" ht="15" customHeight="1" x14ac:dyDescent="0.25">
      <c r="A38" s="77" t="s">
        <v>113</v>
      </c>
      <c r="B38" s="73" t="str">
        <f>A38</f>
        <v>Jagran Prakashan</v>
      </c>
      <c r="C38" s="74">
        <f t="shared" si="0"/>
        <v>2019</v>
      </c>
      <c r="D38" s="74">
        <f t="shared" si="1"/>
        <v>12</v>
      </c>
      <c r="E38" s="8">
        <v>43808</v>
      </c>
      <c r="F38" s="3">
        <v>2000</v>
      </c>
      <c r="G38" s="25">
        <v>59.49</v>
      </c>
      <c r="H38" s="25">
        <f t="shared" si="2"/>
        <v>118980</v>
      </c>
      <c r="I38" s="78">
        <f>SUM(F38:F46)</f>
        <v>2000</v>
      </c>
      <c r="J38" s="79">
        <f>SUM(H38:H46)/SUM(F38:F46)</f>
        <v>59.49</v>
      </c>
      <c r="K38" s="80">
        <f>I38*J38</f>
        <v>118980</v>
      </c>
      <c r="L38" s="81">
        <v>67.05</v>
      </c>
      <c r="M38" s="82">
        <v>43831</v>
      </c>
      <c r="N38" s="78">
        <f>I38*L38</f>
        <v>134100</v>
      </c>
      <c r="O38" s="78">
        <f>N38-K38</f>
        <v>15120</v>
      </c>
      <c r="P38" s="83">
        <f>(O38/K38)</f>
        <v>0.12708018154311648</v>
      </c>
      <c r="Q38" s="76">
        <f ca="1">TODAY()-E38</f>
        <v>115</v>
      </c>
    </row>
    <row r="39" spans="1:17" ht="15" customHeight="1" x14ac:dyDescent="0.25">
      <c r="A39" s="77"/>
      <c r="B39" s="73" t="str">
        <f>A38</f>
        <v>Jagran Prakashan</v>
      </c>
      <c r="C39" s="74">
        <f t="shared" si="0"/>
        <v>1900</v>
      </c>
      <c r="D39" s="74">
        <f t="shared" si="1"/>
        <v>1</v>
      </c>
      <c r="E39" s="8"/>
      <c r="F39" s="3"/>
      <c r="G39" s="25"/>
      <c r="H39" s="25">
        <f t="shared" si="2"/>
        <v>0</v>
      </c>
      <c r="I39" s="78"/>
      <c r="J39" s="79"/>
      <c r="K39" s="80"/>
      <c r="L39" s="81"/>
      <c r="M39" s="78"/>
      <c r="N39" s="78"/>
      <c r="O39" s="78"/>
      <c r="P39" s="83"/>
      <c r="Q39" s="76"/>
    </row>
    <row r="40" spans="1:17" ht="15" customHeight="1" x14ac:dyDescent="0.25">
      <c r="A40" s="77"/>
      <c r="B40" s="73" t="str">
        <f>A38</f>
        <v>Jagran Prakashan</v>
      </c>
      <c r="C40" s="74">
        <f t="shared" si="0"/>
        <v>1900</v>
      </c>
      <c r="D40" s="74">
        <f t="shared" si="1"/>
        <v>1</v>
      </c>
      <c r="E40" s="73"/>
      <c r="F40" s="3"/>
      <c r="G40" s="25"/>
      <c r="H40" s="25">
        <f t="shared" si="2"/>
        <v>0</v>
      </c>
      <c r="I40" s="78"/>
      <c r="J40" s="79"/>
      <c r="K40" s="80"/>
      <c r="L40" s="81"/>
      <c r="M40" s="78"/>
      <c r="N40" s="78"/>
      <c r="O40" s="78"/>
      <c r="P40" s="83"/>
      <c r="Q40" s="76"/>
    </row>
    <row r="41" spans="1:17" ht="15" customHeight="1" x14ac:dyDescent="0.25">
      <c r="A41" s="77"/>
      <c r="B41" s="73" t="str">
        <f>A38</f>
        <v>Jagran Prakashan</v>
      </c>
      <c r="C41" s="74">
        <f t="shared" si="0"/>
        <v>1900</v>
      </c>
      <c r="D41" s="74">
        <f t="shared" si="1"/>
        <v>1</v>
      </c>
      <c r="E41" s="73"/>
      <c r="F41" s="3"/>
      <c r="G41" s="25"/>
      <c r="H41" s="25">
        <f t="shared" si="2"/>
        <v>0</v>
      </c>
      <c r="I41" s="78"/>
      <c r="J41" s="79"/>
      <c r="K41" s="80"/>
      <c r="L41" s="81"/>
      <c r="M41" s="78"/>
      <c r="N41" s="78"/>
      <c r="O41" s="78"/>
      <c r="P41" s="83"/>
      <c r="Q41" s="76"/>
    </row>
    <row r="42" spans="1:17" ht="15" customHeight="1" x14ac:dyDescent="0.25">
      <c r="A42" s="77"/>
      <c r="B42" s="73" t="str">
        <f>A38</f>
        <v>Jagran Prakashan</v>
      </c>
      <c r="C42" s="74">
        <f t="shared" si="0"/>
        <v>1900</v>
      </c>
      <c r="D42" s="74">
        <f t="shared" si="1"/>
        <v>1</v>
      </c>
      <c r="E42" s="73"/>
      <c r="F42" s="3"/>
      <c r="G42" s="25"/>
      <c r="H42" s="25">
        <f t="shared" si="2"/>
        <v>0</v>
      </c>
      <c r="I42" s="78"/>
      <c r="J42" s="79"/>
      <c r="K42" s="80"/>
      <c r="L42" s="81"/>
      <c r="M42" s="78"/>
      <c r="N42" s="78"/>
      <c r="O42" s="78"/>
      <c r="P42" s="83"/>
      <c r="Q42" s="76"/>
    </row>
    <row r="43" spans="1:17" ht="15" customHeight="1" x14ac:dyDescent="0.25">
      <c r="A43" s="77"/>
      <c r="B43" s="73" t="str">
        <f>A38</f>
        <v>Jagran Prakashan</v>
      </c>
      <c r="C43" s="74">
        <f t="shared" si="0"/>
        <v>1900</v>
      </c>
      <c r="D43" s="74">
        <f t="shared" si="1"/>
        <v>1</v>
      </c>
      <c r="E43" s="73"/>
      <c r="F43" s="3"/>
      <c r="G43" s="25"/>
      <c r="H43" s="25">
        <f t="shared" si="2"/>
        <v>0</v>
      </c>
      <c r="I43" s="78"/>
      <c r="J43" s="79"/>
      <c r="K43" s="80"/>
      <c r="L43" s="81"/>
      <c r="M43" s="78"/>
      <c r="N43" s="78"/>
      <c r="O43" s="78"/>
      <c r="P43" s="83"/>
      <c r="Q43" s="76"/>
    </row>
    <row r="44" spans="1:17" ht="15" customHeight="1" x14ac:dyDescent="0.25">
      <c r="A44" s="77"/>
      <c r="B44" s="73" t="str">
        <f>A38</f>
        <v>Jagran Prakashan</v>
      </c>
      <c r="C44" s="74">
        <f t="shared" si="0"/>
        <v>1900</v>
      </c>
      <c r="D44" s="74">
        <f t="shared" si="1"/>
        <v>1</v>
      </c>
      <c r="E44" s="73"/>
      <c r="F44" s="3"/>
      <c r="G44" s="25"/>
      <c r="H44" s="25">
        <f t="shared" si="2"/>
        <v>0</v>
      </c>
      <c r="I44" s="78"/>
      <c r="J44" s="79"/>
      <c r="K44" s="80"/>
      <c r="L44" s="81"/>
      <c r="M44" s="78"/>
      <c r="N44" s="78"/>
      <c r="O44" s="78"/>
      <c r="P44" s="83"/>
      <c r="Q44" s="76"/>
    </row>
    <row r="45" spans="1:17" ht="15" customHeight="1" x14ac:dyDescent="0.25">
      <c r="A45" s="77"/>
      <c r="B45" s="73" t="str">
        <f>A38</f>
        <v>Jagran Prakashan</v>
      </c>
      <c r="C45" s="74">
        <f t="shared" si="0"/>
        <v>1900</v>
      </c>
      <c r="D45" s="74">
        <f t="shared" si="1"/>
        <v>1</v>
      </c>
      <c r="E45" s="73"/>
      <c r="F45" s="3"/>
      <c r="G45" s="25"/>
      <c r="H45" s="25">
        <f t="shared" si="2"/>
        <v>0</v>
      </c>
      <c r="I45" s="78"/>
      <c r="J45" s="79"/>
      <c r="K45" s="80"/>
      <c r="L45" s="81"/>
      <c r="M45" s="78"/>
      <c r="N45" s="78"/>
      <c r="O45" s="78"/>
      <c r="P45" s="83"/>
      <c r="Q45" s="76"/>
    </row>
    <row r="46" spans="1:17" ht="15" customHeight="1" x14ac:dyDescent="0.25">
      <c r="A46" s="77"/>
      <c r="B46" s="73" t="str">
        <f>A38</f>
        <v>Jagran Prakashan</v>
      </c>
      <c r="C46" s="74">
        <f t="shared" si="0"/>
        <v>1900</v>
      </c>
      <c r="D46" s="74">
        <f t="shared" si="1"/>
        <v>1</v>
      </c>
      <c r="E46" s="73"/>
      <c r="F46" s="3"/>
      <c r="G46" s="25"/>
      <c r="H46" s="25">
        <f t="shared" si="2"/>
        <v>0</v>
      </c>
      <c r="I46" s="78"/>
      <c r="J46" s="79"/>
      <c r="K46" s="80"/>
      <c r="L46" s="81"/>
      <c r="M46" s="78"/>
      <c r="N46" s="78"/>
      <c r="O46" s="78"/>
      <c r="P46" s="83"/>
      <c r="Q46" s="76"/>
    </row>
    <row r="47" spans="1:17" x14ac:dyDescent="0.25">
      <c r="A47" s="78" t="s">
        <v>11</v>
      </c>
      <c r="B47" s="74" t="str">
        <f>A47</f>
        <v>LT Foods</v>
      </c>
      <c r="C47" s="74">
        <f>YEAR(E47)</f>
        <v>2019</v>
      </c>
      <c r="D47" s="74">
        <f>MONTH(E47)</f>
        <v>4</v>
      </c>
      <c r="E47" s="75">
        <v>43578</v>
      </c>
      <c r="F47" s="3">
        <v>250</v>
      </c>
      <c r="G47" s="25">
        <v>38</v>
      </c>
      <c r="H47" s="25">
        <f>F47*G47</f>
        <v>9500</v>
      </c>
      <c r="I47" s="90">
        <f>SUM(F47:F58)</f>
        <v>2100</v>
      </c>
      <c r="J47" s="90"/>
      <c r="K47" s="90"/>
      <c r="L47" s="90"/>
      <c r="M47" s="90"/>
      <c r="N47" s="90"/>
      <c r="O47" s="90"/>
      <c r="P47" s="90"/>
      <c r="Q47" s="90"/>
    </row>
    <row r="48" spans="1:17" x14ac:dyDescent="0.25">
      <c r="A48" s="78"/>
      <c r="B48" s="74" t="str">
        <f>A47</f>
        <v>LT Foods</v>
      </c>
      <c r="C48" s="74">
        <f t="shared" ref="C48:C58" si="3">YEAR(E48)</f>
        <v>2019</v>
      </c>
      <c r="D48" s="74">
        <f t="shared" ref="D48:D58" si="4">MONTH(E48)</f>
        <v>5</v>
      </c>
      <c r="E48" s="75">
        <v>43602</v>
      </c>
      <c r="F48" s="3">
        <v>100</v>
      </c>
      <c r="G48" s="25">
        <v>27.5</v>
      </c>
      <c r="H48" s="25">
        <f t="shared" ref="H48:H53" si="5">F48*G48</f>
        <v>2750</v>
      </c>
      <c r="I48" s="91"/>
      <c r="J48" s="91"/>
      <c r="K48" s="91"/>
      <c r="L48" s="91"/>
      <c r="M48" s="91"/>
      <c r="N48" s="91"/>
      <c r="O48" s="91"/>
      <c r="P48" s="91"/>
      <c r="Q48" s="91"/>
    </row>
    <row r="49" spans="1:17" x14ac:dyDescent="0.25">
      <c r="A49" s="78"/>
      <c r="B49" s="74" t="str">
        <f>A47</f>
        <v>LT Foods</v>
      </c>
      <c r="C49" s="74">
        <f t="shared" si="3"/>
        <v>2019</v>
      </c>
      <c r="D49" s="74">
        <f t="shared" si="4"/>
        <v>5</v>
      </c>
      <c r="E49" s="75">
        <v>43612</v>
      </c>
      <c r="F49" s="3">
        <v>100</v>
      </c>
      <c r="G49" s="25">
        <v>31.5</v>
      </c>
      <c r="H49" s="25">
        <f t="shared" si="5"/>
        <v>3150</v>
      </c>
      <c r="I49" s="91"/>
      <c r="J49" s="91"/>
      <c r="K49" s="91"/>
      <c r="L49" s="91"/>
      <c r="M49" s="91"/>
      <c r="N49" s="91"/>
      <c r="O49" s="91"/>
      <c r="P49" s="91"/>
      <c r="Q49" s="91"/>
    </row>
    <row r="50" spans="1:17" x14ac:dyDescent="0.25">
      <c r="A50" s="78"/>
      <c r="B50" s="74" t="str">
        <f>A47</f>
        <v>LT Foods</v>
      </c>
      <c r="C50" s="74">
        <f t="shared" si="3"/>
        <v>2019</v>
      </c>
      <c r="D50" s="74">
        <f t="shared" si="4"/>
        <v>6</v>
      </c>
      <c r="E50" s="75">
        <v>43633</v>
      </c>
      <c r="F50" s="3">
        <v>100</v>
      </c>
      <c r="G50" s="25">
        <v>24.25</v>
      </c>
      <c r="H50" s="25">
        <f t="shared" si="5"/>
        <v>2425</v>
      </c>
      <c r="I50" s="91"/>
      <c r="J50" s="91"/>
      <c r="K50" s="91"/>
      <c r="L50" s="91"/>
      <c r="M50" s="91"/>
      <c r="N50" s="91"/>
      <c r="O50" s="91"/>
      <c r="P50" s="91"/>
      <c r="Q50" s="91"/>
    </row>
    <row r="51" spans="1:17" x14ac:dyDescent="0.25">
      <c r="A51" s="78"/>
      <c r="B51" s="74" t="str">
        <f>A47</f>
        <v>LT Foods</v>
      </c>
      <c r="C51" s="74">
        <f t="shared" si="3"/>
        <v>2019</v>
      </c>
      <c r="D51" s="74">
        <f t="shared" si="4"/>
        <v>6</v>
      </c>
      <c r="E51" s="75">
        <v>43636</v>
      </c>
      <c r="F51" s="3">
        <v>150</v>
      </c>
      <c r="G51" s="25">
        <v>22</v>
      </c>
      <c r="H51" s="25">
        <f t="shared" si="5"/>
        <v>3300</v>
      </c>
      <c r="I51" s="91"/>
      <c r="J51" s="91"/>
      <c r="K51" s="91"/>
      <c r="L51" s="91"/>
      <c r="M51" s="91"/>
      <c r="N51" s="91"/>
      <c r="O51" s="91"/>
      <c r="P51" s="91"/>
      <c r="Q51" s="91"/>
    </row>
    <row r="52" spans="1:17" x14ac:dyDescent="0.25">
      <c r="A52" s="78"/>
      <c r="B52" s="74" t="str">
        <f>A47</f>
        <v>LT Foods</v>
      </c>
      <c r="C52" s="74">
        <f t="shared" si="3"/>
        <v>2019</v>
      </c>
      <c r="D52" s="74">
        <f t="shared" si="4"/>
        <v>8</v>
      </c>
      <c r="E52" s="75">
        <v>43685</v>
      </c>
      <c r="F52" s="3">
        <v>100</v>
      </c>
      <c r="G52" s="25">
        <v>18.25</v>
      </c>
      <c r="H52" s="25">
        <f t="shared" si="5"/>
        <v>1825</v>
      </c>
      <c r="I52" s="91"/>
      <c r="J52" s="91"/>
      <c r="K52" s="91"/>
      <c r="L52" s="91"/>
      <c r="M52" s="91"/>
      <c r="N52" s="91"/>
      <c r="O52" s="91"/>
      <c r="P52" s="91"/>
      <c r="Q52" s="91"/>
    </row>
    <row r="53" spans="1:17" x14ac:dyDescent="0.25">
      <c r="A53" s="78"/>
      <c r="B53" s="74" t="str">
        <f>A47</f>
        <v>LT Foods</v>
      </c>
      <c r="C53" s="74">
        <f t="shared" si="3"/>
        <v>2019</v>
      </c>
      <c r="D53" s="74">
        <f t="shared" si="4"/>
        <v>8</v>
      </c>
      <c r="E53" s="75">
        <v>43698</v>
      </c>
      <c r="F53" s="3">
        <v>100</v>
      </c>
      <c r="G53" s="25">
        <v>21</v>
      </c>
      <c r="H53" s="25">
        <f t="shared" si="5"/>
        <v>2100</v>
      </c>
      <c r="I53" s="91"/>
      <c r="J53" s="91"/>
      <c r="K53" s="91"/>
      <c r="L53" s="91"/>
      <c r="M53" s="91"/>
      <c r="N53" s="91"/>
      <c r="O53" s="91"/>
      <c r="P53" s="91"/>
      <c r="Q53" s="91"/>
    </row>
    <row r="54" spans="1:17" x14ac:dyDescent="0.25">
      <c r="A54" s="78"/>
      <c r="B54" s="74" t="str">
        <f>A47</f>
        <v>LT Foods</v>
      </c>
      <c r="C54" s="74">
        <f t="shared" si="3"/>
        <v>2019</v>
      </c>
      <c r="D54" s="74">
        <f t="shared" si="4"/>
        <v>10</v>
      </c>
      <c r="E54" s="75">
        <v>43761</v>
      </c>
      <c r="F54" s="3">
        <v>50</v>
      </c>
      <c r="G54" s="25">
        <v>23.5</v>
      </c>
      <c r="H54" s="25">
        <f>F54*G54</f>
        <v>1175</v>
      </c>
      <c r="I54" s="91"/>
      <c r="J54" s="91"/>
      <c r="K54" s="91"/>
      <c r="L54" s="91"/>
      <c r="M54" s="91"/>
      <c r="N54" s="91"/>
      <c r="O54" s="91"/>
      <c r="P54" s="91"/>
      <c r="Q54" s="91"/>
    </row>
    <row r="55" spans="1:17" x14ac:dyDescent="0.25">
      <c r="A55" s="78"/>
      <c r="B55" s="74" t="str">
        <f>A47</f>
        <v>LT Foods</v>
      </c>
      <c r="C55" s="74">
        <f t="shared" si="3"/>
        <v>2019</v>
      </c>
      <c r="D55" s="74">
        <f t="shared" si="4"/>
        <v>11</v>
      </c>
      <c r="E55" s="75">
        <v>43795</v>
      </c>
      <c r="F55" s="3">
        <v>100</v>
      </c>
      <c r="G55" s="25">
        <v>22.1</v>
      </c>
      <c r="H55" s="25">
        <f t="shared" ref="H55:H58" si="6">F55*G55</f>
        <v>2210</v>
      </c>
      <c r="I55" s="91"/>
      <c r="J55" s="91"/>
      <c r="K55" s="91"/>
      <c r="L55" s="91"/>
      <c r="M55" s="91"/>
      <c r="N55" s="91"/>
      <c r="O55" s="91"/>
      <c r="P55" s="91"/>
      <c r="Q55" s="91"/>
    </row>
    <row r="56" spans="1:17" x14ac:dyDescent="0.25">
      <c r="A56" s="78"/>
      <c r="B56" s="74" t="str">
        <f>A47</f>
        <v>LT Foods</v>
      </c>
      <c r="C56" s="74">
        <f t="shared" si="3"/>
        <v>2019</v>
      </c>
      <c r="D56" s="74">
        <f t="shared" si="4"/>
        <v>12</v>
      </c>
      <c r="E56" s="75">
        <v>43822</v>
      </c>
      <c r="F56" s="3">
        <v>200</v>
      </c>
      <c r="G56" s="25">
        <v>20</v>
      </c>
      <c r="H56" s="25">
        <f t="shared" si="6"/>
        <v>4000</v>
      </c>
      <c r="I56" s="91"/>
      <c r="J56" s="91"/>
      <c r="K56" s="91"/>
      <c r="L56" s="91"/>
      <c r="M56" s="91"/>
      <c r="N56" s="91"/>
      <c r="O56" s="91"/>
      <c r="P56" s="91"/>
      <c r="Q56" s="91"/>
    </row>
    <row r="57" spans="1:17" x14ac:dyDescent="0.25">
      <c r="A57" s="78"/>
      <c r="B57" s="74" t="str">
        <f>A47</f>
        <v>LT Foods</v>
      </c>
      <c r="C57" s="74">
        <f t="shared" si="3"/>
        <v>2020</v>
      </c>
      <c r="D57" s="74">
        <f t="shared" si="4"/>
        <v>3</v>
      </c>
      <c r="E57" s="75">
        <v>43902</v>
      </c>
      <c r="F57" s="3">
        <v>250</v>
      </c>
      <c r="G57" s="25">
        <v>17</v>
      </c>
      <c r="H57" s="25">
        <f t="shared" si="6"/>
        <v>4250</v>
      </c>
      <c r="I57" s="91"/>
      <c r="J57" s="91"/>
      <c r="K57" s="91"/>
      <c r="L57" s="91"/>
      <c r="M57" s="91"/>
      <c r="N57" s="91"/>
      <c r="O57" s="91"/>
      <c r="P57" s="91"/>
      <c r="Q57" s="91"/>
    </row>
    <row r="58" spans="1:17" x14ac:dyDescent="0.25">
      <c r="A58" s="78"/>
      <c r="B58" s="74" t="str">
        <f>A47</f>
        <v>LT Foods</v>
      </c>
      <c r="C58" s="74">
        <f t="shared" si="3"/>
        <v>2020</v>
      </c>
      <c r="D58" s="74">
        <f t="shared" si="4"/>
        <v>3</v>
      </c>
      <c r="E58" s="75">
        <v>43903</v>
      </c>
      <c r="F58" s="3">
        <v>600</v>
      </c>
      <c r="G58" s="25">
        <v>15.2</v>
      </c>
      <c r="H58" s="25">
        <f t="shared" si="6"/>
        <v>9120</v>
      </c>
      <c r="I58" s="92"/>
      <c r="J58" s="92"/>
      <c r="K58" s="92"/>
      <c r="L58" s="92"/>
      <c r="M58" s="92"/>
      <c r="N58" s="92"/>
      <c r="O58" s="92"/>
      <c r="P58" s="92"/>
      <c r="Q58" s="92"/>
    </row>
  </sheetData>
  <mergeCells count="60">
    <mergeCell ref="M47:M58"/>
    <mergeCell ref="N47:N58"/>
    <mergeCell ref="O47:O58"/>
    <mergeCell ref="P47:P58"/>
    <mergeCell ref="Q47:Q58"/>
    <mergeCell ref="A47:A58"/>
    <mergeCell ref="I47:I58"/>
    <mergeCell ref="J47:J58"/>
    <mergeCell ref="K47:K58"/>
    <mergeCell ref="L47:L58"/>
    <mergeCell ref="M38:M46"/>
    <mergeCell ref="N38:N46"/>
    <mergeCell ref="O38:O46"/>
    <mergeCell ref="P38:P46"/>
    <mergeCell ref="Q38:Q46"/>
    <mergeCell ref="A38:A46"/>
    <mergeCell ref="I38:I46"/>
    <mergeCell ref="J38:J46"/>
    <mergeCell ref="K38:K46"/>
    <mergeCell ref="L38:L46"/>
    <mergeCell ref="M29:M37"/>
    <mergeCell ref="N29:N37"/>
    <mergeCell ref="O29:O37"/>
    <mergeCell ref="P29:P37"/>
    <mergeCell ref="Q29:Q37"/>
    <mergeCell ref="A29:A37"/>
    <mergeCell ref="I29:I37"/>
    <mergeCell ref="J29:J37"/>
    <mergeCell ref="K29:K37"/>
    <mergeCell ref="L29:L37"/>
    <mergeCell ref="M20:M28"/>
    <mergeCell ref="N20:N28"/>
    <mergeCell ref="O20:O28"/>
    <mergeCell ref="P20:P28"/>
    <mergeCell ref="Q20:Q28"/>
    <mergeCell ref="A20:A28"/>
    <mergeCell ref="I20:I28"/>
    <mergeCell ref="J20:J28"/>
    <mergeCell ref="K20:K28"/>
    <mergeCell ref="L20:L28"/>
    <mergeCell ref="M11:M19"/>
    <mergeCell ref="N11:N19"/>
    <mergeCell ref="O11:O19"/>
    <mergeCell ref="P11:P19"/>
    <mergeCell ref="Q11:Q19"/>
    <mergeCell ref="A11:A19"/>
    <mergeCell ref="I11:I19"/>
    <mergeCell ref="J11:J19"/>
    <mergeCell ref="K11:K19"/>
    <mergeCell ref="L11:L19"/>
    <mergeCell ref="N2:N10"/>
    <mergeCell ref="O2:O10"/>
    <mergeCell ref="P2:P10"/>
    <mergeCell ref="Q2:Q10"/>
    <mergeCell ref="A2:A10"/>
    <mergeCell ref="I2:I10"/>
    <mergeCell ref="J2:J10"/>
    <mergeCell ref="K2:K10"/>
    <mergeCell ref="L2:L10"/>
    <mergeCell ref="M2:M10"/>
  </mergeCells>
  <conditionalFormatting sqref="P2:P10">
    <cfRule type="cellIs" dxfId="14" priority="14" operator="greaterThan">
      <formula>0.2</formula>
    </cfRule>
    <cfRule type="cellIs" dxfId="13" priority="15" operator="lessThan">
      <formula>-0.1</formula>
    </cfRule>
  </conditionalFormatting>
  <conditionalFormatting sqref="Q2:Q10">
    <cfRule type="cellIs" dxfId="12" priority="13" operator="greaterThan">
      <formula>300</formula>
    </cfRule>
  </conditionalFormatting>
  <conditionalFormatting sqref="P11:P19">
    <cfRule type="cellIs" dxfId="11" priority="11" operator="greaterThan">
      <formula>0.2</formula>
    </cfRule>
    <cfRule type="cellIs" dxfId="10" priority="12" operator="lessThan">
      <formula>-0.1</formula>
    </cfRule>
  </conditionalFormatting>
  <conditionalFormatting sqref="Q11:Q19">
    <cfRule type="cellIs" dxfId="9" priority="10" operator="greaterThan">
      <formula>300</formula>
    </cfRule>
  </conditionalFormatting>
  <conditionalFormatting sqref="P20:P28">
    <cfRule type="cellIs" dxfId="8" priority="8" operator="greaterThan">
      <formula>0.2</formula>
    </cfRule>
    <cfRule type="cellIs" dxfId="7" priority="9" operator="lessThan">
      <formula>-0.1</formula>
    </cfRule>
  </conditionalFormatting>
  <conditionalFormatting sqref="Q20:Q28">
    <cfRule type="cellIs" dxfId="6" priority="7" operator="greaterThan">
      <formula>300</formula>
    </cfRule>
  </conditionalFormatting>
  <conditionalFormatting sqref="P29:P37">
    <cfRule type="cellIs" dxfId="5" priority="5" operator="greaterThan">
      <formula>0.2</formula>
    </cfRule>
    <cfRule type="cellIs" dxfId="4" priority="6" operator="lessThan">
      <formula>-0.1</formula>
    </cfRule>
  </conditionalFormatting>
  <conditionalFormatting sqref="Q29:Q37">
    <cfRule type="cellIs" dxfId="3" priority="4" operator="greaterThan">
      <formula>300</formula>
    </cfRule>
  </conditionalFormatting>
  <conditionalFormatting sqref="P38:P46">
    <cfRule type="cellIs" dxfId="2" priority="2" operator="greaterThan">
      <formula>0.2</formula>
    </cfRule>
    <cfRule type="cellIs" dxfId="1" priority="3" operator="lessThan">
      <formula>-0.1</formula>
    </cfRule>
  </conditionalFormatting>
  <conditionalFormatting sqref="Q38:Q46">
    <cfRule type="cellIs" dxfId="0" priority="1" operator="greaterThan">
      <formula>300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Pivot</vt:lpstr>
      <vt:lpstr>Forecast</vt:lpstr>
      <vt:lpstr>Sheet1</vt:lpstr>
      <vt:lpstr>HistoryData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2020-04-03T03:04:02Z</dcterms:modified>
</cp:coreProperties>
</file>