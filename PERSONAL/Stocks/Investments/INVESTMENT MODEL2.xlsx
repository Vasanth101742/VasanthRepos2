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0" documentId="13_ncr:1_{44A0336B-13C5-4003-AE3D-CC4803DF73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s" sheetId="1" r:id="rId1"/>
    <sheet name="MonthlyInvestment" sheetId="6" r:id="rId2"/>
    <sheet name="StockvalueStatus" sheetId="3" r:id="rId3"/>
    <sheet name="Opportunities" sheetId="4" r:id="rId4"/>
    <sheet name="HistoryData" sheetId="5" r:id="rId5"/>
    <sheet name="Favourites" sheetId="7" r:id="rId6"/>
    <sheet name="Forecast" sheetId="2" r:id="rId7"/>
  </sheets>
  <definedNames>
    <definedName name="_xlnm._FilterDatabase" localSheetId="0" hidden="1">Details!$A$1:$X$68</definedName>
    <definedName name="_xlnm._FilterDatabase" localSheetId="4" hidden="1">HistoryData!$A$1:$Z$155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1" i="5" l="1"/>
  <c r="P151" i="5"/>
  <c r="O151" i="5"/>
  <c r="Q151" i="5" s="1"/>
  <c r="H155" i="5"/>
  <c r="D155" i="5"/>
  <c r="C155" i="5"/>
  <c r="B155" i="5"/>
  <c r="H154" i="5"/>
  <c r="D154" i="5"/>
  <c r="C154" i="5"/>
  <c r="B154" i="5"/>
  <c r="H153" i="5"/>
  <c r="D153" i="5"/>
  <c r="C153" i="5"/>
  <c r="B153" i="5"/>
  <c r="H152" i="5"/>
  <c r="D152" i="5"/>
  <c r="C152" i="5"/>
  <c r="B152" i="5"/>
  <c r="I151" i="5"/>
  <c r="H151" i="5"/>
  <c r="J151" i="5" s="1"/>
  <c r="D151" i="5"/>
  <c r="C151" i="5"/>
  <c r="B151" i="5"/>
  <c r="W145" i="5"/>
  <c r="P145" i="5"/>
  <c r="O145" i="5"/>
  <c r="Q145" i="5" s="1"/>
  <c r="H150" i="5"/>
  <c r="D150" i="5"/>
  <c r="C150" i="5"/>
  <c r="B150" i="5"/>
  <c r="H149" i="5"/>
  <c r="D149" i="5"/>
  <c r="C149" i="5"/>
  <c r="B149" i="5"/>
  <c r="H148" i="5"/>
  <c r="D148" i="5"/>
  <c r="C148" i="5"/>
  <c r="B148" i="5"/>
  <c r="H147" i="5"/>
  <c r="D147" i="5"/>
  <c r="C147" i="5"/>
  <c r="B147" i="5"/>
  <c r="H146" i="5"/>
  <c r="D146" i="5"/>
  <c r="C146" i="5"/>
  <c r="B146" i="5"/>
  <c r="I145" i="5"/>
  <c r="H145" i="5"/>
  <c r="J145" i="5" s="1"/>
  <c r="D145" i="5"/>
  <c r="C145" i="5"/>
  <c r="B145" i="5"/>
  <c r="W140" i="5"/>
  <c r="P140" i="5"/>
  <c r="O140" i="5"/>
  <c r="Q140" i="5" s="1"/>
  <c r="H144" i="5"/>
  <c r="D144" i="5"/>
  <c r="C144" i="5"/>
  <c r="B144" i="5"/>
  <c r="H143" i="5"/>
  <c r="D143" i="5"/>
  <c r="C143" i="5"/>
  <c r="B143" i="5"/>
  <c r="H142" i="5"/>
  <c r="D142" i="5"/>
  <c r="C142" i="5"/>
  <c r="B142" i="5"/>
  <c r="H141" i="5"/>
  <c r="D141" i="5"/>
  <c r="C141" i="5"/>
  <c r="B141" i="5"/>
  <c r="I140" i="5"/>
  <c r="H140" i="5"/>
  <c r="J140" i="5" s="1"/>
  <c r="D140" i="5"/>
  <c r="C140" i="5"/>
  <c r="B140" i="5"/>
  <c r="W137" i="5"/>
  <c r="P137" i="5"/>
  <c r="O137" i="5"/>
  <c r="Q137" i="5" s="1"/>
  <c r="H139" i="5"/>
  <c r="D139" i="5"/>
  <c r="C139" i="5"/>
  <c r="B139" i="5"/>
  <c r="H138" i="5"/>
  <c r="D138" i="5"/>
  <c r="C138" i="5"/>
  <c r="B138" i="5"/>
  <c r="I137" i="5"/>
  <c r="H137" i="5"/>
  <c r="J137" i="5" s="1"/>
  <c r="D137" i="5"/>
  <c r="C137" i="5"/>
  <c r="B137" i="5"/>
  <c r="O130" i="5"/>
  <c r="Q130" i="5" s="1"/>
  <c r="W132" i="5"/>
  <c r="Q132" i="5"/>
  <c r="P132" i="5"/>
  <c r="O132" i="5"/>
  <c r="J132" i="5"/>
  <c r="I132" i="5"/>
  <c r="H136" i="5"/>
  <c r="D136" i="5"/>
  <c r="C136" i="5"/>
  <c r="B136" i="5"/>
  <c r="H135" i="5"/>
  <c r="D135" i="5"/>
  <c r="C135" i="5"/>
  <c r="B135" i="5"/>
  <c r="H134" i="5"/>
  <c r="D134" i="5"/>
  <c r="C134" i="5"/>
  <c r="B134" i="5"/>
  <c r="H133" i="5"/>
  <c r="D133" i="5"/>
  <c r="C133" i="5"/>
  <c r="B133" i="5"/>
  <c r="H132" i="5"/>
  <c r="K132" i="5" s="1"/>
  <c r="D132" i="5"/>
  <c r="C132" i="5"/>
  <c r="B132" i="5"/>
  <c r="R151" i="5" l="1"/>
  <c r="S151" i="5" s="1"/>
  <c r="R132" i="5"/>
  <c r="S132" i="5" s="1"/>
  <c r="K151" i="5"/>
  <c r="K145" i="5"/>
  <c r="R145" i="5" s="1"/>
  <c r="S145" i="5" s="1"/>
  <c r="K140" i="5"/>
  <c r="R140" i="5" s="1"/>
  <c r="S140" i="5" s="1"/>
  <c r="K137" i="5"/>
  <c r="R137" i="5" s="1"/>
  <c r="S137" i="5" s="1"/>
  <c r="C44" i="1" l="1"/>
  <c r="D44" i="1"/>
  <c r="B44" i="1"/>
  <c r="B43" i="1"/>
  <c r="D43" i="1"/>
  <c r="C43" i="1"/>
  <c r="M73" i="1"/>
  <c r="M71" i="1"/>
  <c r="P130" i="5"/>
  <c r="W130" i="5"/>
  <c r="J130" i="5"/>
  <c r="I130" i="5"/>
  <c r="H131" i="5"/>
  <c r="H130" i="5"/>
  <c r="K130" i="5" s="1"/>
  <c r="D131" i="5"/>
  <c r="C131" i="5"/>
  <c r="B131" i="5"/>
  <c r="D130" i="5"/>
  <c r="C130" i="5"/>
  <c r="B130" i="5"/>
  <c r="R130" i="5" l="1"/>
  <c r="S130" i="5" s="1"/>
  <c r="H80" i="1"/>
  <c r="D80" i="1"/>
  <c r="C80" i="1"/>
  <c r="B80" i="1"/>
  <c r="H79" i="1"/>
  <c r="D79" i="1"/>
  <c r="C79" i="1"/>
  <c r="B79" i="1"/>
  <c r="H78" i="1"/>
  <c r="D78" i="1"/>
  <c r="C78" i="1"/>
  <c r="B78" i="1"/>
  <c r="H77" i="1"/>
  <c r="D77" i="1"/>
  <c r="C77" i="1"/>
  <c r="B77" i="1"/>
  <c r="H76" i="1"/>
  <c r="D76" i="1"/>
  <c r="C76" i="1"/>
  <c r="B76" i="1"/>
  <c r="Q75" i="1"/>
  <c r="I75" i="1"/>
  <c r="H75" i="1"/>
  <c r="J75" i="1" s="1"/>
  <c r="D75" i="1"/>
  <c r="C75" i="1"/>
  <c r="B75" i="1"/>
  <c r="H74" i="1"/>
  <c r="D74" i="1"/>
  <c r="C74" i="1"/>
  <c r="B74" i="1"/>
  <c r="Q73" i="1"/>
  <c r="I73" i="1"/>
  <c r="H73" i="1"/>
  <c r="D73" i="1"/>
  <c r="C73" i="1"/>
  <c r="B73" i="1"/>
  <c r="D72" i="1"/>
  <c r="C72" i="1"/>
  <c r="B72" i="1"/>
  <c r="Q71" i="1"/>
  <c r="I71" i="1"/>
  <c r="H71" i="1"/>
  <c r="D71" i="1"/>
  <c r="C71" i="1"/>
  <c r="B71" i="1"/>
  <c r="J73" i="1" l="1"/>
  <c r="J71" i="1"/>
  <c r="K71" i="1" s="1"/>
  <c r="K75" i="1"/>
  <c r="N75" i="1"/>
  <c r="O75" i="1" s="1"/>
  <c r="P75" i="1" s="1"/>
  <c r="K73" i="1"/>
  <c r="N73" i="1"/>
  <c r="N71" i="1"/>
  <c r="C40" i="1"/>
  <c r="D40" i="1"/>
  <c r="B40" i="1"/>
  <c r="B39" i="1"/>
  <c r="P119" i="5"/>
  <c r="W119" i="5"/>
  <c r="O119" i="5"/>
  <c r="Q119" i="5" s="1"/>
  <c r="I119" i="5"/>
  <c r="H129" i="5"/>
  <c r="D129" i="5"/>
  <c r="C129" i="5"/>
  <c r="B129" i="5"/>
  <c r="H128" i="5"/>
  <c r="D128" i="5"/>
  <c r="C128" i="5"/>
  <c r="B128" i="5"/>
  <c r="H127" i="5"/>
  <c r="D127" i="5"/>
  <c r="C127" i="5"/>
  <c r="B127" i="5"/>
  <c r="H126" i="5"/>
  <c r="D126" i="5"/>
  <c r="C126" i="5"/>
  <c r="B126" i="5"/>
  <c r="H125" i="5"/>
  <c r="D125" i="5"/>
  <c r="C125" i="5"/>
  <c r="B125" i="5"/>
  <c r="H124" i="5"/>
  <c r="D124" i="5"/>
  <c r="C124" i="5"/>
  <c r="B124" i="5"/>
  <c r="H123" i="5"/>
  <c r="D123" i="5"/>
  <c r="C123" i="5"/>
  <c r="B123" i="5"/>
  <c r="H122" i="5"/>
  <c r="D122" i="5"/>
  <c r="C122" i="5"/>
  <c r="B122" i="5"/>
  <c r="H121" i="5"/>
  <c r="D121" i="5"/>
  <c r="C121" i="5"/>
  <c r="B121" i="5"/>
  <c r="H120" i="5"/>
  <c r="D120" i="5"/>
  <c r="C120" i="5"/>
  <c r="B120" i="5"/>
  <c r="H119" i="5"/>
  <c r="J119" i="5" s="1"/>
  <c r="D119" i="5"/>
  <c r="C119" i="5"/>
  <c r="B119" i="5"/>
  <c r="P117" i="5"/>
  <c r="W117" i="5"/>
  <c r="O117" i="5"/>
  <c r="Q117" i="5" s="1"/>
  <c r="I117" i="5"/>
  <c r="H118" i="5"/>
  <c r="H117" i="5"/>
  <c r="D118" i="5"/>
  <c r="C118" i="5"/>
  <c r="B118" i="5"/>
  <c r="D117" i="5"/>
  <c r="C117" i="5"/>
  <c r="B117" i="5"/>
  <c r="K119" i="5" l="1"/>
  <c r="R119" i="5" s="1"/>
  <c r="S119" i="5" s="1"/>
  <c r="K117" i="5"/>
  <c r="J117" i="5"/>
  <c r="O73" i="1"/>
  <c r="P73" i="1" s="1"/>
  <c r="O71" i="1"/>
  <c r="P71" i="1" s="1"/>
  <c r="R117" i="5"/>
  <c r="S117" i="5" s="1"/>
  <c r="B116" i="5"/>
  <c r="C87" i="5"/>
  <c r="D87" i="5"/>
  <c r="B87" i="5"/>
  <c r="M69" i="1"/>
  <c r="M64" i="1"/>
  <c r="M55" i="1"/>
  <c r="M42" i="1"/>
  <c r="M15" i="1"/>
  <c r="M75" i="1" s="1"/>
  <c r="M4" i="1"/>
  <c r="W116" i="5"/>
  <c r="O116" i="5"/>
  <c r="Q116" i="5" s="1"/>
  <c r="H116" i="5"/>
  <c r="K116" i="5" s="1"/>
  <c r="C116" i="5"/>
  <c r="D116" i="5"/>
  <c r="H39" i="1"/>
  <c r="C39" i="1"/>
  <c r="D39" i="1"/>
  <c r="H38" i="1"/>
  <c r="C38" i="1"/>
  <c r="D38" i="1"/>
  <c r="W72" i="5"/>
  <c r="O72" i="5"/>
  <c r="W71" i="5"/>
  <c r="O71" i="5"/>
  <c r="H87" i="5"/>
  <c r="W114" i="5"/>
  <c r="O114" i="5"/>
  <c r="W90" i="5"/>
  <c r="O90" i="5"/>
  <c r="W115" i="5"/>
  <c r="O115" i="5"/>
  <c r="I115" i="5"/>
  <c r="H115" i="5"/>
  <c r="K115" i="5" s="1"/>
  <c r="R115" i="5" s="1"/>
  <c r="S115" i="5" s="1"/>
  <c r="D115" i="5"/>
  <c r="C115" i="5"/>
  <c r="B115" i="5"/>
  <c r="R116" i="5" l="1"/>
  <c r="S116" i="5" s="1"/>
  <c r="J115" i="5"/>
  <c r="B38" i="1"/>
  <c r="B37" i="1"/>
  <c r="H37" i="1"/>
  <c r="C37" i="1"/>
  <c r="D37" i="1"/>
  <c r="H36" i="1"/>
  <c r="P113" i="5"/>
  <c r="W113" i="5"/>
  <c r="O113" i="5"/>
  <c r="Q113" i="5" s="1"/>
  <c r="I113" i="5"/>
  <c r="H114" i="5"/>
  <c r="D114" i="5"/>
  <c r="C114" i="5"/>
  <c r="B114" i="5"/>
  <c r="H113" i="5"/>
  <c r="K113" i="5" s="1"/>
  <c r="D113" i="5"/>
  <c r="C113" i="5"/>
  <c r="B113" i="5"/>
  <c r="R113" i="5" l="1"/>
  <c r="S113" i="5" s="1"/>
  <c r="J113" i="5"/>
  <c r="D4" i="6"/>
  <c r="Q69" i="1"/>
  <c r="I69" i="1"/>
  <c r="N69" i="1" s="1"/>
  <c r="C69" i="1"/>
  <c r="D69" i="1"/>
  <c r="C70" i="1"/>
  <c r="D70" i="1"/>
  <c r="B70" i="1"/>
  <c r="B69" i="1"/>
  <c r="Q65" i="5"/>
  <c r="P65" i="5"/>
  <c r="W65" i="5"/>
  <c r="I65" i="5"/>
  <c r="H69" i="5"/>
  <c r="D69" i="5"/>
  <c r="C69" i="5"/>
  <c r="B69" i="5"/>
  <c r="H68" i="5"/>
  <c r="D68" i="5"/>
  <c r="C68" i="5"/>
  <c r="B68" i="5"/>
  <c r="H67" i="5"/>
  <c r="D67" i="5"/>
  <c r="C67" i="5"/>
  <c r="B67" i="5"/>
  <c r="H66" i="5"/>
  <c r="D66" i="5"/>
  <c r="C66" i="5"/>
  <c r="B66" i="5"/>
  <c r="H65" i="5"/>
  <c r="J65" i="5" s="1"/>
  <c r="D65" i="5"/>
  <c r="C65" i="5"/>
  <c r="B65" i="5"/>
  <c r="J69" i="1" l="1"/>
  <c r="K69" i="1" s="1"/>
  <c r="O69" i="1" s="1"/>
  <c r="P69" i="1" s="1"/>
  <c r="K65" i="5"/>
  <c r="R65" i="5" s="1"/>
  <c r="S65" i="5" s="1"/>
  <c r="U89" i="5" l="1"/>
  <c r="W70" i="5"/>
  <c r="W89" i="5"/>
  <c r="P89" i="5"/>
  <c r="O89" i="5"/>
  <c r="Q89" i="5" s="1"/>
  <c r="H112" i="5"/>
  <c r="D112" i="5"/>
  <c r="C112" i="5"/>
  <c r="B112" i="5"/>
  <c r="H111" i="5"/>
  <c r="D111" i="5"/>
  <c r="C111" i="5"/>
  <c r="B111" i="5"/>
  <c r="H110" i="5"/>
  <c r="D110" i="5"/>
  <c r="C110" i="5"/>
  <c r="B110" i="5"/>
  <c r="H109" i="5"/>
  <c r="D109" i="5"/>
  <c r="C109" i="5"/>
  <c r="B109" i="5"/>
  <c r="H108" i="5"/>
  <c r="D108" i="5"/>
  <c r="C108" i="5"/>
  <c r="B108" i="5"/>
  <c r="H107" i="5"/>
  <c r="D107" i="5"/>
  <c r="C107" i="5"/>
  <c r="B107" i="5"/>
  <c r="H106" i="5"/>
  <c r="D106" i="5"/>
  <c r="C106" i="5"/>
  <c r="B106" i="5"/>
  <c r="H105" i="5"/>
  <c r="D105" i="5"/>
  <c r="C105" i="5"/>
  <c r="B105" i="5"/>
  <c r="H104" i="5"/>
  <c r="D104" i="5"/>
  <c r="C104" i="5"/>
  <c r="B104" i="5"/>
  <c r="H103" i="5"/>
  <c r="D103" i="5"/>
  <c r="C103" i="5"/>
  <c r="B103" i="5"/>
  <c r="H102" i="5"/>
  <c r="D102" i="5"/>
  <c r="C102" i="5"/>
  <c r="B102" i="5"/>
  <c r="H101" i="5"/>
  <c r="D101" i="5"/>
  <c r="C101" i="5"/>
  <c r="B101" i="5"/>
  <c r="H100" i="5"/>
  <c r="D100" i="5"/>
  <c r="C100" i="5"/>
  <c r="B100" i="5"/>
  <c r="H99" i="5"/>
  <c r="D99" i="5"/>
  <c r="C99" i="5"/>
  <c r="B99" i="5"/>
  <c r="H98" i="5"/>
  <c r="D98" i="5"/>
  <c r="C98" i="5"/>
  <c r="B98" i="5"/>
  <c r="H97" i="5"/>
  <c r="D97" i="5"/>
  <c r="C97" i="5"/>
  <c r="B97" i="5"/>
  <c r="H96" i="5"/>
  <c r="D96" i="5"/>
  <c r="C96" i="5"/>
  <c r="B96" i="5"/>
  <c r="H95" i="5"/>
  <c r="D95" i="5"/>
  <c r="C95" i="5"/>
  <c r="B95" i="5"/>
  <c r="H94" i="5"/>
  <c r="D94" i="5"/>
  <c r="C94" i="5"/>
  <c r="B94" i="5"/>
  <c r="H93" i="5"/>
  <c r="D93" i="5"/>
  <c r="C93" i="5"/>
  <c r="B93" i="5"/>
  <c r="H92" i="5"/>
  <c r="D92" i="5"/>
  <c r="C92" i="5"/>
  <c r="B92" i="5"/>
  <c r="H91" i="5"/>
  <c r="D91" i="5"/>
  <c r="C91" i="5"/>
  <c r="B91" i="5"/>
  <c r="H90" i="5"/>
  <c r="D90" i="5"/>
  <c r="C90" i="5"/>
  <c r="B90" i="5"/>
  <c r="I89" i="5"/>
  <c r="H89" i="5"/>
  <c r="D89" i="5"/>
  <c r="C89" i="5"/>
  <c r="B89" i="5"/>
  <c r="P70" i="5"/>
  <c r="O70" i="5"/>
  <c r="Q70" i="5" s="1"/>
  <c r="P2" i="5"/>
  <c r="W64" i="5"/>
  <c r="W63" i="5"/>
  <c r="W62" i="5"/>
  <c r="W61" i="5"/>
  <c r="W60" i="5"/>
  <c r="W59" i="5"/>
  <c r="W54" i="5"/>
  <c r="W49" i="5"/>
  <c r="W47" i="5"/>
  <c r="W45" i="5"/>
  <c r="W39" i="5"/>
  <c r="W27" i="5"/>
  <c r="W15" i="5"/>
  <c r="W14" i="5"/>
  <c r="W13" i="5"/>
  <c r="W10" i="5"/>
  <c r="W3" i="5"/>
  <c r="W2" i="5"/>
  <c r="T89" i="5" l="1"/>
  <c r="X89" i="5" s="1"/>
  <c r="J89" i="5"/>
  <c r="K89" i="5" s="1"/>
  <c r="R89" i="5" s="1"/>
  <c r="S89" i="5" s="1"/>
  <c r="H88" i="5"/>
  <c r="D88" i="5"/>
  <c r="C88" i="5"/>
  <c r="B88" i="5"/>
  <c r="H86" i="5"/>
  <c r="D86" i="5"/>
  <c r="C86" i="5"/>
  <c r="B86" i="5"/>
  <c r="H85" i="5"/>
  <c r="D85" i="5"/>
  <c r="C85" i="5"/>
  <c r="B85" i="5"/>
  <c r="H84" i="5"/>
  <c r="D84" i="5"/>
  <c r="C84" i="5"/>
  <c r="B84" i="5"/>
  <c r="H83" i="5"/>
  <c r="D83" i="5"/>
  <c r="C83" i="5"/>
  <c r="B83" i="5"/>
  <c r="H82" i="5"/>
  <c r="D82" i="5"/>
  <c r="C82" i="5"/>
  <c r="B82" i="5"/>
  <c r="H81" i="5"/>
  <c r="D81" i="5"/>
  <c r="C81" i="5"/>
  <c r="B81" i="5"/>
  <c r="H80" i="5"/>
  <c r="D80" i="5"/>
  <c r="C80" i="5"/>
  <c r="B80" i="5"/>
  <c r="H79" i="5"/>
  <c r="D79" i="5"/>
  <c r="C79" i="5"/>
  <c r="B79" i="5"/>
  <c r="H78" i="5"/>
  <c r="D78" i="5"/>
  <c r="C78" i="5"/>
  <c r="B78" i="5"/>
  <c r="H77" i="5"/>
  <c r="D77" i="5"/>
  <c r="C77" i="5"/>
  <c r="B77" i="5"/>
  <c r="H76" i="5"/>
  <c r="D76" i="5"/>
  <c r="C76" i="5"/>
  <c r="B76" i="5"/>
  <c r="H75" i="5"/>
  <c r="D75" i="5"/>
  <c r="C75" i="5"/>
  <c r="B75" i="5"/>
  <c r="H74" i="5"/>
  <c r="D74" i="5"/>
  <c r="C74" i="5"/>
  <c r="B74" i="5"/>
  <c r="H73" i="5"/>
  <c r="D73" i="5"/>
  <c r="C73" i="5"/>
  <c r="B73" i="5"/>
  <c r="H72" i="5"/>
  <c r="D72" i="5"/>
  <c r="C72" i="5"/>
  <c r="B72" i="5"/>
  <c r="H71" i="5"/>
  <c r="D71" i="5"/>
  <c r="C71" i="5"/>
  <c r="B71" i="5"/>
  <c r="I70" i="5"/>
  <c r="T70" i="5" s="1"/>
  <c r="X70" i="5" s="1"/>
  <c r="H70" i="5"/>
  <c r="J70" i="5" s="1"/>
  <c r="D70" i="5"/>
  <c r="C70" i="5"/>
  <c r="B70" i="5"/>
  <c r="K70" i="5" l="1"/>
  <c r="I64" i="5"/>
  <c r="M64" i="5" s="1"/>
  <c r="P64" i="5" s="1"/>
  <c r="H64" i="5"/>
  <c r="J64" i="5" s="1"/>
  <c r="D64" i="5"/>
  <c r="C64" i="5"/>
  <c r="B64" i="5"/>
  <c r="H12" i="1"/>
  <c r="C12" i="1"/>
  <c r="D12" i="1"/>
  <c r="C13" i="1"/>
  <c r="D13" i="1"/>
  <c r="C14" i="1"/>
  <c r="D14" i="1"/>
  <c r="B13" i="1"/>
  <c r="B12" i="1"/>
  <c r="R70" i="5" l="1"/>
  <c r="S70" i="5" s="1"/>
  <c r="K64" i="5"/>
  <c r="O64" i="5"/>
  <c r="Q64" i="5" s="1"/>
  <c r="D36" i="1"/>
  <c r="D41" i="1"/>
  <c r="C36" i="1"/>
  <c r="C41" i="1"/>
  <c r="B36" i="1"/>
  <c r="B35" i="1"/>
  <c r="B34" i="1"/>
  <c r="B33" i="1"/>
  <c r="I63" i="5"/>
  <c r="H63" i="5"/>
  <c r="J63" i="5" s="1"/>
  <c r="D63" i="5"/>
  <c r="C63" i="5"/>
  <c r="B63" i="5"/>
  <c r="I62" i="5"/>
  <c r="H62" i="5"/>
  <c r="J62" i="5" s="1"/>
  <c r="D62" i="5"/>
  <c r="C62" i="5"/>
  <c r="B62" i="5"/>
  <c r="I61" i="5"/>
  <c r="H61" i="5"/>
  <c r="J61" i="5" s="1"/>
  <c r="D61" i="5"/>
  <c r="C61" i="5"/>
  <c r="B61" i="5"/>
  <c r="I60" i="5"/>
  <c r="H60" i="5"/>
  <c r="J60" i="5" s="1"/>
  <c r="D60" i="5"/>
  <c r="C60" i="5"/>
  <c r="B60" i="5"/>
  <c r="I59" i="5"/>
  <c r="H59" i="5"/>
  <c r="J59" i="5" s="1"/>
  <c r="D59" i="5"/>
  <c r="C59" i="5"/>
  <c r="B59" i="5"/>
  <c r="H34" i="1"/>
  <c r="C34" i="1"/>
  <c r="D34" i="1"/>
  <c r="H35" i="1"/>
  <c r="C35" i="1"/>
  <c r="D35" i="1"/>
  <c r="H33" i="1"/>
  <c r="C33" i="1"/>
  <c r="D33" i="1"/>
  <c r="H32" i="1"/>
  <c r="H58" i="5"/>
  <c r="D58" i="5"/>
  <c r="C58" i="5"/>
  <c r="B58" i="5"/>
  <c r="H57" i="5"/>
  <c r="D57" i="5"/>
  <c r="C57" i="5"/>
  <c r="B57" i="5"/>
  <c r="H56" i="5"/>
  <c r="D56" i="5"/>
  <c r="C56" i="5"/>
  <c r="B56" i="5"/>
  <c r="H55" i="5"/>
  <c r="D55" i="5"/>
  <c r="C55" i="5"/>
  <c r="B55" i="5"/>
  <c r="I54" i="5"/>
  <c r="H54" i="5"/>
  <c r="D54" i="5"/>
  <c r="C54" i="5"/>
  <c r="B54" i="5"/>
  <c r="H53" i="5"/>
  <c r="D53" i="5"/>
  <c r="C53" i="5"/>
  <c r="B53" i="5"/>
  <c r="H52" i="5"/>
  <c r="D52" i="5"/>
  <c r="C52" i="5"/>
  <c r="B52" i="5"/>
  <c r="H51" i="5"/>
  <c r="D51" i="5"/>
  <c r="C51" i="5"/>
  <c r="B51" i="5"/>
  <c r="H50" i="5"/>
  <c r="D50" i="5"/>
  <c r="C50" i="5"/>
  <c r="B50" i="5"/>
  <c r="I49" i="5"/>
  <c r="H49" i="5"/>
  <c r="D49" i="5"/>
  <c r="C49" i="5"/>
  <c r="B49" i="5"/>
  <c r="H48" i="5"/>
  <c r="D48" i="5"/>
  <c r="C48" i="5"/>
  <c r="B48" i="5"/>
  <c r="I47" i="5"/>
  <c r="H47" i="5"/>
  <c r="D47" i="5"/>
  <c r="C47" i="5"/>
  <c r="B47" i="5"/>
  <c r="O61" i="5" l="1"/>
  <c r="Q61" i="5" s="1"/>
  <c r="M61" i="5"/>
  <c r="P61" i="5" s="1"/>
  <c r="O47" i="5"/>
  <c r="Q47" i="5" s="1"/>
  <c r="M47" i="5"/>
  <c r="P47" i="5" s="1"/>
  <c r="O62" i="5"/>
  <c r="Q62" i="5" s="1"/>
  <c r="M62" i="5"/>
  <c r="P62" i="5" s="1"/>
  <c r="O49" i="5"/>
  <c r="Q49" i="5" s="1"/>
  <c r="M49" i="5"/>
  <c r="P49" i="5" s="1"/>
  <c r="O59" i="5"/>
  <c r="Q59" i="5" s="1"/>
  <c r="M59" i="5"/>
  <c r="P59" i="5" s="1"/>
  <c r="O63" i="5"/>
  <c r="Q63" i="5" s="1"/>
  <c r="M63" i="5"/>
  <c r="P63" i="5" s="1"/>
  <c r="O54" i="5"/>
  <c r="Q54" i="5" s="1"/>
  <c r="M54" i="5"/>
  <c r="P54" i="5" s="1"/>
  <c r="O60" i="5"/>
  <c r="Q60" i="5" s="1"/>
  <c r="M60" i="5"/>
  <c r="P60" i="5" s="1"/>
  <c r="J49" i="5"/>
  <c r="K49" i="5" s="1"/>
  <c r="J47" i="5"/>
  <c r="K47" i="5" s="1"/>
  <c r="J54" i="5"/>
  <c r="K54" i="5" s="1"/>
  <c r="R64" i="5"/>
  <c r="S64" i="5" s="1"/>
  <c r="K63" i="5"/>
  <c r="K62" i="5"/>
  <c r="K61" i="5"/>
  <c r="K60" i="5"/>
  <c r="K59" i="5"/>
  <c r="R60" i="5" l="1"/>
  <c r="S60" i="5" s="1"/>
  <c r="R54" i="5"/>
  <c r="S54" i="5" s="1"/>
  <c r="R63" i="5"/>
  <c r="S63" i="5" s="1"/>
  <c r="R49" i="5"/>
  <c r="S49" i="5" s="1"/>
  <c r="R47" i="5"/>
  <c r="S47" i="5" s="1"/>
  <c r="R59" i="5"/>
  <c r="S59" i="5" s="1"/>
  <c r="R62" i="5"/>
  <c r="S62" i="5" s="1"/>
  <c r="R61" i="5"/>
  <c r="S61" i="5" s="1"/>
  <c r="H46" i="5" l="1"/>
  <c r="D46" i="5"/>
  <c r="C46" i="5"/>
  <c r="B46" i="5"/>
  <c r="I45" i="5"/>
  <c r="H45" i="5"/>
  <c r="D45" i="5"/>
  <c r="C45" i="5"/>
  <c r="B45" i="5"/>
  <c r="H15" i="1"/>
  <c r="H26" i="5"/>
  <c r="H44" i="5"/>
  <c r="D44" i="5"/>
  <c r="C44" i="5"/>
  <c r="B44" i="5"/>
  <c r="H43" i="5"/>
  <c r="D43" i="5"/>
  <c r="C43" i="5"/>
  <c r="B43" i="5"/>
  <c r="H42" i="5"/>
  <c r="D42" i="5"/>
  <c r="C42" i="5"/>
  <c r="B42" i="5"/>
  <c r="H41" i="5"/>
  <c r="D41" i="5"/>
  <c r="C41" i="5"/>
  <c r="B41" i="5"/>
  <c r="H40" i="5"/>
  <c r="D40" i="5"/>
  <c r="C40" i="5"/>
  <c r="B40" i="5"/>
  <c r="I39" i="5"/>
  <c r="H39" i="5"/>
  <c r="D39" i="5"/>
  <c r="C39" i="5"/>
  <c r="B39" i="5"/>
  <c r="H38" i="5"/>
  <c r="D38" i="5"/>
  <c r="C38" i="5"/>
  <c r="B38" i="5"/>
  <c r="H37" i="5"/>
  <c r="D37" i="5"/>
  <c r="C37" i="5"/>
  <c r="B37" i="5"/>
  <c r="H36" i="5"/>
  <c r="D36" i="5"/>
  <c r="C36" i="5"/>
  <c r="B36" i="5"/>
  <c r="H35" i="5"/>
  <c r="D35" i="5"/>
  <c r="C35" i="5"/>
  <c r="B35" i="5"/>
  <c r="H34" i="5"/>
  <c r="D34" i="5"/>
  <c r="C34" i="5"/>
  <c r="B34" i="5"/>
  <c r="H33" i="5"/>
  <c r="D33" i="5"/>
  <c r="C33" i="5"/>
  <c r="B33" i="5"/>
  <c r="H32" i="5"/>
  <c r="D32" i="5"/>
  <c r="C32" i="5"/>
  <c r="B32" i="5"/>
  <c r="H31" i="5"/>
  <c r="D31" i="5"/>
  <c r="C31" i="5"/>
  <c r="B31" i="5"/>
  <c r="H30" i="5"/>
  <c r="D30" i="5"/>
  <c r="C30" i="5"/>
  <c r="B30" i="5"/>
  <c r="H29" i="5"/>
  <c r="D29" i="5"/>
  <c r="C29" i="5"/>
  <c r="B29" i="5"/>
  <c r="H28" i="5"/>
  <c r="D28" i="5"/>
  <c r="C28" i="5"/>
  <c r="B28" i="5"/>
  <c r="I27" i="5"/>
  <c r="M27" i="5" s="1"/>
  <c r="P27" i="5" s="1"/>
  <c r="H27" i="5"/>
  <c r="D27" i="5"/>
  <c r="C27" i="5"/>
  <c r="B27" i="5"/>
  <c r="O45" i="5" l="1"/>
  <c r="Q45" i="5" s="1"/>
  <c r="M45" i="5"/>
  <c r="P45" i="5" s="1"/>
  <c r="O39" i="5"/>
  <c r="Q39" i="5" s="1"/>
  <c r="M39" i="5"/>
  <c r="P39" i="5" s="1"/>
  <c r="J45" i="5"/>
  <c r="K45" i="5" s="1"/>
  <c r="J39" i="5"/>
  <c r="K39" i="5" s="1"/>
  <c r="J27" i="5"/>
  <c r="K27" i="5" s="1"/>
  <c r="O27" i="5"/>
  <c r="Q27" i="5" s="1"/>
  <c r="R27" i="5" l="1"/>
  <c r="S27" i="5" s="1"/>
  <c r="R39" i="5"/>
  <c r="S39" i="5" s="1"/>
  <c r="R45" i="5"/>
  <c r="S45" i="5" s="1"/>
  <c r="D26" i="5"/>
  <c r="C26" i="5"/>
  <c r="B26" i="5"/>
  <c r="H25" i="5"/>
  <c r="D25" i="5"/>
  <c r="C25" i="5"/>
  <c r="B25" i="5"/>
  <c r="H24" i="5"/>
  <c r="D24" i="5"/>
  <c r="C24" i="5"/>
  <c r="B24" i="5"/>
  <c r="H23" i="5"/>
  <c r="D23" i="5"/>
  <c r="C23" i="5"/>
  <c r="B23" i="5"/>
  <c r="H22" i="5"/>
  <c r="D22" i="5"/>
  <c r="C22" i="5"/>
  <c r="B22" i="5"/>
  <c r="H21" i="5"/>
  <c r="D21" i="5"/>
  <c r="C21" i="5"/>
  <c r="B21" i="5"/>
  <c r="H20" i="5"/>
  <c r="D20" i="5"/>
  <c r="C20" i="5"/>
  <c r="B20" i="5"/>
  <c r="H19" i="5"/>
  <c r="D19" i="5"/>
  <c r="C19" i="5"/>
  <c r="B19" i="5"/>
  <c r="H18" i="5"/>
  <c r="D18" i="5"/>
  <c r="C18" i="5"/>
  <c r="B18" i="5"/>
  <c r="H17" i="5"/>
  <c r="D17" i="5"/>
  <c r="C17" i="5"/>
  <c r="B17" i="5"/>
  <c r="H16" i="5"/>
  <c r="D16" i="5"/>
  <c r="C16" i="5"/>
  <c r="B16" i="5"/>
  <c r="I15" i="5"/>
  <c r="H15" i="5"/>
  <c r="D15" i="5"/>
  <c r="C15" i="5"/>
  <c r="B15" i="5"/>
  <c r="J15" i="5" l="1"/>
  <c r="K15" i="5" s="1"/>
  <c r="O15" i="5"/>
  <c r="Q15" i="5" s="1"/>
  <c r="M15" i="5"/>
  <c r="P15" i="5" s="1"/>
  <c r="H31" i="1"/>
  <c r="R15" i="5" l="1"/>
  <c r="S15" i="5" s="1"/>
  <c r="C31" i="1"/>
  <c r="D31" i="1"/>
  <c r="C32" i="1"/>
  <c r="D32" i="1"/>
  <c r="B32" i="1"/>
  <c r="B31" i="1"/>
  <c r="C3" i="1"/>
  <c r="D3" i="1"/>
  <c r="I14" i="5" l="1"/>
  <c r="M14" i="5" s="1"/>
  <c r="P14" i="5" s="1"/>
  <c r="H14" i="5"/>
  <c r="J14" i="5" s="1"/>
  <c r="D14" i="5"/>
  <c r="C14" i="5"/>
  <c r="B14" i="5"/>
  <c r="K14" i="5" l="1"/>
  <c r="O14" i="5"/>
  <c r="Q14" i="5" s="1"/>
  <c r="R14" i="5" l="1"/>
  <c r="S14" i="5" s="1"/>
  <c r="I13" i="5"/>
  <c r="M13" i="5" s="1"/>
  <c r="P13" i="5" s="1"/>
  <c r="H13" i="5"/>
  <c r="J13" i="5" s="1"/>
  <c r="D13" i="5"/>
  <c r="C13" i="5"/>
  <c r="B13" i="5"/>
  <c r="K13" i="5" l="1"/>
  <c r="O13" i="5"/>
  <c r="Q13" i="5" s="1"/>
  <c r="R13" i="5" l="1"/>
  <c r="S13" i="5" s="1"/>
  <c r="H12" i="5"/>
  <c r="D12" i="5"/>
  <c r="C12" i="5"/>
  <c r="B12" i="5"/>
  <c r="H11" i="5"/>
  <c r="D11" i="5"/>
  <c r="C11" i="5"/>
  <c r="B11" i="5"/>
  <c r="I10" i="5"/>
  <c r="M10" i="5" s="1"/>
  <c r="P10" i="5" s="1"/>
  <c r="H10" i="5"/>
  <c r="J10" i="5" s="1"/>
  <c r="D10" i="5"/>
  <c r="C10" i="5"/>
  <c r="B10" i="5"/>
  <c r="K10" i="5" l="1"/>
  <c r="O10" i="5"/>
  <c r="Q10" i="5" s="1"/>
  <c r="H68" i="1"/>
  <c r="D68" i="1"/>
  <c r="C68" i="1"/>
  <c r="B68" i="1"/>
  <c r="H67" i="1"/>
  <c r="D67" i="1"/>
  <c r="C67" i="1"/>
  <c r="B67" i="1"/>
  <c r="H66" i="1"/>
  <c r="D66" i="1"/>
  <c r="C66" i="1"/>
  <c r="B66" i="1"/>
  <c r="H65" i="1"/>
  <c r="D65" i="1"/>
  <c r="C65" i="1"/>
  <c r="B65" i="1"/>
  <c r="Q64" i="1"/>
  <c r="I64" i="1"/>
  <c r="N64" i="1" s="1"/>
  <c r="H64" i="1"/>
  <c r="D64" i="1"/>
  <c r="C64" i="1"/>
  <c r="B64" i="1"/>
  <c r="H63" i="1"/>
  <c r="D63" i="1"/>
  <c r="C63" i="1"/>
  <c r="B63" i="1"/>
  <c r="H62" i="1"/>
  <c r="D62" i="1"/>
  <c r="C62" i="1"/>
  <c r="B62" i="1"/>
  <c r="H61" i="1"/>
  <c r="D61" i="1"/>
  <c r="C61" i="1"/>
  <c r="B61" i="1"/>
  <c r="H60" i="1"/>
  <c r="D60" i="1"/>
  <c r="C60" i="1"/>
  <c r="B60" i="1"/>
  <c r="H59" i="1"/>
  <c r="D59" i="1"/>
  <c r="C59" i="1"/>
  <c r="B59" i="1"/>
  <c r="H58" i="1"/>
  <c r="D58" i="1"/>
  <c r="C58" i="1"/>
  <c r="B58" i="1"/>
  <c r="H57" i="1"/>
  <c r="D57" i="1"/>
  <c r="C57" i="1"/>
  <c r="B57" i="1"/>
  <c r="H56" i="1"/>
  <c r="D56" i="1"/>
  <c r="C56" i="1"/>
  <c r="B56" i="1"/>
  <c r="Q55" i="1"/>
  <c r="I55" i="1"/>
  <c r="H55" i="1"/>
  <c r="D55" i="1"/>
  <c r="C55" i="1"/>
  <c r="B55" i="1"/>
  <c r="R10" i="5" l="1"/>
  <c r="S10" i="5" s="1"/>
  <c r="J64" i="1"/>
  <c r="K64" i="1" s="1"/>
  <c r="O64" i="1" s="1"/>
  <c r="P64" i="1" s="1"/>
  <c r="J55" i="1"/>
  <c r="K55" i="1" s="1"/>
  <c r="N55" i="1"/>
  <c r="O55" i="1" l="1"/>
  <c r="P55" i="1" s="1"/>
  <c r="H9" i="5"/>
  <c r="D9" i="5"/>
  <c r="C9" i="5"/>
  <c r="B9" i="5"/>
  <c r="H8" i="5"/>
  <c r="D8" i="5"/>
  <c r="C8" i="5"/>
  <c r="B8" i="5"/>
  <c r="H7" i="5"/>
  <c r="D7" i="5"/>
  <c r="C7" i="5"/>
  <c r="B7" i="5"/>
  <c r="H6" i="5"/>
  <c r="D6" i="5"/>
  <c r="C6" i="5"/>
  <c r="B6" i="5"/>
  <c r="H5" i="5"/>
  <c r="D5" i="5"/>
  <c r="C5" i="5"/>
  <c r="B5" i="5"/>
  <c r="H4" i="5"/>
  <c r="D4" i="5"/>
  <c r="C4" i="5"/>
  <c r="B4" i="5"/>
  <c r="I3" i="5"/>
  <c r="H3" i="5"/>
  <c r="D3" i="5"/>
  <c r="C3" i="5"/>
  <c r="B3" i="5"/>
  <c r="O3" i="5" l="1"/>
  <c r="Q3" i="5" s="1"/>
  <c r="P3" i="5"/>
  <c r="J3" i="5"/>
  <c r="K3" i="5" s="1"/>
  <c r="R3" i="5" l="1"/>
  <c r="S3" i="5" s="1"/>
  <c r="B3" i="1"/>
  <c r="I2" i="5" l="1"/>
  <c r="O2" i="5" s="1"/>
  <c r="Q2" i="5" s="1"/>
  <c r="H2" i="5"/>
  <c r="D2" i="5"/>
  <c r="C2" i="5"/>
  <c r="B2" i="5"/>
  <c r="J2" i="5" l="1"/>
  <c r="K2" i="5" s="1"/>
  <c r="R2" i="5" s="1"/>
  <c r="S2" i="5" l="1"/>
  <c r="Z2" i="5"/>
  <c r="H54" i="1" l="1"/>
  <c r="D54" i="1"/>
  <c r="C54" i="1"/>
  <c r="B54" i="1"/>
  <c r="H53" i="1"/>
  <c r="D53" i="1"/>
  <c r="C53" i="1"/>
  <c r="B53" i="1"/>
  <c r="H52" i="1"/>
  <c r="D52" i="1"/>
  <c r="C52" i="1"/>
  <c r="B52" i="1"/>
  <c r="H51" i="1"/>
  <c r="D51" i="1"/>
  <c r="C51" i="1"/>
  <c r="B51" i="1"/>
  <c r="H50" i="1"/>
  <c r="D50" i="1"/>
  <c r="C50" i="1"/>
  <c r="B50" i="1"/>
  <c r="H49" i="1"/>
  <c r="D49" i="1"/>
  <c r="C49" i="1"/>
  <c r="B49" i="1"/>
  <c r="H48" i="1"/>
  <c r="D48" i="1"/>
  <c r="C48" i="1"/>
  <c r="B48" i="1"/>
  <c r="H47" i="1"/>
  <c r="D47" i="1"/>
  <c r="C47" i="1"/>
  <c r="B47" i="1"/>
  <c r="Q46" i="1"/>
  <c r="I46" i="1"/>
  <c r="H46" i="1"/>
  <c r="D46" i="1"/>
  <c r="C46" i="1"/>
  <c r="B46" i="1"/>
  <c r="J46" i="1" l="1"/>
  <c r="K46" i="1" s="1"/>
  <c r="N46" i="1"/>
  <c r="O46" i="1" l="1"/>
  <c r="P46" i="1" s="1"/>
  <c r="D45" i="1" l="1"/>
  <c r="C45" i="1"/>
  <c r="B45" i="1"/>
  <c r="Q42" i="1"/>
  <c r="I42" i="1"/>
  <c r="D42" i="1"/>
  <c r="C42" i="1"/>
  <c r="B42" i="1"/>
  <c r="J42" i="1" l="1"/>
  <c r="K42" i="1" s="1"/>
  <c r="N42" i="1"/>
  <c r="O42" i="1" l="1"/>
  <c r="P42" i="1" s="1"/>
  <c r="I23" i="1"/>
  <c r="I15" i="1"/>
  <c r="I4" i="1"/>
  <c r="I2" i="1"/>
  <c r="N2" i="1" s="1"/>
  <c r="H4" i="1" l="1"/>
  <c r="H5" i="1"/>
  <c r="H6" i="1"/>
  <c r="H7" i="1"/>
  <c r="H8" i="1"/>
  <c r="H9" i="1"/>
  <c r="H10" i="1"/>
  <c r="H11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41" i="1"/>
  <c r="J15" i="1" l="1"/>
  <c r="J4" i="1"/>
  <c r="J23" i="1"/>
  <c r="J2" i="1"/>
  <c r="D4" i="1"/>
  <c r="D5" i="1"/>
  <c r="D6" i="1"/>
  <c r="D7" i="1"/>
  <c r="D8" i="1"/>
  <c r="D9" i="1"/>
  <c r="D10" i="1"/>
  <c r="D1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C4" i="1"/>
  <c r="C5" i="1"/>
  <c r="C6" i="1"/>
  <c r="C7" i="1"/>
  <c r="C8" i="1"/>
  <c r="C9" i="1"/>
  <c r="C10" i="1"/>
  <c r="C1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4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1" i="1"/>
  <c r="B10" i="1"/>
  <c r="B9" i="1"/>
  <c r="B8" i="1"/>
  <c r="B7" i="1"/>
  <c r="B6" i="1"/>
  <c r="B5" i="1"/>
  <c r="B4" i="1"/>
  <c r="B2" i="1"/>
  <c r="R4" i="2" l="1"/>
  <c r="S4" i="2"/>
  <c r="S5" i="2"/>
  <c r="S6" i="2"/>
  <c r="S7" i="2"/>
  <c r="S8" i="2"/>
  <c r="S9" i="2"/>
  <c r="S10" i="2"/>
  <c r="R9" i="2"/>
  <c r="R10" i="2"/>
  <c r="S2" i="2" l="1"/>
  <c r="R2" i="2"/>
  <c r="R8" i="2" l="1"/>
  <c r="R5" i="2"/>
  <c r="R6" i="2"/>
  <c r="R7" i="2"/>
  <c r="S3" i="2" l="1"/>
  <c r="R3" i="2" l="1"/>
  <c r="Q23" i="1" l="1"/>
  <c r="Q15" i="1"/>
  <c r="Q4" i="1"/>
  <c r="Q2" i="1"/>
  <c r="N23" i="1"/>
  <c r="M23" i="1" l="1"/>
  <c r="M46" i="1" s="1"/>
  <c r="K23" i="1"/>
  <c r="O23" i="1" s="1"/>
  <c r="P23" i="1" s="1"/>
  <c r="N15" i="1" l="1"/>
  <c r="K15" i="1" l="1"/>
  <c r="O15" i="1" s="1"/>
  <c r="P15" i="1" s="1"/>
  <c r="N4" i="1" l="1"/>
  <c r="K4" i="1" l="1"/>
  <c r="O4" i="1" s="1"/>
  <c r="P4" i="1" s="1"/>
  <c r="V2" i="1" l="1"/>
  <c r="K2" i="1"/>
  <c r="O2" i="1" l="1"/>
  <c r="P2" i="1" s="1"/>
  <c r="U2" i="1"/>
  <c r="W2" i="1" l="1"/>
  <c r="X2" i="1" s="1"/>
</calcChain>
</file>

<file path=xl/sharedStrings.xml><?xml version="1.0" encoding="utf-8"?>
<sst xmlns="http://schemas.openxmlformats.org/spreadsheetml/2006/main" count="263" uniqueCount="174">
  <si>
    <t>Qty</t>
  </si>
  <si>
    <t>Price</t>
  </si>
  <si>
    <t>TotalQty</t>
  </si>
  <si>
    <t>AvgPrice</t>
  </si>
  <si>
    <t>Stock</t>
  </si>
  <si>
    <t>Value</t>
  </si>
  <si>
    <t>CurrentPrice</t>
  </si>
  <si>
    <t>UpdatedDT</t>
  </si>
  <si>
    <t>CurrentValue</t>
  </si>
  <si>
    <t>P/L</t>
  </si>
  <si>
    <t>P/L %</t>
  </si>
  <si>
    <t>LT Foods</t>
  </si>
  <si>
    <t>Date</t>
  </si>
  <si>
    <t>Indian Oil</t>
  </si>
  <si>
    <t>Fineotex Chemical</t>
  </si>
  <si>
    <t>Vakrangee</t>
  </si>
  <si>
    <t>BIOCON</t>
  </si>
  <si>
    <t>Current</t>
  </si>
  <si>
    <t>Invested</t>
  </si>
  <si>
    <t>LTCG Days</t>
  </si>
  <si>
    <t>Adani Transmission</t>
  </si>
  <si>
    <t>S.no</t>
  </si>
  <si>
    <t>EntryDate</t>
  </si>
  <si>
    <t>TargetPrice</t>
  </si>
  <si>
    <t>Status</t>
  </si>
  <si>
    <t>TargetDate</t>
  </si>
  <si>
    <t>Reason</t>
  </si>
  <si>
    <t>AGM On 8-Aug-2019</t>
  </si>
  <si>
    <t>AchievedDate</t>
  </si>
  <si>
    <t>EntrydateOpnPrice</t>
  </si>
  <si>
    <t>Indo Amines</t>
  </si>
  <si>
    <t>AGM On 10-Aug-2019</t>
  </si>
  <si>
    <t>Deepak Fertilizers</t>
  </si>
  <si>
    <t>AGM On 14-Aug-2019</t>
  </si>
  <si>
    <t>Nava Bharat Ventures</t>
  </si>
  <si>
    <t>Bharat Forge</t>
  </si>
  <si>
    <t>58th AGM On 13-Aug-2019</t>
  </si>
  <si>
    <t>BestBuyPrice</t>
  </si>
  <si>
    <t>215-218</t>
  </si>
  <si>
    <t>88-90</t>
  </si>
  <si>
    <t>68-70</t>
  </si>
  <si>
    <t>85-87</t>
  </si>
  <si>
    <t>410-420</t>
  </si>
  <si>
    <t>Menon Bearings</t>
  </si>
  <si>
    <t>AGM On 18-Jul-2019</t>
  </si>
  <si>
    <t>70-72</t>
  </si>
  <si>
    <t>Remarks</t>
  </si>
  <si>
    <t>AGM on 18-Sep-2019 at 10:30 a.m</t>
  </si>
  <si>
    <t>Balmer Lawrie</t>
  </si>
  <si>
    <t>Lowest in 1 Month</t>
  </si>
  <si>
    <t>Highest in 1 Month</t>
  </si>
  <si>
    <t>170-173</t>
  </si>
  <si>
    <t>Bannari Amman Spinning Mills</t>
  </si>
  <si>
    <t>AGM On 19-Aug-2019</t>
  </si>
  <si>
    <t>BestBuyDate</t>
  </si>
  <si>
    <t>Datamatics Global Services</t>
  </si>
  <si>
    <t>31st AGM on 13-Aug-2019 at 2.00 p.m</t>
  </si>
  <si>
    <t>72-75</t>
  </si>
  <si>
    <t>133-135</t>
  </si>
  <si>
    <t>Entry-TargetDiff</t>
  </si>
  <si>
    <t>Entry-AchievedDiff</t>
  </si>
  <si>
    <t>CurrentDate</t>
  </si>
  <si>
    <t>decreasing trend towards AGM</t>
  </si>
  <si>
    <t>RevisedTarget</t>
  </si>
  <si>
    <t>RevisedDate</t>
  </si>
  <si>
    <t>Failed</t>
  </si>
  <si>
    <t>Year</t>
  </si>
  <si>
    <t>Month</t>
  </si>
  <si>
    <t>StockName</t>
  </si>
  <si>
    <t>TotalValue</t>
  </si>
  <si>
    <t>Sum of TotalValue</t>
  </si>
  <si>
    <t>YesBank</t>
  </si>
  <si>
    <t>Row Labels</t>
  </si>
  <si>
    <t>Grand Total</t>
  </si>
  <si>
    <t>Sum of CurrentValue</t>
  </si>
  <si>
    <t>Sum of P/L</t>
  </si>
  <si>
    <t>NMDC</t>
  </si>
  <si>
    <t>target</t>
  </si>
  <si>
    <t>current</t>
  </si>
  <si>
    <t>buy</t>
  </si>
  <si>
    <t>Fund raising plan on OCT 11 Meeting</t>
  </si>
  <si>
    <t>Action</t>
  </si>
  <si>
    <t>zee entertaintment</t>
  </si>
  <si>
    <t>Sell</t>
  </si>
  <si>
    <t>Aurobindo</t>
  </si>
  <si>
    <t>USFDA issued 7 observations. But the stock already down 20% previous day.</t>
  </si>
  <si>
    <t>BPCL</t>
  </si>
  <si>
    <t>Selling the Company to Private will have negative sentiment. Brokerages rating SELL with target 450</t>
  </si>
  <si>
    <t xml:space="preserve">Sun pharma </t>
  </si>
  <si>
    <t>Creates pledge on additional 5.5 lakh shares</t>
  </si>
  <si>
    <t>sell</t>
  </si>
  <si>
    <t>Actual</t>
  </si>
  <si>
    <t>90% of promoters shares pledged.CFO Resigns</t>
  </si>
  <si>
    <t>JSW Steel</t>
  </si>
  <si>
    <t>promoters releases pledge on 1.3 cr shares</t>
  </si>
  <si>
    <t>Buy</t>
  </si>
  <si>
    <t>duration</t>
  </si>
  <si>
    <t>intraday</t>
  </si>
  <si>
    <t>5 days</t>
  </si>
  <si>
    <t>1 month</t>
  </si>
  <si>
    <t>2 months</t>
  </si>
  <si>
    <t>Indiabulls Housing Finance</t>
  </si>
  <si>
    <t>RBI cancelled the merger approval of Indiabulls housing finance with Lakshmi vilas bank due to worst performance</t>
  </si>
  <si>
    <t>Expect trend reversal by 10-15 rs on US-China Trade talks going positive,
Moodys downgraded GDP forecast from 6.1 to 5.8
IIP data to be released today</t>
  </si>
  <si>
    <t>Promoters create pledge on 8 lakh shares</t>
  </si>
  <si>
    <t>NIIT falls 15% as stock turns ex-date for share buyback</t>
  </si>
  <si>
    <t>NIIT</t>
  </si>
  <si>
    <t>Infosys</t>
  </si>
  <si>
    <t>PC Jweller</t>
  </si>
  <si>
    <t>Vodafone</t>
  </si>
  <si>
    <t>Relcom</t>
  </si>
  <si>
    <t>Jagran Prakashan</t>
  </si>
  <si>
    <t>Punjab National Bank</t>
  </si>
  <si>
    <t>Aster DM Healthcare</t>
  </si>
  <si>
    <t>Granules India</t>
  </si>
  <si>
    <t>Return Days</t>
  </si>
  <si>
    <t>NCC</t>
  </si>
  <si>
    <t>Ashok Leyland</t>
  </si>
  <si>
    <t>Federal Bank</t>
  </si>
  <si>
    <t>FUTENT</t>
  </si>
  <si>
    <t>VEDLIM</t>
  </si>
  <si>
    <t>WIPRO</t>
  </si>
  <si>
    <t>ELGI</t>
  </si>
  <si>
    <t>BuyDate</t>
  </si>
  <si>
    <t>BuyQty</t>
  </si>
  <si>
    <t>BuyPrice</t>
  </si>
  <si>
    <t>TotalBuyValue</t>
  </si>
  <si>
    <t>TotalBuyQty</t>
  </si>
  <si>
    <t>AvgBuyPrice</t>
  </si>
  <si>
    <t>BuyValue</t>
  </si>
  <si>
    <t>SellDate</t>
  </si>
  <si>
    <t>SellQty</t>
  </si>
  <si>
    <t>Sell Price</t>
  </si>
  <si>
    <t>SellValue</t>
  </si>
  <si>
    <t>TotalSellQty</t>
  </si>
  <si>
    <t>TotalSellValue</t>
  </si>
  <si>
    <t>PendQty</t>
  </si>
  <si>
    <t>PendValue</t>
  </si>
  <si>
    <t>UpdatedDate</t>
  </si>
  <si>
    <t>Hatson Agro</t>
  </si>
  <si>
    <r>
      <t xml:space="preserve">Sold as a </t>
    </r>
    <r>
      <rPr>
        <b/>
        <sz val="11"/>
        <color theme="1"/>
        <rFont val="Calibri"/>
        <family val="2"/>
        <scheme val="minor"/>
      </rPr>
      <t>Preventive measure</t>
    </r>
    <r>
      <rPr>
        <sz val="11"/>
        <color theme="1"/>
        <rFont val="Calibri"/>
        <family val="2"/>
        <scheme val="minor"/>
      </rPr>
      <t xml:space="preserve"> because of Corona Fear and Apr-Aug Period.
After Selling at 37.6, the price fall to 32.80 as on 19 Apr 2021 thereby escaped from the Unrealized loss of 3900*(37.6-32.80) =18720</t>
    </r>
  </si>
  <si>
    <t>KNRCON</t>
  </si>
  <si>
    <t>1 year</t>
  </si>
  <si>
    <t>Announced Share buybcak price at 1750 Rs</t>
  </si>
  <si>
    <t>KNR Constructions</t>
  </si>
  <si>
    <t>1 Year</t>
  </si>
  <si>
    <t>Recently gave 1:1 bonus and infrastructure sector is in positive mood and it is good performer</t>
  </si>
  <si>
    <t>Recently gave 3:1 bonus and company performance and stock behaviour is stable and good</t>
  </si>
  <si>
    <t>Let it settle at 29 and below then start buying in trenches as 
1. It has not moved above 40  for the past 2 years
2.Nirav modi extradition to India is confirmed</t>
  </si>
  <si>
    <t>Fineotex Chemicals</t>
  </si>
  <si>
    <t>Behaviour</t>
  </si>
  <si>
    <t>Slow and Steady rise after a drastic fall</t>
  </si>
  <si>
    <t>very Slow and Steady rise after a drastic fall</t>
  </si>
  <si>
    <t>Horse Speed after a drastic fall</t>
  </si>
  <si>
    <t>Bandhan Bank</t>
  </si>
  <si>
    <t>IRCON</t>
  </si>
  <si>
    <t>1 Month</t>
  </si>
  <si>
    <t>Redington</t>
  </si>
  <si>
    <t>1:1 Bonus Issue, Ex bonus date : 20-Aug-2021</t>
  </si>
  <si>
    <t>370-400</t>
  </si>
  <si>
    <t>Hatsun Agro</t>
  </si>
  <si>
    <t>Best to buy 10 days before result and sell 1 day before result</t>
  </si>
  <si>
    <t>Wipro</t>
  </si>
  <si>
    <t>Always follow zig zag pattern with 10 -15 Rs fluctuation between 9:15-9:30 on result day</t>
  </si>
  <si>
    <t>Varun Beverages</t>
  </si>
  <si>
    <t>1735 as on 21-Aug-2021</t>
  </si>
  <si>
    <t>287.45 as on 21-Aug-2021</t>
  </si>
  <si>
    <t>920.80 as on 21-Aug-2021</t>
  </si>
  <si>
    <t>even if result is negative,on the next day it will move positive atleast upto 8-10 rs for sure.</t>
  </si>
  <si>
    <t>Remarks as of 21-Aug-2021</t>
  </si>
  <si>
    <t>As expected it didn't move to 370-400 range instead behaves volatile between 305-340.
After bonus issue, price was 160. so Buying can be start when it reaches 140-145</t>
  </si>
  <si>
    <t>Success</t>
  </si>
  <si>
    <t>Failure</t>
  </si>
  <si>
    <t>35.5 as of 21-Aug-2021
38.5 as of 16-Feb-2022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</si>
</sst>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/>
    <xf numFmtId="2" fontId="0" fillId="0" borderId="0" xfId="0" applyNumberFormat="1"/>
    <xf numFmtId="9" fontId="0" fillId="0" borderId="0" xfId="1" applyFont="1"/>
    <xf numFmtId="1" fontId="0" fillId="0" borderId="0" xfId="0" applyNumberFormat="1"/>
    <xf numFmtId="2" fontId="0" fillId="0" borderId="1" xfId="0" applyNumberFormat="1" applyBorder="1"/>
    <xf numFmtId="15" fontId="0" fillId="0" borderId="0" xfId="0" applyNumberFormat="1"/>
    <xf numFmtId="0" fontId="0" fillId="4" borderId="0" xfId="0" applyFill="1"/>
    <xf numFmtId="0" fontId="0" fillId="5" borderId="0" xfId="0" applyFill="1"/>
    <xf numFmtId="15" fontId="0" fillId="5" borderId="0" xfId="0" applyNumberFormat="1" applyFill="1"/>
    <xf numFmtId="1" fontId="0" fillId="5" borderId="0" xfId="0" applyNumberFormat="1" applyFill="1"/>
    <xf numFmtId="0" fontId="3" fillId="2" borderId="0" xfId="0" applyFont="1" applyFill="1"/>
    <xf numFmtId="0" fontId="3" fillId="5" borderId="0" xfId="0" applyFont="1" applyFill="1"/>
    <xf numFmtId="0" fontId="4" fillId="5" borderId="0" xfId="0" applyFont="1" applyFill="1"/>
    <xf numFmtId="1" fontId="2" fillId="0" borderId="1" xfId="0" applyNumberFormat="1" applyFont="1" applyBorder="1"/>
    <xf numFmtId="0" fontId="0" fillId="0" borderId="0" xfId="0" pivotButton="1"/>
    <xf numFmtId="1" fontId="0" fillId="2" borderId="0" xfId="0" applyNumberFormat="1" applyFill="1"/>
    <xf numFmtId="0" fontId="0" fillId="0" borderId="0" xfId="0" applyAlignment="1">
      <alignment horizontal="left"/>
    </xf>
    <xf numFmtId="164" fontId="2" fillId="2" borderId="0" xfId="2" applyNumberFormat="1" applyFont="1" applyFill="1"/>
    <xf numFmtId="1" fontId="2" fillId="2" borderId="0" xfId="0" applyNumberFormat="1" applyFont="1" applyFill="1"/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9" fontId="0" fillId="6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/>
    </xf>
    <xf numFmtId="1" fontId="0" fillId="7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5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5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14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9" fontId="0" fillId="0" borderId="1" xfId="1" applyFont="1" applyBorder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9" fontId="0" fillId="6" borderId="1" xfId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9" fontId="0" fillId="4" borderId="1" xfId="1" applyFont="1" applyFill="1" applyBorder="1" applyAlignment="1">
      <alignment horizontal="right" vertical="center"/>
    </xf>
    <xf numFmtId="14" fontId="0" fillId="0" borderId="1" xfId="1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right" vertical="center"/>
    </xf>
    <xf numFmtId="1" fontId="0" fillId="0" borderId="3" xfId="1" applyNumberFormat="1" applyFont="1" applyBorder="1" applyAlignment="1">
      <alignment horizontal="right" vertical="center"/>
    </xf>
    <xf numFmtId="1" fontId="0" fillId="0" borderId="4" xfId="1" applyNumberFormat="1" applyFont="1" applyBorder="1" applyAlignment="1">
      <alignment horizontal="right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2" xfId="1" applyNumberFormat="1" applyFont="1" applyBorder="1" applyAlignment="1">
      <alignment horizontal="right" vertical="center"/>
    </xf>
    <xf numFmtId="2" fontId="0" fillId="0" borderId="3" xfId="1" applyNumberFormat="1" applyFont="1" applyBorder="1" applyAlignment="1">
      <alignment horizontal="right" vertical="center"/>
    </xf>
    <xf numFmtId="2" fontId="0" fillId="0" borderId="4" xfId="1" applyNumberFormat="1" applyFont="1" applyBorder="1" applyAlignment="1">
      <alignment horizontal="right" vertical="center"/>
    </xf>
    <xf numFmtId="14" fontId="0" fillId="0" borderId="2" xfId="1" applyNumberFormat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right" vertical="center"/>
    </xf>
    <xf numFmtId="14" fontId="0" fillId="0" borderId="2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9" fontId="0" fillId="0" borderId="4" xfId="1" applyFont="1" applyBorder="1" applyAlignment="1">
      <alignment horizontal="center" vertical="center"/>
    </xf>
    <xf numFmtId="9" fontId="0" fillId="6" borderId="2" xfId="1" applyFont="1" applyFill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MODEL.xlsx]MonthlyInvestment!PivotTable1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MonthlyInvestment!$C$3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MonthlyInvestment!$A$4:$B$22</c:f>
              <c:multiLvlStrCache>
                <c:ptCount val="19"/>
                <c:lvl>
                  <c:pt idx="0">
                    <c:v>4</c:v>
                  </c:pt>
                  <c:pt idx="1">
                    <c:v>5</c:v>
                  </c:pt>
                  <c:pt idx="2">
                    <c:v>7</c:v>
                  </c:pt>
                  <c:pt idx="3">
                    <c:v>8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6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  <c:pt idx="14">
                    <c:v>2021</c:v>
                  </c:pt>
                </c:lvl>
              </c:multiLvlStrCache>
            </c:multiLvlStrRef>
          </c:cat>
          <c:val>
            <c:numRef>
              <c:f>MonthlyInvestment!$C$4:$C$22</c:f>
              <c:numCache>
                <c:formatCode>0</c:formatCode>
                <c:ptCount val="19"/>
                <c:pt idx="0">
                  <c:v>1628.7</c:v>
                </c:pt>
                <c:pt idx="1">
                  <c:v>1450</c:v>
                </c:pt>
                <c:pt idx="2">
                  <c:v>2800</c:v>
                </c:pt>
                <c:pt idx="3">
                  <c:v>3805</c:v>
                </c:pt>
                <c:pt idx="4">
                  <c:v>3570.0000000000005</c:v>
                </c:pt>
                <c:pt idx="5">
                  <c:v>9680</c:v>
                </c:pt>
                <c:pt idx="6">
                  <c:v>7500</c:v>
                </c:pt>
                <c:pt idx="7">
                  <c:v>10675</c:v>
                </c:pt>
                <c:pt idx="8">
                  <c:v>38450</c:v>
                </c:pt>
                <c:pt idx="9">
                  <c:v>1898.75</c:v>
                </c:pt>
                <c:pt idx="10">
                  <c:v>4937.5</c:v>
                </c:pt>
                <c:pt idx="11">
                  <c:v>18225</c:v>
                </c:pt>
                <c:pt idx="12">
                  <c:v>23540</c:v>
                </c:pt>
                <c:pt idx="13">
                  <c:v>4272.5</c:v>
                </c:pt>
                <c:pt idx="14">
                  <c:v>26815</c:v>
                </c:pt>
                <c:pt idx="15">
                  <c:v>9656.25</c:v>
                </c:pt>
                <c:pt idx="16">
                  <c:v>5225</c:v>
                </c:pt>
                <c:pt idx="17">
                  <c:v>27590</c:v>
                </c:pt>
                <c:pt idx="18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6-4FD0-9A3C-FE1B3094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10880"/>
        <c:axId val="98883776"/>
      </c:lineChart>
      <c:catAx>
        <c:axId val="1212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3776"/>
        <c:crosses val="autoZero"/>
        <c:auto val="1"/>
        <c:lblAlgn val="ctr"/>
        <c:lblOffset val="100"/>
        <c:noMultiLvlLbl val="0"/>
      </c:catAx>
      <c:valAx>
        <c:axId val="988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MODEL.xlsx]StockvalueStatus!PivotTable2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StockvalueStatus!$B$3</c:f>
              <c:strCache>
                <c:ptCount val="1"/>
                <c:pt idx="0">
                  <c:v>Sum of TotalValue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StockvalueStatus!$B$4:$B$12</c:f>
              <c:numCache>
                <c:formatCode>0</c:formatCode>
                <c:ptCount val="8"/>
                <c:pt idx="0">
                  <c:v>21542.45</c:v>
                </c:pt>
                <c:pt idx="1">
                  <c:v>87350</c:v>
                </c:pt>
                <c:pt idx="2">
                  <c:v>6645</c:v>
                </c:pt>
                <c:pt idx="3">
                  <c:v>23540</c:v>
                </c:pt>
                <c:pt idx="4">
                  <c:v>39351.25</c:v>
                </c:pt>
                <c:pt idx="5">
                  <c:v>19980</c:v>
                </c:pt>
                <c:pt idx="6">
                  <c:v>3310</c:v>
                </c:pt>
                <c:pt idx="7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0-4633-8166-FEDD2D2CD565}"/>
            </c:ext>
          </c:extLst>
        </c:ser>
        <c:ser>
          <c:idx val="1"/>
          <c:order val="1"/>
          <c:tx>
            <c:strRef>
              <c:f>StockvalueStatus!$C$3</c:f>
              <c:strCache>
                <c:ptCount val="1"/>
                <c:pt idx="0">
                  <c:v>Sum of CurrentValue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StockvalueStatus!$C$4:$C$12</c:f>
              <c:numCache>
                <c:formatCode>0</c:formatCode>
                <c:ptCount val="8"/>
                <c:pt idx="0">
                  <c:v>23750</c:v>
                </c:pt>
                <c:pt idx="1">
                  <c:v>52650</c:v>
                </c:pt>
                <c:pt idx="2">
                  <c:v>5550</c:v>
                </c:pt>
                <c:pt idx="3">
                  <c:v>13585</c:v>
                </c:pt>
                <c:pt idx="4">
                  <c:v>40400</c:v>
                </c:pt>
                <c:pt idx="5">
                  <c:v>30900</c:v>
                </c:pt>
                <c:pt idx="6">
                  <c:v>3840</c:v>
                </c:pt>
                <c:pt idx="7">
                  <c:v>10762.5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0-4633-8166-FEDD2D2CD565}"/>
            </c:ext>
          </c:extLst>
        </c:ser>
        <c:ser>
          <c:idx val="2"/>
          <c:order val="2"/>
          <c:tx>
            <c:strRef>
              <c:f>StockvalueStatus!$D$3</c:f>
              <c:strCache>
                <c:ptCount val="1"/>
                <c:pt idx="0">
                  <c:v>Sum of P/L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StockvalueStatus!$D$4:$D$12</c:f>
              <c:numCache>
                <c:formatCode>0</c:formatCode>
                <c:ptCount val="8"/>
                <c:pt idx="0">
                  <c:v>2207.5499999999993</c:v>
                </c:pt>
                <c:pt idx="1">
                  <c:v>-34700</c:v>
                </c:pt>
                <c:pt idx="2">
                  <c:v>-1095</c:v>
                </c:pt>
                <c:pt idx="3">
                  <c:v>-9955</c:v>
                </c:pt>
                <c:pt idx="4">
                  <c:v>1048.75</c:v>
                </c:pt>
                <c:pt idx="5">
                  <c:v>10920</c:v>
                </c:pt>
                <c:pt idx="6">
                  <c:v>530</c:v>
                </c:pt>
                <c:pt idx="7">
                  <c:v>-762.5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0-4633-8166-FEDD2D2C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11904"/>
        <c:axId val="121397248"/>
      </c:lineChart>
      <c:catAx>
        <c:axId val="1212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7248"/>
        <c:crosses val="autoZero"/>
        <c:auto val="1"/>
        <c:lblAlgn val="ctr"/>
        <c:lblOffset val="100"/>
        <c:noMultiLvlLbl val="0"/>
      </c:catAx>
      <c:valAx>
        <c:axId val="1213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</xdr:rowOff>
    </xdr:from>
    <xdr:to>
      <xdr:col>14</xdr:col>
      <xdr:colOff>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685801</xdr:colOff>
      <xdr:row>1</xdr:row>
      <xdr:rowOff>171450</xdr:rowOff>
    </xdr:from>
    <xdr:to>
      <xdr:col>14</xdr:col>
      <xdr:colOff>1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92.73576087963" createdVersion="4" refreshedVersion="8" minRefreshableVersion="3" recordCount="80" xr:uid="{00000000-000A-0000-FFFF-FFFF11000000}">
  <cacheSource type="worksheet">
    <worksheetSource ref="B1:Q1048576" sheet="Details" r:id="rId2"/>
  </cacheSource>
  <cacheFields count="16">
    <cacheField name="StockName" numFmtId="0">
      <sharedItems containsBlank="1"/>
    </cacheField>
    <cacheField name="Year" numFmtId="0">
      <sharedItems containsString="0" containsBlank="1" containsNumber="1" containsInteger="1" minValue="1900" maxValue="2022" count="6">
        <n v="2022"/>
        <n v="1900"/>
        <n v="2019"/>
        <n v="2020"/>
        <n v="2021"/>
        <m/>
      </sharedItems>
    </cacheField>
    <cacheField name="Month" numFmtId="0">
      <sharedItems containsString="0" containsBlank="1" containsNumber="1" containsInteger="1" minValue="1" maxValue="12" count="13">
        <n v="2"/>
        <n v="1"/>
        <n v="4"/>
        <n v="5"/>
        <n v="7"/>
        <n v="8"/>
        <n v="6"/>
        <n v="11"/>
        <n v="10"/>
        <n v="12"/>
        <n v="3"/>
        <m/>
        <n v="9" u="1"/>
      </sharedItems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884" maxValue="1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92.735762152777" createdVersion="6" refreshedVersion="8" minRefreshableVersion="3" recordCount="80" xr:uid="{00000000-000A-0000-FFFF-FFFF0D000000}">
  <cacheSource type="worksheet">
    <worksheetSource ref="B1:Q1048576" sheet="Details" r:id="rId2"/>
  </cacheSource>
  <cacheFields count="16">
    <cacheField name="StockName" numFmtId="0">
      <sharedItems containsBlank="1" containsMixedTypes="1" containsNumber="1" containsInteger="1" minValue="0" maxValue="0" count="14">
        <s v="ELGI"/>
        <s v="Indian Oil"/>
        <s v="FUTENT"/>
        <s v="YesBank"/>
        <s v="Infosys"/>
        <s v="PC Jweller"/>
        <s v="BIOCON"/>
        <s v="KNRCON"/>
        <s v="Hatson Agro"/>
        <s v="Bandhan Bank"/>
        <s v="Punjab National Bank"/>
        <s v="IRCON"/>
        <m/>
        <n v="0" u="1"/>
      </sharedItems>
    </cacheField>
    <cacheField name="Year" numFmtId="0">
      <sharedItems containsString="0" containsBlank="1" containsNumber="1" containsInteger="1" minValue="1900" maxValue="2022"/>
    </cacheField>
    <cacheField name="Month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884" maxValue="1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ELGI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ELGI"/>
    <x v="1"/>
    <x v="1"/>
    <m/>
    <m/>
    <m/>
    <m/>
    <m/>
    <m/>
    <m/>
    <m/>
    <m/>
    <m/>
    <m/>
    <m/>
    <m/>
  </r>
  <r>
    <s v="Indian Oil"/>
    <x v="2"/>
    <x v="2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914"/>
  </r>
  <r>
    <s v="Indian Oil"/>
    <x v="2"/>
    <x v="3"/>
    <d v="2019-05-13T00:00:00"/>
    <n v="10"/>
    <n v="145"/>
    <n v="1450"/>
    <m/>
    <m/>
    <m/>
    <m/>
    <m/>
    <m/>
    <m/>
    <m/>
    <m/>
  </r>
  <r>
    <s v="Indian Oil"/>
    <x v="2"/>
    <x v="4"/>
    <d v="2019-07-29T00:00:00"/>
    <n v="20"/>
    <n v="140"/>
    <n v="2800"/>
    <m/>
    <m/>
    <m/>
    <m/>
    <m/>
    <m/>
    <m/>
    <m/>
    <m/>
  </r>
  <r>
    <s v="Indian Oil"/>
    <x v="2"/>
    <x v="5"/>
    <d v="2019-08-07T00:00:00"/>
    <n v="20"/>
    <n v="129"/>
    <n v="2580"/>
    <m/>
    <m/>
    <m/>
    <m/>
    <m/>
    <m/>
    <m/>
    <m/>
    <m/>
  </r>
  <r>
    <s v="Indian Oil"/>
    <x v="2"/>
    <x v="5"/>
    <d v="2019-08-21T00:00:00"/>
    <n v="10"/>
    <n v="122.5"/>
    <n v="1225"/>
    <m/>
    <m/>
    <m/>
    <m/>
    <m/>
    <m/>
    <m/>
    <m/>
    <m/>
  </r>
  <r>
    <s v="Indian Oil"/>
    <x v="3"/>
    <x v="1"/>
    <d v="2020-01-21T00:00:00"/>
    <n v="30"/>
    <n v="115"/>
    <n v="3450"/>
    <m/>
    <m/>
    <m/>
    <m/>
    <m/>
    <m/>
    <m/>
    <m/>
    <m/>
  </r>
  <r>
    <s v="Indian Oil"/>
    <x v="3"/>
    <x v="3"/>
    <d v="2020-05-07T00:00:00"/>
    <n v="25"/>
    <n v="75.95"/>
    <n v="1898.75"/>
    <m/>
    <m/>
    <m/>
    <m/>
    <m/>
    <m/>
    <m/>
    <m/>
    <m/>
  </r>
  <r>
    <s v="Indian Oil"/>
    <x v="3"/>
    <x v="6"/>
    <d v="2020-06-05T00:00:00"/>
    <n v="25"/>
    <n v="89.5"/>
    <n v="2237.5"/>
    <m/>
    <m/>
    <m/>
    <m/>
    <m/>
    <m/>
    <m/>
    <m/>
    <m/>
  </r>
  <r>
    <s v="Indian Oil"/>
    <x v="3"/>
    <x v="7"/>
    <d v="2020-11-18T00:00:00"/>
    <n v="50"/>
    <n v="85.45"/>
    <n v="4272.5"/>
    <m/>
    <m/>
    <m/>
    <m/>
    <m/>
    <m/>
    <m/>
    <m/>
    <m/>
  </r>
  <r>
    <s v="Indian Oil"/>
    <x v="1"/>
    <x v="1"/>
    <m/>
    <m/>
    <m/>
    <m/>
    <m/>
    <m/>
    <m/>
    <m/>
    <m/>
    <m/>
    <m/>
    <m/>
    <m/>
  </r>
  <r>
    <s v="Indian Oil"/>
    <x v="1"/>
    <x v="1"/>
    <m/>
    <m/>
    <m/>
    <n v="0"/>
    <m/>
    <m/>
    <m/>
    <m/>
    <m/>
    <m/>
    <m/>
    <m/>
    <m/>
  </r>
  <r>
    <s v="FUTENT"/>
    <x v="3"/>
    <x v="8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1387"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YesBank"/>
    <x v="2"/>
    <x v="9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1674"/>
  </r>
  <r>
    <s v="YesBank"/>
    <x v="3"/>
    <x v="1"/>
    <d v="2020-01-13T00:00:00"/>
    <n v="50"/>
    <n v="42"/>
    <n v="2100"/>
    <m/>
    <m/>
    <m/>
    <m/>
    <m/>
    <m/>
    <m/>
    <m/>
    <m/>
  </r>
  <r>
    <s v="YesBank"/>
    <x v="3"/>
    <x v="1"/>
    <d v="2020-01-15T00:00:00"/>
    <n v="50"/>
    <n v="39"/>
    <n v="1950"/>
    <m/>
    <m/>
    <m/>
    <m/>
    <m/>
    <m/>
    <m/>
    <m/>
    <m/>
  </r>
  <r>
    <s v="YesBank"/>
    <x v="3"/>
    <x v="0"/>
    <d v="2020-02-05T00:00:00"/>
    <n v="200"/>
    <n v="38"/>
    <n v="7600"/>
    <m/>
    <m/>
    <m/>
    <m/>
    <m/>
    <m/>
    <m/>
    <m/>
    <m/>
  </r>
  <r>
    <s v="YesBank"/>
    <x v="3"/>
    <x v="10"/>
    <d v="2020-03-03T00:00:00"/>
    <n v="250"/>
    <n v="31"/>
    <n v="7750"/>
    <m/>
    <m/>
    <m/>
    <m/>
    <m/>
    <m/>
    <m/>
    <m/>
    <m/>
  </r>
  <r>
    <s v="YesBank"/>
    <x v="3"/>
    <x v="10"/>
    <d v="2020-03-04T00:00:00"/>
    <n v="250"/>
    <n v="29"/>
    <n v="7250"/>
    <m/>
    <m/>
    <m/>
    <m/>
    <m/>
    <m/>
    <m/>
    <m/>
    <m/>
  </r>
  <r>
    <s v="YesBank"/>
    <x v="3"/>
    <x v="10"/>
    <d v="2020-03-05T00:00:00"/>
    <n v="100"/>
    <n v="29"/>
    <n v="2900"/>
    <m/>
    <m/>
    <m/>
    <m/>
    <m/>
    <m/>
    <m/>
    <m/>
    <m/>
  </r>
  <r>
    <s v="YesBank"/>
    <x v="3"/>
    <x v="10"/>
    <d v="2020-03-09T00:00:00"/>
    <n v="1000"/>
    <n v="20.55"/>
    <n v="20550"/>
    <m/>
    <m/>
    <m/>
    <m/>
    <m/>
    <m/>
    <m/>
    <m/>
    <m/>
  </r>
  <r>
    <s v="YesBank"/>
    <x v="3"/>
    <x v="6"/>
    <d v="2020-06-25T00:00:00"/>
    <n v="100"/>
    <n v="27"/>
    <n v="2700"/>
    <m/>
    <m/>
    <m/>
    <m/>
    <m/>
    <m/>
    <m/>
    <m/>
    <m/>
  </r>
  <r>
    <s v="YesBank"/>
    <x v="3"/>
    <x v="4"/>
    <d v="2020-07-01T00:00:00"/>
    <n v="100"/>
    <n v="25.25"/>
    <n v="2525"/>
    <m/>
    <m/>
    <m/>
    <m/>
    <m/>
    <m/>
    <m/>
    <m/>
    <m/>
  </r>
  <r>
    <s v="YesBank"/>
    <x v="3"/>
    <x v="4"/>
    <d v="2020-07-07T00:00:00"/>
    <n v="100"/>
    <n v="25.5"/>
    <n v="2550"/>
    <m/>
    <m/>
    <m/>
    <m/>
    <m/>
    <m/>
    <m/>
    <m/>
    <m/>
  </r>
  <r>
    <s v="YesBank"/>
    <x v="3"/>
    <x v="4"/>
    <d v="2020-07-15T00:00:00"/>
    <n v="1000"/>
    <n v="12"/>
    <n v="12000"/>
    <m/>
    <m/>
    <m/>
    <m/>
    <m/>
    <m/>
    <m/>
    <m/>
    <m/>
  </r>
  <r>
    <s v="YesBank"/>
    <x v="3"/>
    <x v="4"/>
    <d v="2020-07-28T00:00:00"/>
    <n v="100"/>
    <n v="11.5"/>
    <n v="1150"/>
    <m/>
    <m/>
    <m/>
    <m/>
    <m/>
    <m/>
    <m/>
    <m/>
    <m/>
  </r>
  <r>
    <s v="YesBank"/>
    <x v="4"/>
    <x v="1"/>
    <d v="2021-01-08T00:00:00"/>
    <n v="100"/>
    <n v="17.899999999999999"/>
    <n v="1789.9999999999998"/>
    <m/>
    <m/>
    <m/>
    <m/>
    <m/>
    <m/>
    <m/>
    <m/>
    <m/>
  </r>
  <r>
    <s v="YesBank"/>
    <x v="4"/>
    <x v="1"/>
    <d v="2021-01-14T00:00:00"/>
    <n v="100"/>
    <n v="17.7"/>
    <n v="1770"/>
    <m/>
    <m/>
    <m/>
    <m/>
    <m/>
    <m/>
    <m/>
    <m/>
    <m/>
  </r>
  <r>
    <s v="YesBank"/>
    <x v="4"/>
    <x v="1"/>
    <d v="2021-01-27T00:00:00"/>
    <n v="100"/>
    <n v="15.75"/>
    <n v="1575"/>
    <m/>
    <m/>
    <m/>
    <m/>
    <m/>
    <m/>
    <m/>
    <m/>
    <m/>
  </r>
  <r>
    <s v="YesBank"/>
    <x v="4"/>
    <x v="1"/>
    <d v="2021-01-28T00:00:00"/>
    <n v="100"/>
    <n v="15.1"/>
    <n v="1510"/>
    <m/>
    <m/>
    <m/>
    <m/>
    <m/>
    <m/>
    <m/>
    <m/>
    <m/>
  </r>
  <r>
    <s v="YesBank"/>
    <x v="1"/>
    <x v="1"/>
    <m/>
    <m/>
    <m/>
    <m/>
    <m/>
    <m/>
    <m/>
    <m/>
    <m/>
    <m/>
    <m/>
    <m/>
    <m/>
  </r>
  <r>
    <s v="YesBank"/>
    <x v="1"/>
    <x v="1"/>
    <m/>
    <m/>
    <m/>
    <n v="0"/>
    <m/>
    <m/>
    <m/>
    <m/>
    <m/>
    <m/>
    <m/>
    <m/>
    <m/>
  </r>
  <r>
    <s v="Infosys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PC Jweller"/>
    <x v="2"/>
    <x v="7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1717"/>
  </r>
  <r>
    <s v="PC Jweller"/>
    <x v="3"/>
    <x v="0"/>
    <d v="2020-02-05T00:00:00"/>
    <n v="150"/>
    <n v="20.5"/>
    <n v="3075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BIOCON"/>
    <x v="4"/>
    <x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1274"/>
  </r>
  <r>
    <s v="BIOCON"/>
    <x v="4"/>
    <x v="1"/>
    <d v="2021-01-22T00:00:00"/>
    <n v="25"/>
    <n v="397.8"/>
    <n v="9945"/>
    <m/>
    <m/>
    <m/>
    <m/>
    <m/>
    <m/>
    <m/>
    <m/>
    <m/>
  </r>
  <r>
    <s v="BIOCON"/>
    <x v="4"/>
    <x v="0"/>
    <d v="2021-02-23T00:00:00"/>
    <n v="25"/>
    <n v="386.25"/>
    <n v="9656.25"/>
    <m/>
    <m/>
    <m/>
    <m/>
    <m/>
    <m/>
    <m/>
    <m/>
    <m/>
  </r>
  <r>
    <s v="BIOCON"/>
    <x v="4"/>
    <x v="2"/>
    <d v="2021-04-30T00:00:00"/>
    <n v="25"/>
    <n v="381"/>
    <n v="9525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KNRCON"/>
    <x v="4"/>
    <x v="10"/>
    <d v="2021-03-10T00:00:00"/>
    <n v="25"/>
    <n v="209"/>
    <n v="5225"/>
    <n v="100"/>
    <n v="199.8"/>
    <n v="19980"/>
    <n v="309"/>
    <d v="2022-02-16T00:00:00"/>
    <n v="30900"/>
    <n v="10920"/>
    <n v="0.54654654654654655"/>
    <n v="1227"/>
  </r>
  <r>
    <s v="KNRCON"/>
    <x v="4"/>
    <x v="2"/>
    <d v="2021-04-12T00:00:00"/>
    <n v="25"/>
    <n v="200.05"/>
    <n v="5001.25"/>
    <m/>
    <m/>
    <m/>
    <m/>
    <m/>
    <m/>
    <m/>
    <m/>
    <m/>
  </r>
  <r>
    <s v="KNRCON"/>
    <x v="4"/>
    <x v="2"/>
    <d v="2021-04-20T00:00:00"/>
    <n v="25"/>
    <n v="200.05"/>
    <n v="5001.25"/>
    <m/>
    <m/>
    <m/>
    <m/>
    <m/>
    <m/>
    <m/>
    <m/>
    <m/>
  </r>
  <r>
    <s v="KNRCON"/>
    <x v="4"/>
    <x v="2"/>
    <d v="2021-04-26T00:00:00"/>
    <n v="25"/>
    <n v="190.1"/>
    <n v="4752.5"/>
    <m/>
    <m/>
    <m/>
    <m/>
    <m/>
    <m/>
    <m/>
    <m/>
    <m/>
  </r>
  <r>
    <s v="KNRCON"/>
    <x v="1"/>
    <x v="1"/>
    <m/>
    <m/>
    <m/>
    <n v="0"/>
    <m/>
    <m/>
    <m/>
    <m/>
    <m/>
    <m/>
    <m/>
    <m/>
    <m/>
  </r>
  <r>
    <s v="Hatson Agro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Hatson Agro"/>
    <x v="1"/>
    <x v="1"/>
    <m/>
    <m/>
    <m/>
    <m/>
    <m/>
    <m/>
    <m/>
    <m/>
    <m/>
    <m/>
    <m/>
    <m/>
    <m/>
  </r>
  <r>
    <s v="Bandhan Bank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Bandhan Bank"/>
    <x v="1"/>
    <x v="1"/>
    <m/>
    <m/>
    <m/>
    <m/>
    <m/>
    <m/>
    <m/>
    <m/>
    <m/>
    <m/>
    <m/>
    <m/>
    <m/>
  </r>
  <r>
    <s v="Punjab National Bank"/>
    <x v="4"/>
    <x v="2"/>
    <d v="2021-04-22T00:00:00"/>
    <n v="100"/>
    <n v="33.1"/>
    <n v="3310"/>
    <n v="100"/>
    <n v="33.1"/>
    <n v="3310"/>
    <n v="38.4"/>
    <d v="2022-02-16T00:00:00"/>
    <n v="3840"/>
    <n v="530"/>
    <n v="0.16012084592145015"/>
    <n v="1184"/>
  </r>
  <r>
    <s v="Punjab National Bank"/>
    <x v="1"/>
    <x v="1"/>
    <m/>
    <m/>
    <m/>
    <n v="0"/>
    <m/>
    <m/>
    <m/>
    <m/>
    <m/>
    <m/>
    <m/>
    <m/>
    <m/>
  </r>
  <r>
    <s v="IRCON"/>
    <x v="4"/>
    <x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1127"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m/>
    <x v="5"/>
    <x v="11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0"/>
    <n v="1900"/>
    <n v="1"/>
    <m/>
    <m/>
    <m/>
    <m/>
    <m/>
    <m/>
    <m/>
    <m/>
    <m/>
    <m/>
    <m/>
    <m/>
    <m/>
  </r>
  <r>
    <x v="1"/>
    <n v="2019"/>
    <n v="4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914"/>
  </r>
  <r>
    <x v="1"/>
    <n v="2019"/>
    <n v="5"/>
    <d v="2019-05-13T00:00:00"/>
    <n v="10"/>
    <n v="145"/>
    <n v="1450"/>
    <m/>
    <m/>
    <m/>
    <m/>
    <m/>
    <m/>
    <m/>
    <m/>
    <m/>
  </r>
  <r>
    <x v="1"/>
    <n v="2019"/>
    <n v="7"/>
    <d v="2019-07-29T00:00:00"/>
    <n v="20"/>
    <n v="140"/>
    <n v="2800"/>
    <m/>
    <m/>
    <m/>
    <m/>
    <m/>
    <m/>
    <m/>
    <m/>
    <m/>
  </r>
  <r>
    <x v="1"/>
    <n v="2019"/>
    <n v="8"/>
    <d v="2019-08-07T00:00:00"/>
    <n v="20"/>
    <n v="129"/>
    <n v="2580"/>
    <m/>
    <m/>
    <m/>
    <m/>
    <m/>
    <m/>
    <m/>
    <m/>
    <m/>
  </r>
  <r>
    <x v="1"/>
    <n v="2019"/>
    <n v="8"/>
    <d v="2019-08-21T00:00:00"/>
    <n v="10"/>
    <n v="122.5"/>
    <n v="1225"/>
    <m/>
    <m/>
    <m/>
    <m/>
    <m/>
    <m/>
    <m/>
    <m/>
    <m/>
  </r>
  <r>
    <x v="1"/>
    <n v="2020"/>
    <n v="1"/>
    <d v="2020-01-21T00:00:00"/>
    <n v="30"/>
    <n v="115"/>
    <n v="3450"/>
    <m/>
    <m/>
    <m/>
    <m/>
    <m/>
    <m/>
    <m/>
    <m/>
    <m/>
  </r>
  <r>
    <x v="1"/>
    <n v="2020"/>
    <n v="5"/>
    <d v="2020-05-07T00:00:00"/>
    <n v="25"/>
    <n v="75.95"/>
    <n v="1898.75"/>
    <m/>
    <m/>
    <m/>
    <m/>
    <m/>
    <m/>
    <m/>
    <m/>
    <m/>
  </r>
  <r>
    <x v="1"/>
    <n v="2020"/>
    <n v="6"/>
    <d v="2020-06-05T00:00:00"/>
    <n v="25"/>
    <n v="89.5"/>
    <n v="2237.5"/>
    <m/>
    <m/>
    <m/>
    <m/>
    <m/>
    <m/>
    <m/>
    <m/>
    <m/>
  </r>
  <r>
    <x v="1"/>
    <n v="2020"/>
    <n v="11"/>
    <d v="2020-11-18T00:00:00"/>
    <n v="50"/>
    <n v="85.45"/>
    <n v="4272.5"/>
    <m/>
    <m/>
    <m/>
    <m/>
    <m/>
    <m/>
    <m/>
    <m/>
    <m/>
  </r>
  <r>
    <x v="1"/>
    <n v="1900"/>
    <n v="1"/>
    <m/>
    <m/>
    <m/>
    <m/>
    <m/>
    <m/>
    <m/>
    <m/>
    <m/>
    <m/>
    <m/>
    <m/>
    <m/>
  </r>
  <r>
    <x v="1"/>
    <n v="1900"/>
    <n v="1"/>
    <m/>
    <m/>
    <m/>
    <n v="0"/>
    <m/>
    <m/>
    <m/>
    <m/>
    <m/>
    <m/>
    <m/>
    <m/>
    <m/>
  </r>
  <r>
    <x v="2"/>
    <n v="2020"/>
    <n v="10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1387"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3"/>
    <n v="2019"/>
    <n v="12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1674"/>
  </r>
  <r>
    <x v="3"/>
    <n v="2020"/>
    <n v="1"/>
    <d v="2020-01-13T00:00:00"/>
    <n v="50"/>
    <n v="42"/>
    <n v="2100"/>
    <m/>
    <m/>
    <m/>
    <m/>
    <m/>
    <m/>
    <m/>
    <m/>
    <m/>
  </r>
  <r>
    <x v="3"/>
    <n v="2020"/>
    <n v="1"/>
    <d v="2020-01-15T00:00:00"/>
    <n v="50"/>
    <n v="39"/>
    <n v="1950"/>
    <m/>
    <m/>
    <m/>
    <m/>
    <m/>
    <m/>
    <m/>
    <m/>
    <m/>
  </r>
  <r>
    <x v="3"/>
    <n v="2020"/>
    <n v="2"/>
    <d v="2020-02-05T00:00:00"/>
    <n v="200"/>
    <n v="38"/>
    <n v="7600"/>
    <m/>
    <m/>
    <m/>
    <m/>
    <m/>
    <m/>
    <m/>
    <m/>
    <m/>
  </r>
  <r>
    <x v="3"/>
    <n v="2020"/>
    <n v="3"/>
    <d v="2020-03-03T00:00:00"/>
    <n v="250"/>
    <n v="31"/>
    <n v="7750"/>
    <m/>
    <m/>
    <m/>
    <m/>
    <m/>
    <m/>
    <m/>
    <m/>
    <m/>
  </r>
  <r>
    <x v="3"/>
    <n v="2020"/>
    <n v="3"/>
    <d v="2020-03-04T00:00:00"/>
    <n v="250"/>
    <n v="29"/>
    <n v="7250"/>
    <m/>
    <m/>
    <m/>
    <m/>
    <m/>
    <m/>
    <m/>
    <m/>
    <m/>
  </r>
  <r>
    <x v="3"/>
    <n v="2020"/>
    <n v="3"/>
    <d v="2020-03-05T00:00:00"/>
    <n v="100"/>
    <n v="29"/>
    <n v="2900"/>
    <m/>
    <m/>
    <m/>
    <m/>
    <m/>
    <m/>
    <m/>
    <m/>
    <m/>
  </r>
  <r>
    <x v="3"/>
    <n v="2020"/>
    <n v="3"/>
    <d v="2020-03-09T00:00:00"/>
    <n v="1000"/>
    <n v="20.55"/>
    <n v="20550"/>
    <m/>
    <m/>
    <m/>
    <m/>
    <m/>
    <m/>
    <m/>
    <m/>
    <m/>
  </r>
  <r>
    <x v="3"/>
    <n v="2020"/>
    <n v="6"/>
    <d v="2020-06-25T00:00:00"/>
    <n v="100"/>
    <n v="27"/>
    <n v="2700"/>
    <m/>
    <m/>
    <m/>
    <m/>
    <m/>
    <m/>
    <m/>
    <m/>
    <m/>
  </r>
  <r>
    <x v="3"/>
    <n v="2020"/>
    <n v="7"/>
    <d v="2020-07-01T00:00:00"/>
    <n v="100"/>
    <n v="25.25"/>
    <n v="2525"/>
    <m/>
    <m/>
    <m/>
    <m/>
    <m/>
    <m/>
    <m/>
    <m/>
    <m/>
  </r>
  <r>
    <x v="3"/>
    <n v="2020"/>
    <n v="7"/>
    <d v="2020-07-07T00:00:00"/>
    <n v="100"/>
    <n v="25.5"/>
    <n v="2550"/>
    <m/>
    <m/>
    <m/>
    <m/>
    <m/>
    <m/>
    <m/>
    <m/>
    <m/>
  </r>
  <r>
    <x v="3"/>
    <n v="2020"/>
    <n v="7"/>
    <d v="2020-07-15T00:00:00"/>
    <n v="1000"/>
    <n v="12"/>
    <n v="12000"/>
    <m/>
    <m/>
    <m/>
    <m/>
    <m/>
    <m/>
    <m/>
    <m/>
    <m/>
  </r>
  <r>
    <x v="3"/>
    <n v="2020"/>
    <n v="7"/>
    <d v="2020-07-28T00:00:00"/>
    <n v="100"/>
    <n v="11.5"/>
    <n v="1150"/>
    <m/>
    <m/>
    <m/>
    <m/>
    <m/>
    <m/>
    <m/>
    <m/>
    <m/>
  </r>
  <r>
    <x v="3"/>
    <n v="2021"/>
    <n v="1"/>
    <d v="2021-01-08T00:00:00"/>
    <n v="100"/>
    <n v="17.899999999999999"/>
    <n v="1789.9999999999998"/>
    <m/>
    <m/>
    <m/>
    <m/>
    <m/>
    <m/>
    <m/>
    <m/>
    <m/>
  </r>
  <r>
    <x v="3"/>
    <n v="2021"/>
    <n v="1"/>
    <d v="2021-01-14T00:00:00"/>
    <n v="100"/>
    <n v="17.7"/>
    <n v="1770"/>
    <m/>
    <m/>
    <m/>
    <m/>
    <m/>
    <m/>
    <m/>
    <m/>
    <m/>
  </r>
  <r>
    <x v="3"/>
    <n v="2021"/>
    <n v="1"/>
    <d v="2021-01-27T00:00:00"/>
    <n v="100"/>
    <n v="15.75"/>
    <n v="1575"/>
    <m/>
    <m/>
    <m/>
    <m/>
    <m/>
    <m/>
    <m/>
    <m/>
    <m/>
  </r>
  <r>
    <x v="3"/>
    <n v="2021"/>
    <n v="1"/>
    <d v="2021-01-28T00:00:00"/>
    <n v="100"/>
    <n v="15.1"/>
    <n v="1510"/>
    <m/>
    <m/>
    <m/>
    <m/>
    <m/>
    <m/>
    <m/>
    <m/>
    <m/>
  </r>
  <r>
    <x v="3"/>
    <n v="1900"/>
    <n v="1"/>
    <m/>
    <m/>
    <m/>
    <m/>
    <m/>
    <m/>
    <m/>
    <m/>
    <m/>
    <m/>
    <m/>
    <m/>
    <m/>
  </r>
  <r>
    <x v="3"/>
    <n v="1900"/>
    <n v="1"/>
    <m/>
    <m/>
    <m/>
    <n v="0"/>
    <m/>
    <m/>
    <m/>
    <m/>
    <m/>
    <m/>
    <m/>
    <m/>
    <m/>
  </r>
  <r>
    <x v="4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5"/>
    <n v="2019"/>
    <n v="11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1717"/>
  </r>
  <r>
    <x v="5"/>
    <n v="2020"/>
    <n v="2"/>
    <d v="2020-02-05T00:00:00"/>
    <n v="150"/>
    <n v="20.5"/>
    <n v="3075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6"/>
    <n v="2021"/>
    <n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1274"/>
  </r>
  <r>
    <x v="6"/>
    <n v="2021"/>
    <n v="1"/>
    <d v="2021-01-22T00:00:00"/>
    <n v="25"/>
    <n v="397.8"/>
    <n v="9945"/>
    <m/>
    <m/>
    <m/>
    <m/>
    <m/>
    <m/>
    <m/>
    <m/>
    <m/>
  </r>
  <r>
    <x v="6"/>
    <n v="2021"/>
    <n v="2"/>
    <d v="2021-02-23T00:00:00"/>
    <n v="25"/>
    <n v="386.25"/>
    <n v="9656.25"/>
    <m/>
    <m/>
    <m/>
    <m/>
    <m/>
    <m/>
    <m/>
    <m/>
    <m/>
  </r>
  <r>
    <x v="6"/>
    <n v="2021"/>
    <n v="4"/>
    <d v="2021-04-30T00:00:00"/>
    <n v="25"/>
    <n v="381"/>
    <n v="9525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7"/>
    <n v="2021"/>
    <n v="3"/>
    <d v="2021-03-10T00:00:00"/>
    <n v="25"/>
    <n v="209"/>
    <n v="5225"/>
    <n v="100"/>
    <n v="199.8"/>
    <n v="19980"/>
    <n v="309"/>
    <d v="2022-02-16T00:00:00"/>
    <n v="30900"/>
    <n v="10920"/>
    <n v="0.54654654654654655"/>
    <n v="1227"/>
  </r>
  <r>
    <x v="7"/>
    <n v="2021"/>
    <n v="4"/>
    <d v="2021-04-12T00:00:00"/>
    <n v="25"/>
    <n v="200.05"/>
    <n v="5001.25"/>
    <m/>
    <m/>
    <m/>
    <m/>
    <m/>
    <m/>
    <m/>
    <m/>
    <m/>
  </r>
  <r>
    <x v="7"/>
    <n v="2021"/>
    <n v="4"/>
    <d v="2021-04-20T00:00:00"/>
    <n v="25"/>
    <n v="200.05"/>
    <n v="5001.25"/>
    <m/>
    <m/>
    <m/>
    <m/>
    <m/>
    <m/>
    <m/>
    <m/>
    <m/>
  </r>
  <r>
    <x v="7"/>
    <n v="2021"/>
    <n v="4"/>
    <d v="2021-04-26T00:00:00"/>
    <n v="25"/>
    <n v="190.1"/>
    <n v="4752.5"/>
    <m/>
    <m/>
    <m/>
    <m/>
    <m/>
    <m/>
    <m/>
    <m/>
    <m/>
  </r>
  <r>
    <x v="7"/>
    <n v="1900"/>
    <n v="1"/>
    <m/>
    <m/>
    <m/>
    <n v="0"/>
    <m/>
    <m/>
    <m/>
    <m/>
    <m/>
    <m/>
    <m/>
    <m/>
    <m/>
  </r>
  <r>
    <x v="8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8"/>
    <n v="1900"/>
    <n v="1"/>
    <m/>
    <m/>
    <m/>
    <m/>
    <m/>
    <m/>
    <m/>
    <m/>
    <m/>
    <m/>
    <m/>
    <m/>
    <m/>
  </r>
  <r>
    <x v="9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9"/>
    <n v="1900"/>
    <n v="1"/>
    <m/>
    <m/>
    <m/>
    <m/>
    <m/>
    <m/>
    <m/>
    <m/>
    <m/>
    <m/>
    <m/>
    <m/>
    <m/>
  </r>
  <r>
    <x v="10"/>
    <n v="2021"/>
    <n v="4"/>
    <d v="2021-04-22T00:00:00"/>
    <n v="100"/>
    <n v="33.1"/>
    <n v="3310"/>
    <n v="100"/>
    <n v="33.1"/>
    <n v="3310"/>
    <n v="38.4"/>
    <d v="2022-02-16T00:00:00"/>
    <n v="3840"/>
    <n v="530"/>
    <n v="0.16012084592145015"/>
    <n v="1184"/>
  </r>
  <r>
    <x v="10"/>
    <n v="1900"/>
    <n v="1"/>
    <m/>
    <m/>
    <m/>
    <n v="0"/>
    <m/>
    <m/>
    <m/>
    <m/>
    <m/>
    <m/>
    <m/>
    <m/>
    <m/>
  </r>
  <r>
    <x v="11"/>
    <n v="2021"/>
    <n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1127"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5" indent="0" compact="0" compactData="0" multipleFieldFilters="0" chartFormat="22">
  <location ref="A3:C22" firstHeaderRow="1" firstDataRow="1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x="2"/>
        <item h="1" x="5"/>
        <item x="3"/>
        <item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">
        <item x="1"/>
        <item x="0"/>
        <item x="10"/>
        <item x="2"/>
        <item x="3"/>
        <item x="6"/>
        <item x="4"/>
        <item x="5"/>
        <item m="1" x="12"/>
        <item x="8"/>
        <item x="7"/>
        <item x="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9">
    <i>
      <x v="1"/>
      <x v="3"/>
    </i>
    <i r="1">
      <x v="4"/>
    </i>
    <i r="1">
      <x v="6"/>
    </i>
    <i r="1">
      <x v="7"/>
    </i>
    <i r="1">
      <x v="10"/>
    </i>
    <i r="1">
      <x v="11"/>
    </i>
    <i>
      <x v="3"/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>
      <x v="4"/>
      <x/>
    </i>
    <i r="1">
      <x v="1"/>
    </i>
    <i r="1">
      <x v="2"/>
    </i>
    <i r="1">
      <x v="3"/>
    </i>
    <i r="1">
      <x v="5"/>
    </i>
  </rowItems>
  <colItems count="1">
    <i/>
  </colItems>
  <dataFields count="1">
    <dataField name="Sum of TotalValue" fld="6" baseField="2" baseItem="1" numFmtId="1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28">
  <location ref="A3:D12" firstHeaderRow="0" firstDataRow="1" firstDataCol="1"/>
  <pivotFields count="16">
    <pivotField axis="axisRow" showAll="0">
      <items count="15">
        <item x="1"/>
        <item x="3"/>
        <item h="1" x="12"/>
        <item x="5"/>
        <item x="2"/>
        <item h="1" x="0"/>
        <item h="1" x="8"/>
        <item h="1" m="1" x="13"/>
        <item x="6"/>
        <item x="7"/>
        <item h="1" x="9"/>
        <item x="10"/>
        <item x="11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3"/>
    </i>
    <i>
      <x v="4"/>
    </i>
    <i>
      <x v="8"/>
    </i>
    <i>
      <x v="9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Value" fld="6" baseField="0" baseItem="0" numFmtId="1"/>
    <dataField name="Sum of CurrentValue" fld="12" baseField="0" baseItem="0" numFmtId="1"/>
    <dataField name="Sum of P/L" fld="13" baseField="1" baseItem="0" numFmtId="1"/>
  </dataFields>
  <formats count="7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workbookViewId="0">
      <pane ySplit="1" topLeftCell="A82" activePane="bottomLeft" state="frozen"/>
      <selection activeCell="B1" sqref="B1"/>
      <selection pane="bottomLeft" activeCell="A4" sqref="A4:A14"/>
    </sheetView>
  </sheetViews>
  <sheetFormatPr defaultRowHeight="15" x14ac:dyDescent="0.25"/>
  <cols>
    <col min="1" max="1" width="20.140625" bestFit="1" customWidth="1"/>
    <col min="2" max="2" width="14.42578125" customWidth="1"/>
    <col min="3" max="3" width="10.85546875" customWidth="1"/>
    <col min="4" max="4" width="10" customWidth="1"/>
    <col min="5" max="5" width="10.7109375" bestFit="1" customWidth="1"/>
    <col min="6" max="6" width="9.7109375" bestFit="1" customWidth="1"/>
    <col min="7" max="7" width="9.7109375" style="8" bestFit="1" customWidth="1"/>
    <col min="8" max="8" width="10.5703125" style="8" bestFit="1" customWidth="1"/>
    <col min="10" max="10" width="8.7109375" style="8" bestFit="1" customWidth="1"/>
    <col min="11" max="11" width="9.5703125" style="10" bestFit="1" customWidth="1"/>
    <col min="12" max="12" width="12.140625" bestFit="1" customWidth="1"/>
    <col min="13" max="13" width="11" bestFit="1" customWidth="1"/>
    <col min="14" max="14" width="12.85546875" bestFit="1" customWidth="1"/>
    <col min="15" max="15" width="8.42578125" customWidth="1"/>
    <col min="17" max="17" width="9.7109375" style="10" bestFit="1" customWidth="1"/>
    <col min="19" max="19" width="7" customWidth="1"/>
    <col min="21" max="21" width="9.5703125" bestFit="1" customWidth="1"/>
    <col min="24" max="24" width="6.28515625" customWidth="1"/>
  </cols>
  <sheetData>
    <row r="1" spans="1:24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</v>
      </c>
      <c r="F1" s="1" t="s">
        <v>0</v>
      </c>
      <c r="G1" s="2" t="s">
        <v>1</v>
      </c>
      <c r="H1" s="2" t="s">
        <v>69</v>
      </c>
      <c r="I1" s="1" t="s">
        <v>2</v>
      </c>
      <c r="J1" s="2" t="s">
        <v>3</v>
      </c>
      <c r="K1" s="20" t="s">
        <v>5</v>
      </c>
      <c r="L1" s="7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0" t="s">
        <v>19</v>
      </c>
      <c r="S1" s="87"/>
      <c r="T1" s="87"/>
      <c r="V1" t="s">
        <v>17</v>
      </c>
      <c r="W1" t="s">
        <v>9</v>
      </c>
      <c r="X1" t="s">
        <v>10</v>
      </c>
    </row>
    <row r="2" spans="1:24" x14ac:dyDescent="0.25">
      <c r="A2" s="81" t="s">
        <v>122</v>
      </c>
      <c r="B2" s="4" t="str">
        <f>A2</f>
        <v>ELGI</v>
      </c>
      <c r="C2" s="4">
        <f t="shared" ref="C2:C40" si="0">YEAR(E2)</f>
        <v>2022</v>
      </c>
      <c r="D2" s="4">
        <f t="shared" ref="D2:D39" si="1">MONTH(E2)</f>
        <v>2</v>
      </c>
      <c r="E2" s="6">
        <v>44608</v>
      </c>
      <c r="F2" s="3">
        <v>1</v>
      </c>
      <c r="G2" s="11">
        <v>1</v>
      </c>
      <c r="H2" s="11">
        <v>1</v>
      </c>
      <c r="I2" s="81">
        <f>SUM(F2:F3)</f>
        <v>1</v>
      </c>
      <c r="J2" s="82">
        <f>SUM(H2:H3)/SUM(F2:F3)</f>
        <v>1</v>
      </c>
      <c r="K2" s="83">
        <f>I2*J2</f>
        <v>1</v>
      </c>
      <c r="L2" s="84">
        <v>1</v>
      </c>
      <c r="M2" s="85">
        <v>44608</v>
      </c>
      <c r="N2" s="81">
        <f>I2*L2</f>
        <v>1</v>
      </c>
      <c r="O2" s="81">
        <f>N2-K2</f>
        <v>0</v>
      </c>
      <c r="P2" s="86">
        <f>(O2/K2)</f>
        <v>0</v>
      </c>
      <c r="Q2" s="79">
        <f ca="1">TODAY()-E2</f>
        <v>1029</v>
      </c>
      <c r="S2" s="88" t="s">
        <v>18</v>
      </c>
      <c r="T2" s="88"/>
      <c r="U2" s="10">
        <f>SUM(K:K)</f>
        <v>213247.7</v>
      </c>
      <c r="V2" s="10">
        <f>SUM(N:N)</f>
        <v>181441.5</v>
      </c>
      <c r="W2" s="10">
        <f>SUM(O:O)</f>
        <v>-31806.199999999997</v>
      </c>
      <c r="X2" s="9">
        <f>(W2/U2)</f>
        <v>-0.14915143281732932</v>
      </c>
    </row>
    <row r="3" spans="1:24" x14ac:dyDescent="0.25">
      <c r="A3" s="81"/>
      <c r="B3" s="4" t="str">
        <f>A2</f>
        <v>ELGI</v>
      </c>
      <c r="C3" s="4">
        <f t="shared" si="0"/>
        <v>1900</v>
      </c>
      <c r="D3" s="4">
        <f t="shared" si="1"/>
        <v>1</v>
      </c>
      <c r="E3" s="4"/>
      <c r="F3" s="3"/>
      <c r="G3" s="11"/>
      <c r="H3" s="11"/>
      <c r="I3" s="81"/>
      <c r="J3" s="82"/>
      <c r="K3" s="83"/>
      <c r="L3" s="84"/>
      <c r="M3" s="81"/>
      <c r="N3" s="81"/>
      <c r="O3" s="81"/>
      <c r="P3" s="86"/>
      <c r="Q3" s="79"/>
    </row>
    <row r="4" spans="1:24" x14ac:dyDescent="0.25">
      <c r="A4" s="80" t="s">
        <v>13</v>
      </c>
      <c r="B4" s="5" t="str">
        <f>A4</f>
        <v>Indian Oil</v>
      </c>
      <c r="C4" s="4">
        <f t="shared" si="0"/>
        <v>2019</v>
      </c>
      <c r="D4" s="4">
        <f t="shared" si="1"/>
        <v>4</v>
      </c>
      <c r="E4" s="6">
        <v>43578</v>
      </c>
      <c r="F4" s="3">
        <v>10</v>
      </c>
      <c r="G4" s="11">
        <v>162.87</v>
      </c>
      <c r="H4" s="11">
        <f t="shared" ref="H4:H12" si="2">F4*G4</f>
        <v>1628.7</v>
      </c>
      <c r="I4" s="81">
        <f>SUM(F4:F14)</f>
        <v>200</v>
      </c>
      <c r="J4" s="82">
        <f>SUM(H4:H14)/SUM(F4:F14)</f>
        <v>107.71225</v>
      </c>
      <c r="K4" s="83">
        <f>I4*J4</f>
        <v>21542.45</v>
      </c>
      <c r="L4" s="84">
        <v>118.75</v>
      </c>
      <c r="M4" s="85">
        <f>M2</f>
        <v>44608</v>
      </c>
      <c r="N4" s="81">
        <f>I4*L4</f>
        <v>23750</v>
      </c>
      <c r="O4" s="81">
        <f>N4-K4</f>
        <v>2207.5499999999993</v>
      </c>
      <c r="P4" s="86">
        <f>(O4/K4)</f>
        <v>0.10247441679103347</v>
      </c>
      <c r="Q4" s="79">
        <f ca="1">TODAY()-E4</f>
        <v>2059</v>
      </c>
    </row>
    <row r="5" spans="1:24" x14ac:dyDescent="0.25">
      <c r="A5" s="80"/>
      <c r="B5" s="5" t="str">
        <f>A4</f>
        <v>Indian Oil</v>
      </c>
      <c r="C5" s="4">
        <f t="shared" si="0"/>
        <v>2019</v>
      </c>
      <c r="D5" s="4">
        <f t="shared" si="1"/>
        <v>5</v>
      </c>
      <c r="E5" s="6">
        <v>43598</v>
      </c>
      <c r="F5" s="3">
        <v>10</v>
      </c>
      <c r="G5" s="11">
        <v>145</v>
      </c>
      <c r="H5" s="11">
        <f t="shared" si="2"/>
        <v>1450</v>
      </c>
      <c r="I5" s="81"/>
      <c r="J5" s="82"/>
      <c r="K5" s="83"/>
      <c r="L5" s="84"/>
      <c r="M5" s="81"/>
      <c r="N5" s="81"/>
      <c r="O5" s="81"/>
      <c r="P5" s="86"/>
      <c r="Q5" s="79"/>
    </row>
    <row r="6" spans="1:24" x14ac:dyDescent="0.25">
      <c r="A6" s="80"/>
      <c r="B6" s="5" t="str">
        <f>A4</f>
        <v>Indian Oil</v>
      </c>
      <c r="C6" s="4">
        <f t="shared" si="0"/>
        <v>2019</v>
      </c>
      <c r="D6" s="4">
        <f t="shared" si="1"/>
        <v>7</v>
      </c>
      <c r="E6" s="6">
        <v>43675</v>
      </c>
      <c r="F6" s="3">
        <v>20</v>
      </c>
      <c r="G6" s="11">
        <v>140</v>
      </c>
      <c r="H6" s="11">
        <f t="shared" si="2"/>
        <v>2800</v>
      </c>
      <c r="I6" s="81"/>
      <c r="J6" s="82"/>
      <c r="K6" s="83"/>
      <c r="L6" s="84"/>
      <c r="M6" s="81"/>
      <c r="N6" s="81"/>
      <c r="O6" s="81"/>
      <c r="P6" s="86"/>
      <c r="Q6" s="79"/>
    </row>
    <row r="7" spans="1:24" x14ac:dyDescent="0.25">
      <c r="A7" s="80"/>
      <c r="B7" s="5" t="str">
        <f>A4</f>
        <v>Indian Oil</v>
      </c>
      <c r="C7" s="4">
        <f t="shared" si="0"/>
        <v>2019</v>
      </c>
      <c r="D7" s="4">
        <f t="shared" si="1"/>
        <v>8</v>
      </c>
      <c r="E7" s="6">
        <v>43684</v>
      </c>
      <c r="F7" s="3">
        <v>20</v>
      </c>
      <c r="G7" s="11">
        <v>129</v>
      </c>
      <c r="H7" s="11">
        <f t="shared" si="2"/>
        <v>2580</v>
      </c>
      <c r="I7" s="81"/>
      <c r="J7" s="82"/>
      <c r="K7" s="83"/>
      <c r="L7" s="84"/>
      <c r="M7" s="81"/>
      <c r="N7" s="81"/>
      <c r="O7" s="81"/>
      <c r="P7" s="86"/>
      <c r="Q7" s="79"/>
    </row>
    <row r="8" spans="1:24" x14ac:dyDescent="0.25">
      <c r="A8" s="80"/>
      <c r="B8" s="5" t="str">
        <f>A4</f>
        <v>Indian Oil</v>
      </c>
      <c r="C8" s="4">
        <f t="shared" si="0"/>
        <v>2019</v>
      </c>
      <c r="D8" s="4">
        <f t="shared" si="1"/>
        <v>8</v>
      </c>
      <c r="E8" s="6">
        <v>43698</v>
      </c>
      <c r="F8" s="3">
        <v>10</v>
      </c>
      <c r="G8" s="11">
        <v>122.5</v>
      </c>
      <c r="H8" s="11">
        <f t="shared" si="2"/>
        <v>1225</v>
      </c>
      <c r="I8" s="81"/>
      <c r="J8" s="82"/>
      <c r="K8" s="83"/>
      <c r="L8" s="84"/>
      <c r="M8" s="81"/>
      <c r="N8" s="81"/>
      <c r="O8" s="81"/>
      <c r="P8" s="86"/>
      <c r="Q8" s="79"/>
    </row>
    <row r="9" spans="1:24" x14ac:dyDescent="0.25">
      <c r="A9" s="80"/>
      <c r="B9" s="5" t="str">
        <f>A4</f>
        <v>Indian Oil</v>
      </c>
      <c r="C9" s="4">
        <f t="shared" si="0"/>
        <v>2020</v>
      </c>
      <c r="D9" s="4">
        <f t="shared" si="1"/>
        <v>1</v>
      </c>
      <c r="E9" s="6">
        <v>43851</v>
      </c>
      <c r="F9" s="3">
        <v>30</v>
      </c>
      <c r="G9" s="11">
        <v>115</v>
      </c>
      <c r="H9" s="11">
        <f t="shared" si="2"/>
        <v>3450</v>
      </c>
      <c r="I9" s="81"/>
      <c r="J9" s="82"/>
      <c r="K9" s="83"/>
      <c r="L9" s="84"/>
      <c r="M9" s="81"/>
      <c r="N9" s="81"/>
      <c r="O9" s="81"/>
      <c r="P9" s="86"/>
      <c r="Q9" s="79"/>
    </row>
    <row r="10" spans="1:24" x14ac:dyDescent="0.25">
      <c r="A10" s="80"/>
      <c r="B10" s="5" t="str">
        <f>A4</f>
        <v>Indian Oil</v>
      </c>
      <c r="C10" s="4">
        <f t="shared" si="0"/>
        <v>2020</v>
      </c>
      <c r="D10" s="4">
        <f t="shared" si="1"/>
        <v>5</v>
      </c>
      <c r="E10" s="6">
        <v>43958</v>
      </c>
      <c r="F10" s="3">
        <v>25</v>
      </c>
      <c r="G10" s="11">
        <v>75.95</v>
      </c>
      <c r="H10" s="11">
        <f t="shared" si="2"/>
        <v>1898.75</v>
      </c>
      <c r="I10" s="81"/>
      <c r="J10" s="82"/>
      <c r="K10" s="83"/>
      <c r="L10" s="84"/>
      <c r="M10" s="81"/>
      <c r="N10" s="81"/>
      <c r="O10" s="81"/>
      <c r="P10" s="86"/>
      <c r="Q10" s="79"/>
    </row>
    <row r="11" spans="1:24" x14ac:dyDescent="0.25">
      <c r="A11" s="80"/>
      <c r="B11" s="5" t="str">
        <f>A4</f>
        <v>Indian Oil</v>
      </c>
      <c r="C11" s="4">
        <f t="shared" si="0"/>
        <v>2020</v>
      </c>
      <c r="D11" s="4">
        <f t="shared" si="1"/>
        <v>6</v>
      </c>
      <c r="E11" s="6">
        <v>43987</v>
      </c>
      <c r="F11" s="3">
        <v>25</v>
      </c>
      <c r="G11" s="11">
        <v>89.5</v>
      </c>
      <c r="H11" s="11">
        <f t="shared" si="2"/>
        <v>2237.5</v>
      </c>
      <c r="I11" s="81"/>
      <c r="J11" s="82"/>
      <c r="K11" s="83"/>
      <c r="L11" s="84"/>
      <c r="M11" s="81"/>
      <c r="N11" s="81"/>
      <c r="O11" s="81"/>
      <c r="P11" s="86"/>
      <c r="Q11" s="79"/>
    </row>
    <row r="12" spans="1:24" x14ac:dyDescent="0.25">
      <c r="A12" s="80"/>
      <c r="B12" s="5" t="str">
        <f>A4</f>
        <v>Indian Oil</v>
      </c>
      <c r="C12" s="4">
        <f t="shared" si="0"/>
        <v>2020</v>
      </c>
      <c r="D12" s="4">
        <f t="shared" si="1"/>
        <v>11</v>
      </c>
      <c r="E12" s="6">
        <v>44153</v>
      </c>
      <c r="F12" s="3">
        <v>50</v>
      </c>
      <c r="G12" s="11">
        <v>85.45</v>
      </c>
      <c r="H12" s="11">
        <f t="shared" si="2"/>
        <v>4272.5</v>
      </c>
      <c r="I12" s="81"/>
      <c r="J12" s="82"/>
      <c r="K12" s="83"/>
      <c r="L12" s="84"/>
      <c r="M12" s="81"/>
      <c r="N12" s="81"/>
      <c r="O12" s="81"/>
      <c r="P12" s="86"/>
      <c r="Q12" s="79"/>
    </row>
    <row r="13" spans="1:24" x14ac:dyDescent="0.25">
      <c r="A13" s="80"/>
      <c r="B13" s="5" t="str">
        <f>A4</f>
        <v>Indian Oil</v>
      </c>
      <c r="C13" s="4">
        <f t="shared" si="0"/>
        <v>1900</v>
      </c>
      <c r="D13" s="4">
        <f t="shared" si="1"/>
        <v>1</v>
      </c>
      <c r="E13" s="6"/>
      <c r="F13" s="3"/>
      <c r="G13" s="11"/>
      <c r="H13" s="11"/>
      <c r="I13" s="81"/>
      <c r="J13" s="82"/>
      <c r="K13" s="83"/>
      <c r="L13" s="84"/>
      <c r="M13" s="81"/>
      <c r="N13" s="81"/>
      <c r="O13" s="81"/>
      <c r="P13" s="86"/>
      <c r="Q13" s="79"/>
    </row>
    <row r="14" spans="1:24" x14ac:dyDescent="0.25">
      <c r="A14" s="80"/>
      <c r="B14" s="5" t="str">
        <f>A4</f>
        <v>Indian Oil</v>
      </c>
      <c r="C14" s="4">
        <f t="shared" si="0"/>
        <v>1900</v>
      </c>
      <c r="D14" s="4">
        <f t="shared" si="1"/>
        <v>1</v>
      </c>
      <c r="E14" s="5"/>
      <c r="F14" s="3"/>
      <c r="G14" s="11"/>
      <c r="H14" s="11">
        <f t="shared" ref="H14:H39" si="3">F14*G14</f>
        <v>0</v>
      </c>
      <c r="I14" s="81"/>
      <c r="J14" s="82"/>
      <c r="K14" s="83"/>
      <c r="L14" s="84"/>
      <c r="M14" s="81"/>
      <c r="N14" s="81"/>
      <c r="O14" s="81"/>
      <c r="P14" s="86"/>
      <c r="Q14" s="79"/>
    </row>
    <row r="15" spans="1:24" x14ac:dyDescent="0.25">
      <c r="A15" s="80" t="s">
        <v>119</v>
      </c>
      <c r="B15" s="5" t="str">
        <f>A15</f>
        <v>FUTENT</v>
      </c>
      <c r="C15" s="4">
        <f t="shared" si="0"/>
        <v>2020</v>
      </c>
      <c r="D15" s="4">
        <f t="shared" si="1"/>
        <v>10</v>
      </c>
      <c r="E15" s="6">
        <v>44105</v>
      </c>
      <c r="F15" s="3">
        <v>1100</v>
      </c>
      <c r="G15" s="11">
        <v>21.4</v>
      </c>
      <c r="H15" s="11">
        <f t="shared" si="3"/>
        <v>23540</v>
      </c>
      <c r="I15" s="81">
        <f>SUM(F15:F22)</f>
        <v>1100</v>
      </c>
      <c r="J15" s="82">
        <f>SUM(H15:H22)/SUM(F15:F22)</f>
        <v>21.4</v>
      </c>
      <c r="K15" s="83">
        <f>I15*J15</f>
        <v>23540</v>
      </c>
      <c r="L15" s="89">
        <v>12.35</v>
      </c>
      <c r="M15" s="85">
        <f>M2</f>
        <v>44608</v>
      </c>
      <c r="N15" s="81">
        <f>I15*L15</f>
        <v>13585</v>
      </c>
      <c r="O15" s="81">
        <f>N15-K15</f>
        <v>-9955</v>
      </c>
      <c r="P15" s="86">
        <f>(O15/K15)</f>
        <v>-0.42289719626168226</v>
      </c>
      <c r="Q15" s="79">
        <f ca="1">TODAY()-E15</f>
        <v>1532</v>
      </c>
    </row>
    <row r="16" spans="1:24" x14ac:dyDescent="0.25">
      <c r="A16" s="80"/>
      <c r="B16" s="5" t="str">
        <f>A15</f>
        <v>FUTENT</v>
      </c>
      <c r="C16" s="4">
        <f t="shared" si="0"/>
        <v>1900</v>
      </c>
      <c r="D16" s="4">
        <f t="shared" si="1"/>
        <v>1</v>
      </c>
      <c r="E16" s="6"/>
      <c r="F16" s="3"/>
      <c r="G16" s="11"/>
      <c r="H16" s="11">
        <f t="shared" si="3"/>
        <v>0</v>
      </c>
      <c r="I16" s="81"/>
      <c r="J16" s="82"/>
      <c r="K16" s="83"/>
      <c r="L16" s="89"/>
      <c r="M16" s="81"/>
      <c r="N16" s="81"/>
      <c r="O16" s="81"/>
      <c r="P16" s="86"/>
      <c r="Q16" s="79"/>
    </row>
    <row r="17" spans="1:17" x14ac:dyDescent="0.25">
      <c r="A17" s="80"/>
      <c r="B17" s="5" t="str">
        <f>A15</f>
        <v>FUTENT</v>
      </c>
      <c r="C17" s="4">
        <f t="shared" si="0"/>
        <v>1900</v>
      </c>
      <c r="D17" s="4">
        <f t="shared" si="1"/>
        <v>1</v>
      </c>
      <c r="E17" s="6"/>
      <c r="F17" s="3"/>
      <c r="G17" s="11"/>
      <c r="H17" s="11">
        <f t="shared" si="3"/>
        <v>0</v>
      </c>
      <c r="I17" s="81"/>
      <c r="J17" s="82"/>
      <c r="K17" s="83"/>
      <c r="L17" s="89"/>
      <c r="M17" s="81"/>
      <c r="N17" s="81"/>
      <c r="O17" s="81"/>
      <c r="P17" s="86"/>
      <c r="Q17" s="79"/>
    </row>
    <row r="18" spans="1:17" x14ac:dyDescent="0.25">
      <c r="A18" s="80"/>
      <c r="B18" s="5" t="str">
        <f>A15</f>
        <v>FUTENT</v>
      </c>
      <c r="C18" s="4">
        <f t="shared" si="0"/>
        <v>1900</v>
      </c>
      <c r="D18" s="4">
        <f t="shared" si="1"/>
        <v>1</v>
      </c>
      <c r="E18" s="6"/>
      <c r="F18" s="3"/>
      <c r="G18" s="11"/>
      <c r="H18" s="11">
        <f t="shared" si="3"/>
        <v>0</v>
      </c>
      <c r="I18" s="81"/>
      <c r="J18" s="82"/>
      <c r="K18" s="83"/>
      <c r="L18" s="89"/>
      <c r="M18" s="81"/>
      <c r="N18" s="81"/>
      <c r="O18" s="81"/>
      <c r="P18" s="86"/>
      <c r="Q18" s="79"/>
    </row>
    <row r="19" spans="1:17" x14ac:dyDescent="0.25">
      <c r="A19" s="80"/>
      <c r="B19" s="5" t="str">
        <f>A15</f>
        <v>FUTENT</v>
      </c>
      <c r="C19" s="4">
        <f t="shared" si="0"/>
        <v>1900</v>
      </c>
      <c r="D19" s="4">
        <f t="shared" si="1"/>
        <v>1</v>
      </c>
      <c r="E19" s="6"/>
      <c r="F19" s="3"/>
      <c r="G19" s="11"/>
      <c r="H19" s="11">
        <f t="shared" si="3"/>
        <v>0</v>
      </c>
      <c r="I19" s="81"/>
      <c r="J19" s="82"/>
      <c r="K19" s="83"/>
      <c r="L19" s="89"/>
      <c r="M19" s="81"/>
      <c r="N19" s="81"/>
      <c r="O19" s="81"/>
      <c r="P19" s="86"/>
      <c r="Q19" s="79"/>
    </row>
    <row r="20" spans="1:17" x14ac:dyDescent="0.25">
      <c r="A20" s="80"/>
      <c r="B20" s="5" t="str">
        <f>A15</f>
        <v>FUTENT</v>
      </c>
      <c r="C20" s="4">
        <f t="shared" si="0"/>
        <v>1900</v>
      </c>
      <c r="D20" s="4">
        <f t="shared" si="1"/>
        <v>1</v>
      </c>
      <c r="E20" s="6"/>
      <c r="F20" s="3"/>
      <c r="G20" s="11"/>
      <c r="H20" s="11">
        <f t="shared" si="3"/>
        <v>0</v>
      </c>
      <c r="I20" s="81"/>
      <c r="J20" s="82"/>
      <c r="K20" s="83"/>
      <c r="L20" s="89"/>
      <c r="M20" s="81"/>
      <c r="N20" s="81"/>
      <c r="O20" s="81"/>
      <c r="P20" s="86"/>
      <c r="Q20" s="79"/>
    </row>
    <row r="21" spans="1:17" x14ac:dyDescent="0.25">
      <c r="A21" s="80"/>
      <c r="B21" s="5" t="str">
        <f>A15</f>
        <v>FUTENT</v>
      </c>
      <c r="C21" s="4">
        <f t="shared" si="0"/>
        <v>1900</v>
      </c>
      <c r="D21" s="4">
        <f t="shared" si="1"/>
        <v>1</v>
      </c>
      <c r="E21" s="6"/>
      <c r="F21" s="3"/>
      <c r="G21" s="11"/>
      <c r="H21" s="11">
        <f t="shared" si="3"/>
        <v>0</v>
      </c>
      <c r="I21" s="81"/>
      <c r="J21" s="82"/>
      <c r="K21" s="83"/>
      <c r="L21" s="89"/>
      <c r="M21" s="81"/>
      <c r="N21" s="81"/>
      <c r="O21" s="81"/>
      <c r="P21" s="86"/>
      <c r="Q21" s="79"/>
    </row>
    <row r="22" spans="1:17" x14ac:dyDescent="0.25">
      <c r="A22" s="80"/>
      <c r="B22" s="5" t="str">
        <f>A15</f>
        <v>FUTENT</v>
      </c>
      <c r="C22" s="4">
        <f t="shared" si="0"/>
        <v>1900</v>
      </c>
      <c r="D22" s="4">
        <f t="shared" si="1"/>
        <v>1</v>
      </c>
      <c r="E22" s="5"/>
      <c r="F22" s="3"/>
      <c r="G22" s="11"/>
      <c r="H22" s="11">
        <f t="shared" si="3"/>
        <v>0</v>
      </c>
      <c r="I22" s="81"/>
      <c r="J22" s="82"/>
      <c r="K22" s="83"/>
      <c r="L22" s="89"/>
      <c r="M22" s="81"/>
      <c r="N22" s="81"/>
      <c r="O22" s="81"/>
      <c r="P22" s="86"/>
      <c r="Q22" s="79"/>
    </row>
    <row r="23" spans="1:17" x14ac:dyDescent="0.25">
      <c r="A23" s="80" t="s">
        <v>71</v>
      </c>
      <c r="B23" s="5" t="str">
        <f>A23</f>
        <v>YesBank</v>
      </c>
      <c r="C23" s="4">
        <f t="shared" si="0"/>
        <v>2019</v>
      </c>
      <c r="D23" s="4">
        <f t="shared" si="1"/>
        <v>12</v>
      </c>
      <c r="E23" s="6">
        <v>43818</v>
      </c>
      <c r="F23" s="3">
        <v>200</v>
      </c>
      <c r="G23" s="11">
        <v>48.4</v>
      </c>
      <c r="H23" s="11">
        <f t="shared" si="3"/>
        <v>9680</v>
      </c>
      <c r="I23" s="81">
        <f>SUM(F23:F41)</f>
        <v>3900</v>
      </c>
      <c r="J23" s="82">
        <f>SUM(H23:H41)/SUM(F23:F41)</f>
        <v>22.397435897435898</v>
      </c>
      <c r="K23" s="83">
        <f>I23*J23</f>
        <v>87350</v>
      </c>
      <c r="L23" s="84">
        <v>13.5</v>
      </c>
      <c r="M23" s="85">
        <f>M15</f>
        <v>44608</v>
      </c>
      <c r="N23" s="81">
        <f>I23*L23</f>
        <v>52650</v>
      </c>
      <c r="O23" s="81">
        <f>N23-K23</f>
        <v>-34700</v>
      </c>
      <c r="P23" s="86">
        <f>(O23/K23)</f>
        <v>-0.39725243274184319</v>
      </c>
      <c r="Q23" s="79">
        <f ca="1">TODAY()-E23</f>
        <v>1819</v>
      </c>
    </row>
    <row r="24" spans="1:17" x14ac:dyDescent="0.25">
      <c r="A24" s="80"/>
      <c r="B24" s="5" t="str">
        <f>A23</f>
        <v>YesBank</v>
      </c>
      <c r="C24" s="4">
        <f t="shared" si="0"/>
        <v>2020</v>
      </c>
      <c r="D24" s="4">
        <f t="shared" si="1"/>
        <v>1</v>
      </c>
      <c r="E24" s="6">
        <v>43843</v>
      </c>
      <c r="F24" s="3">
        <v>50</v>
      </c>
      <c r="G24" s="11">
        <v>42</v>
      </c>
      <c r="H24" s="11">
        <f t="shared" si="3"/>
        <v>2100</v>
      </c>
      <c r="I24" s="81"/>
      <c r="J24" s="82"/>
      <c r="K24" s="83"/>
      <c r="L24" s="84"/>
      <c r="M24" s="81"/>
      <c r="N24" s="81"/>
      <c r="O24" s="81"/>
      <c r="P24" s="86"/>
      <c r="Q24" s="79"/>
    </row>
    <row r="25" spans="1:17" x14ac:dyDescent="0.25">
      <c r="A25" s="80"/>
      <c r="B25" s="5" t="str">
        <f>A23</f>
        <v>YesBank</v>
      </c>
      <c r="C25" s="4">
        <f t="shared" si="0"/>
        <v>2020</v>
      </c>
      <c r="D25" s="4">
        <f t="shared" si="1"/>
        <v>1</v>
      </c>
      <c r="E25" s="6">
        <v>43845</v>
      </c>
      <c r="F25" s="3">
        <v>50</v>
      </c>
      <c r="G25" s="11">
        <v>39</v>
      </c>
      <c r="H25" s="11">
        <f t="shared" si="3"/>
        <v>1950</v>
      </c>
      <c r="I25" s="81"/>
      <c r="J25" s="82"/>
      <c r="K25" s="83"/>
      <c r="L25" s="84"/>
      <c r="M25" s="81"/>
      <c r="N25" s="81"/>
      <c r="O25" s="81"/>
      <c r="P25" s="86"/>
      <c r="Q25" s="79"/>
    </row>
    <row r="26" spans="1:17" x14ac:dyDescent="0.25">
      <c r="A26" s="80"/>
      <c r="B26" s="5" t="str">
        <f>A23</f>
        <v>YesBank</v>
      </c>
      <c r="C26" s="4">
        <f t="shared" si="0"/>
        <v>2020</v>
      </c>
      <c r="D26" s="4">
        <f t="shared" si="1"/>
        <v>2</v>
      </c>
      <c r="E26" s="6">
        <v>43866</v>
      </c>
      <c r="F26" s="3">
        <v>200</v>
      </c>
      <c r="G26" s="11">
        <v>38</v>
      </c>
      <c r="H26" s="11">
        <f t="shared" si="3"/>
        <v>7600</v>
      </c>
      <c r="I26" s="81"/>
      <c r="J26" s="82"/>
      <c r="K26" s="83"/>
      <c r="L26" s="84"/>
      <c r="M26" s="81"/>
      <c r="N26" s="81"/>
      <c r="O26" s="81"/>
      <c r="P26" s="86"/>
      <c r="Q26" s="79"/>
    </row>
    <row r="27" spans="1:17" x14ac:dyDescent="0.25">
      <c r="A27" s="80"/>
      <c r="B27" s="5" t="str">
        <f>A23</f>
        <v>YesBank</v>
      </c>
      <c r="C27" s="4">
        <f t="shared" si="0"/>
        <v>2020</v>
      </c>
      <c r="D27" s="4">
        <f t="shared" si="1"/>
        <v>3</v>
      </c>
      <c r="E27" s="6">
        <v>43893</v>
      </c>
      <c r="F27" s="3">
        <v>250</v>
      </c>
      <c r="G27" s="11">
        <v>31</v>
      </c>
      <c r="H27" s="11">
        <f t="shared" si="3"/>
        <v>7750</v>
      </c>
      <c r="I27" s="81"/>
      <c r="J27" s="82"/>
      <c r="K27" s="83"/>
      <c r="L27" s="84"/>
      <c r="M27" s="81"/>
      <c r="N27" s="81"/>
      <c r="O27" s="81"/>
      <c r="P27" s="86"/>
      <c r="Q27" s="79"/>
    </row>
    <row r="28" spans="1:17" x14ac:dyDescent="0.25">
      <c r="A28" s="80"/>
      <c r="B28" s="5" t="str">
        <f>A23</f>
        <v>YesBank</v>
      </c>
      <c r="C28" s="4">
        <f t="shared" si="0"/>
        <v>2020</v>
      </c>
      <c r="D28" s="4">
        <f t="shared" si="1"/>
        <v>3</v>
      </c>
      <c r="E28" s="6">
        <v>43894</v>
      </c>
      <c r="F28" s="3">
        <v>250</v>
      </c>
      <c r="G28" s="11">
        <v>29</v>
      </c>
      <c r="H28" s="11">
        <f t="shared" si="3"/>
        <v>7250</v>
      </c>
      <c r="I28" s="81"/>
      <c r="J28" s="82"/>
      <c r="K28" s="83"/>
      <c r="L28" s="84"/>
      <c r="M28" s="81"/>
      <c r="N28" s="81"/>
      <c r="O28" s="81"/>
      <c r="P28" s="86"/>
      <c r="Q28" s="79"/>
    </row>
    <row r="29" spans="1:17" x14ac:dyDescent="0.25">
      <c r="A29" s="80"/>
      <c r="B29" s="5" t="str">
        <f>A23</f>
        <v>YesBank</v>
      </c>
      <c r="C29" s="4">
        <f t="shared" si="0"/>
        <v>2020</v>
      </c>
      <c r="D29" s="4">
        <f t="shared" si="1"/>
        <v>3</v>
      </c>
      <c r="E29" s="6">
        <v>43895</v>
      </c>
      <c r="F29" s="3">
        <v>100</v>
      </c>
      <c r="G29" s="11">
        <v>29</v>
      </c>
      <c r="H29" s="11">
        <f t="shared" si="3"/>
        <v>2900</v>
      </c>
      <c r="I29" s="81"/>
      <c r="J29" s="82"/>
      <c r="K29" s="83"/>
      <c r="L29" s="84"/>
      <c r="M29" s="81"/>
      <c r="N29" s="81"/>
      <c r="O29" s="81"/>
      <c r="P29" s="86"/>
      <c r="Q29" s="79"/>
    </row>
    <row r="30" spans="1:17" x14ac:dyDescent="0.25">
      <c r="A30" s="80"/>
      <c r="B30" s="5" t="str">
        <f>A23</f>
        <v>YesBank</v>
      </c>
      <c r="C30" s="4">
        <f t="shared" si="0"/>
        <v>2020</v>
      </c>
      <c r="D30" s="4">
        <f t="shared" si="1"/>
        <v>3</v>
      </c>
      <c r="E30" s="6">
        <v>43899</v>
      </c>
      <c r="F30" s="3">
        <v>1000</v>
      </c>
      <c r="G30" s="11">
        <v>20.55</v>
      </c>
      <c r="H30" s="11">
        <f t="shared" si="3"/>
        <v>20550</v>
      </c>
      <c r="I30" s="81"/>
      <c r="J30" s="82"/>
      <c r="K30" s="83"/>
      <c r="L30" s="84"/>
      <c r="M30" s="81"/>
      <c r="N30" s="81"/>
      <c r="O30" s="81"/>
      <c r="P30" s="86"/>
      <c r="Q30" s="79"/>
    </row>
    <row r="31" spans="1:17" x14ac:dyDescent="0.25">
      <c r="A31" s="80"/>
      <c r="B31" s="5" t="str">
        <f>A23</f>
        <v>YesBank</v>
      </c>
      <c r="C31" s="4">
        <f t="shared" si="0"/>
        <v>2020</v>
      </c>
      <c r="D31" s="4">
        <f t="shared" si="1"/>
        <v>6</v>
      </c>
      <c r="E31" s="6">
        <v>44007</v>
      </c>
      <c r="F31" s="3">
        <v>100</v>
      </c>
      <c r="G31" s="11">
        <v>27</v>
      </c>
      <c r="H31" s="11">
        <f t="shared" si="3"/>
        <v>2700</v>
      </c>
      <c r="I31" s="81"/>
      <c r="J31" s="82"/>
      <c r="K31" s="83"/>
      <c r="L31" s="84"/>
      <c r="M31" s="81"/>
      <c r="N31" s="81"/>
      <c r="O31" s="81"/>
      <c r="P31" s="86"/>
      <c r="Q31" s="79"/>
    </row>
    <row r="32" spans="1:17" x14ac:dyDescent="0.25">
      <c r="A32" s="80"/>
      <c r="B32" s="5" t="str">
        <f>A23</f>
        <v>YesBank</v>
      </c>
      <c r="C32" s="4">
        <f t="shared" si="0"/>
        <v>2020</v>
      </c>
      <c r="D32" s="4">
        <f t="shared" si="1"/>
        <v>7</v>
      </c>
      <c r="E32" s="6">
        <v>44013</v>
      </c>
      <c r="F32" s="3">
        <v>100</v>
      </c>
      <c r="G32" s="11">
        <v>25.25</v>
      </c>
      <c r="H32" s="11">
        <f t="shared" si="3"/>
        <v>2525</v>
      </c>
      <c r="I32" s="81"/>
      <c r="J32" s="82"/>
      <c r="K32" s="83"/>
      <c r="L32" s="84"/>
      <c r="M32" s="81"/>
      <c r="N32" s="81"/>
      <c r="O32" s="81"/>
      <c r="P32" s="86"/>
      <c r="Q32" s="79"/>
    </row>
    <row r="33" spans="1:17" x14ac:dyDescent="0.25">
      <c r="A33" s="80"/>
      <c r="B33" s="5" t="str">
        <f>A23</f>
        <v>YesBank</v>
      </c>
      <c r="C33" s="4">
        <f t="shared" si="0"/>
        <v>2020</v>
      </c>
      <c r="D33" s="4">
        <f t="shared" si="1"/>
        <v>7</v>
      </c>
      <c r="E33" s="6">
        <v>44019</v>
      </c>
      <c r="F33" s="3">
        <v>100</v>
      </c>
      <c r="G33" s="11">
        <v>25.5</v>
      </c>
      <c r="H33" s="11">
        <f t="shared" si="3"/>
        <v>2550</v>
      </c>
      <c r="I33" s="81"/>
      <c r="J33" s="82"/>
      <c r="K33" s="83"/>
      <c r="L33" s="84"/>
      <c r="M33" s="81"/>
      <c r="N33" s="81"/>
      <c r="O33" s="81"/>
      <c r="P33" s="86"/>
      <c r="Q33" s="79"/>
    </row>
    <row r="34" spans="1:17" x14ac:dyDescent="0.25">
      <c r="A34" s="80"/>
      <c r="B34" s="5" t="str">
        <f>A23</f>
        <v>YesBank</v>
      </c>
      <c r="C34" s="4">
        <f t="shared" si="0"/>
        <v>2020</v>
      </c>
      <c r="D34" s="4">
        <f t="shared" si="1"/>
        <v>7</v>
      </c>
      <c r="E34" s="26">
        <v>44027</v>
      </c>
      <c r="F34" s="27">
        <v>1000</v>
      </c>
      <c r="G34" s="28">
        <v>12</v>
      </c>
      <c r="H34" s="28">
        <f t="shared" si="3"/>
        <v>12000</v>
      </c>
      <c r="I34" s="81"/>
      <c r="J34" s="82"/>
      <c r="K34" s="83"/>
      <c r="L34" s="84"/>
      <c r="M34" s="81"/>
      <c r="N34" s="81"/>
      <c r="O34" s="81"/>
      <c r="P34" s="86"/>
      <c r="Q34" s="79"/>
    </row>
    <row r="35" spans="1:17" x14ac:dyDescent="0.25">
      <c r="A35" s="80"/>
      <c r="B35" s="5" t="str">
        <f>A23</f>
        <v>YesBank</v>
      </c>
      <c r="C35" s="4">
        <f t="shared" si="0"/>
        <v>2020</v>
      </c>
      <c r="D35" s="4">
        <f t="shared" si="1"/>
        <v>7</v>
      </c>
      <c r="E35" s="6">
        <v>44040</v>
      </c>
      <c r="F35" s="3">
        <v>100</v>
      </c>
      <c r="G35" s="11">
        <v>11.5</v>
      </c>
      <c r="H35" s="11">
        <f t="shared" si="3"/>
        <v>1150</v>
      </c>
      <c r="I35" s="81"/>
      <c r="J35" s="82"/>
      <c r="K35" s="83"/>
      <c r="L35" s="84"/>
      <c r="M35" s="81"/>
      <c r="N35" s="81"/>
      <c r="O35" s="81"/>
      <c r="P35" s="86"/>
      <c r="Q35" s="79"/>
    </row>
    <row r="36" spans="1:17" x14ac:dyDescent="0.25">
      <c r="A36" s="80"/>
      <c r="B36" s="5" t="str">
        <f>A23</f>
        <v>YesBank</v>
      </c>
      <c r="C36" s="4">
        <f t="shared" si="0"/>
        <v>2021</v>
      </c>
      <c r="D36" s="4">
        <f t="shared" si="1"/>
        <v>1</v>
      </c>
      <c r="E36" s="6">
        <v>44204</v>
      </c>
      <c r="F36" s="3">
        <v>100</v>
      </c>
      <c r="G36" s="11">
        <v>17.899999999999999</v>
      </c>
      <c r="H36" s="11">
        <f t="shared" si="3"/>
        <v>1789.9999999999998</v>
      </c>
      <c r="I36" s="81"/>
      <c r="J36" s="82"/>
      <c r="K36" s="83"/>
      <c r="L36" s="84"/>
      <c r="M36" s="81"/>
      <c r="N36" s="81"/>
      <c r="O36" s="81"/>
      <c r="P36" s="86"/>
      <c r="Q36" s="79"/>
    </row>
    <row r="37" spans="1:17" x14ac:dyDescent="0.25">
      <c r="A37" s="80"/>
      <c r="B37" s="5" t="str">
        <f>A23</f>
        <v>YesBank</v>
      </c>
      <c r="C37" s="4">
        <f t="shared" si="0"/>
        <v>2021</v>
      </c>
      <c r="D37" s="4">
        <f t="shared" si="1"/>
        <v>1</v>
      </c>
      <c r="E37" s="6">
        <v>44210</v>
      </c>
      <c r="F37" s="3">
        <v>100</v>
      </c>
      <c r="G37" s="11">
        <v>17.7</v>
      </c>
      <c r="H37" s="11">
        <f t="shared" si="3"/>
        <v>1770</v>
      </c>
      <c r="I37" s="81"/>
      <c r="J37" s="82"/>
      <c r="K37" s="83"/>
      <c r="L37" s="84"/>
      <c r="M37" s="81"/>
      <c r="N37" s="81"/>
      <c r="O37" s="81"/>
      <c r="P37" s="86"/>
      <c r="Q37" s="79"/>
    </row>
    <row r="38" spans="1:17" x14ac:dyDescent="0.25">
      <c r="A38" s="80"/>
      <c r="B38" s="5" t="str">
        <f>A23</f>
        <v>YesBank</v>
      </c>
      <c r="C38" s="4">
        <f t="shared" si="0"/>
        <v>2021</v>
      </c>
      <c r="D38" s="4">
        <f t="shared" si="1"/>
        <v>1</v>
      </c>
      <c r="E38" s="6">
        <v>44223</v>
      </c>
      <c r="F38" s="3">
        <v>100</v>
      </c>
      <c r="G38" s="11">
        <v>15.75</v>
      </c>
      <c r="H38" s="11">
        <f t="shared" si="3"/>
        <v>1575</v>
      </c>
      <c r="I38" s="81"/>
      <c r="J38" s="82"/>
      <c r="K38" s="83"/>
      <c r="L38" s="84"/>
      <c r="M38" s="81"/>
      <c r="N38" s="81"/>
      <c r="O38" s="81"/>
      <c r="P38" s="86"/>
      <c r="Q38" s="79"/>
    </row>
    <row r="39" spans="1:17" x14ac:dyDescent="0.25">
      <c r="A39" s="80"/>
      <c r="B39" s="5" t="str">
        <f>A23</f>
        <v>YesBank</v>
      </c>
      <c r="C39" s="4">
        <f t="shared" si="0"/>
        <v>2021</v>
      </c>
      <c r="D39" s="4">
        <f t="shared" si="1"/>
        <v>1</v>
      </c>
      <c r="E39" s="6">
        <v>44224</v>
      </c>
      <c r="F39" s="3">
        <v>100</v>
      </c>
      <c r="G39" s="11">
        <v>15.1</v>
      </c>
      <c r="H39" s="11">
        <f t="shared" si="3"/>
        <v>1510</v>
      </c>
      <c r="I39" s="81"/>
      <c r="J39" s="82"/>
      <c r="K39" s="83"/>
      <c r="L39" s="84"/>
      <c r="M39" s="81"/>
      <c r="N39" s="81"/>
      <c r="O39" s="81"/>
      <c r="P39" s="86"/>
      <c r="Q39" s="79"/>
    </row>
    <row r="40" spans="1:17" x14ac:dyDescent="0.25">
      <c r="A40" s="80"/>
      <c r="B40" s="5" t="str">
        <f>A23</f>
        <v>YesBank</v>
      </c>
      <c r="C40" s="4">
        <f t="shared" si="0"/>
        <v>1900</v>
      </c>
      <c r="D40" s="4">
        <f t="shared" ref="D40:D67" si="4">MONTH(E40)</f>
        <v>1</v>
      </c>
      <c r="E40" s="6"/>
      <c r="F40" s="3"/>
      <c r="G40" s="11"/>
      <c r="H40" s="11"/>
      <c r="I40" s="81"/>
      <c r="J40" s="82"/>
      <c r="K40" s="83"/>
      <c r="L40" s="84"/>
      <c r="M40" s="81"/>
      <c r="N40" s="81"/>
      <c r="O40" s="81"/>
      <c r="P40" s="86"/>
      <c r="Q40" s="79"/>
    </row>
    <row r="41" spans="1:17" x14ac:dyDescent="0.25">
      <c r="A41" s="80"/>
      <c r="B41" s="5" t="str">
        <f>A23</f>
        <v>YesBank</v>
      </c>
      <c r="C41" s="4">
        <f t="shared" ref="C41:C67" si="5">YEAR(E41)</f>
        <v>1900</v>
      </c>
      <c r="D41" s="4">
        <f t="shared" si="4"/>
        <v>1</v>
      </c>
      <c r="E41" s="5"/>
      <c r="F41" s="3"/>
      <c r="G41" s="11"/>
      <c r="H41" s="11">
        <f t="shared" ref="H41:H68" si="6">F41*G41</f>
        <v>0</v>
      </c>
      <c r="I41" s="81"/>
      <c r="J41" s="82"/>
      <c r="K41" s="83"/>
      <c r="L41" s="84"/>
      <c r="M41" s="81"/>
      <c r="N41" s="81"/>
      <c r="O41" s="81"/>
      <c r="P41" s="86"/>
      <c r="Q41" s="79"/>
    </row>
    <row r="42" spans="1:17" x14ac:dyDescent="0.25">
      <c r="A42" s="80" t="s">
        <v>107</v>
      </c>
      <c r="B42" s="5" t="str">
        <f>A42</f>
        <v>Infosys</v>
      </c>
      <c r="C42" s="4">
        <f t="shared" si="5"/>
        <v>2022</v>
      </c>
      <c r="D42" s="4">
        <f t="shared" si="4"/>
        <v>2</v>
      </c>
      <c r="E42" s="6">
        <v>44608</v>
      </c>
      <c r="F42" s="3">
        <v>1</v>
      </c>
      <c r="G42" s="11">
        <v>1</v>
      </c>
      <c r="H42" s="11">
        <v>1</v>
      </c>
      <c r="I42" s="81">
        <f>SUM(F42:F45)</f>
        <v>1</v>
      </c>
      <c r="J42" s="82">
        <f>SUM(H42:H45)/SUM(F42:F45)</f>
        <v>1</v>
      </c>
      <c r="K42" s="83">
        <f>I42*J42</f>
        <v>1</v>
      </c>
      <c r="L42" s="84">
        <v>1</v>
      </c>
      <c r="M42" s="85">
        <f>M2</f>
        <v>44608</v>
      </c>
      <c r="N42" s="81">
        <f>I42*L42</f>
        <v>1</v>
      </c>
      <c r="O42" s="81">
        <f>N42-K42</f>
        <v>0</v>
      </c>
      <c r="P42" s="86">
        <f>(O42/K42)</f>
        <v>0</v>
      </c>
      <c r="Q42" s="79">
        <f ca="1">TODAY()-E42</f>
        <v>1029</v>
      </c>
    </row>
    <row r="43" spans="1:17" x14ac:dyDescent="0.25">
      <c r="A43" s="80"/>
      <c r="B43" s="5" t="str">
        <f>A42</f>
        <v>Infosys</v>
      </c>
      <c r="C43" s="4">
        <f t="shared" ref="C43" si="7">YEAR(E43)</f>
        <v>1900</v>
      </c>
      <c r="D43" s="4">
        <f t="shared" ref="D43" si="8">MONTH(E43)</f>
        <v>1</v>
      </c>
      <c r="E43" s="6"/>
      <c r="F43" s="3"/>
      <c r="G43" s="11"/>
      <c r="H43" s="11"/>
      <c r="I43" s="81"/>
      <c r="J43" s="82"/>
      <c r="K43" s="83"/>
      <c r="L43" s="84"/>
      <c r="M43" s="85"/>
      <c r="N43" s="81"/>
      <c r="O43" s="81"/>
      <c r="P43" s="86"/>
      <c r="Q43" s="79"/>
    </row>
    <row r="44" spans="1:17" x14ac:dyDescent="0.25">
      <c r="A44" s="80"/>
      <c r="B44" s="5" t="str">
        <f>A42</f>
        <v>Infosys</v>
      </c>
      <c r="C44" s="4">
        <f t="shared" ref="C44" si="9">YEAR(E44)</f>
        <v>1900</v>
      </c>
      <c r="D44" s="4">
        <f t="shared" ref="D44" si="10">MONTH(E44)</f>
        <v>1</v>
      </c>
      <c r="E44" s="6"/>
      <c r="F44" s="3"/>
      <c r="G44" s="11"/>
      <c r="H44" s="11"/>
      <c r="I44" s="81"/>
      <c r="J44" s="82"/>
      <c r="K44" s="83"/>
      <c r="L44" s="84"/>
      <c r="M44" s="85"/>
      <c r="N44" s="81"/>
      <c r="O44" s="81"/>
      <c r="P44" s="86"/>
      <c r="Q44" s="79"/>
    </row>
    <row r="45" spans="1:17" x14ac:dyDescent="0.25">
      <c r="A45" s="80"/>
      <c r="B45" s="5" t="str">
        <f>A42</f>
        <v>Infosys</v>
      </c>
      <c r="C45" s="4">
        <f t="shared" si="5"/>
        <v>1900</v>
      </c>
      <c r="D45" s="4">
        <f t="shared" si="4"/>
        <v>1</v>
      </c>
      <c r="E45" s="6"/>
      <c r="F45" s="3"/>
      <c r="G45" s="11"/>
      <c r="H45" s="11"/>
      <c r="I45" s="81"/>
      <c r="J45" s="82"/>
      <c r="K45" s="83"/>
      <c r="L45" s="84"/>
      <c r="M45" s="81"/>
      <c r="N45" s="81"/>
      <c r="O45" s="81"/>
      <c r="P45" s="86"/>
      <c r="Q45" s="79"/>
    </row>
    <row r="46" spans="1:17" x14ac:dyDescent="0.25">
      <c r="A46" s="80" t="s">
        <v>108</v>
      </c>
      <c r="B46" s="5" t="str">
        <f>A46</f>
        <v>PC Jweller</v>
      </c>
      <c r="C46" s="4">
        <f t="shared" si="5"/>
        <v>2019</v>
      </c>
      <c r="D46" s="4">
        <f t="shared" si="4"/>
        <v>11</v>
      </c>
      <c r="E46" s="6">
        <v>43775</v>
      </c>
      <c r="F46" s="3">
        <v>100</v>
      </c>
      <c r="G46" s="11">
        <v>35.700000000000003</v>
      </c>
      <c r="H46" s="11">
        <f t="shared" si="6"/>
        <v>3570.0000000000005</v>
      </c>
      <c r="I46" s="81">
        <f>SUM(F46:F54)</f>
        <v>250</v>
      </c>
      <c r="J46" s="82">
        <f>SUM(H46:H54)/SUM(F46:F54)</f>
        <v>26.58</v>
      </c>
      <c r="K46" s="83">
        <f>I46*J46</f>
        <v>6645</v>
      </c>
      <c r="L46" s="84">
        <v>22.2</v>
      </c>
      <c r="M46" s="85">
        <f>M42</f>
        <v>44608</v>
      </c>
      <c r="N46" s="81">
        <f>I46*L46</f>
        <v>5550</v>
      </c>
      <c r="O46" s="81">
        <f>N46-K46</f>
        <v>-1095</v>
      </c>
      <c r="P46" s="86">
        <f>(O46/K46)</f>
        <v>-0.16478555304740405</v>
      </c>
      <c r="Q46" s="79">
        <f ca="1">TODAY()-E46</f>
        <v>1862</v>
      </c>
    </row>
    <row r="47" spans="1:17" x14ac:dyDescent="0.25">
      <c r="A47" s="80"/>
      <c r="B47" s="5" t="str">
        <f>A46</f>
        <v>PC Jweller</v>
      </c>
      <c r="C47" s="4">
        <f t="shared" si="5"/>
        <v>2020</v>
      </c>
      <c r="D47" s="4">
        <f t="shared" si="4"/>
        <v>2</v>
      </c>
      <c r="E47" s="6">
        <v>43866</v>
      </c>
      <c r="F47" s="3">
        <v>150</v>
      </c>
      <c r="G47" s="11">
        <v>20.5</v>
      </c>
      <c r="H47" s="11">
        <f t="shared" si="6"/>
        <v>3075</v>
      </c>
      <c r="I47" s="81"/>
      <c r="J47" s="82"/>
      <c r="K47" s="83"/>
      <c r="L47" s="84"/>
      <c r="M47" s="81"/>
      <c r="N47" s="81"/>
      <c r="O47" s="81"/>
      <c r="P47" s="86"/>
      <c r="Q47" s="79"/>
    </row>
    <row r="48" spans="1:17" x14ac:dyDescent="0.25">
      <c r="A48" s="80"/>
      <c r="B48" s="5" t="str">
        <f>A46</f>
        <v>PC Jweller</v>
      </c>
      <c r="C48" s="4">
        <f t="shared" si="5"/>
        <v>1900</v>
      </c>
      <c r="D48" s="4">
        <f t="shared" si="4"/>
        <v>1</v>
      </c>
      <c r="E48" s="5"/>
      <c r="F48" s="3"/>
      <c r="G48" s="11"/>
      <c r="H48" s="11">
        <f t="shared" si="6"/>
        <v>0</v>
      </c>
      <c r="I48" s="81"/>
      <c r="J48" s="82"/>
      <c r="K48" s="83"/>
      <c r="L48" s="84"/>
      <c r="M48" s="81"/>
      <c r="N48" s="81"/>
      <c r="O48" s="81"/>
      <c r="P48" s="86"/>
      <c r="Q48" s="79"/>
    </row>
    <row r="49" spans="1:17" x14ac:dyDescent="0.25">
      <c r="A49" s="80"/>
      <c r="B49" s="5" t="str">
        <f>A46</f>
        <v>PC Jweller</v>
      </c>
      <c r="C49" s="4">
        <f t="shared" si="5"/>
        <v>1900</v>
      </c>
      <c r="D49" s="4">
        <f t="shared" si="4"/>
        <v>1</v>
      </c>
      <c r="E49" s="5"/>
      <c r="F49" s="3"/>
      <c r="G49" s="11"/>
      <c r="H49" s="11">
        <f t="shared" si="6"/>
        <v>0</v>
      </c>
      <c r="I49" s="81"/>
      <c r="J49" s="82"/>
      <c r="K49" s="83"/>
      <c r="L49" s="84"/>
      <c r="M49" s="81"/>
      <c r="N49" s="81"/>
      <c r="O49" s="81"/>
      <c r="P49" s="86"/>
      <c r="Q49" s="79"/>
    </row>
    <row r="50" spans="1:17" x14ac:dyDescent="0.25">
      <c r="A50" s="80"/>
      <c r="B50" s="5" t="str">
        <f>A46</f>
        <v>PC Jweller</v>
      </c>
      <c r="C50" s="4">
        <f t="shared" si="5"/>
        <v>1900</v>
      </c>
      <c r="D50" s="4">
        <f t="shared" si="4"/>
        <v>1</v>
      </c>
      <c r="E50" s="5"/>
      <c r="F50" s="3"/>
      <c r="G50" s="11"/>
      <c r="H50" s="11">
        <f t="shared" si="6"/>
        <v>0</v>
      </c>
      <c r="I50" s="81"/>
      <c r="J50" s="82"/>
      <c r="K50" s="83"/>
      <c r="L50" s="84"/>
      <c r="M50" s="81"/>
      <c r="N50" s="81"/>
      <c r="O50" s="81"/>
      <c r="P50" s="86"/>
      <c r="Q50" s="79"/>
    </row>
    <row r="51" spans="1:17" x14ac:dyDescent="0.25">
      <c r="A51" s="80"/>
      <c r="B51" s="5" t="str">
        <f>A46</f>
        <v>PC Jweller</v>
      </c>
      <c r="C51" s="4">
        <f t="shared" si="5"/>
        <v>1900</v>
      </c>
      <c r="D51" s="4">
        <f t="shared" si="4"/>
        <v>1</v>
      </c>
      <c r="E51" s="5"/>
      <c r="F51" s="3"/>
      <c r="G51" s="11"/>
      <c r="H51" s="11">
        <f t="shared" si="6"/>
        <v>0</v>
      </c>
      <c r="I51" s="81"/>
      <c r="J51" s="82"/>
      <c r="K51" s="83"/>
      <c r="L51" s="84"/>
      <c r="M51" s="81"/>
      <c r="N51" s="81"/>
      <c r="O51" s="81"/>
      <c r="P51" s="86"/>
      <c r="Q51" s="79"/>
    </row>
    <row r="52" spans="1:17" x14ac:dyDescent="0.25">
      <c r="A52" s="80"/>
      <c r="B52" s="5" t="str">
        <f>A46</f>
        <v>PC Jweller</v>
      </c>
      <c r="C52" s="4">
        <f t="shared" si="5"/>
        <v>1900</v>
      </c>
      <c r="D52" s="4">
        <f t="shared" si="4"/>
        <v>1</v>
      </c>
      <c r="E52" s="5"/>
      <c r="F52" s="3"/>
      <c r="G52" s="11"/>
      <c r="H52" s="11">
        <f t="shared" si="6"/>
        <v>0</v>
      </c>
      <c r="I52" s="81"/>
      <c r="J52" s="82"/>
      <c r="K52" s="83"/>
      <c r="L52" s="84"/>
      <c r="M52" s="81"/>
      <c r="N52" s="81"/>
      <c r="O52" s="81"/>
      <c r="P52" s="86"/>
      <c r="Q52" s="79"/>
    </row>
    <row r="53" spans="1:17" x14ac:dyDescent="0.25">
      <c r="A53" s="80"/>
      <c r="B53" s="5" t="str">
        <f>A46</f>
        <v>PC Jweller</v>
      </c>
      <c r="C53" s="4">
        <f t="shared" si="5"/>
        <v>1900</v>
      </c>
      <c r="D53" s="4">
        <f t="shared" si="4"/>
        <v>1</v>
      </c>
      <c r="E53" s="5"/>
      <c r="F53" s="3"/>
      <c r="G53" s="11"/>
      <c r="H53" s="11">
        <f t="shared" si="6"/>
        <v>0</v>
      </c>
      <c r="I53" s="81"/>
      <c r="J53" s="82"/>
      <c r="K53" s="83"/>
      <c r="L53" s="84"/>
      <c r="M53" s="81"/>
      <c r="N53" s="81"/>
      <c r="O53" s="81"/>
      <c r="P53" s="86"/>
      <c r="Q53" s="79"/>
    </row>
    <row r="54" spans="1:17" ht="17.25" customHeight="1" x14ac:dyDescent="0.25">
      <c r="A54" s="80"/>
      <c r="B54" s="5" t="str">
        <f>A46</f>
        <v>PC Jweller</v>
      </c>
      <c r="C54" s="4">
        <f t="shared" si="5"/>
        <v>1900</v>
      </c>
      <c r="D54" s="4">
        <f t="shared" si="4"/>
        <v>1</v>
      </c>
      <c r="E54" s="5"/>
      <c r="F54" s="3"/>
      <c r="G54" s="11"/>
      <c r="H54" s="11">
        <f t="shared" si="6"/>
        <v>0</v>
      </c>
      <c r="I54" s="81"/>
      <c r="J54" s="82"/>
      <c r="K54" s="83"/>
      <c r="L54" s="84"/>
      <c r="M54" s="81"/>
      <c r="N54" s="81"/>
      <c r="O54" s="81"/>
      <c r="P54" s="86"/>
      <c r="Q54" s="79"/>
    </row>
    <row r="55" spans="1:17" x14ac:dyDescent="0.25">
      <c r="A55" s="80" t="s">
        <v>16</v>
      </c>
      <c r="B55" s="5" t="str">
        <f>A55</f>
        <v>BIOCON</v>
      </c>
      <c r="C55" s="4">
        <f t="shared" si="5"/>
        <v>2021</v>
      </c>
      <c r="D55" s="4">
        <f t="shared" si="4"/>
        <v>1</v>
      </c>
      <c r="E55" s="6">
        <v>44218</v>
      </c>
      <c r="F55" s="3">
        <v>25</v>
      </c>
      <c r="G55" s="11">
        <v>409</v>
      </c>
      <c r="H55" s="11">
        <f t="shared" si="6"/>
        <v>10225</v>
      </c>
      <c r="I55" s="81">
        <f>SUM(F55:F63)</f>
        <v>100</v>
      </c>
      <c r="J55" s="82">
        <f>SUM(H55:H63)/SUM(F55:F63)</f>
        <v>393.51249999999999</v>
      </c>
      <c r="K55" s="83">
        <f>I55*J55</f>
        <v>39351.25</v>
      </c>
      <c r="L55" s="84">
        <v>404</v>
      </c>
      <c r="M55" s="85">
        <f>M2</f>
        <v>44608</v>
      </c>
      <c r="N55" s="81">
        <f>I55*L55</f>
        <v>40400</v>
      </c>
      <c r="O55" s="81">
        <f>N55-K55</f>
        <v>1048.75</v>
      </c>
      <c r="P55" s="86">
        <f>(O55/K55)</f>
        <v>2.6650995838759888E-2</v>
      </c>
      <c r="Q55" s="79">
        <f ca="1">TODAY()-E55</f>
        <v>1419</v>
      </c>
    </row>
    <row r="56" spans="1:17" x14ac:dyDescent="0.25">
      <c r="A56" s="80"/>
      <c r="B56" s="5" t="str">
        <f>A55</f>
        <v>BIOCON</v>
      </c>
      <c r="C56" s="4">
        <f t="shared" si="5"/>
        <v>2021</v>
      </c>
      <c r="D56" s="4">
        <f t="shared" si="4"/>
        <v>1</v>
      </c>
      <c r="E56" s="6">
        <v>44218</v>
      </c>
      <c r="F56" s="3">
        <v>25</v>
      </c>
      <c r="G56" s="3">
        <v>397.8</v>
      </c>
      <c r="H56" s="11">
        <f t="shared" si="6"/>
        <v>9945</v>
      </c>
      <c r="I56" s="81"/>
      <c r="J56" s="82"/>
      <c r="K56" s="83"/>
      <c r="L56" s="84"/>
      <c r="M56" s="81"/>
      <c r="N56" s="81"/>
      <c r="O56" s="81"/>
      <c r="P56" s="86"/>
      <c r="Q56" s="79"/>
    </row>
    <row r="57" spans="1:17" x14ac:dyDescent="0.25">
      <c r="A57" s="80"/>
      <c r="B57" s="5" t="str">
        <f>A55</f>
        <v>BIOCON</v>
      </c>
      <c r="C57" s="4">
        <f t="shared" si="5"/>
        <v>2021</v>
      </c>
      <c r="D57" s="4">
        <f t="shared" si="4"/>
        <v>2</v>
      </c>
      <c r="E57" s="6">
        <v>44250</v>
      </c>
      <c r="F57" s="3">
        <v>25</v>
      </c>
      <c r="G57" s="3">
        <v>386.25</v>
      </c>
      <c r="H57" s="11">
        <f t="shared" si="6"/>
        <v>9656.25</v>
      </c>
      <c r="I57" s="81"/>
      <c r="J57" s="82"/>
      <c r="K57" s="83"/>
      <c r="L57" s="84"/>
      <c r="M57" s="81"/>
      <c r="N57" s="81"/>
      <c r="O57" s="81"/>
      <c r="P57" s="86"/>
      <c r="Q57" s="79"/>
    </row>
    <row r="58" spans="1:17" x14ac:dyDescent="0.25">
      <c r="A58" s="80"/>
      <c r="B58" s="5" t="str">
        <f>A55</f>
        <v>BIOCON</v>
      </c>
      <c r="C58" s="4">
        <f t="shared" si="5"/>
        <v>2021</v>
      </c>
      <c r="D58" s="4">
        <f t="shared" si="4"/>
        <v>4</v>
      </c>
      <c r="E58" s="6">
        <v>44316</v>
      </c>
      <c r="F58" s="3">
        <v>25</v>
      </c>
      <c r="G58" s="11">
        <v>381</v>
      </c>
      <c r="H58" s="11">
        <f t="shared" si="6"/>
        <v>9525</v>
      </c>
      <c r="I58" s="81"/>
      <c r="J58" s="82"/>
      <c r="K58" s="83"/>
      <c r="L58" s="84"/>
      <c r="M58" s="81"/>
      <c r="N58" s="81"/>
      <c r="O58" s="81"/>
      <c r="P58" s="86"/>
      <c r="Q58" s="79"/>
    </row>
    <row r="59" spans="1:17" x14ac:dyDescent="0.25">
      <c r="A59" s="80"/>
      <c r="B59" s="5" t="str">
        <f>A55</f>
        <v>BIOCON</v>
      </c>
      <c r="C59" s="4">
        <f t="shared" si="5"/>
        <v>1900</v>
      </c>
      <c r="D59" s="4">
        <f t="shared" si="4"/>
        <v>1</v>
      </c>
      <c r="E59" s="5"/>
      <c r="F59" s="3"/>
      <c r="G59" s="11"/>
      <c r="H59" s="11">
        <f t="shared" si="6"/>
        <v>0</v>
      </c>
      <c r="I59" s="81"/>
      <c r="J59" s="82"/>
      <c r="K59" s="83"/>
      <c r="L59" s="84"/>
      <c r="M59" s="81"/>
      <c r="N59" s="81"/>
      <c r="O59" s="81"/>
      <c r="P59" s="86"/>
      <c r="Q59" s="79"/>
    </row>
    <row r="60" spans="1:17" x14ac:dyDescent="0.25">
      <c r="A60" s="80"/>
      <c r="B60" s="5" t="str">
        <f>A55</f>
        <v>BIOCON</v>
      </c>
      <c r="C60" s="4">
        <f t="shared" si="5"/>
        <v>1900</v>
      </c>
      <c r="D60" s="4">
        <f t="shared" si="4"/>
        <v>1</v>
      </c>
      <c r="E60" s="5"/>
      <c r="F60" s="3"/>
      <c r="G60" s="11"/>
      <c r="H60" s="11">
        <f t="shared" si="6"/>
        <v>0</v>
      </c>
      <c r="I60" s="81"/>
      <c r="J60" s="82"/>
      <c r="K60" s="83"/>
      <c r="L60" s="84"/>
      <c r="M60" s="81"/>
      <c r="N60" s="81"/>
      <c r="O60" s="81"/>
      <c r="P60" s="86"/>
      <c r="Q60" s="79"/>
    </row>
    <row r="61" spans="1:17" x14ac:dyDescent="0.25">
      <c r="A61" s="80"/>
      <c r="B61" s="5" t="str">
        <f>A55</f>
        <v>BIOCON</v>
      </c>
      <c r="C61" s="4">
        <f t="shared" si="5"/>
        <v>1900</v>
      </c>
      <c r="D61" s="4">
        <f t="shared" si="4"/>
        <v>1</v>
      </c>
      <c r="E61" s="5"/>
      <c r="F61" s="3"/>
      <c r="G61" s="11"/>
      <c r="H61" s="11">
        <f t="shared" si="6"/>
        <v>0</v>
      </c>
      <c r="I61" s="81"/>
      <c r="J61" s="82"/>
      <c r="K61" s="83"/>
      <c r="L61" s="84"/>
      <c r="M61" s="81"/>
      <c r="N61" s="81"/>
      <c r="O61" s="81"/>
      <c r="P61" s="86"/>
      <c r="Q61" s="79"/>
    </row>
    <row r="62" spans="1:17" x14ac:dyDescent="0.25">
      <c r="A62" s="80"/>
      <c r="B62" s="5" t="str">
        <f>A55</f>
        <v>BIOCON</v>
      </c>
      <c r="C62" s="4">
        <f t="shared" si="5"/>
        <v>1900</v>
      </c>
      <c r="D62" s="4">
        <f t="shared" si="4"/>
        <v>1</v>
      </c>
      <c r="E62" s="5"/>
      <c r="F62" s="3"/>
      <c r="G62" s="11"/>
      <c r="H62" s="11">
        <f t="shared" si="6"/>
        <v>0</v>
      </c>
      <c r="I62" s="81"/>
      <c r="J62" s="82"/>
      <c r="K62" s="83"/>
      <c r="L62" s="84"/>
      <c r="M62" s="81"/>
      <c r="N62" s="81"/>
      <c r="O62" s="81"/>
      <c r="P62" s="86"/>
      <c r="Q62" s="79"/>
    </row>
    <row r="63" spans="1:17" x14ac:dyDescent="0.25">
      <c r="A63" s="80"/>
      <c r="B63" s="5" t="str">
        <f>A55</f>
        <v>BIOCON</v>
      </c>
      <c r="C63" s="4">
        <f t="shared" si="5"/>
        <v>1900</v>
      </c>
      <c r="D63" s="4">
        <f t="shared" si="4"/>
        <v>1</v>
      </c>
      <c r="E63" s="5"/>
      <c r="F63" s="3"/>
      <c r="G63" s="11"/>
      <c r="H63" s="11">
        <f t="shared" si="6"/>
        <v>0</v>
      </c>
      <c r="I63" s="81"/>
      <c r="J63" s="82"/>
      <c r="K63" s="83"/>
      <c r="L63" s="84"/>
      <c r="M63" s="81"/>
      <c r="N63" s="81"/>
      <c r="O63" s="81"/>
      <c r="P63" s="86"/>
      <c r="Q63" s="79"/>
    </row>
    <row r="64" spans="1:17" x14ac:dyDescent="0.25">
      <c r="A64" s="80" t="s">
        <v>141</v>
      </c>
      <c r="B64" s="4" t="str">
        <f>A64</f>
        <v>KNRCON</v>
      </c>
      <c r="C64" s="4">
        <f t="shared" si="5"/>
        <v>2021</v>
      </c>
      <c r="D64" s="4">
        <f t="shared" si="4"/>
        <v>3</v>
      </c>
      <c r="E64" s="6">
        <v>44265</v>
      </c>
      <c r="F64" s="3">
        <v>25</v>
      </c>
      <c r="G64" s="11">
        <v>209</v>
      </c>
      <c r="H64" s="11">
        <f t="shared" si="6"/>
        <v>5225</v>
      </c>
      <c r="I64" s="81">
        <f>SUM(F64:F68)</f>
        <v>100</v>
      </c>
      <c r="J64" s="82">
        <f>SUM(H64:H68)/SUM(F64:F68)</f>
        <v>199.8</v>
      </c>
      <c r="K64" s="83">
        <f>I64*J64</f>
        <v>19980</v>
      </c>
      <c r="L64" s="84">
        <v>309</v>
      </c>
      <c r="M64" s="85">
        <f>M2</f>
        <v>44608</v>
      </c>
      <c r="N64" s="81">
        <f>I64*L64</f>
        <v>30900</v>
      </c>
      <c r="O64" s="81">
        <f>N64-K64</f>
        <v>10920</v>
      </c>
      <c r="P64" s="86">
        <f>(O64/K64)</f>
        <v>0.54654654654654655</v>
      </c>
      <c r="Q64" s="79">
        <f ca="1">TODAY()-E64</f>
        <v>1372</v>
      </c>
    </row>
    <row r="65" spans="1:17" x14ac:dyDescent="0.25">
      <c r="A65" s="80"/>
      <c r="B65" s="4" t="str">
        <f>A64</f>
        <v>KNRCON</v>
      </c>
      <c r="C65" s="4">
        <f t="shared" si="5"/>
        <v>2021</v>
      </c>
      <c r="D65" s="4">
        <f t="shared" si="4"/>
        <v>4</v>
      </c>
      <c r="E65" s="6">
        <v>44298</v>
      </c>
      <c r="F65" s="3">
        <v>25</v>
      </c>
      <c r="G65" s="11">
        <v>200.05</v>
      </c>
      <c r="H65" s="11">
        <f t="shared" si="6"/>
        <v>5001.25</v>
      </c>
      <c r="I65" s="81"/>
      <c r="J65" s="82"/>
      <c r="K65" s="83"/>
      <c r="L65" s="84"/>
      <c r="M65" s="81"/>
      <c r="N65" s="81"/>
      <c r="O65" s="81"/>
      <c r="P65" s="86"/>
      <c r="Q65" s="79"/>
    </row>
    <row r="66" spans="1:17" x14ac:dyDescent="0.25">
      <c r="A66" s="80"/>
      <c r="B66" s="4" t="str">
        <f>A64</f>
        <v>KNRCON</v>
      </c>
      <c r="C66" s="4">
        <f t="shared" si="5"/>
        <v>2021</v>
      </c>
      <c r="D66" s="4">
        <f t="shared" si="4"/>
        <v>4</v>
      </c>
      <c r="E66" s="6">
        <v>44306</v>
      </c>
      <c r="F66" s="3">
        <v>25</v>
      </c>
      <c r="G66" s="11">
        <v>200.05</v>
      </c>
      <c r="H66" s="11">
        <f t="shared" si="6"/>
        <v>5001.25</v>
      </c>
      <c r="I66" s="81"/>
      <c r="J66" s="82"/>
      <c r="K66" s="83"/>
      <c r="L66" s="84"/>
      <c r="M66" s="81"/>
      <c r="N66" s="81"/>
      <c r="O66" s="81"/>
      <c r="P66" s="86"/>
      <c r="Q66" s="79"/>
    </row>
    <row r="67" spans="1:17" x14ac:dyDescent="0.25">
      <c r="A67" s="80"/>
      <c r="B67" s="4" t="str">
        <f>A64</f>
        <v>KNRCON</v>
      </c>
      <c r="C67" s="4">
        <f t="shared" si="5"/>
        <v>2021</v>
      </c>
      <c r="D67" s="4">
        <f t="shared" si="4"/>
        <v>4</v>
      </c>
      <c r="E67" s="6">
        <v>44312</v>
      </c>
      <c r="F67" s="3">
        <v>25</v>
      </c>
      <c r="G67" s="11">
        <v>190.1</v>
      </c>
      <c r="H67" s="11">
        <f t="shared" si="6"/>
        <v>4752.5</v>
      </c>
      <c r="I67" s="81"/>
      <c r="J67" s="82"/>
      <c r="K67" s="83"/>
      <c r="L67" s="84"/>
      <c r="M67" s="81"/>
      <c r="N67" s="81"/>
      <c r="O67" s="81"/>
      <c r="P67" s="86"/>
      <c r="Q67" s="79"/>
    </row>
    <row r="68" spans="1:17" x14ac:dyDescent="0.25">
      <c r="A68" s="80"/>
      <c r="B68" s="4" t="str">
        <f>A64</f>
        <v>KNRCON</v>
      </c>
      <c r="C68" s="4">
        <f>YEAR(E68)</f>
        <v>1900</v>
      </c>
      <c r="D68" s="4">
        <f>MONTH(E68)</f>
        <v>1</v>
      </c>
      <c r="E68" s="6"/>
      <c r="F68" s="3"/>
      <c r="G68" s="11"/>
      <c r="H68" s="11">
        <f t="shared" si="6"/>
        <v>0</v>
      </c>
      <c r="I68" s="81"/>
      <c r="J68" s="82"/>
      <c r="K68" s="83"/>
      <c r="L68" s="84"/>
      <c r="M68" s="81"/>
      <c r="N68" s="81"/>
      <c r="O68" s="81"/>
      <c r="P68" s="86"/>
      <c r="Q68" s="79"/>
    </row>
    <row r="69" spans="1:17" x14ac:dyDescent="0.25">
      <c r="A69" s="81" t="s">
        <v>139</v>
      </c>
      <c r="B69" s="3" t="str">
        <f>A69</f>
        <v>Hatson Agro</v>
      </c>
      <c r="C69" s="4">
        <f t="shared" ref="C69:C70" si="11">YEAR(E69)</f>
        <v>2022</v>
      </c>
      <c r="D69" s="4">
        <f t="shared" ref="D69:D70" si="12">MONTH(E69)</f>
        <v>2</v>
      </c>
      <c r="E69" s="51">
        <v>44608</v>
      </c>
      <c r="F69" s="3">
        <v>1</v>
      </c>
      <c r="G69" s="11">
        <v>1</v>
      </c>
      <c r="H69" s="11">
        <v>1</v>
      </c>
      <c r="I69" s="90">
        <f>SUM(F69:F70)</f>
        <v>1</v>
      </c>
      <c r="J69" s="92">
        <f>SUM(H69:H70)/SUM(F69:F70)</f>
        <v>1</v>
      </c>
      <c r="K69" s="90">
        <f>I69*J69</f>
        <v>1</v>
      </c>
      <c r="L69" s="94">
        <v>1</v>
      </c>
      <c r="M69" s="96">
        <f>M2</f>
        <v>44608</v>
      </c>
      <c r="N69" s="90">
        <f>I69*L69</f>
        <v>1</v>
      </c>
      <c r="O69" s="90">
        <f>N69-K69</f>
        <v>0</v>
      </c>
      <c r="P69" s="86">
        <f>O69/K69</f>
        <v>0</v>
      </c>
      <c r="Q69" s="79">
        <f ca="1">TODAY()-E69</f>
        <v>1029</v>
      </c>
    </row>
    <row r="70" spans="1:17" x14ac:dyDescent="0.25">
      <c r="A70" s="81"/>
      <c r="B70" s="3" t="str">
        <f>A69</f>
        <v>Hatson Agro</v>
      </c>
      <c r="C70" s="4">
        <f t="shared" si="11"/>
        <v>1900</v>
      </c>
      <c r="D70" s="4">
        <f t="shared" si="12"/>
        <v>1</v>
      </c>
      <c r="E70" s="51"/>
      <c r="F70" s="3"/>
      <c r="G70" s="11"/>
      <c r="H70" s="11"/>
      <c r="I70" s="91"/>
      <c r="J70" s="93"/>
      <c r="K70" s="91"/>
      <c r="L70" s="95"/>
      <c r="M70" s="91"/>
      <c r="N70" s="91"/>
      <c r="O70" s="91"/>
      <c r="P70" s="86"/>
      <c r="Q70" s="79"/>
    </row>
    <row r="71" spans="1:17" x14ac:dyDescent="0.25">
      <c r="A71" s="81" t="s">
        <v>154</v>
      </c>
      <c r="B71" s="3" t="str">
        <f>A71</f>
        <v>Bandhan Bank</v>
      </c>
      <c r="C71" s="4">
        <f t="shared" ref="C71:C72" si="13">YEAR(E71)</f>
        <v>2022</v>
      </c>
      <c r="D71" s="4">
        <f t="shared" ref="D71:D72" si="14">MONTH(E71)</f>
        <v>2</v>
      </c>
      <c r="E71" s="66">
        <v>44608</v>
      </c>
      <c r="F71" s="3">
        <v>1</v>
      </c>
      <c r="G71" s="11">
        <v>1</v>
      </c>
      <c r="H71" s="11">
        <f t="shared" ref="H71" si="15">F71*G71</f>
        <v>1</v>
      </c>
      <c r="I71" s="90">
        <f>SUM(F71:F72)</f>
        <v>1</v>
      </c>
      <c r="J71" s="92">
        <f>SUM(H71:H72)/SUM(F71:F72)</f>
        <v>1</v>
      </c>
      <c r="K71" s="90">
        <f>I71*J71</f>
        <v>1</v>
      </c>
      <c r="L71" s="94">
        <v>1</v>
      </c>
      <c r="M71" s="96">
        <f>M2</f>
        <v>44608</v>
      </c>
      <c r="N71" s="90">
        <f>I71*L71</f>
        <v>1</v>
      </c>
      <c r="O71" s="90">
        <f>N71-K71</f>
        <v>0</v>
      </c>
      <c r="P71" s="86">
        <f>O71/K71</f>
        <v>0</v>
      </c>
      <c r="Q71" s="79">
        <f ca="1">TODAY()-E71</f>
        <v>1029</v>
      </c>
    </row>
    <row r="72" spans="1:17" x14ac:dyDescent="0.25">
      <c r="A72" s="81"/>
      <c r="B72" s="3" t="str">
        <f>A71</f>
        <v>Bandhan Bank</v>
      </c>
      <c r="C72" s="4">
        <f t="shared" si="13"/>
        <v>1900</v>
      </c>
      <c r="D72" s="4">
        <f t="shared" si="14"/>
        <v>1</v>
      </c>
      <c r="E72" s="51"/>
      <c r="F72" s="3"/>
      <c r="G72" s="11"/>
      <c r="H72" s="11"/>
      <c r="I72" s="91"/>
      <c r="J72" s="93"/>
      <c r="K72" s="91"/>
      <c r="L72" s="95"/>
      <c r="M72" s="91"/>
      <c r="N72" s="91"/>
      <c r="O72" s="91"/>
      <c r="P72" s="86"/>
      <c r="Q72" s="79"/>
    </row>
    <row r="73" spans="1:17" x14ac:dyDescent="0.25">
      <c r="A73" s="81" t="s">
        <v>112</v>
      </c>
      <c r="B73" s="3" t="str">
        <f>A73</f>
        <v>Punjab National Bank</v>
      </c>
      <c r="C73" s="4">
        <f t="shared" ref="C73:C80" si="16">YEAR(E73)</f>
        <v>2021</v>
      </c>
      <c r="D73" s="4">
        <f t="shared" ref="D73:D80" si="17">MONTH(E73)</f>
        <v>4</v>
      </c>
      <c r="E73" s="51">
        <v>44308</v>
      </c>
      <c r="F73" s="3">
        <v>100</v>
      </c>
      <c r="G73" s="11">
        <v>33.1</v>
      </c>
      <c r="H73" s="11">
        <f t="shared" ref="H73:H80" si="18">F73*G73</f>
        <v>3310</v>
      </c>
      <c r="I73" s="90">
        <f>SUM(F73:F74)</f>
        <v>100</v>
      </c>
      <c r="J73" s="92">
        <f>SUM(H73:H74)/SUM(F73:F74)</f>
        <v>33.1</v>
      </c>
      <c r="K73" s="90">
        <f>I73*J73</f>
        <v>3310</v>
      </c>
      <c r="L73" s="94">
        <v>38.4</v>
      </c>
      <c r="M73" s="96">
        <f>M2</f>
        <v>44608</v>
      </c>
      <c r="N73" s="90">
        <f>I73*L73</f>
        <v>3840</v>
      </c>
      <c r="O73" s="90">
        <f>N73-K73</f>
        <v>530</v>
      </c>
      <c r="P73" s="86">
        <f>O73/K73</f>
        <v>0.16012084592145015</v>
      </c>
      <c r="Q73" s="79">
        <f ca="1">TODAY()-E73</f>
        <v>1329</v>
      </c>
    </row>
    <row r="74" spans="1:17" x14ac:dyDescent="0.25">
      <c r="A74" s="81"/>
      <c r="B74" s="3" t="str">
        <f>A73</f>
        <v>Punjab National Bank</v>
      </c>
      <c r="C74" s="4">
        <f t="shared" si="16"/>
        <v>1900</v>
      </c>
      <c r="D74" s="4">
        <f t="shared" si="17"/>
        <v>1</v>
      </c>
      <c r="E74" s="51"/>
      <c r="F74" s="3"/>
      <c r="G74" s="11"/>
      <c r="H74" s="11">
        <f t="shared" si="18"/>
        <v>0</v>
      </c>
      <c r="I74" s="91"/>
      <c r="J74" s="93"/>
      <c r="K74" s="91"/>
      <c r="L74" s="95"/>
      <c r="M74" s="91"/>
      <c r="N74" s="91"/>
      <c r="O74" s="91"/>
      <c r="P74" s="86"/>
      <c r="Q74" s="79"/>
    </row>
    <row r="75" spans="1:17" x14ac:dyDescent="0.25">
      <c r="A75" s="81" t="s">
        <v>155</v>
      </c>
      <c r="B75" s="3" t="str">
        <f>A75</f>
        <v>IRCON</v>
      </c>
      <c r="C75" s="4">
        <f t="shared" si="16"/>
        <v>2021</v>
      </c>
      <c r="D75" s="4">
        <f t="shared" si="17"/>
        <v>6</v>
      </c>
      <c r="E75" s="51">
        <v>44365</v>
      </c>
      <c r="F75" s="3">
        <v>250</v>
      </c>
      <c r="G75" s="11">
        <v>46.1</v>
      </c>
      <c r="H75" s="11">
        <f t="shared" si="18"/>
        <v>11525</v>
      </c>
      <c r="I75" s="90">
        <f>SUM(F75:F80)</f>
        <v>250</v>
      </c>
      <c r="J75" s="92">
        <f>SUM(H75:H80)/SUM(F75:F80)</f>
        <v>46.1</v>
      </c>
      <c r="K75" s="90">
        <f>I75*J75</f>
        <v>11525</v>
      </c>
      <c r="L75" s="94">
        <v>43.05</v>
      </c>
      <c r="M75" s="96">
        <f>M15</f>
        <v>44608</v>
      </c>
      <c r="N75" s="90">
        <f>I75*L75</f>
        <v>10762.5</v>
      </c>
      <c r="O75" s="90">
        <f>N75-K75</f>
        <v>-762.5</v>
      </c>
      <c r="P75" s="86">
        <f>O75/K75</f>
        <v>-6.6160520607375276E-2</v>
      </c>
      <c r="Q75" s="79">
        <f ca="1">TODAY()-E75</f>
        <v>1272</v>
      </c>
    </row>
    <row r="76" spans="1:17" x14ac:dyDescent="0.25">
      <c r="A76" s="81"/>
      <c r="B76" s="3" t="str">
        <f>A75</f>
        <v>IRCON</v>
      </c>
      <c r="C76" s="4">
        <f t="shared" si="16"/>
        <v>1900</v>
      </c>
      <c r="D76" s="4">
        <f t="shared" si="17"/>
        <v>1</v>
      </c>
      <c r="E76" s="51"/>
      <c r="F76" s="3"/>
      <c r="G76" s="11"/>
      <c r="H76" s="11">
        <f t="shared" si="18"/>
        <v>0</v>
      </c>
      <c r="I76" s="91"/>
      <c r="J76" s="93"/>
      <c r="K76" s="91"/>
      <c r="L76" s="95"/>
      <c r="M76" s="91"/>
      <c r="N76" s="91"/>
      <c r="O76" s="91"/>
      <c r="P76" s="86"/>
      <c r="Q76" s="79"/>
    </row>
    <row r="77" spans="1:17" x14ac:dyDescent="0.25">
      <c r="A77" s="81"/>
      <c r="B77" s="3" t="str">
        <f>A75</f>
        <v>IRCON</v>
      </c>
      <c r="C77" s="4">
        <f t="shared" si="16"/>
        <v>1900</v>
      </c>
      <c r="D77" s="4">
        <f t="shared" si="17"/>
        <v>1</v>
      </c>
      <c r="E77" s="51"/>
      <c r="F77" s="3"/>
      <c r="G77" s="11"/>
      <c r="H77" s="11">
        <f t="shared" si="18"/>
        <v>0</v>
      </c>
      <c r="I77" s="91"/>
      <c r="J77" s="93"/>
      <c r="K77" s="91"/>
      <c r="L77" s="95"/>
      <c r="M77" s="91"/>
      <c r="N77" s="91"/>
      <c r="O77" s="91"/>
      <c r="P77" s="86"/>
      <c r="Q77" s="79"/>
    </row>
    <row r="78" spans="1:17" x14ac:dyDescent="0.25">
      <c r="A78" s="81"/>
      <c r="B78" s="3" t="str">
        <f>A75</f>
        <v>IRCON</v>
      </c>
      <c r="C78" s="4">
        <f t="shared" si="16"/>
        <v>1900</v>
      </c>
      <c r="D78" s="4">
        <f t="shared" si="17"/>
        <v>1</v>
      </c>
      <c r="E78" s="51"/>
      <c r="F78" s="3"/>
      <c r="G78" s="11"/>
      <c r="H78" s="11">
        <f t="shared" si="18"/>
        <v>0</v>
      </c>
      <c r="I78" s="91"/>
      <c r="J78" s="93"/>
      <c r="K78" s="91"/>
      <c r="L78" s="95"/>
      <c r="M78" s="91"/>
      <c r="N78" s="91"/>
      <c r="O78" s="91"/>
      <c r="P78" s="86"/>
      <c r="Q78" s="79"/>
    </row>
    <row r="79" spans="1:17" x14ac:dyDescent="0.25">
      <c r="A79" s="81"/>
      <c r="B79" s="3" t="str">
        <f>A75</f>
        <v>IRCON</v>
      </c>
      <c r="C79" s="4">
        <f t="shared" si="16"/>
        <v>1900</v>
      </c>
      <c r="D79" s="4">
        <f t="shared" si="17"/>
        <v>1</v>
      </c>
      <c r="E79" s="51"/>
      <c r="F79" s="3"/>
      <c r="G79" s="11"/>
      <c r="H79" s="11">
        <f t="shared" si="18"/>
        <v>0</v>
      </c>
      <c r="I79" s="91"/>
      <c r="J79" s="93"/>
      <c r="K79" s="91"/>
      <c r="L79" s="95"/>
      <c r="M79" s="91"/>
      <c r="N79" s="91"/>
      <c r="O79" s="91"/>
      <c r="P79" s="86"/>
      <c r="Q79" s="79"/>
    </row>
    <row r="80" spans="1:17" x14ac:dyDescent="0.25">
      <c r="A80" s="81"/>
      <c r="B80" s="3" t="str">
        <f>A75</f>
        <v>IRCON</v>
      </c>
      <c r="C80" s="4">
        <f t="shared" si="16"/>
        <v>1900</v>
      </c>
      <c r="D80" s="4">
        <f t="shared" si="17"/>
        <v>1</v>
      </c>
      <c r="E80" s="3"/>
      <c r="F80" s="3"/>
      <c r="G80" s="11"/>
      <c r="H80" s="11">
        <f t="shared" si="18"/>
        <v>0</v>
      </c>
      <c r="I80" s="97"/>
      <c r="J80" s="98"/>
      <c r="K80" s="97"/>
      <c r="L80" s="99"/>
      <c r="M80" s="97"/>
      <c r="N80" s="97"/>
      <c r="O80" s="97"/>
      <c r="P80" s="86"/>
      <c r="Q80" s="79"/>
    </row>
  </sheetData>
  <autoFilter ref="A1:X68" xr:uid="{00000000-0009-0000-0000-000000000000}">
    <filterColumn colId="18" showButton="0"/>
  </autoFilter>
  <mergeCells count="122">
    <mergeCell ref="M75:M80"/>
    <mergeCell ref="N75:N80"/>
    <mergeCell ref="O75:O80"/>
    <mergeCell ref="P75:P80"/>
    <mergeCell ref="Q75:Q80"/>
    <mergeCell ref="A75:A80"/>
    <mergeCell ref="I75:I80"/>
    <mergeCell ref="J75:J80"/>
    <mergeCell ref="K75:K80"/>
    <mergeCell ref="L75:L80"/>
    <mergeCell ref="M73:M74"/>
    <mergeCell ref="N73:N74"/>
    <mergeCell ref="O73:O74"/>
    <mergeCell ref="P73:P74"/>
    <mergeCell ref="Q73:Q74"/>
    <mergeCell ref="A73:A74"/>
    <mergeCell ref="I73:I74"/>
    <mergeCell ref="J73:J74"/>
    <mergeCell ref="K73:K74"/>
    <mergeCell ref="L73:L74"/>
    <mergeCell ref="M71:M72"/>
    <mergeCell ref="N71:N72"/>
    <mergeCell ref="O71:O72"/>
    <mergeCell ref="P71:P72"/>
    <mergeCell ref="Q71:Q72"/>
    <mergeCell ref="A71:A72"/>
    <mergeCell ref="I71:I72"/>
    <mergeCell ref="J71:J72"/>
    <mergeCell ref="K71:K72"/>
    <mergeCell ref="L71:L72"/>
    <mergeCell ref="Q69:Q70"/>
    <mergeCell ref="A69:A70"/>
    <mergeCell ref="I69:I70"/>
    <mergeCell ref="J69:J70"/>
    <mergeCell ref="K69:K70"/>
    <mergeCell ref="L69:L70"/>
    <mergeCell ref="M69:M70"/>
    <mergeCell ref="N69:N70"/>
    <mergeCell ref="O69:O70"/>
    <mergeCell ref="P69:P70"/>
    <mergeCell ref="Q42:Q45"/>
    <mergeCell ref="A42:A45"/>
    <mergeCell ref="I42:I45"/>
    <mergeCell ref="J42:J45"/>
    <mergeCell ref="K42:K45"/>
    <mergeCell ref="L42:L45"/>
    <mergeCell ref="M42:M45"/>
    <mergeCell ref="N42:N45"/>
    <mergeCell ref="O42:O45"/>
    <mergeCell ref="P42:P45"/>
    <mergeCell ref="Q15:Q22"/>
    <mergeCell ref="Q23:Q41"/>
    <mergeCell ref="A15:A22"/>
    <mergeCell ref="I15:I22"/>
    <mergeCell ref="J15:J22"/>
    <mergeCell ref="K15:K22"/>
    <mergeCell ref="L15:L22"/>
    <mergeCell ref="A4:A14"/>
    <mergeCell ref="I4:I14"/>
    <mergeCell ref="J4:J14"/>
    <mergeCell ref="K4:K14"/>
    <mergeCell ref="L4:L14"/>
    <mergeCell ref="N4:N14"/>
    <mergeCell ref="O4:O14"/>
    <mergeCell ref="P4:P14"/>
    <mergeCell ref="S1:T1"/>
    <mergeCell ref="O2:O3"/>
    <mergeCell ref="Q2:Q3"/>
    <mergeCell ref="P2:P3"/>
    <mergeCell ref="L2:L3"/>
    <mergeCell ref="M2:M3"/>
    <mergeCell ref="N2:N3"/>
    <mergeCell ref="S2:T2"/>
    <mergeCell ref="Q4:Q14"/>
    <mergeCell ref="I2:I3"/>
    <mergeCell ref="J2:J3"/>
    <mergeCell ref="A2:A3"/>
    <mergeCell ref="K2:K3"/>
    <mergeCell ref="M4:M14"/>
    <mergeCell ref="M23:M41"/>
    <mergeCell ref="N23:N41"/>
    <mergeCell ref="O23:O41"/>
    <mergeCell ref="P23:P41"/>
    <mergeCell ref="M15:M22"/>
    <mergeCell ref="N15:N22"/>
    <mergeCell ref="O15:O22"/>
    <mergeCell ref="P15:P22"/>
    <mergeCell ref="A23:A41"/>
    <mergeCell ref="I23:I41"/>
    <mergeCell ref="J23:J41"/>
    <mergeCell ref="K23:K41"/>
    <mergeCell ref="L23:L41"/>
    <mergeCell ref="M46:M54"/>
    <mergeCell ref="N46:N54"/>
    <mergeCell ref="O46:O54"/>
    <mergeCell ref="P46:P54"/>
    <mergeCell ref="Q46:Q54"/>
    <mergeCell ref="A46:A54"/>
    <mergeCell ref="I46:I54"/>
    <mergeCell ref="J46:J54"/>
    <mergeCell ref="K46:K54"/>
    <mergeCell ref="L46:L54"/>
    <mergeCell ref="Q64:Q68"/>
    <mergeCell ref="A64:A68"/>
    <mergeCell ref="I64:I68"/>
    <mergeCell ref="J64:J68"/>
    <mergeCell ref="K64:K68"/>
    <mergeCell ref="L64:L68"/>
    <mergeCell ref="M55:M63"/>
    <mergeCell ref="N55:N63"/>
    <mergeCell ref="O55:O63"/>
    <mergeCell ref="P55:P63"/>
    <mergeCell ref="Q55:Q63"/>
    <mergeCell ref="A55:A63"/>
    <mergeCell ref="I55:I63"/>
    <mergeCell ref="J55:J63"/>
    <mergeCell ref="K55:K63"/>
    <mergeCell ref="L55:L63"/>
    <mergeCell ref="M64:M68"/>
    <mergeCell ref="N64:N68"/>
    <mergeCell ref="O64:O68"/>
    <mergeCell ref="P64:P68"/>
  </mergeCells>
  <conditionalFormatting sqref="P2:P905">
    <cfRule type="cellIs" dxfId="15" priority="4" operator="greaterThan">
      <formula>0.2</formula>
    </cfRule>
    <cfRule type="cellIs" dxfId="14" priority="5" operator="lessThan">
      <formula>-0.1</formula>
    </cfRule>
  </conditionalFormatting>
  <conditionalFormatting sqref="Q2:Q41 Q81:Q905">
    <cfRule type="cellIs" dxfId="13" priority="43" stopIfTrue="1" operator="greaterThan">
      <formula>300</formula>
    </cfRule>
  </conditionalFormatting>
  <conditionalFormatting sqref="Q42:Q68">
    <cfRule type="cellIs" dxfId="12" priority="25" stopIfTrue="1" operator="greaterThan">
      <formula>300</formula>
    </cfRule>
  </conditionalFormatting>
  <conditionalFormatting sqref="Q69:Q80">
    <cfRule type="cellIs" dxfId="11" priority="6" stopIfTrue="1" operator="greaterThan">
      <formula>300</formula>
    </cfRule>
  </conditionalFormatting>
  <conditionalFormatting sqref="W2">
    <cfRule type="cellIs" dxfId="10" priority="58" operator="greaterThan">
      <formula>0</formula>
    </cfRule>
  </conditionalFormatting>
  <pageMargins left="0.7" right="0.7" top="0.75" bottom="0.75" header="0.3" footer="0.3"/>
  <pageSetup orientation="portrait" r:id="rId1"/>
  <ignoredErrors>
    <ignoredError sqref="J4 I15:J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39"/>
  <sheetViews>
    <sheetView workbookViewId="0">
      <selection activeCell="A16" sqref="A16"/>
    </sheetView>
  </sheetViews>
  <sheetFormatPr defaultRowHeight="15" x14ac:dyDescent="0.25"/>
  <cols>
    <col min="1" max="1" width="20.140625" customWidth="1"/>
    <col min="2" max="2" width="9.28515625" customWidth="1"/>
    <col min="3" max="3" width="17.42578125" style="10" customWidth="1"/>
    <col min="4" max="4" width="10.42578125" style="10" customWidth="1"/>
    <col min="5" max="5" width="12" bestFit="1" customWidth="1"/>
    <col min="6" max="6" width="17.42578125" bestFit="1" customWidth="1"/>
  </cols>
  <sheetData>
    <row r="3" spans="1:4" x14ac:dyDescent="0.25">
      <c r="A3" s="21" t="s">
        <v>66</v>
      </c>
      <c r="B3" s="21" t="s">
        <v>67</v>
      </c>
      <c r="C3" s="10" t="s">
        <v>70</v>
      </c>
    </row>
    <row r="4" spans="1:4" x14ac:dyDescent="0.25">
      <c r="A4">
        <v>2019</v>
      </c>
      <c r="B4">
        <v>4</v>
      </c>
      <c r="C4" s="10">
        <v>1628.7</v>
      </c>
      <c r="D4" s="25">
        <f>SUM(C:C)</f>
        <v>213243.7</v>
      </c>
    </row>
    <row r="5" spans="1:4" x14ac:dyDescent="0.25">
      <c r="A5">
        <v>2019</v>
      </c>
      <c r="B5">
        <v>5</v>
      </c>
      <c r="C5" s="10">
        <v>1450</v>
      </c>
    </row>
    <row r="6" spans="1:4" x14ac:dyDescent="0.25">
      <c r="A6">
        <v>2019</v>
      </c>
      <c r="B6">
        <v>7</v>
      </c>
      <c r="C6" s="10">
        <v>2800</v>
      </c>
    </row>
    <row r="7" spans="1:4" x14ac:dyDescent="0.25">
      <c r="A7">
        <v>2019</v>
      </c>
      <c r="B7">
        <v>8</v>
      </c>
      <c r="C7" s="10">
        <v>3805</v>
      </c>
    </row>
    <row r="8" spans="1:4" x14ac:dyDescent="0.25">
      <c r="A8">
        <v>2019</v>
      </c>
      <c r="B8">
        <v>11</v>
      </c>
      <c r="C8" s="10">
        <v>3570.0000000000005</v>
      </c>
    </row>
    <row r="9" spans="1:4" x14ac:dyDescent="0.25">
      <c r="A9">
        <v>2019</v>
      </c>
      <c r="B9">
        <v>12</v>
      </c>
      <c r="C9" s="10">
        <v>9680</v>
      </c>
    </row>
    <row r="10" spans="1:4" x14ac:dyDescent="0.25">
      <c r="A10">
        <v>2020</v>
      </c>
      <c r="B10">
        <v>1</v>
      </c>
      <c r="C10" s="10">
        <v>7500</v>
      </c>
    </row>
    <row r="11" spans="1:4" x14ac:dyDescent="0.25">
      <c r="A11">
        <v>2020</v>
      </c>
      <c r="B11">
        <v>2</v>
      </c>
      <c r="C11" s="10">
        <v>10675</v>
      </c>
    </row>
    <row r="12" spans="1:4" x14ac:dyDescent="0.25">
      <c r="A12">
        <v>2020</v>
      </c>
      <c r="B12">
        <v>3</v>
      </c>
      <c r="C12" s="10">
        <v>38450</v>
      </c>
    </row>
    <row r="13" spans="1:4" x14ac:dyDescent="0.25">
      <c r="A13">
        <v>2020</v>
      </c>
      <c r="B13">
        <v>5</v>
      </c>
      <c r="C13" s="10">
        <v>1898.75</v>
      </c>
    </row>
    <row r="14" spans="1:4" x14ac:dyDescent="0.25">
      <c r="A14">
        <v>2020</v>
      </c>
      <c r="B14">
        <v>6</v>
      </c>
      <c r="C14" s="10">
        <v>4937.5</v>
      </c>
    </row>
    <row r="15" spans="1:4" x14ac:dyDescent="0.25">
      <c r="A15">
        <v>2020</v>
      </c>
      <c r="B15">
        <v>7</v>
      </c>
      <c r="C15" s="10">
        <v>18225</v>
      </c>
    </row>
    <row r="16" spans="1:4" x14ac:dyDescent="0.25">
      <c r="A16">
        <v>2020</v>
      </c>
      <c r="B16">
        <v>10</v>
      </c>
      <c r="C16" s="10">
        <v>23540</v>
      </c>
    </row>
    <row r="17" spans="1:3" x14ac:dyDescent="0.25">
      <c r="A17">
        <v>2020</v>
      </c>
      <c r="B17">
        <v>11</v>
      </c>
      <c r="C17" s="10">
        <v>4272.5</v>
      </c>
    </row>
    <row r="18" spans="1:3" x14ac:dyDescent="0.25">
      <c r="A18">
        <v>2021</v>
      </c>
      <c r="B18">
        <v>1</v>
      </c>
      <c r="C18" s="10">
        <v>26815</v>
      </c>
    </row>
    <row r="19" spans="1:3" x14ac:dyDescent="0.25">
      <c r="A19">
        <v>2021</v>
      </c>
      <c r="B19">
        <v>2</v>
      </c>
      <c r="C19" s="10">
        <v>9656.25</v>
      </c>
    </row>
    <row r="20" spans="1:3" x14ac:dyDescent="0.25">
      <c r="A20">
        <v>2021</v>
      </c>
      <c r="B20">
        <v>3</v>
      </c>
      <c r="C20" s="10">
        <v>5225</v>
      </c>
    </row>
    <row r="21" spans="1:3" x14ac:dyDescent="0.25">
      <c r="A21">
        <v>2021</v>
      </c>
      <c r="B21">
        <v>4</v>
      </c>
      <c r="C21" s="10">
        <v>27590</v>
      </c>
    </row>
    <row r="22" spans="1:3" x14ac:dyDescent="0.25">
      <c r="A22">
        <v>2021</v>
      </c>
      <c r="B22">
        <v>6</v>
      </c>
      <c r="C22" s="10">
        <v>11525</v>
      </c>
    </row>
    <row r="23" spans="1:3" x14ac:dyDescent="0.25">
      <c r="C23"/>
    </row>
    <row r="24" spans="1:3" x14ac:dyDescent="0.25">
      <c r="C24"/>
    </row>
    <row r="25" spans="1:3" x14ac:dyDescent="0.25">
      <c r="C25"/>
    </row>
    <row r="26" spans="1:3" x14ac:dyDescent="0.25">
      <c r="C26"/>
    </row>
    <row r="27" spans="1:3" x14ac:dyDescent="0.25">
      <c r="C27"/>
    </row>
    <row r="28" spans="1:3" x14ac:dyDescent="0.25">
      <c r="C28"/>
    </row>
    <row r="29" spans="1:3" s="10" customFormat="1" x14ac:dyDescent="0.25">
      <c r="A29"/>
      <c r="B29"/>
      <c r="C29"/>
    </row>
    <row r="30" spans="1:3" s="10" customFormat="1" x14ac:dyDescent="0.25">
      <c r="A30"/>
      <c r="B30"/>
      <c r="C30"/>
    </row>
    <row r="31" spans="1:3" s="10" customFormat="1" x14ac:dyDescent="0.25">
      <c r="A31"/>
      <c r="B31"/>
      <c r="C31"/>
    </row>
    <row r="32" spans="1:3" s="10" customFormat="1" x14ac:dyDescent="0.25">
      <c r="A32"/>
      <c r="B32"/>
      <c r="C32"/>
    </row>
    <row r="33" spans="1:3" s="10" customFormat="1" x14ac:dyDescent="0.25">
      <c r="A33"/>
      <c r="B33"/>
      <c r="C33"/>
    </row>
    <row r="34" spans="1:3" s="10" customFormat="1" x14ac:dyDescent="0.25">
      <c r="A34"/>
      <c r="B34"/>
      <c r="C34"/>
    </row>
    <row r="35" spans="1:3" s="10" customFormat="1" x14ac:dyDescent="0.25">
      <c r="A35"/>
      <c r="B35"/>
      <c r="C35"/>
    </row>
    <row r="36" spans="1:3" s="10" customFormat="1" x14ac:dyDescent="0.25">
      <c r="A36"/>
      <c r="B36"/>
      <c r="C36"/>
    </row>
    <row r="37" spans="1:3" s="10" customFormat="1" x14ac:dyDescent="0.25">
      <c r="A37"/>
      <c r="B37"/>
      <c r="C37"/>
    </row>
    <row r="38" spans="1:3" s="10" customFormat="1" x14ac:dyDescent="0.25">
      <c r="A38"/>
      <c r="B38"/>
      <c r="C38"/>
    </row>
    <row r="39" spans="1:3" s="10" customFormat="1" x14ac:dyDescent="0.25">
      <c r="A39"/>
      <c r="B39"/>
      <c r="C39"/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41"/>
  <sheetViews>
    <sheetView workbookViewId="0">
      <selection activeCell="B4" sqref="B4"/>
    </sheetView>
  </sheetViews>
  <sheetFormatPr defaultRowHeight="15" x14ac:dyDescent="0.25"/>
  <cols>
    <col min="1" max="1" width="20.140625" customWidth="1"/>
    <col min="2" max="2" width="17.42578125" customWidth="1"/>
    <col min="3" max="3" width="19.7109375" style="10" customWidth="1"/>
    <col min="4" max="4" width="10.42578125" style="10" customWidth="1"/>
    <col min="5" max="5" width="12" bestFit="1" customWidth="1"/>
    <col min="6" max="6" width="17.42578125" bestFit="1" customWidth="1"/>
  </cols>
  <sheetData>
    <row r="3" spans="1:4" x14ac:dyDescent="0.25">
      <c r="A3" s="21" t="s">
        <v>72</v>
      </c>
      <c r="B3" s="10" t="s">
        <v>70</v>
      </c>
      <c r="C3" s="10" t="s">
        <v>74</v>
      </c>
      <c r="D3" s="10" t="s">
        <v>75</v>
      </c>
    </row>
    <row r="4" spans="1:4" x14ac:dyDescent="0.25">
      <c r="A4" s="23" t="s">
        <v>13</v>
      </c>
      <c r="B4" s="10">
        <v>21542.45</v>
      </c>
      <c r="C4" s="10">
        <v>23750</v>
      </c>
      <c r="D4" s="10">
        <v>2207.5499999999993</v>
      </c>
    </row>
    <row r="5" spans="1:4" x14ac:dyDescent="0.25">
      <c r="A5" s="23" t="s">
        <v>71</v>
      </c>
      <c r="B5" s="10">
        <v>87350</v>
      </c>
      <c r="C5" s="10">
        <v>52650</v>
      </c>
      <c r="D5" s="10">
        <v>-34700</v>
      </c>
    </row>
    <row r="6" spans="1:4" x14ac:dyDescent="0.25">
      <c r="A6" s="23" t="s">
        <v>108</v>
      </c>
      <c r="B6" s="10">
        <v>6645</v>
      </c>
      <c r="C6" s="10">
        <v>5550</v>
      </c>
      <c r="D6" s="10">
        <v>-1095</v>
      </c>
    </row>
    <row r="7" spans="1:4" x14ac:dyDescent="0.25">
      <c r="A7" s="23" t="s">
        <v>119</v>
      </c>
      <c r="B7" s="10">
        <v>23540</v>
      </c>
      <c r="C7" s="10">
        <v>13585</v>
      </c>
      <c r="D7" s="10">
        <v>-9955</v>
      </c>
    </row>
    <row r="8" spans="1:4" x14ac:dyDescent="0.25">
      <c r="A8" s="23" t="s">
        <v>16</v>
      </c>
      <c r="B8" s="10">
        <v>39351.25</v>
      </c>
      <c r="C8" s="10">
        <v>40400</v>
      </c>
      <c r="D8" s="10">
        <v>1048.75</v>
      </c>
    </row>
    <row r="9" spans="1:4" x14ac:dyDescent="0.25">
      <c r="A9" s="23" t="s">
        <v>141</v>
      </c>
      <c r="B9" s="10">
        <v>19980</v>
      </c>
      <c r="C9" s="10">
        <v>30900</v>
      </c>
      <c r="D9" s="10">
        <v>10920</v>
      </c>
    </row>
    <row r="10" spans="1:4" x14ac:dyDescent="0.25">
      <c r="A10" s="23" t="s">
        <v>112</v>
      </c>
      <c r="B10" s="10">
        <v>3310</v>
      </c>
      <c r="C10" s="10">
        <v>3840</v>
      </c>
      <c r="D10" s="10">
        <v>530</v>
      </c>
    </row>
    <row r="11" spans="1:4" x14ac:dyDescent="0.25">
      <c r="A11" s="23" t="s">
        <v>155</v>
      </c>
      <c r="B11" s="10">
        <v>11525</v>
      </c>
      <c r="C11" s="10">
        <v>10762.5</v>
      </c>
      <c r="D11" s="10">
        <v>-762.5</v>
      </c>
    </row>
    <row r="12" spans="1:4" x14ac:dyDescent="0.25">
      <c r="A12" s="23" t="s">
        <v>73</v>
      </c>
      <c r="B12" s="22">
        <v>213243.7</v>
      </c>
      <c r="C12" s="10">
        <v>181437.5</v>
      </c>
      <c r="D12" s="10">
        <v>-31806.199999999997</v>
      </c>
    </row>
    <row r="13" spans="1:4" x14ac:dyDescent="0.25">
      <c r="C13"/>
      <c r="D13"/>
    </row>
    <row r="14" spans="1:4" x14ac:dyDescent="0.25">
      <c r="C14"/>
      <c r="D14"/>
    </row>
    <row r="15" spans="1:4" x14ac:dyDescent="0.25">
      <c r="C15"/>
      <c r="D15"/>
    </row>
    <row r="16" spans="1:4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</row>
    <row r="22" spans="3:4" x14ac:dyDescent="0.25">
      <c r="C22"/>
    </row>
    <row r="23" spans="3:4" x14ac:dyDescent="0.25">
      <c r="C23"/>
    </row>
    <row r="24" spans="3:4" x14ac:dyDescent="0.25">
      <c r="C24"/>
    </row>
    <row r="25" spans="3:4" x14ac:dyDescent="0.25">
      <c r="C25"/>
    </row>
    <row r="26" spans="3:4" x14ac:dyDescent="0.25">
      <c r="C26"/>
    </row>
    <row r="27" spans="3:4" x14ac:dyDescent="0.25">
      <c r="C27"/>
    </row>
    <row r="28" spans="3:4" x14ac:dyDescent="0.25">
      <c r="C28"/>
    </row>
    <row r="29" spans="3:4" x14ac:dyDescent="0.25">
      <c r="C29"/>
    </row>
    <row r="30" spans="3:4" x14ac:dyDescent="0.25">
      <c r="C30"/>
    </row>
    <row r="31" spans="3:4" x14ac:dyDescent="0.25">
      <c r="C31"/>
    </row>
    <row r="32" spans="3:4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1" topLeftCell="A19" activePane="bottomLeft" state="frozen"/>
      <selection pane="bottomLeft" activeCell="B16" sqref="B16"/>
    </sheetView>
  </sheetViews>
  <sheetFormatPr defaultRowHeight="15" x14ac:dyDescent="0.25"/>
  <cols>
    <col min="1" max="1" width="9.5703125" bestFit="1" customWidth="1"/>
    <col min="2" max="2" width="25" bestFit="1" customWidth="1"/>
    <col min="3" max="3" width="7.42578125" bestFit="1" customWidth="1"/>
    <col min="8" max="8" width="44.42578125" style="58" customWidth="1"/>
    <col min="9" max="9" width="12.28515625" style="58" customWidth="1"/>
    <col min="10" max="10" width="24.85546875" style="58" bestFit="1" customWidth="1"/>
  </cols>
  <sheetData>
    <row r="1" spans="1:10" x14ac:dyDescent="0.25">
      <c r="A1" s="35" t="s">
        <v>12</v>
      </c>
      <c r="B1" s="35" t="s">
        <v>4</v>
      </c>
      <c r="C1" s="35" t="s">
        <v>78</v>
      </c>
      <c r="D1" s="35" t="s">
        <v>77</v>
      </c>
      <c r="E1" s="35" t="s">
        <v>91</v>
      </c>
      <c r="F1" s="35" t="s">
        <v>81</v>
      </c>
      <c r="G1" s="35" t="s">
        <v>96</v>
      </c>
      <c r="H1" s="67" t="s">
        <v>26</v>
      </c>
      <c r="I1" s="67" t="s">
        <v>24</v>
      </c>
      <c r="J1" s="67" t="s">
        <v>169</v>
      </c>
    </row>
    <row r="2" spans="1:10" x14ac:dyDescent="0.25">
      <c r="A2" s="78">
        <v>43747</v>
      </c>
      <c r="B2" s="35" t="s">
        <v>76</v>
      </c>
      <c r="C2" s="35">
        <v>91</v>
      </c>
      <c r="D2" s="35">
        <v>93</v>
      </c>
      <c r="E2" s="35">
        <v>95</v>
      </c>
      <c r="F2" s="35" t="s">
        <v>79</v>
      </c>
      <c r="G2" s="35" t="s">
        <v>97</v>
      </c>
      <c r="H2" s="67" t="s">
        <v>80</v>
      </c>
      <c r="I2" s="67"/>
      <c r="J2" s="67"/>
    </row>
    <row r="3" spans="1:10" x14ac:dyDescent="0.25">
      <c r="A3" s="78">
        <v>43747</v>
      </c>
      <c r="B3" s="35" t="s">
        <v>82</v>
      </c>
      <c r="C3" s="35">
        <v>251.5</v>
      </c>
      <c r="D3" s="35">
        <v>243</v>
      </c>
      <c r="E3" s="35"/>
      <c r="F3" s="35" t="s">
        <v>83</v>
      </c>
      <c r="G3" s="35" t="s">
        <v>98</v>
      </c>
      <c r="H3" s="67" t="s">
        <v>92</v>
      </c>
      <c r="I3" s="67"/>
      <c r="J3" s="67"/>
    </row>
    <row r="4" spans="1:10" ht="30" x14ac:dyDescent="0.25">
      <c r="A4" s="78">
        <v>43747</v>
      </c>
      <c r="B4" s="35" t="s">
        <v>84</v>
      </c>
      <c r="C4" s="35">
        <v>459</v>
      </c>
      <c r="D4" s="35">
        <v>475</v>
      </c>
      <c r="E4" s="35"/>
      <c r="F4" s="35" t="s">
        <v>79</v>
      </c>
      <c r="G4" s="35"/>
      <c r="H4" s="67" t="s">
        <v>85</v>
      </c>
      <c r="I4" s="67"/>
      <c r="J4" s="67"/>
    </row>
    <row r="5" spans="1:10" ht="45" x14ac:dyDescent="0.25">
      <c r="A5" s="78">
        <v>43747</v>
      </c>
      <c r="B5" s="35" t="s">
        <v>86</v>
      </c>
      <c r="C5" s="35">
        <v>490</v>
      </c>
      <c r="D5" s="35"/>
      <c r="E5" s="35"/>
      <c r="F5" s="35"/>
      <c r="G5" s="35" t="s">
        <v>99</v>
      </c>
      <c r="H5" s="67" t="s">
        <v>87</v>
      </c>
      <c r="I5" s="67"/>
      <c r="J5" s="67"/>
    </row>
    <row r="6" spans="1:10" x14ac:dyDescent="0.25">
      <c r="A6" s="78">
        <v>43747</v>
      </c>
      <c r="B6" s="35" t="s">
        <v>88</v>
      </c>
      <c r="C6" s="35">
        <v>385</v>
      </c>
      <c r="D6" s="35">
        <v>375</v>
      </c>
      <c r="E6" s="35"/>
      <c r="F6" s="35" t="s">
        <v>90</v>
      </c>
      <c r="G6" s="35" t="s">
        <v>98</v>
      </c>
      <c r="H6" s="67" t="s">
        <v>89</v>
      </c>
      <c r="I6" s="67"/>
      <c r="J6" s="67"/>
    </row>
    <row r="7" spans="1:10" x14ac:dyDescent="0.25">
      <c r="A7" s="78">
        <v>43747</v>
      </c>
      <c r="B7" s="35" t="s">
        <v>93</v>
      </c>
      <c r="C7" s="35">
        <v>211</v>
      </c>
      <c r="D7" s="35">
        <v>240</v>
      </c>
      <c r="E7" s="35"/>
      <c r="F7" s="35" t="s">
        <v>95</v>
      </c>
      <c r="G7" s="35" t="s">
        <v>100</v>
      </c>
      <c r="H7" s="67" t="s">
        <v>94</v>
      </c>
      <c r="I7" s="67"/>
      <c r="J7" s="67"/>
    </row>
    <row r="8" spans="1:10" ht="45" x14ac:dyDescent="0.25">
      <c r="A8" s="78">
        <v>43748</v>
      </c>
      <c r="B8" s="35" t="s">
        <v>101</v>
      </c>
      <c r="C8" s="35">
        <v>240</v>
      </c>
      <c r="D8" s="35">
        <v>210</v>
      </c>
      <c r="E8" s="35">
        <v>195</v>
      </c>
      <c r="F8" s="35" t="s">
        <v>83</v>
      </c>
      <c r="G8" s="35" t="s">
        <v>97</v>
      </c>
      <c r="H8" s="67" t="s">
        <v>102</v>
      </c>
      <c r="I8" s="67"/>
      <c r="J8" s="67"/>
    </row>
    <row r="9" spans="1:10" ht="75" x14ac:dyDescent="0.25">
      <c r="A9" s="78">
        <v>43749</v>
      </c>
      <c r="B9" s="35" t="s">
        <v>101</v>
      </c>
      <c r="C9" s="35">
        <v>185</v>
      </c>
      <c r="D9" s="35">
        <v>205</v>
      </c>
      <c r="E9" s="35">
        <v>205</v>
      </c>
      <c r="F9" s="35" t="s">
        <v>79</v>
      </c>
      <c r="G9" s="35" t="s">
        <v>97</v>
      </c>
      <c r="H9" s="67" t="s">
        <v>103</v>
      </c>
      <c r="I9" s="67"/>
      <c r="J9" s="67"/>
    </row>
    <row r="10" spans="1:10" x14ac:dyDescent="0.25">
      <c r="A10" s="78">
        <v>43749</v>
      </c>
      <c r="B10" s="35" t="s">
        <v>84</v>
      </c>
      <c r="C10" s="35">
        <v>441</v>
      </c>
      <c r="D10" s="35">
        <v>410</v>
      </c>
      <c r="E10" s="35"/>
      <c r="F10" s="35" t="s">
        <v>90</v>
      </c>
      <c r="G10" s="35" t="s">
        <v>98</v>
      </c>
      <c r="H10" s="67" t="s">
        <v>104</v>
      </c>
      <c r="I10" s="67"/>
      <c r="J10" s="67"/>
    </row>
    <row r="11" spans="1:10" ht="30" x14ac:dyDescent="0.25">
      <c r="A11" s="78">
        <v>43755</v>
      </c>
      <c r="B11" s="35" t="s">
        <v>106</v>
      </c>
      <c r="C11" s="35"/>
      <c r="D11" s="35"/>
      <c r="E11" s="35"/>
      <c r="F11" s="35"/>
      <c r="G11" s="35"/>
      <c r="H11" s="67" t="s">
        <v>105</v>
      </c>
      <c r="I11" s="67"/>
      <c r="J11" s="67"/>
    </row>
    <row r="12" spans="1:10" x14ac:dyDescent="0.25">
      <c r="A12" s="69">
        <v>44305</v>
      </c>
      <c r="B12" s="70" t="s">
        <v>107</v>
      </c>
      <c r="C12" s="70">
        <v>1363</v>
      </c>
      <c r="D12" s="70">
        <v>1750</v>
      </c>
      <c r="E12" s="70"/>
      <c r="F12" s="70" t="s">
        <v>95</v>
      </c>
      <c r="G12" s="70" t="s">
        <v>142</v>
      </c>
      <c r="H12" s="68" t="s">
        <v>143</v>
      </c>
      <c r="I12" s="73" t="s">
        <v>171</v>
      </c>
      <c r="J12" s="68" t="s">
        <v>165</v>
      </c>
    </row>
    <row r="13" spans="1:10" ht="45" x14ac:dyDescent="0.25">
      <c r="A13" s="69">
        <v>44305</v>
      </c>
      <c r="B13" s="70" t="s">
        <v>144</v>
      </c>
      <c r="C13" s="70">
        <v>203</v>
      </c>
      <c r="D13" s="70">
        <v>275</v>
      </c>
      <c r="E13" s="70"/>
      <c r="F13" s="70" t="s">
        <v>95</v>
      </c>
      <c r="G13" s="70" t="s">
        <v>145</v>
      </c>
      <c r="H13" s="68" t="s">
        <v>146</v>
      </c>
      <c r="I13" s="73" t="s">
        <v>171</v>
      </c>
      <c r="J13" s="68" t="s">
        <v>166</v>
      </c>
    </row>
    <row r="14" spans="1:10" ht="45" x14ac:dyDescent="0.25">
      <c r="A14" s="69">
        <v>44305</v>
      </c>
      <c r="B14" s="70" t="s">
        <v>139</v>
      </c>
      <c r="C14" s="70">
        <v>740.65</v>
      </c>
      <c r="D14" s="70">
        <v>900</v>
      </c>
      <c r="E14" s="70"/>
      <c r="F14" s="70" t="s">
        <v>95</v>
      </c>
      <c r="G14" s="70" t="s">
        <v>145</v>
      </c>
      <c r="H14" s="68" t="s">
        <v>147</v>
      </c>
      <c r="I14" s="73" t="s">
        <v>171</v>
      </c>
      <c r="J14" s="68" t="s">
        <v>167</v>
      </c>
    </row>
    <row r="15" spans="1:10" ht="75" x14ac:dyDescent="0.25">
      <c r="A15" s="69">
        <v>44305</v>
      </c>
      <c r="B15" s="70" t="s">
        <v>112</v>
      </c>
      <c r="C15" s="70">
        <v>33</v>
      </c>
      <c r="D15" s="70">
        <v>39</v>
      </c>
      <c r="E15" s="70"/>
      <c r="F15" s="70" t="s">
        <v>95</v>
      </c>
      <c r="G15" s="70" t="s">
        <v>145</v>
      </c>
      <c r="H15" s="68" t="s">
        <v>148</v>
      </c>
      <c r="I15" s="68"/>
      <c r="J15" s="68" t="s">
        <v>173</v>
      </c>
    </row>
    <row r="16" spans="1:10" ht="120" x14ac:dyDescent="0.25">
      <c r="A16" s="71">
        <v>44394</v>
      </c>
      <c r="B16" s="64" t="s">
        <v>157</v>
      </c>
      <c r="C16" s="39">
        <v>326.10000000000002</v>
      </c>
      <c r="D16" s="64" t="s">
        <v>159</v>
      </c>
      <c r="E16" s="64"/>
      <c r="F16" s="64" t="s">
        <v>95</v>
      </c>
      <c r="G16" s="64" t="s">
        <v>156</v>
      </c>
      <c r="H16" s="67" t="s">
        <v>158</v>
      </c>
      <c r="I16" s="72" t="s">
        <v>172</v>
      </c>
      <c r="J16" s="67" t="s">
        <v>170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5"/>
  <sheetViews>
    <sheetView workbookViewId="0">
      <pane ySplit="1" topLeftCell="A45" activePane="bottomLeft" state="frozen"/>
      <selection pane="bottomLeft" activeCell="A145" sqref="A145:A150"/>
    </sheetView>
  </sheetViews>
  <sheetFormatPr defaultRowHeight="15" x14ac:dyDescent="0.25"/>
  <cols>
    <col min="1" max="1" width="16.85546875" customWidth="1"/>
    <col min="2" max="2" width="20.140625" hidden="1" customWidth="1"/>
    <col min="3" max="3" width="9.85546875" hidden="1" customWidth="1"/>
    <col min="4" max="4" width="10" hidden="1" customWidth="1"/>
    <col min="5" max="5" width="10.7109375" bestFit="1" customWidth="1"/>
    <col min="8" max="8" width="11.140625" customWidth="1"/>
    <col min="9" max="9" width="11.85546875" bestFit="1" customWidth="1"/>
    <col min="10" max="10" width="12" bestFit="1" customWidth="1"/>
    <col min="11" max="11" width="14" bestFit="1" customWidth="1"/>
    <col min="12" max="12" width="11.42578125" style="65" customWidth="1"/>
    <col min="13" max="13" width="11.140625" customWidth="1"/>
    <col min="14" max="14" width="17.140625" customWidth="1"/>
    <col min="15" max="15" width="11.7109375" customWidth="1"/>
    <col min="16" max="16" width="12.85546875" style="40" customWidth="1"/>
    <col min="17" max="17" width="14" style="40" bestFit="1" customWidth="1"/>
    <col min="18" max="18" width="9.140625" style="40"/>
    <col min="19" max="19" width="19.7109375" customWidth="1"/>
    <col min="20" max="21" width="11.5703125" style="47" hidden="1" customWidth="1"/>
    <col min="22" max="22" width="12.85546875" style="37" hidden="1" customWidth="1"/>
    <col min="23" max="23" width="11.5703125" style="45" bestFit="1" customWidth="1"/>
    <col min="24" max="24" width="10.7109375" style="47" hidden="1" customWidth="1"/>
    <col min="25" max="25" width="32" customWidth="1"/>
    <col min="26" max="26" width="11.5703125" bestFit="1" customWidth="1"/>
  </cols>
  <sheetData>
    <row r="1" spans="1:26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123</v>
      </c>
      <c r="F1" s="1" t="s">
        <v>124</v>
      </c>
      <c r="G1" s="2" t="s">
        <v>125</v>
      </c>
      <c r="H1" s="2" t="s">
        <v>129</v>
      </c>
      <c r="I1" s="1" t="s">
        <v>127</v>
      </c>
      <c r="J1" s="2" t="s">
        <v>128</v>
      </c>
      <c r="K1" s="20" t="s">
        <v>126</v>
      </c>
      <c r="L1" s="61" t="s">
        <v>130</v>
      </c>
      <c r="M1" s="20" t="s">
        <v>131</v>
      </c>
      <c r="N1" s="7" t="s">
        <v>132</v>
      </c>
      <c r="O1" s="1" t="s">
        <v>133</v>
      </c>
      <c r="P1" s="41" t="s">
        <v>134</v>
      </c>
      <c r="Q1" s="41" t="s">
        <v>135</v>
      </c>
      <c r="R1" s="41" t="s">
        <v>9</v>
      </c>
      <c r="S1" s="1" t="s">
        <v>10</v>
      </c>
      <c r="T1" s="48" t="s">
        <v>136</v>
      </c>
      <c r="U1" s="48" t="s">
        <v>1</v>
      </c>
      <c r="V1" s="49" t="s">
        <v>138</v>
      </c>
      <c r="W1" s="42" t="s">
        <v>115</v>
      </c>
      <c r="X1" s="50" t="s">
        <v>137</v>
      </c>
    </row>
    <row r="2" spans="1:26" x14ac:dyDescent="0.25">
      <c r="A2" s="5" t="s">
        <v>109</v>
      </c>
      <c r="B2" s="5" t="str">
        <f>A2</f>
        <v>Vodafone</v>
      </c>
      <c r="C2" s="4">
        <f t="shared" ref="C2:C14" si="0">YEAR(E2)</f>
        <v>2019</v>
      </c>
      <c r="D2" s="4">
        <f t="shared" ref="D2:D14" si="1">MONTH(E2)</f>
        <v>11</v>
      </c>
      <c r="E2" s="6">
        <v>43784</v>
      </c>
      <c r="F2" s="3">
        <v>1000</v>
      </c>
      <c r="G2" s="11">
        <v>3.75</v>
      </c>
      <c r="H2" s="11">
        <f t="shared" ref="H2:H14" si="2">F2*G2</f>
        <v>3750</v>
      </c>
      <c r="I2" s="4">
        <f>SUM(F2:F2)</f>
        <v>1000</v>
      </c>
      <c r="J2" s="29">
        <f>SUM(H2:H2)/SUM(F2:F2)</f>
        <v>3.75</v>
      </c>
      <c r="K2" s="30">
        <f>I2*J2</f>
        <v>3750</v>
      </c>
      <c r="L2" s="62">
        <v>43789</v>
      </c>
      <c r="M2" s="30">
        <v>1000</v>
      </c>
      <c r="N2" s="31">
        <v>7.5</v>
      </c>
      <c r="O2" s="4">
        <f>I2*N2</f>
        <v>7500</v>
      </c>
      <c r="P2" s="38">
        <f>M2</f>
        <v>1000</v>
      </c>
      <c r="Q2" s="39">
        <f>O2</f>
        <v>7500</v>
      </c>
      <c r="R2" s="38">
        <f>Q2-K2</f>
        <v>3750</v>
      </c>
      <c r="S2" s="33">
        <f>(R2/K2)</f>
        <v>1</v>
      </c>
      <c r="T2" s="46"/>
      <c r="U2" s="46"/>
      <c r="V2" s="36"/>
      <c r="W2" s="43">
        <f>L2-E2</f>
        <v>5</v>
      </c>
      <c r="X2" s="46"/>
      <c r="Z2" s="24">
        <f>SUM(R:R)</f>
        <v>396514.15</v>
      </c>
    </row>
    <row r="3" spans="1:26" x14ac:dyDescent="0.25">
      <c r="A3" s="80" t="s">
        <v>71</v>
      </c>
      <c r="B3" s="5" t="str">
        <f>A3</f>
        <v>YesBank</v>
      </c>
      <c r="C3" s="4">
        <f t="shared" si="0"/>
        <v>2019</v>
      </c>
      <c r="D3" s="4">
        <f t="shared" si="1"/>
        <v>9</v>
      </c>
      <c r="E3" s="6">
        <v>43727</v>
      </c>
      <c r="F3" s="3">
        <v>10</v>
      </c>
      <c r="G3" s="11">
        <v>54</v>
      </c>
      <c r="H3" s="11">
        <f t="shared" si="2"/>
        <v>540</v>
      </c>
      <c r="I3" s="81">
        <f>SUM(F3:F9)</f>
        <v>5200</v>
      </c>
      <c r="J3" s="82">
        <f>SUM(H3:H9)/SUM(F3:F9)</f>
        <v>48.048557692307689</v>
      </c>
      <c r="K3" s="83">
        <f>I3*J3</f>
        <v>249852.49999999997</v>
      </c>
      <c r="L3" s="108">
        <v>43822</v>
      </c>
      <c r="M3" s="81">
        <v>5200</v>
      </c>
      <c r="N3" s="84">
        <v>50.25</v>
      </c>
      <c r="O3" s="81">
        <f>I3*N3</f>
        <v>261300</v>
      </c>
      <c r="P3" s="100">
        <f>I3</f>
        <v>5200</v>
      </c>
      <c r="Q3" s="100">
        <f>O3</f>
        <v>261300</v>
      </c>
      <c r="R3" s="104">
        <f>Q3-K3</f>
        <v>11447.500000000029</v>
      </c>
      <c r="S3" s="86">
        <f>(R3/K3)</f>
        <v>4.5817032048908975E-2</v>
      </c>
      <c r="T3" s="124"/>
      <c r="U3" s="124"/>
      <c r="V3" s="127"/>
      <c r="W3" s="133">
        <f>L3-E3</f>
        <v>95</v>
      </c>
      <c r="X3" s="124"/>
    </row>
    <row r="4" spans="1:26" x14ac:dyDescent="0.25">
      <c r="A4" s="80"/>
      <c r="B4" s="5" t="str">
        <f>A3</f>
        <v>YesBank</v>
      </c>
      <c r="C4" s="4">
        <f t="shared" si="0"/>
        <v>2019</v>
      </c>
      <c r="D4" s="4">
        <f t="shared" si="1"/>
        <v>9</v>
      </c>
      <c r="E4" s="6">
        <v>43735</v>
      </c>
      <c r="F4" s="3">
        <v>10</v>
      </c>
      <c r="G4" s="11">
        <v>49</v>
      </c>
      <c r="H4" s="11">
        <f t="shared" si="2"/>
        <v>490</v>
      </c>
      <c r="I4" s="81"/>
      <c r="J4" s="82"/>
      <c r="K4" s="83"/>
      <c r="L4" s="109"/>
      <c r="M4" s="81"/>
      <c r="N4" s="84"/>
      <c r="O4" s="81"/>
      <c r="P4" s="100"/>
      <c r="Q4" s="100"/>
      <c r="R4" s="100"/>
      <c r="S4" s="86"/>
      <c r="T4" s="125"/>
      <c r="U4" s="125"/>
      <c r="V4" s="128"/>
      <c r="W4" s="133"/>
      <c r="X4" s="125"/>
    </row>
    <row r="5" spans="1:26" x14ac:dyDescent="0.25">
      <c r="A5" s="80"/>
      <c r="B5" s="5" t="str">
        <f>A3</f>
        <v>YesBank</v>
      </c>
      <c r="C5" s="4">
        <f t="shared" si="0"/>
        <v>2019</v>
      </c>
      <c r="D5" s="4">
        <f t="shared" si="1"/>
        <v>9</v>
      </c>
      <c r="E5" s="6">
        <v>43738</v>
      </c>
      <c r="F5" s="3">
        <v>30</v>
      </c>
      <c r="G5" s="11">
        <v>44.5</v>
      </c>
      <c r="H5" s="11">
        <f t="shared" si="2"/>
        <v>1335</v>
      </c>
      <c r="I5" s="81"/>
      <c r="J5" s="82"/>
      <c r="K5" s="83"/>
      <c r="L5" s="109"/>
      <c r="M5" s="81"/>
      <c r="N5" s="84"/>
      <c r="O5" s="81"/>
      <c r="P5" s="100"/>
      <c r="Q5" s="100"/>
      <c r="R5" s="100"/>
      <c r="S5" s="86"/>
      <c r="T5" s="125"/>
      <c r="U5" s="125"/>
      <c r="V5" s="128"/>
      <c r="W5" s="133"/>
      <c r="X5" s="125"/>
    </row>
    <row r="6" spans="1:26" x14ac:dyDescent="0.25">
      <c r="A6" s="80"/>
      <c r="B6" s="5" t="str">
        <f>A3</f>
        <v>YesBank</v>
      </c>
      <c r="C6" s="4">
        <f t="shared" si="0"/>
        <v>2019</v>
      </c>
      <c r="D6" s="4">
        <f t="shared" si="1"/>
        <v>10</v>
      </c>
      <c r="E6" s="6">
        <v>43739</v>
      </c>
      <c r="F6" s="3">
        <v>25</v>
      </c>
      <c r="G6" s="11">
        <v>39</v>
      </c>
      <c r="H6" s="11">
        <f t="shared" si="2"/>
        <v>975</v>
      </c>
      <c r="I6" s="81"/>
      <c r="J6" s="82"/>
      <c r="K6" s="83"/>
      <c r="L6" s="109"/>
      <c r="M6" s="81"/>
      <c r="N6" s="84"/>
      <c r="O6" s="81"/>
      <c r="P6" s="100"/>
      <c r="Q6" s="100"/>
      <c r="R6" s="100"/>
      <c r="S6" s="86"/>
      <c r="T6" s="125"/>
      <c r="U6" s="125"/>
      <c r="V6" s="128"/>
      <c r="W6" s="133"/>
      <c r="X6" s="125"/>
    </row>
    <row r="7" spans="1:26" x14ac:dyDescent="0.25">
      <c r="A7" s="80"/>
      <c r="B7" s="5" t="str">
        <f>A3</f>
        <v>YesBank</v>
      </c>
      <c r="C7" s="4">
        <f t="shared" si="0"/>
        <v>2019</v>
      </c>
      <c r="D7" s="4">
        <f t="shared" si="1"/>
        <v>10</v>
      </c>
      <c r="E7" s="6">
        <v>43739</v>
      </c>
      <c r="F7" s="3">
        <v>100</v>
      </c>
      <c r="G7" s="11">
        <v>31</v>
      </c>
      <c r="H7" s="11">
        <f t="shared" si="2"/>
        <v>3100</v>
      </c>
      <c r="I7" s="81"/>
      <c r="J7" s="82"/>
      <c r="K7" s="83"/>
      <c r="L7" s="109"/>
      <c r="M7" s="81"/>
      <c r="N7" s="84"/>
      <c r="O7" s="81"/>
      <c r="P7" s="100"/>
      <c r="Q7" s="100"/>
      <c r="R7" s="100"/>
      <c r="S7" s="86"/>
      <c r="T7" s="125"/>
      <c r="U7" s="125"/>
      <c r="V7" s="128"/>
      <c r="W7" s="133"/>
      <c r="X7" s="125"/>
    </row>
    <row r="8" spans="1:26" x14ac:dyDescent="0.25">
      <c r="A8" s="80"/>
      <c r="B8" s="5" t="str">
        <f>A3</f>
        <v>YesBank</v>
      </c>
      <c r="C8" s="4">
        <f t="shared" si="0"/>
        <v>2019</v>
      </c>
      <c r="D8" s="4">
        <f t="shared" si="1"/>
        <v>10</v>
      </c>
      <c r="E8" s="6">
        <v>43768</v>
      </c>
      <c r="F8" s="3">
        <v>25</v>
      </c>
      <c r="G8" s="11">
        <v>56.5</v>
      </c>
      <c r="H8" s="11">
        <f t="shared" si="2"/>
        <v>1412.5</v>
      </c>
      <c r="I8" s="81"/>
      <c r="J8" s="82"/>
      <c r="K8" s="83"/>
      <c r="L8" s="109"/>
      <c r="M8" s="81"/>
      <c r="N8" s="84"/>
      <c r="O8" s="81"/>
      <c r="P8" s="100"/>
      <c r="Q8" s="100"/>
      <c r="R8" s="100"/>
      <c r="S8" s="86"/>
      <c r="T8" s="125"/>
      <c r="U8" s="125"/>
      <c r="V8" s="128"/>
      <c r="W8" s="133"/>
      <c r="X8" s="125"/>
    </row>
    <row r="9" spans="1:26" x14ac:dyDescent="0.25">
      <c r="A9" s="80"/>
      <c r="B9" s="5" t="str">
        <f>A3</f>
        <v>YesBank</v>
      </c>
      <c r="C9" s="4">
        <f t="shared" si="0"/>
        <v>2019</v>
      </c>
      <c r="D9" s="4">
        <f t="shared" si="1"/>
        <v>12</v>
      </c>
      <c r="E9" s="6">
        <v>43818</v>
      </c>
      <c r="F9" s="3">
        <v>5000</v>
      </c>
      <c r="G9" s="11">
        <v>48.4</v>
      </c>
      <c r="H9" s="11">
        <f t="shared" si="2"/>
        <v>242000</v>
      </c>
      <c r="I9" s="81"/>
      <c r="J9" s="82"/>
      <c r="K9" s="83"/>
      <c r="L9" s="109"/>
      <c r="M9" s="81"/>
      <c r="N9" s="84"/>
      <c r="O9" s="81"/>
      <c r="P9" s="100"/>
      <c r="Q9" s="100"/>
      <c r="R9" s="100"/>
      <c r="S9" s="86"/>
      <c r="T9" s="126"/>
      <c r="U9" s="126"/>
      <c r="V9" s="129"/>
      <c r="W9" s="133"/>
      <c r="X9" s="126"/>
    </row>
    <row r="10" spans="1:26" x14ac:dyDescent="0.25">
      <c r="A10" s="80" t="s">
        <v>107</v>
      </c>
      <c r="B10" s="5" t="str">
        <f>A10</f>
        <v>Infosys</v>
      </c>
      <c r="C10" s="4">
        <f t="shared" si="0"/>
        <v>2019</v>
      </c>
      <c r="D10" s="4">
        <f t="shared" si="1"/>
        <v>10</v>
      </c>
      <c r="E10" s="6">
        <v>43762</v>
      </c>
      <c r="F10" s="3">
        <v>5</v>
      </c>
      <c r="G10" s="11">
        <v>640</v>
      </c>
      <c r="H10" s="11">
        <f t="shared" si="2"/>
        <v>3200</v>
      </c>
      <c r="I10" s="81">
        <f>SUM(F10:F12)</f>
        <v>250</v>
      </c>
      <c r="J10" s="82">
        <f>SUM(H10:H12)/SUM(F10:F12)</f>
        <v>713.89</v>
      </c>
      <c r="K10" s="83">
        <f>I10*J10</f>
        <v>178472.5</v>
      </c>
      <c r="L10" s="108">
        <v>43840</v>
      </c>
      <c r="M10" s="83">
        <f>I10</f>
        <v>250</v>
      </c>
      <c r="N10" s="84">
        <v>740</v>
      </c>
      <c r="O10" s="81">
        <f>I10*N10</f>
        <v>185000</v>
      </c>
      <c r="P10" s="104">
        <f>M10</f>
        <v>250</v>
      </c>
      <c r="Q10" s="100">
        <f>O10</f>
        <v>185000</v>
      </c>
      <c r="R10" s="104">
        <f>Q10-K10</f>
        <v>6527.5</v>
      </c>
      <c r="S10" s="86">
        <f>(R10/K10)</f>
        <v>3.6574262141226242E-2</v>
      </c>
      <c r="T10" s="124"/>
      <c r="U10" s="124"/>
      <c r="V10" s="130"/>
      <c r="W10" s="133">
        <f>L10-E10</f>
        <v>78</v>
      </c>
      <c r="X10" s="124"/>
    </row>
    <row r="11" spans="1:26" x14ac:dyDescent="0.25">
      <c r="A11" s="80"/>
      <c r="B11" s="5" t="str">
        <f>A10</f>
        <v>Infosys</v>
      </c>
      <c r="C11" s="4">
        <f t="shared" si="0"/>
        <v>2019</v>
      </c>
      <c r="D11" s="4">
        <f t="shared" si="1"/>
        <v>11</v>
      </c>
      <c r="E11" s="6">
        <v>43773</v>
      </c>
      <c r="F11" s="3">
        <v>5</v>
      </c>
      <c r="G11" s="11">
        <v>710.5</v>
      </c>
      <c r="H11" s="11">
        <f t="shared" si="2"/>
        <v>3552.5</v>
      </c>
      <c r="I11" s="81"/>
      <c r="J11" s="82"/>
      <c r="K11" s="83"/>
      <c r="L11" s="109"/>
      <c r="M11" s="83"/>
      <c r="N11" s="84"/>
      <c r="O11" s="81"/>
      <c r="P11" s="100"/>
      <c r="Q11" s="100"/>
      <c r="R11" s="100"/>
      <c r="S11" s="86"/>
      <c r="T11" s="125"/>
      <c r="U11" s="125"/>
      <c r="V11" s="132"/>
      <c r="W11" s="133"/>
      <c r="X11" s="125"/>
    </row>
    <row r="12" spans="1:26" x14ac:dyDescent="0.25">
      <c r="A12" s="80"/>
      <c r="B12" s="5" t="str">
        <f>A10</f>
        <v>Infosys</v>
      </c>
      <c r="C12" s="4">
        <f t="shared" si="0"/>
        <v>2020</v>
      </c>
      <c r="D12" s="4">
        <f t="shared" si="1"/>
        <v>1</v>
      </c>
      <c r="E12" s="6">
        <v>43838</v>
      </c>
      <c r="F12" s="3">
        <v>240</v>
      </c>
      <c r="G12" s="11">
        <v>715.5</v>
      </c>
      <c r="H12" s="11">
        <f t="shared" si="2"/>
        <v>171720</v>
      </c>
      <c r="I12" s="81"/>
      <c r="J12" s="82"/>
      <c r="K12" s="83"/>
      <c r="L12" s="109"/>
      <c r="M12" s="83"/>
      <c r="N12" s="84"/>
      <c r="O12" s="81"/>
      <c r="P12" s="100"/>
      <c r="Q12" s="100"/>
      <c r="R12" s="100"/>
      <c r="S12" s="86"/>
      <c r="T12" s="126"/>
      <c r="U12" s="126"/>
      <c r="V12" s="131"/>
      <c r="W12" s="133"/>
      <c r="X12" s="126"/>
    </row>
    <row r="13" spans="1:26" ht="15" customHeight="1" x14ac:dyDescent="0.25">
      <c r="A13" s="5" t="s">
        <v>113</v>
      </c>
      <c r="B13" s="4" t="str">
        <f>A13</f>
        <v>Aster DM Healthcare</v>
      </c>
      <c r="C13" s="4">
        <f t="shared" si="0"/>
        <v>2020</v>
      </c>
      <c r="D13" s="4">
        <f t="shared" si="1"/>
        <v>1</v>
      </c>
      <c r="E13" s="6">
        <v>43840</v>
      </c>
      <c r="F13" s="3">
        <v>250</v>
      </c>
      <c r="G13" s="11">
        <v>163.5</v>
      </c>
      <c r="H13" s="11">
        <f t="shared" si="2"/>
        <v>40875</v>
      </c>
      <c r="I13" s="4">
        <f>SUM(F13:F13)</f>
        <v>250</v>
      </c>
      <c r="J13" s="29">
        <f>SUM(H13:H13)/SUM(F13:F13)</f>
        <v>163.5</v>
      </c>
      <c r="K13" s="30">
        <f>I13*J13</f>
        <v>40875</v>
      </c>
      <c r="L13" s="62">
        <v>43858</v>
      </c>
      <c r="M13" s="30">
        <f>I13</f>
        <v>250</v>
      </c>
      <c r="N13" s="31">
        <v>170</v>
      </c>
      <c r="O13" s="4">
        <f>I13*N13</f>
        <v>42500</v>
      </c>
      <c r="P13" s="38">
        <f>M13</f>
        <v>250</v>
      </c>
      <c r="Q13" s="39">
        <f>O13</f>
        <v>42500</v>
      </c>
      <c r="R13" s="38">
        <f>Q13-K13</f>
        <v>1625</v>
      </c>
      <c r="S13" s="33">
        <f>(R13/K13)</f>
        <v>3.9755351681957186E-2</v>
      </c>
      <c r="T13" s="46"/>
      <c r="U13" s="46"/>
      <c r="V13" s="36"/>
      <c r="W13" s="43">
        <f>L13-E13</f>
        <v>18</v>
      </c>
      <c r="X13" s="46"/>
    </row>
    <row r="14" spans="1:26" ht="15" customHeight="1" x14ac:dyDescent="0.25">
      <c r="A14" s="5" t="s">
        <v>111</v>
      </c>
      <c r="B14" s="5" t="str">
        <f>A14</f>
        <v>Jagran Prakashan</v>
      </c>
      <c r="C14" s="4">
        <f t="shared" si="0"/>
        <v>2019</v>
      </c>
      <c r="D14" s="4">
        <f t="shared" si="1"/>
        <v>12</v>
      </c>
      <c r="E14" s="6">
        <v>43808</v>
      </c>
      <c r="F14" s="3">
        <v>2000</v>
      </c>
      <c r="G14" s="11">
        <v>59.49</v>
      </c>
      <c r="H14" s="11">
        <f t="shared" si="2"/>
        <v>118980</v>
      </c>
      <c r="I14" s="4">
        <f>SUM(F14:F14)</f>
        <v>2000</v>
      </c>
      <c r="J14" s="29">
        <f>SUM(H14:H14)/SUM(F14:F14)</f>
        <v>59.49</v>
      </c>
      <c r="K14" s="30">
        <f>I14*J14</f>
        <v>118980</v>
      </c>
      <c r="L14" s="62">
        <v>43831</v>
      </c>
      <c r="M14" s="30">
        <f>I14</f>
        <v>2000</v>
      </c>
      <c r="N14" s="31">
        <v>67.05</v>
      </c>
      <c r="O14" s="4">
        <f>I14*N14</f>
        <v>134100</v>
      </c>
      <c r="P14" s="38">
        <f>M14</f>
        <v>2000</v>
      </c>
      <c r="Q14" s="39">
        <f>O14</f>
        <v>134100</v>
      </c>
      <c r="R14" s="38">
        <f>Q14-K14</f>
        <v>15120</v>
      </c>
      <c r="S14" s="33">
        <f>(R14/K14)</f>
        <v>0.12708018154311648</v>
      </c>
      <c r="T14" s="46"/>
      <c r="U14" s="46"/>
      <c r="V14" s="36"/>
      <c r="W14" s="43">
        <f>L14-E14</f>
        <v>23</v>
      </c>
      <c r="X14" s="46"/>
    </row>
    <row r="15" spans="1:26" x14ac:dyDescent="0.25">
      <c r="A15" s="81" t="s">
        <v>11</v>
      </c>
      <c r="B15" s="4" t="str">
        <f>A15</f>
        <v>LT Foods</v>
      </c>
      <c r="C15" s="4">
        <f>YEAR(E15)</f>
        <v>2019</v>
      </c>
      <c r="D15" s="4">
        <f>MONTH(E15)</f>
        <v>4</v>
      </c>
      <c r="E15" s="32">
        <v>43578</v>
      </c>
      <c r="F15" s="3">
        <v>250</v>
      </c>
      <c r="G15" s="11">
        <v>38</v>
      </c>
      <c r="H15" s="11">
        <f>F15*G15</f>
        <v>9500</v>
      </c>
      <c r="I15" s="81">
        <f>SUM(F15:F26)</f>
        <v>2000</v>
      </c>
      <c r="J15" s="82">
        <f>SUM(H15:H26)/SUM(F15:F26)</f>
        <v>22.142499999999998</v>
      </c>
      <c r="K15" s="83">
        <f>I15*J15</f>
        <v>44285</v>
      </c>
      <c r="L15" s="108">
        <v>43922</v>
      </c>
      <c r="M15" s="83">
        <f>I15</f>
        <v>2000</v>
      </c>
      <c r="N15" s="84">
        <v>22.4</v>
      </c>
      <c r="O15" s="81">
        <f>I15*N15</f>
        <v>44800</v>
      </c>
      <c r="P15" s="104">
        <f>M15</f>
        <v>2000</v>
      </c>
      <c r="Q15" s="100">
        <f>O15</f>
        <v>44800</v>
      </c>
      <c r="R15" s="104">
        <f>Q15-K15</f>
        <v>515</v>
      </c>
      <c r="S15" s="86">
        <f>(R15/K15)</f>
        <v>1.1629219826126228E-2</v>
      </c>
      <c r="T15" s="124"/>
      <c r="U15" s="124"/>
      <c r="V15" s="130"/>
      <c r="W15" s="133">
        <f>L15-E15</f>
        <v>344</v>
      </c>
      <c r="X15" s="124"/>
    </row>
    <row r="16" spans="1:26" x14ac:dyDescent="0.25">
      <c r="A16" s="81"/>
      <c r="B16" s="4" t="str">
        <f>A15</f>
        <v>LT Foods</v>
      </c>
      <c r="C16" s="4">
        <f t="shared" ref="C16:C46" si="3">YEAR(E16)</f>
        <v>2019</v>
      </c>
      <c r="D16" s="4">
        <f t="shared" ref="D16:D46" si="4">MONTH(E16)</f>
        <v>5</v>
      </c>
      <c r="E16" s="32">
        <v>43602</v>
      </c>
      <c r="F16" s="3">
        <v>100</v>
      </c>
      <c r="G16" s="11">
        <v>27.5</v>
      </c>
      <c r="H16" s="11">
        <f t="shared" ref="H16:H21" si="5">F16*G16</f>
        <v>2750</v>
      </c>
      <c r="I16" s="81"/>
      <c r="J16" s="82"/>
      <c r="K16" s="83"/>
      <c r="L16" s="109"/>
      <c r="M16" s="83"/>
      <c r="N16" s="84"/>
      <c r="O16" s="81"/>
      <c r="P16" s="100"/>
      <c r="Q16" s="100"/>
      <c r="R16" s="100"/>
      <c r="S16" s="86"/>
      <c r="T16" s="125"/>
      <c r="U16" s="125"/>
      <c r="V16" s="132"/>
      <c r="W16" s="133"/>
      <c r="X16" s="125"/>
    </row>
    <row r="17" spans="1:24" x14ac:dyDescent="0.25">
      <c r="A17" s="81"/>
      <c r="B17" s="4" t="str">
        <f>A15</f>
        <v>LT Foods</v>
      </c>
      <c r="C17" s="4">
        <f t="shared" si="3"/>
        <v>2019</v>
      </c>
      <c r="D17" s="4">
        <f t="shared" si="4"/>
        <v>5</v>
      </c>
      <c r="E17" s="32">
        <v>43612</v>
      </c>
      <c r="F17" s="3">
        <v>100</v>
      </c>
      <c r="G17" s="11">
        <v>31.5</v>
      </c>
      <c r="H17" s="11">
        <f t="shared" si="5"/>
        <v>3150</v>
      </c>
      <c r="I17" s="81"/>
      <c r="J17" s="82"/>
      <c r="K17" s="83"/>
      <c r="L17" s="109"/>
      <c r="M17" s="83"/>
      <c r="N17" s="84"/>
      <c r="O17" s="81"/>
      <c r="P17" s="100"/>
      <c r="Q17" s="100"/>
      <c r="R17" s="100"/>
      <c r="S17" s="86"/>
      <c r="T17" s="125"/>
      <c r="U17" s="125"/>
      <c r="V17" s="132"/>
      <c r="W17" s="133"/>
      <c r="X17" s="125"/>
    </row>
    <row r="18" spans="1:24" x14ac:dyDescent="0.25">
      <c r="A18" s="81"/>
      <c r="B18" s="4" t="str">
        <f>A15</f>
        <v>LT Foods</v>
      </c>
      <c r="C18" s="4">
        <f t="shared" si="3"/>
        <v>2019</v>
      </c>
      <c r="D18" s="4">
        <f t="shared" si="4"/>
        <v>6</v>
      </c>
      <c r="E18" s="32">
        <v>43633</v>
      </c>
      <c r="F18" s="3">
        <v>100</v>
      </c>
      <c r="G18" s="11">
        <v>24.25</v>
      </c>
      <c r="H18" s="11">
        <f t="shared" si="5"/>
        <v>2425</v>
      </c>
      <c r="I18" s="81"/>
      <c r="J18" s="82"/>
      <c r="K18" s="83"/>
      <c r="L18" s="109"/>
      <c r="M18" s="83"/>
      <c r="N18" s="84"/>
      <c r="O18" s="81"/>
      <c r="P18" s="100"/>
      <c r="Q18" s="100"/>
      <c r="R18" s="100"/>
      <c r="S18" s="86"/>
      <c r="T18" s="125"/>
      <c r="U18" s="125"/>
      <c r="V18" s="132"/>
      <c r="W18" s="133"/>
      <c r="X18" s="125"/>
    </row>
    <row r="19" spans="1:24" x14ac:dyDescent="0.25">
      <c r="A19" s="81"/>
      <c r="B19" s="4" t="str">
        <f>A15</f>
        <v>LT Foods</v>
      </c>
      <c r="C19" s="4">
        <f t="shared" si="3"/>
        <v>2019</v>
      </c>
      <c r="D19" s="4">
        <f t="shared" si="4"/>
        <v>6</v>
      </c>
      <c r="E19" s="32">
        <v>43636</v>
      </c>
      <c r="F19" s="3">
        <v>150</v>
      </c>
      <c r="G19" s="11">
        <v>22</v>
      </c>
      <c r="H19" s="11">
        <f t="shared" si="5"/>
        <v>3300</v>
      </c>
      <c r="I19" s="81"/>
      <c r="J19" s="82"/>
      <c r="K19" s="83"/>
      <c r="L19" s="109"/>
      <c r="M19" s="83"/>
      <c r="N19" s="84"/>
      <c r="O19" s="81"/>
      <c r="P19" s="100"/>
      <c r="Q19" s="100"/>
      <c r="R19" s="100"/>
      <c r="S19" s="86"/>
      <c r="T19" s="125"/>
      <c r="U19" s="125"/>
      <c r="V19" s="132"/>
      <c r="W19" s="133"/>
      <c r="X19" s="125"/>
    </row>
    <row r="20" spans="1:24" x14ac:dyDescent="0.25">
      <c r="A20" s="81"/>
      <c r="B20" s="4" t="str">
        <f>A15</f>
        <v>LT Foods</v>
      </c>
      <c r="C20" s="4">
        <f t="shared" si="3"/>
        <v>2019</v>
      </c>
      <c r="D20" s="4">
        <f t="shared" si="4"/>
        <v>8</v>
      </c>
      <c r="E20" s="32">
        <v>43685</v>
      </c>
      <c r="F20" s="3">
        <v>100</v>
      </c>
      <c r="G20" s="11">
        <v>18.25</v>
      </c>
      <c r="H20" s="11">
        <f t="shared" si="5"/>
        <v>1825</v>
      </c>
      <c r="I20" s="81"/>
      <c r="J20" s="82"/>
      <c r="K20" s="83"/>
      <c r="L20" s="109"/>
      <c r="M20" s="83"/>
      <c r="N20" s="84"/>
      <c r="O20" s="81"/>
      <c r="P20" s="100"/>
      <c r="Q20" s="100"/>
      <c r="R20" s="100"/>
      <c r="S20" s="86"/>
      <c r="T20" s="125"/>
      <c r="U20" s="125"/>
      <c r="V20" s="132"/>
      <c r="W20" s="133"/>
      <c r="X20" s="125"/>
    </row>
    <row r="21" spans="1:24" x14ac:dyDescent="0.25">
      <c r="A21" s="81"/>
      <c r="B21" s="4" t="str">
        <f>A15</f>
        <v>LT Foods</v>
      </c>
      <c r="C21" s="4">
        <f t="shared" si="3"/>
        <v>2019</v>
      </c>
      <c r="D21" s="4">
        <f t="shared" si="4"/>
        <v>8</v>
      </c>
      <c r="E21" s="32">
        <v>43698</v>
      </c>
      <c r="F21" s="3">
        <v>100</v>
      </c>
      <c r="G21" s="11">
        <v>21</v>
      </c>
      <c r="H21" s="11">
        <f t="shared" si="5"/>
        <v>2100</v>
      </c>
      <c r="I21" s="81"/>
      <c r="J21" s="82"/>
      <c r="K21" s="83"/>
      <c r="L21" s="109"/>
      <c r="M21" s="83"/>
      <c r="N21" s="84"/>
      <c r="O21" s="81"/>
      <c r="P21" s="100"/>
      <c r="Q21" s="100"/>
      <c r="R21" s="100"/>
      <c r="S21" s="86"/>
      <c r="T21" s="125"/>
      <c r="U21" s="125"/>
      <c r="V21" s="132"/>
      <c r="W21" s="133"/>
      <c r="X21" s="125"/>
    </row>
    <row r="22" spans="1:24" x14ac:dyDescent="0.25">
      <c r="A22" s="81"/>
      <c r="B22" s="4" t="str">
        <f>A15</f>
        <v>LT Foods</v>
      </c>
      <c r="C22" s="4">
        <f t="shared" si="3"/>
        <v>2019</v>
      </c>
      <c r="D22" s="4">
        <f t="shared" si="4"/>
        <v>10</v>
      </c>
      <c r="E22" s="32">
        <v>43761</v>
      </c>
      <c r="F22" s="3">
        <v>50</v>
      </c>
      <c r="G22" s="11">
        <v>23.5</v>
      </c>
      <c r="H22" s="11">
        <f>F22*G22</f>
        <v>1175</v>
      </c>
      <c r="I22" s="81"/>
      <c r="J22" s="82"/>
      <c r="K22" s="83"/>
      <c r="L22" s="109"/>
      <c r="M22" s="83"/>
      <c r="N22" s="84"/>
      <c r="O22" s="81"/>
      <c r="P22" s="100"/>
      <c r="Q22" s="100"/>
      <c r="R22" s="100"/>
      <c r="S22" s="86"/>
      <c r="T22" s="125"/>
      <c r="U22" s="125"/>
      <c r="V22" s="132"/>
      <c r="W22" s="133"/>
      <c r="X22" s="125"/>
    </row>
    <row r="23" spans="1:24" x14ac:dyDescent="0.25">
      <c r="A23" s="81"/>
      <c r="B23" s="4" t="str">
        <f>A15</f>
        <v>LT Foods</v>
      </c>
      <c r="C23" s="4">
        <f t="shared" si="3"/>
        <v>2019</v>
      </c>
      <c r="D23" s="4">
        <f t="shared" si="4"/>
        <v>11</v>
      </c>
      <c r="E23" s="32">
        <v>43795</v>
      </c>
      <c r="F23" s="3">
        <v>100</v>
      </c>
      <c r="G23" s="11">
        <v>22.1</v>
      </c>
      <c r="H23" s="11">
        <f t="shared" ref="H23:H46" si="6">F23*G23</f>
        <v>2210</v>
      </c>
      <c r="I23" s="81"/>
      <c r="J23" s="82"/>
      <c r="K23" s="83"/>
      <c r="L23" s="109"/>
      <c r="M23" s="83"/>
      <c r="N23" s="84"/>
      <c r="O23" s="81"/>
      <c r="P23" s="100"/>
      <c r="Q23" s="100"/>
      <c r="R23" s="100"/>
      <c r="S23" s="86"/>
      <c r="T23" s="125"/>
      <c r="U23" s="125"/>
      <c r="V23" s="132"/>
      <c r="W23" s="133"/>
      <c r="X23" s="125"/>
    </row>
    <row r="24" spans="1:24" x14ac:dyDescent="0.25">
      <c r="A24" s="81"/>
      <c r="B24" s="4" t="str">
        <f>A15</f>
        <v>LT Foods</v>
      </c>
      <c r="C24" s="4">
        <f t="shared" si="3"/>
        <v>2019</v>
      </c>
      <c r="D24" s="4">
        <f t="shared" si="4"/>
        <v>12</v>
      </c>
      <c r="E24" s="32">
        <v>43822</v>
      </c>
      <c r="F24" s="3">
        <v>200</v>
      </c>
      <c r="G24" s="11">
        <v>20</v>
      </c>
      <c r="H24" s="11">
        <f t="shared" si="6"/>
        <v>4000</v>
      </c>
      <c r="I24" s="81"/>
      <c r="J24" s="82"/>
      <c r="K24" s="83"/>
      <c r="L24" s="109"/>
      <c r="M24" s="83"/>
      <c r="N24" s="84"/>
      <c r="O24" s="81"/>
      <c r="P24" s="100"/>
      <c r="Q24" s="100"/>
      <c r="R24" s="100"/>
      <c r="S24" s="86"/>
      <c r="T24" s="125"/>
      <c r="U24" s="125"/>
      <c r="V24" s="132"/>
      <c r="W24" s="133"/>
      <c r="X24" s="125"/>
    </row>
    <row r="25" spans="1:24" x14ac:dyDescent="0.25">
      <c r="A25" s="81"/>
      <c r="B25" s="4" t="str">
        <f>A15</f>
        <v>LT Foods</v>
      </c>
      <c r="C25" s="4">
        <f t="shared" si="3"/>
        <v>2020</v>
      </c>
      <c r="D25" s="4">
        <f t="shared" si="4"/>
        <v>3</v>
      </c>
      <c r="E25" s="32">
        <v>43902</v>
      </c>
      <c r="F25" s="3">
        <v>250</v>
      </c>
      <c r="G25" s="11">
        <v>17</v>
      </c>
      <c r="H25" s="11">
        <f t="shared" si="6"/>
        <v>4250</v>
      </c>
      <c r="I25" s="81"/>
      <c r="J25" s="82"/>
      <c r="K25" s="83"/>
      <c r="L25" s="109"/>
      <c r="M25" s="83"/>
      <c r="N25" s="84"/>
      <c r="O25" s="81"/>
      <c r="P25" s="100"/>
      <c r="Q25" s="100"/>
      <c r="R25" s="100"/>
      <c r="S25" s="86"/>
      <c r="T25" s="125"/>
      <c r="U25" s="125"/>
      <c r="V25" s="132"/>
      <c r="W25" s="133"/>
      <c r="X25" s="125"/>
    </row>
    <row r="26" spans="1:24" x14ac:dyDescent="0.25">
      <c r="A26" s="81"/>
      <c r="B26" s="4" t="str">
        <f>A15</f>
        <v>LT Foods</v>
      </c>
      <c r="C26" s="4">
        <f t="shared" si="3"/>
        <v>2020</v>
      </c>
      <c r="D26" s="4">
        <f t="shared" si="4"/>
        <v>3</v>
      </c>
      <c r="E26" s="32">
        <v>43903</v>
      </c>
      <c r="F26" s="3">
        <v>500</v>
      </c>
      <c r="G26" s="11">
        <v>15.2</v>
      </c>
      <c r="H26" s="11">
        <f t="shared" si="6"/>
        <v>7600</v>
      </c>
      <c r="I26" s="81"/>
      <c r="J26" s="82"/>
      <c r="K26" s="83"/>
      <c r="L26" s="109"/>
      <c r="M26" s="83"/>
      <c r="N26" s="84"/>
      <c r="O26" s="81"/>
      <c r="P26" s="100"/>
      <c r="Q26" s="100"/>
      <c r="R26" s="100"/>
      <c r="S26" s="86"/>
      <c r="T26" s="126"/>
      <c r="U26" s="126"/>
      <c r="V26" s="131"/>
      <c r="W26" s="133"/>
      <c r="X26" s="126"/>
    </row>
    <row r="27" spans="1:24" x14ac:dyDescent="0.25">
      <c r="A27" s="80" t="s">
        <v>14</v>
      </c>
      <c r="B27" s="5" t="str">
        <f>A27</f>
        <v>Fineotex Chemical</v>
      </c>
      <c r="C27" s="4">
        <f t="shared" si="3"/>
        <v>2019</v>
      </c>
      <c r="D27" s="4">
        <f t="shared" si="4"/>
        <v>4</v>
      </c>
      <c r="E27" s="6">
        <v>43578</v>
      </c>
      <c r="F27" s="3">
        <v>100</v>
      </c>
      <c r="G27" s="11">
        <v>40.42</v>
      </c>
      <c r="H27" s="11">
        <f t="shared" si="6"/>
        <v>4042</v>
      </c>
      <c r="I27" s="81">
        <f>SUM(F27:F38)</f>
        <v>1550</v>
      </c>
      <c r="J27" s="82">
        <f>SUM(H27:H38)/SUM(F27:F38)</f>
        <v>23.175161290322581</v>
      </c>
      <c r="K27" s="83">
        <f>I27*J27</f>
        <v>35921.5</v>
      </c>
      <c r="L27" s="108">
        <v>43934</v>
      </c>
      <c r="M27" s="83">
        <f>I27</f>
        <v>1550</v>
      </c>
      <c r="N27" s="84">
        <v>23.7</v>
      </c>
      <c r="O27" s="81">
        <f>I27*N27</f>
        <v>36735</v>
      </c>
      <c r="P27" s="104">
        <f>M27</f>
        <v>1550</v>
      </c>
      <c r="Q27" s="100">
        <f>O27</f>
        <v>36735</v>
      </c>
      <c r="R27" s="104">
        <f>Q27-K27</f>
        <v>813.5</v>
      </c>
      <c r="S27" s="86">
        <f>(R27/K27)</f>
        <v>2.2646604401263867E-2</v>
      </c>
      <c r="T27" s="124"/>
      <c r="U27" s="124"/>
      <c r="V27" s="130"/>
      <c r="W27" s="133">
        <f>L27-E27</f>
        <v>356</v>
      </c>
      <c r="X27" s="124"/>
    </row>
    <row r="28" spans="1:24" x14ac:dyDescent="0.25">
      <c r="A28" s="80"/>
      <c r="B28" s="5" t="str">
        <f>A27</f>
        <v>Fineotex Chemical</v>
      </c>
      <c r="C28" s="4">
        <f t="shared" si="3"/>
        <v>2019</v>
      </c>
      <c r="D28" s="4">
        <f t="shared" si="4"/>
        <v>5</v>
      </c>
      <c r="E28" s="6">
        <v>43591</v>
      </c>
      <c r="F28" s="3">
        <v>50</v>
      </c>
      <c r="G28" s="11">
        <v>35.75</v>
      </c>
      <c r="H28" s="11">
        <f t="shared" si="6"/>
        <v>1787.5</v>
      </c>
      <c r="I28" s="81"/>
      <c r="J28" s="82"/>
      <c r="K28" s="83"/>
      <c r="L28" s="109"/>
      <c r="M28" s="83"/>
      <c r="N28" s="84"/>
      <c r="O28" s="81"/>
      <c r="P28" s="100"/>
      <c r="Q28" s="100"/>
      <c r="R28" s="100"/>
      <c r="S28" s="86"/>
      <c r="T28" s="125"/>
      <c r="U28" s="125"/>
      <c r="V28" s="132"/>
      <c r="W28" s="133"/>
      <c r="X28" s="125"/>
    </row>
    <row r="29" spans="1:24" x14ac:dyDescent="0.25">
      <c r="A29" s="80"/>
      <c r="B29" s="5" t="str">
        <f>A27</f>
        <v>Fineotex Chemical</v>
      </c>
      <c r="C29" s="4">
        <f t="shared" si="3"/>
        <v>2019</v>
      </c>
      <c r="D29" s="4">
        <f t="shared" si="4"/>
        <v>7</v>
      </c>
      <c r="E29" s="6">
        <v>43669</v>
      </c>
      <c r="F29" s="3">
        <v>100</v>
      </c>
      <c r="G29" s="11">
        <v>30</v>
      </c>
      <c r="H29" s="11">
        <f t="shared" si="6"/>
        <v>3000</v>
      </c>
      <c r="I29" s="81"/>
      <c r="J29" s="82"/>
      <c r="K29" s="83"/>
      <c r="L29" s="109"/>
      <c r="M29" s="83"/>
      <c r="N29" s="84"/>
      <c r="O29" s="81"/>
      <c r="P29" s="100"/>
      <c r="Q29" s="100"/>
      <c r="R29" s="100"/>
      <c r="S29" s="86"/>
      <c r="T29" s="125"/>
      <c r="U29" s="125"/>
      <c r="V29" s="132"/>
      <c r="W29" s="133"/>
      <c r="X29" s="125"/>
    </row>
    <row r="30" spans="1:24" x14ac:dyDescent="0.25">
      <c r="A30" s="80"/>
      <c r="B30" s="5" t="str">
        <f>A27</f>
        <v>Fineotex Chemical</v>
      </c>
      <c r="C30" s="4">
        <f t="shared" si="3"/>
        <v>2019</v>
      </c>
      <c r="D30" s="4">
        <f t="shared" si="4"/>
        <v>8</v>
      </c>
      <c r="E30" s="6">
        <v>43679</v>
      </c>
      <c r="F30" s="3">
        <v>100</v>
      </c>
      <c r="G30" s="11">
        <v>25</v>
      </c>
      <c r="H30" s="11">
        <f t="shared" si="6"/>
        <v>2500</v>
      </c>
      <c r="I30" s="81"/>
      <c r="J30" s="82"/>
      <c r="K30" s="83"/>
      <c r="L30" s="109"/>
      <c r="M30" s="83"/>
      <c r="N30" s="84"/>
      <c r="O30" s="81"/>
      <c r="P30" s="100"/>
      <c r="Q30" s="100"/>
      <c r="R30" s="100"/>
      <c r="S30" s="86"/>
      <c r="T30" s="125"/>
      <c r="U30" s="125"/>
      <c r="V30" s="132"/>
      <c r="W30" s="133"/>
      <c r="X30" s="125"/>
    </row>
    <row r="31" spans="1:24" x14ac:dyDescent="0.25">
      <c r="A31" s="80"/>
      <c r="B31" s="5" t="str">
        <f>A27</f>
        <v>Fineotex Chemical</v>
      </c>
      <c r="C31" s="4">
        <f t="shared" si="3"/>
        <v>2019</v>
      </c>
      <c r="D31" s="4">
        <f t="shared" si="4"/>
        <v>8</v>
      </c>
      <c r="E31" s="6">
        <v>43697</v>
      </c>
      <c r="F31" s="3">
        <v>50</v>
      </c>
      <c r="G31" s="11">
        <v>25</v>
      </c>
      <c r="H31" s="11">
        <f t="shared" si="6"/>
        <v>1250</v>
      </c>
      <c r="I31" s="81"/>
      <c r="J31" s="82"/>
      <c r="K31" s="83"/>
      <c r="L31" s="109"/>
      <c r="M31" s="83"/>
      <c r="N31" s="84"/>
      <c r="O31" s="81"/>
      <c r="P31" s="100"/>
      <c r="Q31" s="100"/>
      <c r="R31" s="100"/>
      <c r="S31" s="86"/>
      <c r="T31" s="125"/>
      <c r="U31" s="125"/>
      <c r="V31" s="132"/>
      <c r="W31" s="133"/>
      <c r="X31" s="125"/>
    </row>
    <row r="32" spans="1:24" x14ac:dyDescent="0.25">
      <c r="A32" s="80"/>
      <c r="B32" s="5" t="str">
        <f>A27</f>
        <v>Fineotex Chemical</v>
      </c>
      <c r="C32" s="4">
        <f t="shared" si="3"/>
        <v>2019</v>
      </c>
      <c r="D32" s="4">
        <f t="shared" si="4"/>
        <v>2</v>
      </c>
      <c r="E32" s="6">
        <v>43501</v>
      </c>
      <c r="F32" s="3">
        <v>100</v>
      </c>
      <c r="G32" s="11">
        <v>29.07</v>
      </c>
      <c r="H32" s="11">
        <f t="shared" si="6"/>
        <v>2907</v>
      </c>
      <c r="I32" s="81"/>
      <c r="J32" s="82"/>
      <c r="K32" s="83"/>
      <c r="L32" s="109"/>
      <c r="M32" s="83"/>
      <c r="N32" s="84"/>
      <c r="O32" s="81"/>
      <c r="P32" s="100"/>
      <c r="Q32" s="100"/>
      <c r="R32" s="100"/>
      <c r="S32" s="86"/>
      <c r="T32" s="125"/>
      <c r="U32" s="125"/>
      <c r="V32" s="132"/>
      <c r="W32" s="133"/>
      <c r="X32" s="125"/>
    </row>
    <row r="33" spans="1:24" x14ac:dyDescent="0.25">
      <c r="A33" s="80"/>
      <c r="B33" s="5" t="str">
        <f>A27</f>
        <v>Fineotex Chemical</v>
      </c>
      <c r="C33" s="4">
        <f t="shared" si="3"/>
        <v>2020</v>
      </c>
      <c r="D33" s="4">
        <f t="shared" si="4"/>
        <v>2</v>
      </c>
      <c r="E33" s="6">
        <v>43879</v>
      </c>
      <c r="F33" s="3">
        <v>100</v>
      </c>
      <c r="G33" s="11">
        <v>25</v>
      </c>
      <c r="H33" s="11">
        <f t="shared" si="6"/>
        <v>2500</v>
      </c>
      <c r="I33" s="81"/>
      <c r="J33" s="82"/>
      <c r="K33" s="83"/>
      <c r="L33" s="109"/>
      <c r="M33" s="83"/>
      <c r="N33" s="84"/>
      <c r="O33" s="81"/>
      <c r="P33" s="100"/>
      <c r="Q33" s="100"/>
      <c r="R33" s="100"/>
      <c r="S33" s="86"/>
      <c r="T33" s="125"/>
      <c r="U33" s="125"/>
      <c r="V33" s="132"/>
      <c r="W33" s="133"/>
      <c r="X33" s="125"/>
    </row>
    <row r="34" spans="1:24" x14ac:dyDescent="0.25">
      <c r="A34" s="80"/>
      <c r="B34" s="5" t="str">
        <f>A27</f>
        <v>Fineotex Chemical</v>
      </c>
      <c r="C34" s="4">
        <f t="shared" si="3"/>
        <v>2020</v>
      </c>
      <c r="D34" s="4">
        <f t="shared" si="4"/>
        <v>3</v>
      </c>
      <c r="E34" s="6">
        <v>43892</v>
      </c>
      <c r="F34" s="3">
        <v>150</v>
      </c>
      <c r="G34" s="11">
        <v>23</v>
      </c>
      <c r="H34" s="11">
        <f t="shared" si="6"/>
        <v>3450</v>
      </c>
      <c r="I34" s="81"/>
      <c r="J34" s="82"/>
      <c r="K34" s="83"/>
      <c r="L34" s="109"/>
      <c r="M34" s="83"/>
      <c r="N34" s="84"/>
      <c r="O34" s="81"/>
      <c r="P34" s="100"/>
      <c r="Q34" s="100"/>
      <c r="R34" s="100"/>
      <c r="S34" s="86"/>
      <c r="T34" s="125"/>
      <c r="U34" s="125"/>
      <c r="V34" s="132"/>
      <c r="W34" s="133"/>
      <c r="X34" s="125"/>
    </row>
    <row r="35" spans="1:24" x14ac:dyDescent="0.25">
      <c r="A35" s="80"/>
      <c r="B35" s="5" t="str">
        <f>A27</f>
        <v>Fineotex Chemical</v>
      </c>
      <c r="C35" s="4">
        <f t="shared" si="3"/>
        <v>2020</v>
      </c>
      <c r="D35" s="4">
        <f t="shared" si="4"/>
        <v>3</v>
      </c>
      <c r="E35" s="6">
        <v>43894</v>
      </c>
      <c r="F35" s="3">
        <v>250</v>
      </c>
      <c r="G35" s="11">
        <v>22</v>
      </c>
      <c r="H35" s="11">
        <f t="shared" si="6"/>
        <v>5500</v>
      </c>
      <c r="I35" s="81"/>
      <c r="J35" s="82"/>
      <c r="K35" s="83"/>
      <c r="L35" s="109"/>
      <c r="M35" s="83"/>
      <c r="N35" s="84"/>
      <c r="O35" s="81"/>
      <c r="P35" s="100"/>
      <c r="Q35" s="100"/>
      <c r="R35" s="100"/>
      <c r="S35" s="86"/>
      <c r="T35" s="125"/>
      <c r="U35" s="125"/>
      <c r="V35" s="132"/>
      <c r="W35" s="133"/>
      <c r="X35" s="125"/>
    </row>
    <row r="36" spans="1:24" x14ac:dyDescent="0.25">
      <c r="A36" s="80"/>
      <c r="B36" s="5" t="str">
        <f>A27</f>
        <v>Fineotex Chemical</v>
      </c>
      <c r="C36" s="4">
        <f t="shared" si="3"/>
        <v>2020</v>
      </c>
      <c r="D36" s="4">
        <f t="shared" si="4"/>
        <v>3</v>
      </c>
      <c r="E36" s="6">
        <v>43903</v>
      </c>
      <c r="F36" s="3">
        <v>250</v>
      </c>
      <c r="G36" s="11">
        <v>18.5</v>
      </c>
      <c r="H36" s="11">
        <f t="shared" si="6"/>
        <v>4625</v>
      </c>
      <c r="I36" s="81"/>
      <c r="J36" s="82"/>
      <c r="K36" s="83"/>
      <c r="L36" s="109"/>
      <c r="M36" s="83"/>
      <c r="N36" s="84"/>
      <c r="O36" s="81"/>
      <c r="P36" s="100"/>
      <c r="Q36" s="100"/>
      <c r="R36" s="100"/>
      <c r="S36" s="86"/>
      <c r="T36" s="125"/>
      <c r="U36" s="125"/>
      <c r="V36" s="132"/>
      <c r="W36" s="133"/>
      <c r="X36" s="125"/>
    </row>
    <row r="37" spans="1:24" x14ac:dyDescent="0.25">
      <c r="A37" s="80"/>
      <c r="B37" s="5" t="str">
        <f>A27</f>
        <v>Fineotex Chemical</v>
      </c>
      <c r="C37" s="4">
        <f t="shared" si="3"/>
        <v>2020</v>
      </c>
      <c r="D37" s="4">
        <f t="shared" si="4"/>
        <v>3</v>
      </c>
      <c r="E37" s="6">
        <v>43913</v>
      </c>
      <c r="F37" s="3">
        <v>100</v>
      </c>
      <c r="G37" s="11">
        <v>14</v>
      </c>
      <c r="H37" s="11">
        <f t="shared" si="6"/>
        <v>1400</v>
      </c>
      <c r="I37" s="81"/>
      <c r="J37" s="82"/>
      <c r="K37" s="83"/>
      <c r="L37" s="109"/>
      <c r="M37" s="83"/>
      <c r="N37" s="84"/>
      <c r="O37" s="81"/>
      <c r="P37" s="100"/>
      <c r="Q37" s="100"/>
      <c r="R37" s="100"/>
      <c r="S37" s="86"/>
      <c r="T37" s="125"/>
      <c r="U37" s="125"/>
      <c r="V37" s="132"/>
      <c r="W37" s="133"/>
      <c r="X37" s="125"/>
    </row>
    <row r="38" spans="1:24" x14ac:dyDescent="0.25">
      <c r="A38" s="80"/>
      <c r="B38" s="5" t="str">
        <f>A27</f>
        <v>Fineotex Chemical</v>
      </c>
      <c r="C38" s="4">
        <f t="shared" si="3"/>
        <v>2020</v>
      </c>
      <c r="D38" s="4">
        <f t="shared" si="4"/>
        <v>3</v>
      </c>
      <c r="E38" s="6">
        <v>43921</v>
      </c>
      <c r="F38" s="3">
        <v>200</v>
      </c>
      <c r="G38" s="11">
        <v>14.8</v>
      </c>
      <c r="H38" s="11">
        <f t="shared" si="6"/>
        <v>2960</v>
      </c>
      <c r="I38" s="81"/>
      <c r="J38" s="82"/>
      <c r="K38" s="83"/>
      <c r="L38" s="109"/>
      <c r="M38" s="83"/>
      <c r="N38" s="84"/>
      <c r="O38" s="81"/>
      <c r="P38" s="100"/>
      <c r="Q38" s="100"/>
      <c r="R38" s="100"/>
      <c r="S38" s="86"/>
      <c r="T38" s="126"/>
      <c r="U38" s="126"/>
      <c r="V38" s="131"/>
      <c r="W38" s="133"/>
      <c r="X38" s="126"/>
    </row>
    <row r="39" spans="1:24" x14ac:dyDescent="0.25">
      <c r="A39" s="80" t="s">
        <v>16</v>
      </c>
      <c r="B39" s="5" t="str">
        <f>A39</f>
        <v>BIOCON</v>
      </c>
      <c r="C39" s="4">
        <f t="shared" si="3"/>
        <v>2019</v>
      </c>
      <c r="D39" s="4">
        <f t="shared" si="4"/>
        <v>5</v>
      </c>
      <c r="E39" s="6">
        <v>43587</v>
      </c>
      <c r="F39" s="3">
        <v>20</v>
      </c>
      <c r="G39" s="11">
        <v>280</v>
      </c>
      <c r="H39" s="11">
        <f t="shared" si="6"/>
        <v>5600</v>
      </c>
      <c r="I39" s="81">
        <f>SUM(F39:F44)</f>
        <v>100</v>
      </c>
      <c r="J39" s="82">
        <f>SUM(H39:H44)/SUM(F39:F44)</f>
        <v>250.82499999999999</v>
      </c>
      <c r="K39" s="83">
        <f>I39*J39</f>
        <v>25082.5</v>
      </c>
      <c r="L39" s="108">
        <v>43929</v>
      </c>
      <c r="M39" s="83">
        <f>I39</f>
        <v>100</v>
      </c>
      <c r="N39" s="84">
        <v>323.58</v>
      </c>
      <c r="O39" s="81">
        <f>I39*N39</f>
        <v>32358</v>
      </c>
      <c r="P39" s="104">
        <f>M39</f>
        <v>100</v>
      </c>
      <c r="Q39" s="100">
        <f>O39</f>
        <v>32358</v>
      </c>
      <c r="R39" s="104">
        <f>Q39-K39</f>
        <v>7275.5</v>
      </c>
      <c r="S39" s="86">
        <f>(R39/K39)</f>
        <v>0.29006279278381342</v>
      </c>
      <c r="T39" s="124"/>
      <c r="U39" s="124"/>
      <c r="V39" s="130"/>
      <c r="W39" s="133">
        <f>L39-E39</f>
        <v>342</v>
      </c>
      <c r="X39" s="124"/>
    </row>
    <row r="40" spans="1:24" x14ac:dyDescent="0.25">
      <c r="A40" s="80"/>
      <c r="B40" s="5" t="str">
        <f>A39</f>
        <v>BIOCON</v>
      </c>
      <c r="C40" s="4">
        <f t="shared" si="3"/>
        <v>2019</v>
      </c>
      <c r="D40" s="4">
        <f t="shared" si="4"/>
        <v>7</v>
      </c>
      <c r="E40" s="6">
        <v>43655</v>
      </c>
      <c r="F40" s="3">
        <v>30</v>
      </c>
      <c r="G40" s="11">
        <v>230</v>
      </c>
      <c r="H40" s="11">
        <f t="shared" si="6"/>
        <v>6900</v>
      </c>
      <c r="I40" s="81"/>
      <c r="J40" s="82"/>
      <c r="K40" s="83"/>
      <c r="L40" s="109"/>
      <c r="M40" s="83"/>
      <c r="N40" s="84"/>
      <c r="O40" s="81"/>
      <c r="P40" s="100"/>
      <c r="Q40" s="100"/>
      <c r="R40" s="100"/>
      <c r="S40" s="86"/>
      <c r="T40" s="125"/>
      <c r="U40" s="125"/>
      <c r="V40" s="132"/>
      <c r="W40" s="133"/>
      <c r="X40" s="125"/>
    </row>
    <row r="41" spans="1:24" x14ac:dyDescent="0.25">
      <c r="A41" s="80"/>
      <c r="B41" s="5" t="str">
        <f>A39</f>
        <v>BIOCON</v>
      </c>
      <c r="C41" s="4">
        <f t="shared" si="3"/>
        <v>2019</v>
      </c>
      <c r="D41" s="4">
        <f t="shared" si="4"/>
        <v>8</v>
      </c>
      <c r="E41" s="6">
        <v>43696</v>
      </c>
      <c r="F41" s="3">
        <v>10</v>
      </c>
      <c r="G41" s="11">
        <v>219</v>
      </c>
      <c r="H41" s="11">
        <f t="shared" si="6"/>
        <v>2190</v>
      </c>
      <c r="I41" s="81"/>
      <c r="J41" s="82"/>
      <c r="K41" s="83"/>
      <c r="L41" s="109"/>
      <c r="M41" s="83"/>
      <c r="N41" s="84"/>
      <c r="O41" s="81"/>
      <c r="P41" s="100"/>
      <c r="Q41" s="100"/>
      <c r="R41" s="100"/>
      <c r="S41" s="86"/>
      <c r="T41" s="125"/>
      <c r="U41" s="125"/>
      <c r="V41" s="132"/>
      <c r="W41" s="133"/>
      <c r="X41" s="125"/>
    </row>
    <row r="42" spans="1:24" x14ac:dyDescent="0.25">
      <c r="A42" s="80"/>
      <c r="B42" s="5" t="str">
        <f>A39</f>
        <v>BIOCON</v>
      </c>
      <c r="C42" s="4">
        <f t="shared" si="3"/>
        <v>2019</v>
      </c>
      <c r="D42" s="4">
        <f t="shared" si="4"/>
        <v>9</v>
      </c>
      <c r="E42" s="6">
        <v>43733</v>
      </c>
      <c r="F42" s="3">
        <v>10</v>
      </c>
      <c r="G42" s="11">
        <v>218</v>
      </c>
      <c r="H42" s="11">
        <f t="shared" si="6"/>
        <v>2180</v>
      </c>
      <c r="I42" s="81"/>
      <c r="J42" s="82"/>
      <c r="K42" s="83"/>
      <c r="L42" s="109"/>
      <c r="M42" s="83"/>
      <c r="N42" s="84"/>
      <c r="O42" s="81"/>
      <c r="P42" s="100"/>
      <c r="Q42" s="100"/>
      <c r="R42" s="100"/>
      <c r="S42" s="86"/>
      <c r="T42" s="125"/>
      <c r="U42" s="125"/>
      <c r="V42" s="132"/>
      <c r="W42" s="133"/>
      <c r="X42" s="125"/>
    </row>
    <row r="43" spans="1:24" x14ac:dyDescent="0.25">
      <c r="A43" s="80"/>
      <c r="B43" s="5" t="str">
        <f>A39</f>
        <v>BIOCON</v>
      </c>
      <c r="C43" s="4">
        <f t="shared" si="3"/>
        <v>2019</v>
      </c>
      <c r="D43" s="4">
        <f t="shared" si="4"/>
        <v>10</v>
      </c>
      <c r="E43" s="6">
        <v>43765</v>
      </c>
      <c r="F43" s="3">
        <v>5</v>
      </c>
      <c r="G43" s="11">
        <v>242.5</v>
      </c>
      <c r="H43" s="11">
        <f t="shared" si="6"/>
        <v>1212.5</v>
      </c>
      <c r="I43" s="81"/>
      <c r="J43" s="82"/>
      <c r="K43" s="83"/>
      <c r="L43" s="109"/>
      <c r="M43" s="83"/>
      <c r="N43" s="84"/>
      <c r="O43" s="81"/>
      <c r="P43" s="100"/>
      <c r="Q43" s="100"/>
      <c r="R43" s="100"/>
      <c r="S43" s="86"/>
      <c r="T43" s="125"/>
      <c r="U43" s="125"/>
      <c r="V43" s="132"/>
      <c r="W43" s="133"/>
      <c r="X43" s="125"/>
    </row>
    <row r="44" spans="1:24" x14ac:dyDescent="0.25">
      <c r="A44" s="80"/>
      <c r="B44" s="5" t="str">
        <f>A39</f>
        <v>BIOCON</v>
      </c>
      <c r="C44" s="4">
        <f t="shared" si="3"/>
        <v>2020</v>
      </c>
      <c r="D44" s="4">
        <f t="shared" si="4"/>
        <v>1</v>
      </c>
      <c r="E44" s="6">
        <v>43838</v>
      </c>
      <c r="F44" s="3">
        <v>25</v>
      </c>
      <c r="G44" s="11">
        <v>280</v>
      </c>
      <c r="H44" s="11">
        <f t="shared" si="6"/>
        <v>7000</v>
      </c>
      <c r="I44" s="81"/>
      <c r="J44" s="82"/>
      <c r="K44" s="83"/>
      <c r="L44" s="109"/>
      <c r="M44" s="83"/>
      <c r="N44" s="84"/>
      <c r="O44" s="81"/>
      <c r="P44" s="100"/>
      <c r="Q44" s="100"/>
      <c r="R44" s="100"/>
      <c r="S44" s="86"/>
      <c r="T44" s="126"/>
      <c r="U44" s="126"/>
      <c r="V44" s="131"/>
      <c r="W44" s="133"/>
      <c r="X44" s="126"/>
    </row>
    <row r="45" spans="1:24" x14ac:dyDescent="0.25">
      <c r="A45" s="80" t="s">
        <v>107</v>
      </c>
      <c r="B45" s="5" t="str">
        <f>A45</f>
        <v>Infosys</v>
      </c>
      <c r="C45" s="4">
        <f t="shared" si="3"/>
        <v>2020</v>
      </c>
      <c r="D45" s="4">
        <f t="shared" si="4"/>
        <v>1</v>
      </c>
      <c r="E45" s="6">
        <v>43838</v>
      </c>
      <c r="F45" s="3">
        <v>10</v>
      </c>
      <c r="G45" s="11">
        <v>716.33</v>
      </c>
      <c r="H45" s="11">
        <f t="shared" si="6"/>
        <v>7163.3</v>
      </c>
      <c r="I45" s="81">
        <f>SUM(F45:F46)</f>
        <v>30</v>
      </c>
      <c r="J45" s="82">
        <f>SUM(H45:H46)/SUM(F45:F46)</f>
        <v>655.96999999999991</v>
      </c>
      <c r="K45" s="83">
        <f>I45*J45</f>
        <v>19679.099999999999</v>
      </c>
      <c r="L45" s="108">
        <v>43929</v>
      </c>
      <c r="M45" s="83">
        <f>I45</f>
        <v>30</v>
      </c>
      <c r="N45" s="84">
        <v>643.04999999999995</v>
      </c>
      <c r="O45" s="81">
        <f>I45*N45</f>
        <v>19291.5</v>
      </c>
      <c r="P45" s="104">
        <f>M45</f>
        <v>30</v>
      </c>
      <c r="Q45" s="100">
        <f>O45</f>
        <v>19291.5</v>
      </c>
      <c r="R45" s="104">
        <f>Q45-K45</f>
        <v>-387.59999999999854</v>
      </c>
      <c r="S45" s="86">
        <f>(R45/K45)</f>
        <v>-1.9696022683964132E-2</v>
      </c>
      <c r="T45" s="124"/>
      <c r="U45" s="124"/>
      <c r="V45" s="130"/>
      <c r="W45" s="133">
        <f>L45-E45</f>
        <v>91</v>
      </c>
      <c r="X45" s="124"/>
    </row>
    <row r="46" spans="1:24" x14ac:dyDescent="0.25">
      <c r="A46" s="80"/>
      <c r="B46" s="5" t="str">
        <f>A45</f>
        <v>Infosys</v>
      </c>
      <c r="C46" s="4">
        <f t="shared" si="3"/>
        <v>2020</v>
      </c>
      <c r="D46" s="4">
        <f t="shared" si="4"/>
        <v>3</v>
      </c>
      <c r="E46" s="6">
        <v>43903</v>
      </c>
      <c r="F46" s="3">
        <v>20</v>
      </c>
      <c r="G46" s="11">
        <v>625.79</v>
      </c>
      <c r="H46" s="11">
        <f t="shared" si="6"/>
        <v>12515.8</v>
      </c>
      <c r="I46" s="81"/>
      <c r="J46" s="82"/>
      <c r="K46" s="83"/>
      <c r="L46" s="109"/>
      <c r="M46" s="83"/>
      <c r="N46" s="84"/>
      <c r="O46" s="81"/>
      <c r="P46" s="100"/>
      <c r="Q46" s="100"/>
      <c r="R46" s="100"/>
      <c r="S46" s="86"/>
      <c r="T46" s="126"/>
      <c r="U46" s="126"/>
      <c r="V46" s="131"/>
      <c r="W46" s="133"/>
      <c r="X46" s="126"/>
    </row>
    <row r="47" spans="1:24" x14ac:dyDescent="0.25">
      <c r="A47" s="81" t="s">
        <v>11</v>
      </c>
      <c r="B47" s="4" t="str">
        <f>A47</f>
        <v>LT Foods</v>
      </c>
      <c r="C47" s="4">
        <f>YEAR(E47)</f>
        <v>2020</v>
      </c>
      <c r="D47" s="4">
        <f>MONTH(E47)</f>
        <v>4</v>
      </c>
      <c r="E47" s="6">
        <v>43922</v>
      </c>
      <c r="F47" s="3">
        <v>100</v>
      </c>
      <c r="G47" s="11">
        <v>15.46</v>
      </c>
      <c r="H47" s="11">
        <f>F47*G47</f>
        <v>1546</v>
      </c>
      <c r="I47" s="81">
        <f>SUM(F47:F48)</f>
        <v>200</v>
      </c>
      <c r="J47" s="82">
        <f>SUM(H47:H48)/SUM(F47:F48)</f>
        <v>18.28</v>
      </c>
      <c r="K47" s="83">
        <f>I47*J47</f>
        <v>3656</v>
      </c>
      <c r="L47" s="108">
        <v>44098</v>
      </c>
      <c r="M47" s="83">
        <f>I47</f>
        <v>200</v>
      </c>
      <c r="N47" s="84">
        <v>48.5</v>
      </c>
      <c r="O47" s="81">
        <f>I47*N47</f>
        <v>9700</v>
      </c>
      <c r="P47" s="104">
        <f>M47</f>
        <v>200</v>
      </c>
      <c r="Q47" s="100">
        <f>O47</f>
        <v>9700</v>
      </c>
      <c r="R47" s="104">
        <f>Q47-K47</f>
        <v>6044</v>
      </c>
      <c r="S47" s="86">
        <f>(R47/K47)</f>
        <v>1.6531728665207877</v>
      </c>
      <c r="T47" s="124"/>
      <c r="U47" s="124"/>
      <c r="V47" s="130"/>
      <c r="W47" s="133">
        <f>L47-E47</f>
        <v>176</v>
      </c>
      <c r="X47" s="124"/>
    </row>
    <row r="48" spans="1:24" x14ac:dyDescent="0.25">
      <c r="A48" s="81"/>
      <c r="B48" s="4" t="str">
        <f>A47</f>
        <v>LT Foods</v>
      </c>
      <c r="C48" s="4">
        <f t="shared" ref="C48:C59" si="7">YEAR(E48)</f>
        <v>2020</v>
      </c>
      <c r="D48" s="4">
        <f t="shared" ref="D48:D59" si="8">MONTH(E48)</f>
        <v>5</v>
      </c>
      <c r="E48" s="32">
        <v>43957</v>
      </c>
      <c r="F48" s="3">
        <v>100</v>
      </c>
      <c r="G48" s="11">
        <v>21.1</v>
      </c>
      <c r="H48" s="11">
        <f t="shared" ref="H48:H59" si="9">F48*G48</f>
        <v>2110</v>
      </c>
      <c r="I48" s="81"/>
      <c r="J48" s="82"/>
      <c r="K48" s="83"/>
      <c r="L48" s="109"/>
      <c r="M48" s="83"/>
      <c r="N48" s="84"/>
      <c r="O48" s="81"/>
      <c r="P48" s="100"/>
      <c r="Q48" s="100"/>
      <c r="R48" s="100"/>
      <c r="S48" s="86"/>
      <c r="T48" s="126"/>
      <c r="U48" s="126"/>
      <c r="V48" s="131"/>
      <c r="W48" s="133"/>
      <c r="X48" s="126"/>
    </row>
    <row r="49" spans="1:24" x14ac:dyDescent="0.25">
      <c r="A49" s="80" t="s">
        <v>117</v>
      </c>
      <c r="B49" s="5" t="str">
        <f>A49</f>
        <v>Ashok Leyland</v>
      </c>
      <c r="C49" s="4">
        <f t="shared" si="7"/>
        <v>2020</v>
      </c>
      <c r="D49" s="4">
        <f t="shared" si="8"/>
        <v>4</v>
      </c>
      <c r="E49" s="6">
        <v>43951</v>
      </c>
      <c r="F49" s="3">
        <v>100</v>
      </c>
      <c r="G49" s="11">
        <v>50.1</v>
      </c>
      <c r="H49" s="11">
        <f t="shared" si="9"/>
        <v>5010</v>
      </c>
      <c r="I49" s="81">
        <f>SUM(F49:F53)</f>
        <v>450</v>
      </c>
      <c r="J49" s="82">
        <f>SUM(H49:H53)/SUM(F49:F53)</f>
        <v>46.288888888888891</v>
      </c>
      <c r="K49" s="83">
        <f>I49*J49</f>
        <v>20830</v>
      </c>
      <c r="L49" s="108">
        <v>44056</v>
      </c>
      <c r="M49" s="83">
        <f>I49</f>
        <v>450</v>
      </c>
      <c r="N49" s="84">
        <v>58.1</v>
      </c>
      <c r="O49" s="81">
        <f>I49*N49</f>
        <v>26145</v>
      </c>
      <c r="P49" s="104">
        <f>M49</f>
        <v>450</v>
      </c>
      <c r="Q49" s="100">
        <f>O49</f>
        <v>26145</v>
      </c>
      <c r="R49" s="104">
        <f>Q49-K49</f>
        <v>5315</v>
      </c>
      <c r="S49" s="86">
        <f>(R49/K49)</f>
        <v>0.25516082573211712</v>
      </c>
      <c r="T49" s="124"/>
      <c r="U49" s="124"/>
      <c r="V49" s="130"/>
      <c r="W49" s="133">
        <f>L49-E49</f>
        <v>105</v>
      </c>
      <c r="X49" s="124"/>
    </row>
    <row r="50" spans="1:24" x14ac:dyDescent="0.25">
      <c r="A50" s="80"/>
      <c r="B50" s="5" t="str">
        <f>A49</f>
        <v>Ashok Leyland</v>
      </c>
      <c r="C50" s="4">
        <f t="shared" si="7"/>
        <v>2020</v>
      </c>
      <c r="D50" s="4">
        <f t="shared" si="8"/>
        <v>5</v>
      </c>
      <c r="E50" s="6">
        <v>43969</v>
      </c>
      <c r="F50" s="3">
        <v>100</v>
      </c>
      <c r="G50" s="11">
        <v>43</v>
      </c>
      <c r="H50" s="11">
        <f t="shared" si="9"/>
        <v>4300</v>
      </c>
      <c r="I50" s="81"/>
      <c r="J50" s="82"/>
      <c r="K50" s="83"/>
      <c r="L50" s="109"/>
      <c r="M50" s="83"/>
      <c r="N50" s="84"/>
      <c r="O50" s="81"/>
      <c r="P50" s="100"/>
      <c r="Q50" s="100"/>
      <c r="R50" s="100"/>
      <c r="S50" s="86"/>
      <c r="T50" s="125"/>
      <c r="U50" s="125"/>
      <c r="V50" s="132"/>
      <c r="W50" s="133"/>
      <c r="X50" s="125"/>
    </row>
    <row r="51" spans="1:24" x14ac:dyDescent="0.25">
      <c r="A51" s="80"/>
      <c r="B51" s="5" t="str">
        <f>A49</f>
        <v>Ashok Leyland</v>
      </c>
      <c r="C51" s="4">
        <f t="shared" si="7"/>
        <v>2020</v>
      </c>
      <c r="D51" s="4">
        <f t="shared" si="8"/>
        <v>5</v>
      </c>
      <c r="E51" s="6">
        <v>43980</v>
      </c>
      <c r="F51" s="3">
        <v>100</v>
      </c>
      <c r="G51" s="11">
        <v>42.25</v>
      </c>
      <c r="H51" s="11">
        <f t="shared" si="9"/>
        <v>4225</v>
      </c>
      <c r="I51" s="81"/>
      <c r="J51" s="82"/>
      <c r="K51" s="83"/>
      <c r="L51" s="109"/>
      <c r="M51" s="83"/>
      <c r="N51" s="84"/>
      <c r="O51" s="81"/>
      <c r="P51" s="100"/>
      <c r="Q51" s="100"/>
      <c r="R51" s="100"/>
      <c r="S51" s="86"/>
      <c r="T51" s="125"/>
      <c r="U51" s="125"/>
      <c r="V51" s="132"/>
      <c r="W51" s="133"/>
      <c r="X51" s="125"/>
    </row>
    <row r="52" spans="1:24" x14ac:dyDescent="0.25">
      <c r="A52" s="80"/>
      <c r="B52" s="5" t="str">
        <f>A49</f>
        <v>Ashok Leyland</v>
      </c>
      <c r="C52" s="4">
        <f t="shared" si="7"/>
        <v>2020</v>
      </c>
      <c r="D52" s="4">
        <f t="shared" si="8"/>
        <v>5</v>
      </c>
      <c r="E52" s="6">
        <v>43981</v>
      </c>
      <c r="F52" s="3">
        <v>50</v>
      </c>
      <c r="G52" s="11">
        <v>47</v>
      </c>
      <c r="H52" s="11">
        <f t="shared" si="9"/>
        <v>2350</v>
      </c>
      <c r="I52" s="81"/>
      <c r="J52" s="82"/>
      <c r="K52" s="83"/>
      <c r="L52" s="109"/>
      <c r="M52" s="83"/>
      <c r="N52" s="84"/>
      <c r="O52" s="81"/>
      <c r="P52" s="100"/>
      <c r="Q52" s="100"/>
      <c r="R52" s="100"/>
      <c r="S52" s="86"/>
      <c r="T52" s="125"/>
      <c r="U52" s="125"/>
      <c r="V52" s="132"/>
      <c r="W52" s="133"/>
      <c r="X52" s="125"/>
    </row>
    <row r="53" spans="1:24" x14ac:dyDescent="0.25">
      <c r="A53" s="80"/>
      <c r="B53" s="5" t="str">
        <f>A49</f>
        <v>Ashok Leyland</v>
      </c>
      <c r="C53" s="4">
        <f t="shared" si="7"/>
        <v>2020</v>
      </c>
      <c r="D53" s="4">
        <f t="shared" si="8"/>
        <v>8</v>
      </c>
      <c r="E53" s="6">
        <v>44049</v>
      </c>
      <c r="F53" s="3">
        <v>100</v>
      </c>
      <c r="G53" s="11">
        <v>49.45</v>
      </c>
      <c r="H53" s="11">
        <f t="shared" si="9"/>
        <v>4945</v>
      </c>
      <c r="I53" s="81"/>
      <c r="J53" s="82"/>
      <c r="K53" s="83"/>
      <c r="L53" s="109"/>
      <c r="M53" s="83"/>
      <c r="N53" s="84"/>
      <c r="O53" s="81"/>
      <c r="P53" s="100"/>
      <c r="Q53" s="100"/>
      <c r="R53" s="100"/>
      <c r="S53" s="86"/>
      <c r="T53" s="126"/>
      <c r="U53" s="126"/>
      <c r="V53" s="131"/>
      <c r="W53" s="133"/>
      <c r="X53" s="126"/>
    </row>
    <row r="54" spans="1:24" x14ac:dyDescent="0.25">
      <c r="A54" s="80" t="s">
        <v>16</v>
      </c>
      <c r="B54" s="5" t="str">
        <f>A54</f>
        <v>BIOCON</v>
      </c>
      <c r="C54" s="4">
        <f t="shared" si="7"/>
        <v>2020</v>
      </c>
      <c r="D54" s="4">
        <f t="shared" si="8"/>
        <v>2</v>
      </c>
      <c r="E54" s="6">
        <v>43889</v>
      </c>
      <c r="F54" s="3">
        <v>25</v>
      </c>
      <c r="G54" s="11">
        <v>290</v>
      </c>
      <c r="H54" s="11">
        <f t="shared" si="9"/>
        <v>7250</v>
      </c>
      <c r="I54" s="81">
        <f>SUM(F54:F58)</f>
        <v>100</v>
      </c>
      <c r="J54" s="82">
        <f>SUM(H54:H58)/SUM(F54:F58)</f>
        <v>360.67</v>
      </c>
      <c r="K54" s="83">
        <f>I54*J54</f>
        <v>36067</v>
      </c>
      <c r="L54" s="108">
        <v>44098</v>
      </c>
      <c r="M54" s="83">
        <f>I54</f>
        <v>100</v>
      </c>
      <c r="N54" s="84">
        <v>415</v>
      </c>
      <c r="O54" s="81">
        <f>I54*N54</f>
        <v>41500</v>
      </c>
      <c r="P54" s="104">
        <f>M54</f>
        <v>100</v>
      </c>
      <c r="Q54" s="100">
        <f>O54</f>
        <v>41500</v>
      </c>
      <c r="R54" s="104">
        <f>Q54-K54</f>
        <v>5433</v>
      </c>
      <c r="S54" s="86">
        <f>(R54/K54)</f>
        <v>0.1506363157456955</v>
      </c>
      <c r="T54" s="124"/>
      <c r="U54" s="124"/>
      <c r="V54" s="130"/>
      <c r="W54" s="133">
        <f>L54-E54</f>
        <v>209</v>
      </c>
      <c r="X54" s="124"/>
    </row>
    <row r="55" spans="1:24" x14ac:dyDescent="0.25">
      <c r="A55" s="80"/>
      <c r="B55" s="5" t="str">
        <f>A54</f>
        <v>BIOCON</v>
      </c>
      <c r="C55" s="4">
        <f t="shared" si="7"/>
        <v>2020</v>
      </c>
      <c r="D55" s="4">
        <f t="shared" si="8"/>
        <v>6</v>
      </c>
      <c r="E55" s="6">
        <v>43990</v>
      </c>
      <c r="F55" s="3">
        <v>10</v>
      </c>
      <c r="G55" s="11">
        <v>383.2</v>
      </c>
      <c r="H55" s="11">
        <f t="shared" si="9"/>
        <v>3832</v>
      </c>
      <c r="I55" s="81"/>
      <c r="J55" s="82"/>
      <c r="K55" s="83"/>
      <c r="L55" s="109"/>
      <c r="M55" s="83"/>
      <c r="N55" s="84"/>
      <c r="O55" s="81"/>
      <c r="P55" s="100"/>
      <c r="Q55" s="100"/>
      <c r="R55" s="100"/>
      <c r="S55" s="86"/>
      <c r="T55" s="125"/>
      <c r="U55" s="125"/>
      <c r="V55" s="132"/>
      <c r="W55" s="133"/>
      <c r="X55" s="125"/>
    </row>
    <row r="56" spans="1:24" x14ac:dyDescent="0.25">
      <c r="A56" s="80"/>
      <c r="B56" s="5" t="str">
        <f>A54</f>
        <v>BIOCON</v>
      </c>
      <c r="C56" s="4">
        <f t="shared" si="7"/>
        <v>2020</v>
      </c>
      <c r="D56" s="4">
        <f t="shared" si="8"/>
        <v>6</v>
      </c>
      <c r="E56" s="6">
        <v>43998</v>
      </c>
      <c r="F56" s="3">
        <v>15</v>
      </c>
      <c r="G56" s="11">
        <v>389</v>
      </c>
      <c r="H56" s="11">
        <f t="shared" si="9"/>
        <v>5835</v>
      </c>
      <c r="I56" s="81"/>
      <c r="J56" s="82"/>
      <c r="K56" s="83"/>
      <c r="L56" s="109"/>
      <c r="M56" s="83"/>
      <c r="N56" s="84"/>
      <c r="O56" s="81"/>
      <c r="P56" s="100"/>
      <c r="Q56" s="100"/>
      <c r="R56" s="100"/>
      <c r="S56" s="86"/>
      <c r="T56" s="125"/>
      <c r="U56" s="125"/>
      <c r="V56" s="132"/>
      <c r="W56" s="133"/>
      <c r="X56" s="125"/>
    </row>
    <row r="57" spans="1:24" x14ac:dyDescent="0.25">
      <c r="A57" s="80"/>
      <c r="B57" s="5" t="str">
        <f>A54</f>
        <v>BIOCON</v>
      </c>
      <c r="C57" s="4">
        <f t="shared" si="7"/>
        <v>2020</v>
      </c>
      <c r="D57" s="4">
        <f t="shared" si="8"/>
        <v>8</v>
      </c>
      <c r="E57" s="6">
        <v>44056</v>
      </c>
      <c r="F57" s="3">
        <v>10</v>
      </c>
      <c r="G57" s="11">
        <v>399</v>
      </c>
      <c r="H57" s="11">
        <f t="shared" si="9"/>
        <v>3990</v>
      </c>
      <c r="I57" s="81"/>
      <c r="J57" s="82"/>
      <c r="K57" s="83"/>
      <c r="L57" s="109"/>
      <c r="M57" s="83"/>
      <c r="N57" s="84"/>
      <c r="O57" s="81"/>
      <c r="P57" s="100"/>
      <c r="Q57" s="100"/>
      <c r="R57" s="100"/>
      <c r="S57" s="86"/>
      <c r="T57" s="125"/>
      <c r="U57" s="125"/>
      <c r="V57" s="132"/>
      <c r="W57" s="133"/>
      <c r="X57" s="125"/>
    </row>
    <row r="58" spans="1:24" x14ac:dyDescent="0.25">
      <c r="A58" s="80"/>
      <c r="B58" s="5" t="str">
        <f>A54</f>
        <v>BIOCON</v>
      </c>
      <c r="C58" s="4">
        <f t="shared" si="7"/>
        <v>2020</v>
      </c>
      <c r="D58" s="4">
        <f t="shared" si="8"/>
        <v>8</v>
      </c>
      <c r="E58" s="6">
        <v>44074</v>
      </c>
      <c r="F58" s="3">
        <v>40</v>
      </c>
      <c r="G58" s="11">
        <v>379</v>
      </c>
      <c r="H58" s="11">
        <f t="shared" si="9"/>
        <v>15160</v>
      </c>
      <c r="I58" s="81"/>
      <c r="J58" s="82"/>
      <c r="K58" s="83"/>
      <c r="L58" s="109"/>
      <c r="M58" s="83"/>
      <c r="N58" s="84"/>
      <c r="O58" s="81"/>
      <c r="P58" s="100"/>
      <c r="Q58" s="100"/>
      <c r="R58" s="100"/>
      <c r="S58" s="86"/>
      <c r="T58" s="126"/>
      <c r="U58" s="126"/>
      <c r="V58" s="131"/>
      <c r="W58" s="133"/>
      <c r="X58" s="126"/>
    </row>
    <row r="59" spans="1:24" x14ac:dyDescent="0.25">
      <c r="A59" s="5" t="s">
        <v>114</v>
      </c>
      <c r="B59" s="5" t="str">
        <f t="shared" ref="B59:B64" si="10">A59</f>
        <v>Granules India</v>
      </c>
      <c r="C59" s="4">
        <f t="shared" si="7"/>
        <v>2020</v>
      </c>
      <c r="D59" s="4">
        <f t="shared" si="8"/>
        <v>1</v>
      </c>
      <c r="E59" s="6">
        <v>43853</v>
      </c>
      <c r="F59" s="3">
        <v>100</v>
      </c>
      <c r="G59" s="11">
        <v>156.80000000000001</v>
      </c>
      <c r="H59" s="11">
        <f t="shared" si="9"/>
        <v>15680.000000000002</v>
      </c>
      <c r="I59" s="4">
        <f t="shared" ref="I59:I64" si="11">SUM(F59:F59)</f>
        <v>100</v>
      </c>
      <c r="J59" s="29">
        <f t="shared" ref="J59:J64" si="12">SUM(H59:H59)/SUM(F59:F59)</f>
        <v>156.80000000000001</v>
      </c>
      <c r="K59" s="30">
        <f t="shared" ref="K59:K64" si="13">I59*J59</f>
        <v>15680.000000000002</v>
      </c>
      <c r="L59" s="62">
        <v>43993</v>
      </c>
      <c r="M59" s="30">
        <f t="shared" ref="M59:M64" si="14">I59</f>
        <v>100</v>
      </c>
      <c r="N59" s="31">
        <v>206.21</v>
      </c>
      <c r="O59" s="4">
        <f t="shared" ref="O59:O64" si="15">I59*N59</f>
        <v>20621</v>
      </c>
      <c r="P59" s="38">
        <f t="shared" ref="P59:P65" si="16">M59</f>
        <v>100</v>
      </c>
      <c r="Q59" s="39">
        <f t="shared" ref="Q59:Q65" si="17">O59</f>
        <v>20621</v>
      </c>
      <c r="R59" s="38">
        <f>Q59-K59</f>
        <v>4940.9999999999982</v>
      </c>
      <c r="S59" s="33">
        <f t="shared" ref="S59:S65" si="18">(R59/K59)</f>
        <v>0.31511479591836722</v>
      </c>
      <c r="T59" s="46"/>
      <c r="U59" s="46"/>
      <c r="V59" s="36"/>
      <c r="W59" s="43">
        <f t="shared" ref="W59:W65" si="19">L59-E59</f>
        <v>140</v>
      </c>
      <c r="X59" s="46"/>
    </row>
    <row r="60" spans="1:24" x14ac:dyDescent="0.25">
      <c r="A60" s="5" t="s">
        <v>114</v>
      </c>
      <c r="B60" s="5" t="str">
        <f t="shared" si="10"/>
        <v>Granules India</v>
      </c>
      <c r="C60" s="4">
        <f t="shared" ref="C60:C114" si="20">YEAR(E60)</f>
        <v>2020</v>
      </c>
      <c r="D60" s="4">
        <f t="shared" ref="D60:D114" si="21">MONTH(E60)</f>
        <v>6</v>
      </c>
      <c r="E60" s="6">
        <v>43992</v>
      </c>
      <c r="F60" s="3">
        <v>100</v>
      </c>
      <c r="G60" s="11">
        <v>203.5</v>
      </c>
      <c r="H60" s="11">
        <f t="shared" ref="H60:H112" si="22">F60*G60</f>
        <v>20350</v>
      </c>
      <c r="I60" s="4">
        <f t="shared" si="11"/>
        <v>100</v>
      </c>
      <c r="J60" s="29">
        <f t="shared" si="12"/>
        <v>203.5</v>
      </c>
      <c r="K60" s="30">
        <f t="shared" si="13"/>
        <v>20350</v>
      </c>
      <c r="L60" s="62">
        <v>43998</v>
      </c>
      <c r="M60" s="30">
        <f t="shared" si="14"/>
        <v>100</v>
      </c>
      <c r="N60" s="31">
        <v>219</v>
      </c>
      <c r="O60" s="4">
        <f t="shared" si="15"/>
        <v>21900</v>
      </c>
      <c r="P60" s="38">
        <f t="shared" si="16"/>
        <v>100</v>
      </c>
      <c r="Q60" s="39">
        <f t="shared" si="17"/>
        <v>21900</v>
      </c>
      <c r="R60" s="38">
        <f>Q60-K60</f>
        <v>1550</v>
      </c>
      <c r="S60" s="33">
        <f t="shared" si="18"/>
        <v>7.6167076167076173E-2</v>
      </c>
      <c r="T60" s="46"/>
      <c r="U60" s="46"/>
      <c r="V60" s="36"/>
      <c r="W60" s="43">
        <f t="shared" si="19"/>
        <v>6</v>
      </c>
      <c r="X60" s="46"/>
    </row>
    <row r="61" spans="1:24" x14ac:dyDescent="0.25">
      <c r="A61" s="5" t="s">
        <v>107</v>
      </c>
      <c r="B61" s="5" t="str">
        <f t="shared" si="10"/>
        <v>Infosys</v>
      </c>
      <c r="C61" s="4">
        <f t="shared" si="20"/>
        <v>2020</v>
      </c>
      <c r="D61" s="4">
        <f t="shared" si="21"/>
        <v>3</v>
      </c>
      <c r="E61" s="6">
        <v>43907</v>
      </c>
      <c r="F61" s="3">
        <v>10</v>
      </c>
      <c r="G61" s="11">
        <v>572.29999999999995</v>
      </c>
      <c r="H61" s="11">
        <f t="shared" si="22"/>
        <v>5723</v>
      </c>
      <c r="I61" s="4">
        <f t="shared" si="11"/>
        <v>10</v>
      </c>
      <c r="J61" s="29">
        <f t="shared" si="12"/>
        <v>572.29999999999995</v>
      </c>
      <c r="K61" s="30">
        <f t="shared" si="13"/>
        <v>5723</v>
      </c>
      <c r="L61" s="62">
        <v>44098</v>
      </c>
      <c r="M61" s="30">
        <f t="shared" si="14"/>
        <v>10</v>
      </c>
      <c r="N61" s="31">
        <v>995</v>
      </c>
      <c r="O61" s="4">
        <f t="shared" si="15"/>
        <v>9950</v>
      </c>
      <c r="P61" s="38">
        <f t="shared" si="16"/>
        <v>10</v>
      </c>
      <c r="Q61" s="39">
        <f t="shared" si="17"/>
        <v>9950</v>
      </c>
      <c r="R61" s="38">
        <f>Q61-K61</f>
        <v>4227</v>
      </c>
      <c r="S61" s="33">
        <f t="shared" si="18"/>
        <v>0.7385986370784553</v>
      </c>
      <c r="T61" s="46"/>
      <c r="U61" s="46"/>
      <c r="V61" s="36"/>
      <c r="W61" s="43">
        <f t="shared" si="19"/>
        <v>191</v>
      </c>
      <c r="X61" s="46"/>
    </row>
    <row r="62" spans="1:24" x14ac:dyDescent="0.25">
      <c r="A62" s="5" t="s">
        <v>110</v>
      </c>
      <c r="B62" s="5" t="str">
        <f t="shared" si="10"/>
        <v>Relcom</v>
      </c>
      <c r="C62" s="4">
        <f t="shared" si="20"/>
        <v>2019</v>
      </c>
      <c r="D62" s="4">
        <f t="shared" si="21"/>
        <v>12</v>
      </c>
      <c r="E62" s="6">
        <v>43805</v>
      </c>
      <c r="F62" s="3">
        <v>5000</v>
      </c>
      <c r="G62" s="11">
        <v>1.2</v>
      </c>
      <c r="H62" s="11">
        <f t="shared" si="22"/>
        <v>6000</v>
      </c>
      <c r="I62" s="4">
        <f t="shared" si="11"/>
        <v>5000</v>
      </c>
      <c r="J62" s="29">
        <f t="shared" si="12"/>
        <v>1.2</v>
      </c>
      <c r="K62" s="30">
        <f t="shared" si="13"/>
        <v>6000</v>
      </c>
      <c r="L62" s="62">
        <v>44098</v>
      </c>
      <c r="M62" s="30">
        <f t="shared" si="14"/>
        <v>5000</v>
      </c>
      <c r="N62" s="31">
        <v>1.9</v>
      </c>
      <c r="O62" s="4">
        <f t="shared" si="15"/>
        <v>9500</v>
      </c>
      <c r="P62" s="38">
        <f t="shared" si="16"/>
        <v>5000</v>
      </c>
      <c r="Q62" s="39">
        <f t="shared" si="17"/>
        <v>9500</v>
      </c>
      <c r="R62" s="38">
        <f>Q62-K62</f>
        <v>3500</v>
      </c>
      <c r="S62" s="33">
        <f t="shared" si="18"/>
        <v>0.58333333333333337</v>
      </c>
      <c r="T62" s="46"/>
      <c r="U62" s="46"/>
      <c r="V62" s="36"/>
      <c r="W62" s="43">
        <f t="shared" si="19"/>
        <v>293</v>
      </c>
      <c r="X62" s="46"/>
    </row>
    <row r="63" spans="1:24" x14ac:dyDescent="0.25">
      <c r="A63" s="5" t="s">
        <v>93</v>
      </c>
      <c r="B63" s="5" t="str">
        <f t="shared" si="10"/>
        <v>JSW Steel</v>
      </c>
      <c r="C63" s="4">
        <f t="shared" si="20"/>
        <v>2019</v>
      </c>
      <c r="D63" s="4">
        <f t="shared" si="21"/>
        <v>12</v>
      </c>
      <c r="E63" s="6">
        <v>43830</v>
      </c>
      <c r="F63" s="3">
        <v>100</v>
      </c>
      <c r="G63" s="11">
        <v>270.76</v>
      </c>
      <c r="H63" s="11">
        <f t="shared" si="22"/>
        <v>27076</v>
      </c>
      <c r="I63" s="4">
        <f t="shared" si="11"/>
        <v>100</v>
      </c>
      <c r="J63" s="29">
        <f t="shared" si="12"/>
        <v>270.76</v>
      </c>
      <c r="K63" s="30">
        <f t="shared" si="13"/>
        <v>27076</v>
      </c>
      <c r="L63" s="62">
        <v>44098</v>
      </c>
      <c r="M63" s="30">
        <f t="shared" si="14"/>
        <v>100</v>
      </c>
      <c r="N63" s="31">
        <v>264</v>
      </c>
      <c r="O63" s="4">
        <f t="shared" si="15"/>
        <v>26400</v>
      </c>
      <c r="P63" s="39">
        <f t="shared" si="16"/>
        <v>100</v>
      </c>
      <c r="Q63" s="39">
        <f t="shared" si="17"/>
        <v>26400</v>
      </c>
      <c r="R63" s="38">
        <f>Q63-K63</f>
        <v>-676</v>
      </c>
      <c r="S63" s="33">
        <f t="shared" si="18"/>
        <v>-2.4966760230462404E-2</v>
      </c>
      <c r="T63" s="46"/>
      <c r="U63" s="46"/>
      <c r="V63" s="36"/>
      <c r="W63" s="43">
        <f t="shared" si="19"/>
        <v>268</v>
      </c>
      <c r="X63" s="46"/>
    </row>
    <row r="64" spans="1:24" x14ac:dyDescent="0.25">
      <c r="A64" s="5" t="s">
        <v>120</v>
      </c>
      <c r="B64" s="5" t="str">
        <f t="shared" si="10"/>
        <v>VEDLIM</v>
      </c>
      <c r="C64" s="4">
        <f t="shared" si="20"/>
        <v>2020</v>
      </c>
      <c r="D64" s="4">
        <f t="shared" si="21"/>
        <v>5</v>
      </c>
      <c r="E64" s="6">
        <v>43969</v>
      </c>
      <c r="F64" s="3">
        <v>200</v>
      </c>
      <c r="G64" s="11">
        <v>91.16</v>
      </c>
      <c r="H64" s="11">
        <f t="shared" si="22"/>
        <v>18232</v>
      </c>
      <c r="I64" s="4">
        <f t="shared" si="11"/>
        <v>200</v>
      </c>
      <c r="J64" s="29">
        <f t="shared" si="12"/>
        <v>91.16</v>
      </c>
      <c r="K64" s="30">
        <f t="shared" si="13"/>
        <v>18232</v>
      </c>
      <c r="L64" s="62">
        <v>44118</v>
      </c>
      <c r="M64" s="30">
        <f t="shared" si="14"/>
        <v>200</v>
      </c>
      <c r="N64" s="31">
        <v>99</v>
      </c>
      <c r="O64" s="4">
        <f t="shared" si="15"/>
        <v>19800</v>
      </c>
      <c r="P64" s="39">
        <f t="shared" si="16"/>
        <v>200</v>
      </c>
      <c r="Q64" s="39">
        <f t="shared" si="17"/>
        <v>19800</v>
      </c>
      <c r="R64" s="39">
        <f>O64-K64</f>
        <v>1568</v>
      </c>
      <c r="S64" s="33">
        <f t="shared" si="18"/>
        <v>8.6002632733655118E-2</v>
      </c>
      <c r="T64" s="46"/>
      <c r="U64" s="46"/>
      <c r="V64" s="36"/>
      <c r="W64" s="43">
        <f t="shared" si="19"/>
        <v>149</v>
      </c>
      <c r="X64" s="46"/>
    </row>
    <row r="65" spans="1:24" x14ac:dyDescent="0.25">
      <c r="A65" s="80" t="s">
        <v>14</v>
      </c>
      <c r="B65" s="5" t="str">
        <f>A65</f>
        <v>Fineotex Chemical</v>
      </c>
      <c r="C65" s="4">
        <f t="shared" ref="C65:C69" si="23">YEAR(E65)</f>
        <v>2020</v>
      </c>
      <c r="D65" s="4">
        <f t="shared" ref="D65:D69" si="24">MONTH(E65)</f>
        <v>4</v>
      </c>
      <c r="E65" s="6">
        <v>43934</v>
      </c>
      <c r="F65" s="3">
        <v>100</v>
      </c>
      <c r="G65" s="11">
        <v>23.7</v>
      </c>
      <c r="H65" s="11">
        <f t="shared" si="22"/>
        <v>2370</v>
      </c>
      <c r="I65" s="90">
        <f>SUM(F65:F69)</f>
        <v>500</v>
      </c>
      <c r="J65" s="90">
        <f>SUM(H65:H69)/SUM(F65:F69)</f>
        <v>26.815000000000001</v>
      </c>
      <c r="K65" s="90">
        <f>I65*J65</f>
        <v>13407.5</v>
      </c>
      <c r="L65" s="134">
        <v>44194</v>
      </c>
      <c r="M65" s="90">
        <v>500</v>
      </c>
      <c r="N65" s="94">
        <v>66.150000000000006</v>
      </c>
      <c r="O65" s="90">
        <v>33075</v>
      </c>
      <c r="P65" s="110">
        <f t="shared" si="16"/>
        <v>500</v>
      </c>
      <c r="Q65" s="110">
        <f t="shared" si="17"/>
        <v>33075</v>
      </c>
      <c r="R65" s="90">
        <f>Q65-K65</f>
        <v>19667.5</v>
      </c>
      <c r="S65" s="118">
        <f t="shared" si="18"/>
        <v>1.4669028528808503</v>
      </c>
      <c r="T65" s="90"/>
      <c r="U65" s="90"/>
      <c r="V65" s="90"/>
      <c r="W65" s="137">
        <f t="shared" si="19"/>
        <v>260</v>
      </c>
      <c r="X65" s="90"/>
    </row>
    <row r="66" spans="1:24" x14ac:dyDescent="0.25">
      <c r="A66" s="80"/>
      <c r="B66" s="5" t="str">
        <f>A65</f>
        <v>Fineotex Chemical</v>
      </c>
      <c r="C66" s="4">
        <f t="shared" si="23"/>
        <v>2020</v>
      </c>
      <c r="D66" s="4">
        <f t="shared" si="24"/>
        <v>6</v>
      </c>
      <c r="E66" s="6">
        <v>43990</v>
      </c>
      <c r="F66">
        <v>150</v>
      </c>
      <c r="G66">
        <v>27.7</v>
      </c>
      <c r="H66" s="11">
        <f t="shared" si="22"/>
        <v>4155</v>
      </c>
      <c r="I66" s="91"/>
      <c r="J66" s="91"/>
      <c r="K66" s="91"/>
      <c r="L66" s="135"/>
      <c r="M66" s="91"/>
      <c r="N66" s="95"/>
      <c r="O66" s="91"/>
      <c r="P66" s="111"/>
      <c r="Q66" s="111"/>
      <c r="R66" s="91"/>
      <c r="S66" s="119"/>
      <c r="T66" s="91"/>
      <c r="U66" s="91"/>
      <c r="V66" s="91"/>
      <c r="W66" s="138"/>
      <c r="X66" s="91"/>
    </row>
    <row r="67" spans="1:24" x14ac:dyDescent="0.25">
      <c r="A67" s="80"/>
      <c r="B67" s="5" t="str">
        <f>A65</f>
        <v>Fineotex Chemical</v>
      </c>
      <c r="C67" s="4">
        <f t="shared" si="23"/>
        <v>2020</v>
      </c>
      <c r="D67" s="4">
        <f t="shared" si="24"/>
        <v>6</v>
      </c>
      <c r="E67" s="6">
        <v>43993</v>
      </c>
      <c r="F67">
        <v>100</v>
      </c>
      <c r="G67">
        <v>26.5</v>
      </c>
      <c r="H67" s="11">
        <f t="shared" si="22"/>
        <v>2650</v>
      </c>
      <c r="I67" s="91"/>
      <c r="J67" s="91"/>
      <c r="K67" s="91"/>
      <c r="L67" s="135"/>
      <c r="M67" s="91"/>
      <c r="N67" s="95"/>
      <c r="O67" s="91"/>
      <c r="P67" s="111"/>
      <c r="Q67" s="111"/>
      <c r="R67" s="91"/>
      <c r="S67" s="119"/>
      <c r="T67" s="91"/>
      <c r="U67" s="91"/>
      <c r="V67" s="91"/>
      <c r="W67" s="138"/>
      <c r="X67" s="91"/>
    </row>
    <row r="68" spans="1:24" x14ac:dyDescent="0.25">
      <c r="A68" s="80"/>
      <c r="B68" s="5" t="str">
        <f>A65</f>
        <v>Fineotex Chemical</v>
      </c>
      <c r="C68" s="4">
        <f t="shared" si="23"/>
        <v>2020</v>
      </c>
      <c r="D68" s="4">
        <f t="shared" si="24"/>
        <v>6</v>
      </c>
      <c r="E68" s="6">
        <v>44000</v>
      </c>
      <c r="F68">
        <v>100</v>
      </c>
      <c r="G68">
        <v>26.25</v>
      </c>
      <c r="H68" s="11">
        <f t="shared" si="22"/>
        <v>2625</v>
      </c>
      <c r="I68" s="91"/>
      <c r="J68" s="91"/>
      <c r="K68" s="91"/>
      <c r="L68" s="135"/>
      <c r="M68" s="91"/>
      <c r="N68" s="95"/>
      <c r="O68" s="91"/>
      <c r="P68" s="111"/>
      <c r="Q68" s="111"/>
      <c r="R68" s="91"/>
      <c r="S68" s="119"/>
      <c r="T68" s="91"/>
      <c r="U68" s="91"/>
      <c r="V68" s="91"/>
      <c r="W68" s="138"/>
      <c r="X68" s="91"/>
    </row>
    <row r="69" spans="1:24" x14ac:dyDescent="0.25">
      <c r="A69" s="80"/>
      <c r="B69" s="5" t="str">
        <f>A65</f>
        <v>Fineotex Chemical</v>
      </c>
      <c r="C69" s="4">
        <f t="shared" si="23"/>
        <v>2020</v>
      </c>
      <c r="D69" s="4">
        <f t="shared" si="24"/>
        <v>8</v>
      </c>
      <c r="E69" s="6">
        <v>44070</v>
      </c>
      <c r="F69">
        <v>50</v>
      </c>
      <c r="G69">
        <v>32.15</v>
      </c>
      <c r="H69" s="11">
        <f t="shared" si="22"/>
        <v>1607.5</v>
      </c>
      <c r="I69" s="97"/>
      <c r="J69" s="97"/>
      <c r="K69" s="97"/>
      <c r="L69" s="136"/>
      <c r="M69" s="97"/>
      <c r="N69" s="99"/>
      <c r="O69" s="97"/>
      <c r="P69" s="112"/>
      <c r="Q69" s="112"/>
      <c r="R69" s="97"/>
      <c r="S69" s="140"/>
      <c r="T69" s="97"/>
      <c r="U69" s="97"/>
      <c r="V69" s="97"/>
      <c r="W69" s="139"/>
      <c r="X69" s="97"/>
    </row>
    <row r="70" spans="1:24" x14ac:dyDescent="0.25">
      <c r="A70" s="80" t="s">
        <v>116</v>
      </c>
      <c r="B70" s="5" t="str">
        <f>A70</f>
        <v>NCC</v>
      </c>
      <c r="C70" s="4">
        <f t="shared" si="20"/>
        <v>2020</v>
      </c>
      <c r="D70" s="4">
        <f t="shared" si="21"/>
        <v>2</v>
      </c>
      <c r="E70" s="6">
        <v>43867</v>
      </c>
      <c r="F70" s="3">
        <v>250</v>
      </c>
      <c r="G70" s="11">
        <v>52.5</v>
      </c>
      <c r="H70" s="11">
        <f t="shared" si="22"/>
        <v>13125</v>
      </c>
      <c r="I70" s="81">
        <f>SUM(F70:F88)</f>
        <v>2900</v>
      </c>
      <c r="J70" s="82">
        <f>SUM(H70:H88)/SUM(F70:F88)</f>
        <v>26.895689655172415</v>
      </c>
      <c r="K70" s="83">
        <f>I70*J70</f>
        <v>77997.5</v>
      </c>
      <c r="L70" s="62">
        <v>44158</v>
      </c>
      <c r="M70" s="30">
        <v>2000</v>
      </c>
      <c r="N70" s="34">
        <v>43.9</v>
      </c>
      <c r="O70" s="35">
        <f>M70*N70</f>
        <v>87800</v>
      </c>
      <c r="P70" s="104">
        <f>SUM(M70:M88)</f>
        <v>2900</v>
      </c>
      <c r="Q70" s="100">
        <f>SUM(O70:O88)</f>
        <v>141680</v>
      </c>
      <c r="R70" s="104">
        <f>Q70-K70</f>
        <v>63682.5</v>
      </c>
      <c r="S70" s="86">
        <f>(R70/K70)</f>
        <v>0.81646847655373567</v>
      </c>
      <c r="T70" s="115">
        <f>I70-P70</f>
        <v>0</v>
      </c>
      <c r="U70" s="124">
        <v>60.85</v>
      </c>
      <c r="V70" s="127">
        <v>44198</v>
      </c>
      <c r="W70" s="43">
        <f>L70-E70</f>
        <v>291</v>
      </c>
      <c r="X70" s="115">
        <f>T70*U70</f>
        <v>0</v>
      </c>
    </row>
    <row r="71" spans="1:24" x14ac:dyDescent="0.25">
      <c r="A71" s="80"/>
      <c r="B71" s="5" t="str">
        <f>A70</f>
        <v>NCC</v>
      </c>
      <c r="C71" s="4">
        <f t="shared" si="20"/>
        <v>2020</v>
      </c>
      <c r="D71" s="4">
        <f t="shared" si="21"/>
        <v>2</v>
      </c>
      <c r="E71" s="6">
        <v>43871</v>
      </c>
      <c r="F71" s="3">
        <v>50</v>
      </c>
      <c r="G71" s="11">
        <v>49</v>
      </c>
      <c r="H71" s="11">
        <f t="shared" si="22"/>
        <v>2450</v>
      </c>
      <c r="I71" s="81"/>
      <c r="J71" s="82"/>
      <c r="K71" s="83"/>
      <c r="L71" s="62">
        <v>44215</v>
      </c>
      <c r="M71" s="30">
        <v>700</v>
      </c>
      <c r="N71" s="34">
        <v>59.9</v>
      </c>
      <c r="O71" s="35">
        <f>M71*N71</f>
        <v>41930</v>
      </c>
      <c r="P71" s="104"/>
      <c r="Q71" s="100"/>
      <c r="R71" s="100"/>
      <c r="S71" s="86"/>
      <c r="T71" s="116"/>
      <c r="U71" s="125"/>
      <c r="V71" s="128"/>
      <c r="W71" s="54">
        <f>L71-E70</f>
        <v>348</v>
      </c>
      <c r="X71" s="116"/>
    </row>
    <row r="72" spans="1:24" x14ac:dyDescent="0.25">
      <c r="A72" s="80"/>
      <c r="B72" s="5" t="str">
        <f>A70</f>
        <v>NCC</v>
      </c>
      <c r="C72" s="4">
        <f t="shared" si="20"/>
        <v>2020</v>
      </c>
      <c r="D72" s="4">
        <f t="shared" si="21"/>
        <v>2</v>
      </c>
      <c r="E72" s="6">
        <v>43879</v>
      </c>
      <c r="F72" s="3">
        <v>100</v>
      </c>
      <c r="G72" s="11">
        <v>40</v>
      </c>
      <c r="H72" s="11">
        <f t="shared" si="22"/>
        <v>4000</v>
      </c>
      <c r="I72" s="81"/>
      <c r="J72" s="82"/>
      <c r="K72" s="83"/>
      <c r="L72" s="62">
        <v>44224</v>
      </c>
      <c r="M72" s="30">
        <v>200</v>
      </c>
      <c r="N72" s="34">
        <v>59.75</v>
      </c>
      <c r="O72" s="35">
        <f>M72*N72</f>
        <v>11950</v>
      </c>
      <c r="P72" s="104"/>
      <c r="Q72" s="100"/>
      <c r="R72" s="100"/>
      <c r="S72" s="86"/>
      <c r="T72" s="116"/>
      <c r="U72" s="125"/>
      <c r="V72" s="128"/>
      <c r="W72" s="43">
        <f>L72-E70</f>
        <v>357</v>
      </c>
      <c r="X72" s="116"/>
    </row>
    <row r="73" spans="1:24" x14ac:dyDescent="0.25">
      <c r="A73" s="80"/>
      <c r="B73" s="5" t="str">
        <f>A70</f>
        <v>NCC</v>
      </c>
      <c r="C73" s="4">
        <f t="shared" si="20"/>
        <v>2020</v>
      </c>
      <c r="D73" s="4">
        <f t="shared" si="21"/>
        <v>3</v>
      </c>
      <c r="E73" s="6">
        <v>43895</v>
      </c>
      <c r="F73" s="3">
        <v>200</v>
      </c>
      <c r="G73" s="11">
        <v>35.5</v>
      </c>
      <c r="H73" s="11">
        <f t="shared" si="22"/>
        <v>7100</v>
      </c>
      <c r="I73" s="81"/>
      <c r="J73" s="82"/>
      <c r="K73" s="83"/>
      <c r="L73" s="63"/>
      <c r="M73" s="30"/>
      <c r="N73" s="34"/>
      <c r="O73" s="35"/>
      <c r="P73" s="104"/>
      <c r="Q73" s="100"/>
      <c r="R73" s="100"/>
      <c r="S73" s="86"/>
      <c r="T73" s="116"/>
      <c r="U73" s="125"/>
      <c r="V73" s="128"/>
      <c r="W73" s="43"/>
      <c r="X73" s="116"/>
    </row>
    <row r="74" spans="1:24" x14ac:dyDescent="0.25">
      <c r="A74" s="80"/>
      <c r="B74" s="5" t="str">
        <f>A70</f>
        <v>NCC</v>
      </c>
      <c r="C74" s="4">
        <f t="shared" si="20"/>
        <v>2020</v>
      </c>
      <c r="D74" s="4">
        <f t="shared" si="21"/>
        <v>3</v>
      </c>
      <c r="E74" s="6">
        <v>43903</v>
      </c>
      <c r="F74" s="3">
        <v>600</v>
      </c>
      <c r="G74" s="11">
        <v>21.1</v>
      </c>
      <c r="H74" s="11">
        <f t="shared" si="22"/>
        <v>12660</v>
      </c>
      <c r="I74" s="81"/>
      <c r="J74" s="82"/>
      <c r="K74" s="83"/>
      <c r="L74" s="63"/>
      <c r="M74" s="30"/>
      <c r="N74" s="34"/>
      <c r="O74" s="35"/>
      <c r="P74" s="104"/>
      <c r="Q74" s="100"/>
      <c r="R74" s="100"/>
      <c r="S74" s="86"/>
      <c r="T74" s="116"/>
      <c r="U74" s="125"/>
      <c r="V74" s="128"/>
      <c r="W74" s="43"/>
      <c r="X74" s="116"/>
    </row>
    <row r="75" spans="1:24" x14ac:dyDescent="0.25">
      <c r="A75" s="80"/>
      <c r="B75" s="5" t="str">
        <f>A70</f>
        <v>NCC</v>
      </c>
      <c r="C75" s="4">
        <f t="shared" si="20"/>
        <v>2020</v>
      </c>
      <c r="D75" s="4">
        <f t="shared" si="21"/>
        <v>4</v>
      </c>
      <c r="E75" s="6">
        <v>43922</v>
      </c>
      <c r="F75" s="3">
        <v>300</v>
      </c>
      <c r="G75" s="11">
        <v>18.100000000000001</v>
      </c>
      <c r="H75" s="11">
        <f t="shared" si="22"/>
        <v>5430</v>
      </c>
      <c r="I75" s="81"/>
      <c r="J75" s="82"/>
      <c r="K75" s="83"/>
      <c r="L75" s="63"/>
      <c r="M75" s="30"/>
      <c r="N75" s="34"/>
      <c r="O75" s="35"/>
      <c r="P75" s="104"/>
      <c r="Q75" s="100"/>
      <c r="R75" s="100"/>
      <c r="S75" s="86"/>
      <c r="T75" s="116"/>
      <c r="U75" s="125"/>
      <c r="V75" s="128"/>
      <c r="W75" s="43"/>
      <c r="X75" s="116"/>
    </row>
    <row r="76" spans="1:24" x14ac:dyDescent="0.25">
      <c r="A76" s="80"/>
      <c r="B76" s="5" t="str">
        <f>A70</f>
        <v>NCC</v>
      </c>
      <c r="C76" s="4">
        <f t="shared" si="20"/>
        <v>2020</v>
      </c>
      <c r="D76" s="4">
        <f t="shared" si="21"/>
        <v>4</v>
      </c>
      <c r="E76" s="6">
        <v>43924</v>
      </c>
      <c r="F76" s="3">
        <v>200</v>
      </c>
      <c r="G76" s="11">
        <v>16.95</v>
      </c>
      <c r="H76" s="11">
        <f t="shared" si="22"/>
        <v>3390</v>
      </c>
      <c r="I76" s="81"/>
      <c r="J76" s="82"/>
      <c r="K76" s="83"/>
      <c r="L76" s="63"/>
      <c r="M76" s="30"/>
      <c r="N76" s="34"/>
      <c r="O76" s="35"/>
      <c r="P76" s="104"/>
      <c r="Q76" s="100"/>
      <c r="R76" s="100"/>
      <c r="S76" s="86"/>
      <c r="T76" s="116"/>
      <c r="U76" s="125"/>
      <c r="V76" s="128"/>
      <c r="W76" s="43"/>
      <c r="X76" s="116"/>
    </row>
    <row r="77" spans="1:24" x14ac:dyDescent="0.25">
      <c r="A77" s="80"/>
      <c r="B77" s="5" t="str">
        <f>A70</f>
        <v>NCC</v>
      </c>
      <c r="C77" s="4">
        <f t="shared" si="20"/>
        <v>2020</v>
      </c>
      <c r="D77" s="4">
        <f t="shared" si="21"/>
        <v>4</v>
      </c>
      <c r="E77" s="6">
        <v>43928</v>
      </c>
      <c r="F77" s="3">
        <v>400</v>
      </c>
      <c r="G77" s="11">
        <v>16.5</v>
      </c>
      <c r="H77" s="11">
        <f t="shared" si="22"/>
        <v>6600</v>
      </c>
      <c r="I77" s="81"/>
      <c r="J77" s="82"/>
      <c r="K77" s="83"/>
      <c r="L77" s="63"/>
      <c r="M77" s="30"/>
      <c r="N77" s="34"/>
      <c r="O77" s="35"/>
      <c r="P77" s="104"/>
      <c r="Q77" s="100"/>
      <c r="R77" s="100"/>
      <c r="S77" s="86"/>
      <c r="T77" s="116"/>
      <c r="U77" s="125"/>
      <c r="V77" s="128"/>
      <c r="W77" s="43"/>
      <c r="X77" s="116"/>
    </row>
    <row r="78" spans="1:24" x14ac:dyDescent="0.25">
      <c r="A78" s="80"/>
      <c r="B78" s="5" t="str">
        <f>A70</f>
        <v>NCC</v>
      </c>
      <c r="C78" s="4">
        <f t="shared" si="20"/>
        <v>2020</v>
      </c>
      <c r="D78" s="4">
        <f t="shared" si="21"/>
        <v>5</v>
      </c>
      <c r="E78" s="6">
        <v>43956</v>
      </c>
      <c r="F78" s="3">
        <v>50</v>
      </c>
      <c r="G78" s="11">
        <v>23.5</v>
      </c>
      <c r="H78" s="11">
        <f t="shared" si="22"/>
        <v>1175</v>
      </c>
      <c r="I78" s="81"/>
      <c r="J78" s="82"/>
      <c r="K78" s="83"/>
      <c r="L78" s="63"/>
      <c r="M78" s="30"/>
      <c r="N78" s="34"/>
      <c r="O78" s="35"/>
      <c r="P78" s="104"/>
      <c r="Q78" s="100"/>
      <c r="R78" s="100"/>
      <c r="S78" s="86"/>
      <c r="T78" s="116"/>
      <c r="U78" s="125"/>
      <c r="V78" s="128"/>
      <c r="W78" s="43"/>
      <c r="X78" s="116"/>
    </row>
    <row r="79" spans="1:24" x14ac:dyDescent="0.25">
      <c r="A79" s="80"/>
      <c r="B79" s="5" t="str">
        <f>A70</f>
        <v>NCC</v>
      </c>
      <c r="C79" s="4">
        <f t="shared" si="20"/>
        <v>2020</v>
      </c>
      <c r="D79" s="4">
        <f t="shared" si="21"/>
        <v>5</v>
      </c>
      <c r="E79" s="6">
        <v>43957</v>
      </c>
      <c r="F79" s="3">
        <v>100</v>
      </c>
      <c r="G79" s="11">
        <v>23</v>
      </c>
      <c r="H79" s="11">
        <f t="shared" si="22"/>
        <v>2300</v>
      </c>
      <c r="I79" s="81"/>
      <c r="J79" s="82"/>
      <c r="K79" s="83"/>
      <c r="L79" s="63"/>
      <c r="M79" s="30"/>
      <c r="N79" s="34"/>
      <c r="O79" s="35"/>
      <c r="P79" s="104"/>
      <c r="Q79" s="100"/>
      <c r="R79" s="100"/>
      <c r="S79" s="86"/>
      <c r="T79" s="116"/>
      <c r="U79" s="125"/>
      <c r="V79" s="128"/>
      <c r="W79" s="43"/>
      <c r="X79" s="116"/>
    </row>
    <row r="80" spans="1:24" x14ac:dyDescent="0.25">
      <c r="A80" s="80"/>
      <c r="B80" s="5" t="str">
        <f>A70</f>
        <v>NCC</v>
      </c>
      <c r="C80" s="4">
        <f t="shared" si="20"/>
        <v>2020</v>
      </c>
      <c r="D80" s="4">
        <f t="shared" si="21"/>
        <v>5</v>
      </c>
      <c r="E80" s="6">
        <v>43958</v>
      </c>
      <c r="F80" s="3">
        <v>50</v>
      </c>
      <c r="G80" s="11">
        <v>23.25</v>
      </c>
      <c r="H80" s="11">
        <f t="shared" si="22"/>
        <v>1162.5</v>
      </c>
      <c r="I80" s="81"/>
      <c r="J80" s="82"/>
      <c r="K80" s="83"/>
      <c r="L80" s="63"/>
      <c r="M80" s="30"/>
      <c r="N80" s="34"/>
      <c r="O80" s="35"/>
      <c r="P80" s="104"/>
      <c r="Q80" s="100"/>
      <c r="R80" s="100"/>
      <c r="S80" s="86"/>
      <c r="T80" s="116"/>
      <c r="U80" s="125"/>
      <c r="V80" s="128"/>
      <c r="W80" s="43"/>
      <c r="X80" s="116"/>
    </row>
    <row r="81" spans="1:24" x14ac:dyDescent="0.25">
      <c r="A81" s="80"/>
      <c r="B81" s="5" t="str">
        <f>A70</f>
        <v>NCC</v>
      </c>
      <c r="C81" s="4">
        <f t="shared" si="20"/>
        <v>2020</v>
      </c>
      <c r="D81" s="4">
        <f t="shared" si="21"/>
        <v>5</v>
      </c>
      <c r="E81" s="6">
        <v>43969</v>
      </c>
      <c r="F81" s="3">
        <v>50</v>
      </c>
      <c r="G81" s="11">
        <v>22.5</v>
      </c>
      <c r="H81" s="11">
        <f t="shared" si="22"/>
        <v>1125</v>
      </c>
      <c r="I81" s="81"/>
      <c r="J81" s="82"/>
      <c r="K81" s="83"/>
      <c r="L81" s="63"/>
      <c r="M81" s="30"/>
      <c r="N81" s="34"/>
      <c r="O81" s="35"/>
      <c r="P81" s="104"/>
      <c r="Q81" s="100"/>
      <c r="R81" s="100"/>
      <c r="S81" s="86"/>
      <c r="T81" s="116"/>
      <c r="U81" s="125"/>
      <c r="V81" s="128"/>
      <c r="W81" s="43"/>
      <c r="X81" s="116"/>
    </row>
    <row r="82" spans="1:24" x14ac:dyDescent="0.25">
      <c r="A82" s="80"/>
      <c r="B82" s="5" t="str">
        <f>A70</f>
        <v>NCC</v>
      </c>
      <c r="C82" s="4">
        <f t="shared" si="20"/>
        <v>2020</v>
      </c>
      <c r="D82" s="4">
        <f t="shared" si="21"/>
        <v>5</v>
      </c>
      <c r="E82" s="6">
        <v>43971</v>
      </c>
      <c r="F82" s="3">
        <v>50</v>
      </c>
      <c r="G82" s="11">
        <v>21.5</v>
      </c>
      <c r="H82" s="11">
        <f t="shared" si="22"/>
        <v>1075</v>
      </c>
      <c r="I82" s="81"/>
      <c r="J82" s="82"/>
      <c r="K82" s="83"/>
      <c r="L82" s="63"/>
      <c r="M82" s="30"/>
      <c r="N82" s="34"/>
      <c r="O82" s="35"/>
      <c r="P82" s="104"/>
      <c r="Q82" s="100"/>
      <c r="R82" s="100"/>
      <c r="S82" s="86"/>
      <c r="T82" s="116"/>
      <c r="U82" s="125"/>
      <c r="V82" s="128"/>
      <c r="W82" s="43"/>
      <c r="X82" s="116"/>
    </row>
    <row r="83" spans="1:24" x14ac:dyDescent="0.25">
      <c r="A83" s="80"/>
      <c r="B83" s="5" t="str">
        <f>A70</f>
        <v>NCC</v>
      </c>
      <c r="C83" s="4">
        <f t="shared" si="20"/>
        <v>2020</v>
      </c>
      <c r="D83" s="4">
        <f t="shared" si="21"/>
        <v>5</v>
      </c>
      <c r="E83" s="6">
        <v>43977</v>
      </c>
      <c r="F83" s="3">
        <v>100</v>
      </c>
      <c r="G83" s="11">
        <v>21.7</v>
      </c>
      <c r="H83" s="11">
        <f t="shared" si="22"/>
        <v>2170</v>
      </c>
      <c r="I83" s="81"/>
      <c r="J83" s="82"/>
      <c r="K83" s="83"/>
      <c r="L83" s="63"/>
      <c r="M83" s="30"/>
      <c r="N83" s="34"/>
      <c r="O83" s="35"/>
      <c r="P83" s="104"/>
      <c r="Q83" s="100"/>
      <c r="R83" s="100"/>
      <c r="S83" s="86"/>
      <c r="T83" s="116"/>
      <c r="U83" s="125"/>
      <c r="V83" s="128"/>
      <c r="W83" s="43"/>
      <c r="X83" s="116"/>
    </row>
    <row r="84" spans="1:24" x14ac:dyDescent="0.25">
      <c r="A84" s="80"/>
      <c r="B84" s="5" t="str">
        <f>A70</f>
        <v>NCC</v>
      </c>
      <c r="C84" s="4">
        <f t="shared" si="20"/>
        <v>2020</v>
      </c>
      <c r="D84" s="4">
        <f t="shared" si="21"/>
        <v>5</v>
      </c>
      <c r="E84" s="6">
        <v>43980</v>
      </c>
      <c r="F84" s="3">
        <v>100</v>
      </c>
      <c r="G84" s="11">
        <v>22.75</v>
      </c>
      <c r="H84" s="11">
        <f t="shared" si="22"/>
        <v>2275</v>
      </c>
      <c r="I84" s="81"/>
      <c r="J84" s="82"/>
      <c r="K84" s="83"/>
      <c r="L84" s="63"/>
      <c r="M84" s="30"/>
      <c r="N84" s="34"/>
      <c r="O84" s="35"/>
      <c r="P84" s="104"/>
      <c r="Q84" s="100"/>
      <c r="R84" s="100"/>
      <c r="S84" s="86"/>
      <c r="T84" s="116"/>
      <c r="U84" s="125"/>
      <c r="V84" s="128"/>
      <c r="W84" s="43"/>
      <c r="X84" s="116"/>
    </row>
    <row r="85" spans="1:24" x14ac:dyDescent="0.25">
      <c r="A85" s="80"/>
      <c r="B85" s="5" t="str">
        <f>A70</f>
        <v>NCC</v>
      </c>
      <c r="C85" s="4">
        <f t="shared" si="20"/>
        <v>2020</v>
      </c>
      <c r="D85" s="4">
        <f t="shared" si="21"/>
        <v>6</v>
      </c>
      <c r="E85" s="6">
        <v>43999</v>
      </c>
      <c r="F85" s="3">
        <v>50</v>
      </c>
      <c r="G85" s="11">
        <v>28</v>
      </c>
      <c r="H85" s="11">
        <f t="shared" si="22"/>
        <v>1400</v>
      </c>
      <c r="I85" s="81"/>
      <c r="J85" s="82"/>
      <c r="K85" s="83"/>
      <c r="L85" s="63"/>
      <c r="M85" s="30"/>
      <c r="N85" s="34"/>
      <c r="O85" s="35"/>
      <c r="P85" s="104"/>
      <c r="Q85" s="100"/>
      <c r="R85" s="100"/>
      <c r="S85" s="86"/>
      <c r="T85" s="116"/>
      <c r="U85" s="125"/>
      <c r="V85" s="128"/>
      <c r="W85" s="43"/>
      <c r="X85" s="116"/>
    </row>
    <row r="86" spans="1:24" x14ac:dyDescent="0.25">
      <c r="A86" s="80"/>
      <c r="B86" s="5" t="str">
        <f>A70</f>
        <v>NCC</v>
      </c>
      <c r="C86" s="4">
        <f t="shared" si="20"/>
        <v>2020</v>
      </c>
      <c r="D86" s="4">
        <f t="shared" si="21"/>
        <v>6</v>
      </c>
      <c r="E86" s="6">
        <v>44007</v>
      </c>
      <c r="F86" s="3">
        <v>50</v>
      </c>
      <c r="G86" s="11">
        <v>31.5</v>
      </c>
      <c r="H86" s="11">
        <f t="shared" si="22"/>
        <v>1575</v>
      </c>
      <c r="I86" s="81"/>
      <c r="J86" s="82"/>
      <c r="K86" s="83"/>
      <c r="L86" s="63"/>
      <c r="M86" s="30"/>
      <c r="N86" s="34"/>
      <c r="O86" s="35"/>
      <c r="P86" s="104"/>
      <c r="Q86" s="100"/>
      <c r="R86" s="100"/>
      <c r="S86" s="86"/>
      <c r="T86" s="116"/>
      <c r="U86" s="125"/>
      <c r="V86" s="128"/>
      <c r="W86" s="43"/>
      <c r="X86" s="116"/>
    </row>
    <row r="87" spans="1:24" x14ac:dyDescent="0.25">
      <c r="A87" s="80"/>
      <c r="B87" s="5" t="str">
        <f>A70</f>
        <v>NCC</v>
      </c>
      <c r="C87" s="4">
        <f t="shared" ref="C87" si="25">YEAR(E87)</f>
        <v>2020</v>
      </c>
      <c r="D87" s="4">
        <f t="shared" ref="D87" si="26">MONTH(E87)</f>
        <v>9</v>
      </c>
      <c r="E87" s="6">
        <v>44084</v>
      </c>
      <c r="F87" s="3">
        <v>100</v>
      </c>
      <c r="G87" s="11">
        <v>31</v>
      </c>
      <c r="H87" s="11">
        <f t="shared" ref="H87" si="27">F87*G87</f>
        <v>3100</v>
      </c>
      <c r="I87" s="81"/>
      <c r="J87" s="82"/>
      <c r="K87" s="83"/>
      <c r="L87" s="63"/>
      <c r="M87" s="30"/>
      <c r="N87" s="34"/>
      <c r="O87" s="35"/>
      <c r="P87" s="104"/>
      <c r="Q87" s="100"/>
      <c r="R87" s="100"/>
      <c r="S87" s="86"/>
      <c r="T87" s="116"/>
      <c r="U87" s="125"/>
      <c r="V87" s="128"/>
      <c r="W87" s="43"/>
      <c r="X87" s="116"/>
    </row>
    <row r="88" spans="1:24" x14ac:dyDescent="0.25">
      <c r="A88" s="80"/>
      <c r="B88" s="5" t="str">
        <f>A70</f>
        <v>NCC</v>
      </c>
      <c r="C88" s="4">
        <f t="shared" si="20"/>
        <v>2021</v>
      </c>
      <c r="D88" s="4">
        <f t="shared" si="21"/>
        <v>1</v>
      </c>
      <c r="E88" s="6">
        <v>44223</v>
      </c>
      <c r="F88" s="3">
        <v>100</v>
      </c>
      <c r="G88" s="11">
        <v>58.85</v>
      </c>
      <c r="H88" s="11">
        <f t="shared" si="22"/>
        <v>5885</v>
      </c>
      <c r="I88" s="81"/>
      <c r="J88" s="82"/>
      <c r="K88" s="83"/>
      <c r="L88" s="63"/>
      <c r="M88" s="30"/>
      <c r="N88" s="34"/>
      <c r="O88" s="35"/>
      <c r="P88" s="104"/>
      <c r="Q88" s="100"/>
      <c r="R88" s="100"/>
      <c r="S88" s="86"/>
      <c r="T88" s="117"/>
      <c r="U88" s="126"/>
      <c r="V88" s="129"/>
      <c r="W88" s="43"/>
      <c r="X88" s="117"/>
    </row>
    <row r="89" spans="1:24" x14ac:dyDescent="0.25">
      <c r="A89" s="120" t="s">
        <v>15</v>
      </c>
      <c r="B89" s="5" t="str">
        <f>A89</f>
        <v>Vakrangee</v>
      </c>
      <c r="C89" s="4">
        <f t="shared" si="20"/>
        <v>2019</v>
      </c>
      <c r="D89" s="4">
        <f t="shared" si="21"/>
        <v>4</v>
      </c>
      <c r="E89" s="6">
        <v>43579</v>
      </c>
      <c r="F89" s="3">
        <v>25</v>
      </c>
      <c r="G89" s="11">
        <v>61.67</v>
      </c>
      <c r="H89" s="11">
        <f t="shared" si="22"/>
        <v>1541.75</v>
      </c>
      <c r="I89" s="90">
        <f>SUM(F89:F112)</f>
        <v>2250</v>
      </c>
      <c r="J89" s="92">
        <f>SUM(H89:H112)/SUM(F89:F112)</f>
        <v>27.459666666666667</v>
      </c>
      <c r="K89" s="122">
        <f>I89*J89</f>
        <v>61784.25</v>
      </c>
      <c r="L89" s="62">
        <v>44195</v>
      </c>
      <c r="M89" s="30">
        <v>1750</v>
      </c>
      <c r="N89" s="34">
        <v>66.3</v>
      </c>
      <c r="O89" s="35">
        <f>M89*N89</f>
        <v>116025</v>
      </c>
      <c r="P89" s="115">
        <f>SUM(M89:M112)</f>
        <v>2250</v>
      </c>
      <c r="Q89" s="115">
        <f>SUM(O89:O112)</f>
        <v>145550</v>
      </c>
      <c r="R89" s="107">
        <f>Q89-K89</f>
        <v>83765.75</v>
      </c>
      <c r="S89" s="118">
        <f>(R89/K89)</f>
        <v>1.355778373938342</v>
      </c>
      <c r="T89" s="107">
        <f>I89-P89</f>
        <v>0</v>
      </c>
      <c r="U89" s="110">
        <f>65.7</f>
        <v>65.7</v>
      </c>
      <c r="V89" s="114">
        <v>44198</v>
      </c>
      <c r="W89" s="44">
        <f>L89-E89</f>
        <v>616</v>
      </c>
      <c r="X89" s="110">
        <f>T89*U89</f>
        <v>0</v>
      </c>
    </row>
    <row r="90" spans="1:24" x14ac:dyDescent="0.25">
      <c r="A90" s="121"/>
      <c r="B90" s="5" t="str">
        <f>A89</f>
        <v>Vakrangee</v>
      </c>
      <c r="C90" s="4">
        <f t="shared" si="20"/>
        <v>2019</v>
      </c>
      <c r="D90" s="4">
        <f t="shared" si="21"/>
        <v>5</v>
      </c>
      <c r="E90" s="6">
        <v>43600</v>
      </c>
      <c r="F90" s="3">
        <v>50</v>
      </c>
      <c r="G90" s="11">
        <v>50</v>
      </c>
      <c r="H90" s="11">
        <f t="shared" si="22"/>
        <v>2500</v>
      </c>
      <c r="I90" s="91"/>
      <c r="J90" s="93"/>
      <c r="K90" s="123"/>
      <c r="L90" s="62">
        <v>44223</v>
      </c>
      <c r="M90" s="30">
        <v>500</v>
      </c>
      <c r="N90" s="34">
        <v>59.05</v>
      </c>
      <c r="O90" s="35">
        <f>M90*N90</f>
        <v>29525</v>
      </c>
      <c r="P90" s="116"/>
      <c r="Q90" s="116"/>
      <c r="R90" s="111"/>
      <c r="S90" s="119"/>
      <c r="T90" s="111"/>
      <c r="U90" s="111"/>
      <c r="V90" s="114"/>
      <c r="W90" s="44">
        <f>L90-E89</f>
        <v>644</v>
      </c>
      <c r="X90" s="111"/>
    </row>
    <row r="91" spans="1:24" x14ac:dyDescent="0.25">
      <c r="A91" s="121"/>
      <c r="B91" s="5" t="str">
        <f>A89</f>
        <v>Vakrangee</v>
      </c>
      <c r="C91" s="4">
        <f t="shared" si="20"/>
        <v>2019</v>
      </c>
      <c r="D91" s="4">
        <f t="shared" si="21"/>
        <v>8</v>
      </c>
      <c r="E91" s="6">
        <v>43697</v>
      </c>
      <c r="F91" s="3">
        <v>25</v>
      </c>
      <c r="G91" s="11">
        <v>34.5</v>
      </c>
      <c r="H91" s="11">
        <f t="shared" si="22"/>
        <v>862.5</v>
      </c>
      <c r="I91" s="91"/>
      <c r="J91" s="93"/>
      <c r="K91" s="123"/>
      <c r="L91" s="64"/>
      <c r="M91" s="30"/>
      <c r="N91" s="34"/>
      <c r="O91" s="35"/>
      <c r="P91" s="116"/>
      <c r="Q91" s="116"/>
      <c r="R91" s="111"/>
      <c r="S91" s="119"/>
      <c r="T91" s="111"/>
      <c r="U91" s="111"/>
      <c r="V91" s="114"/>
      <c r="W91" s="44"/>
      <c r="X91" s="111"/>
    </row>
    <row r="92" spans="1:24" x14ac:dyDescent="0.25">
      <c r="A92" s="121"/>
      <c r="B92" s="5" t="str">
        <f>A89</f>
        <v>Vakrangee</v>
      </c>
      <c r="C92" s="4">
        <f t="shared" si="20"/>
        <v>2019</v>
      </c>
      <c r="D92" s="4">
        <f t="shared" si="21"/>
        <v>8</v>
      </c>
      <c r="E92" s="6">
        <v>43697</v>
      </c>
      <c r="F92" s="3">
        <v>25</v>
      </c>
      <c r="G92" s="11">
        <v>34</v>
      </c>
      <c r="H92" s="11">
        <f t="shared" si="22"/>
        <v>850</v>
      </c>
      <c r="I92" s="91"/>
      <c r="J92" s="93"/>
      <c r="K92" s="123"/>
      <c r="L92" s="64"/>
      <c r="M92" s="30"/>
      <c r="N92" s="34"/>
      <c r="O92" s="35"/>
      <c r="P92" s="116"/>
      <c r="Q92" s="116"/>
      <c r="R92" s="111"/>
      <c r="S92" s="119"/>
      <c r="T92" s="111"/>
      <c r="U92" s="111"/>
      <c r="V92" s="114"/>
      <c r="W92" s="44"/>
      <c r="X92" s="111"/>
    </row>
    <row r="93" spans="1:24" x14ac:dyDescent="0.25">
      <c r="A93" s="121"/>
      <c r="B93" s="5" t="str">
        <f>A89</f>
        <v>Vakrangee</v>
      </c>
      <c r="C93" s="4">
        <f t="shared" si="20"/>
        <v>2019</v>
      </c>
      <c r="D93" s="4">
        <f t="shared" si="21"/>
        <v>8</v>
      </c>
      <c r="E93" s="6">
        <v>43698</v>
      </c>
      <c r="F93" s="3">
        <v>25</v>
      </c>
      <c r="G93" s="11">
        <v>32</v>
      </c>
      <c r="H93" s="11">
        <f t="shared" si="22"/>
        <v>800</v>
      </c>
      <c r="I93" s="91"/>
      <c r="J93" s="93"/>
      <c r="K93" s="123"/>
      <c r="L93" s="64"/>
      <c r="M93" s="30"/>
      <c r="N93" s="34"/>
      <c r="O93" s="35"/>
      <c r="P93" s="116"/>
      <c r="Q93" s="116"/>
      <c r="R93" s="111"/>
      <c r="S93" s="119"/>
      <c r="T93" s="111"/>
      <c r="U93" s="111"/>
      <c r="V93" s="114"/>
      <c r="W93" s="44"/>
      <c r="X93" s="111"/>
    </row>
    <row r="94" spans="1:24" x14ac:dyDescent="0.25">
      <c r="A94" s="121"/>
      <c r="B94" s="5" t="str">
        <f>A89</f>
        <v>Vakrangee</v>
      </c>
      <c r="C94" s="4">
        <f t="shared" si="20"/>
        <v>2019</v>
      </c>
      <c r="D94" s="4">
        <f t="shared" si="21"/>
        <v>9</v>
      </c>
      <c r="E94" s="6">
        <v>43732</v>
      </c>
      <c r="F94" s="3">
        <v>100</v>
      </c>
      <c r="G94" s="11">
        <v>30</v>
      </c>
      <c r="H94" s="11">
        <f t="shared" si="22"/>
        <v>3000</v>
      </c>
      <c r="I94" s="91"/>
      <c r="J94" s="93"/>
      <c r="K94" s="123"/>
      <c r="L94" s="64"/>
      <c r="M94" s="30"/>
      <c r="N94" s="34"/>
      <c r="O94" s="35"/>
      <c r="P94" s="116"/>
      <c r="Q94" s="116"/>
      <c r="R94" s="111"/>
      <c r="S94" s="119"/>
      <c r="T94" s="111"/>
      <c r="U94" s="111"/>
      <c r="V94" s="114"/>
      <c r="W94" s="44"/>
      <c r="X94" s="111"/>
    </row>
    <row r="95" spans="1:24" x14ac:dyDescent="0.25">
      <c r="A95" s="121"/>
      <c r="B95" s="5" t="str">
        <f>A89</f>
        <v>Vakrangee</v>
      </c>
      <c r="C95" s="4">
        <f t="shared" si="20"/>
        <v>2019</v>
      </c>
      <c r="D95" s="4">
        <f t="shared" si="21"/>
        <v>10</v>
      </c>
      <c r="E95" s="6">
        <v>43739</v>
      </c>
      <c r="F95" s="3">
        <v>50</v>
      </c>
      <c r="G95" s="11">
        <v>30</v>
      </c>
      <c r="H95" s="11">
        <f t="shared" si="22"/>
        <v>1500</v>
      </c>
      <c r="I95" s="91"/>
      <c r="J95" s="93"/>
      <c r="K95" s="123"/>
      <c r="L95" s="64"/>
      <c r="M95" s="30"/>
      <c r="N95" s="34"/>
      <c r="O95" s="35"/>
      <c r="P95" s="116"/>
      <c r="Q95" s="116"/>
      <c r="R95" s="111"/>
      <c r="S95" s="119"/>
      <c r="T95" s="111"/>
      <c r="U95" s="111"/>
      <c r="V95" s="114"/>
      <c r="W95" s="44"/>
      <c r="X95" s="111"/>
    </row>
    <row r="96" spans="1:24" x14ac:dyDescent="0.25">
      <c r="A96" s="121"/>
      <c r="B96" s="5" t="str">
        <f>A89</f>
        <v>Vakrangee</v>
      </c>
      <c r="C96" s="4">
        <f t="shared" si="20"/>
        <v>2019</v>
      </c>
      <c r="D96" s="4">
        <f t="shared" si="21"/>
        <v>10</v>
      </c>
      <c r="E96" s="6">
        <v>43745</v>
      </c>
      <c r="F96" s="3">
        <v>50</v>
      </c>
      <c r="G96" s="11">
        <v>28</v>
      </c>
      <c r="H96" s="11">
        <f t="shared" si="22"/>
        <v>1400</v>
      </c>
      <c r="I96" s="91"/>
      <c r="J96" s="93"/>
      <c r="K96" s="123"/>
      <c r="L96" s="64"/>
      <c r="M96" s="30"/>
      <c r="N96" s="34"/>
      <c r="O96" s="35"/>
      <c r="P96" s="116"/>
      <c r="Q96" s="116"/>
      <c r="R96" s="111"/>
      <c r="S96" s="119"/>
      <c r="T96" s="111"/>
      <c r="U96" s="111"/>
      <c r="V96" s="114"/>
      <c r="W96" s="44"/>
      <c r="X96" s="111"/>
    </row>
    <row r="97" spans="1:24" x14ac:dyDescent="0.25">
      <c r="A97" s="121"/>
      <c r="B97" s="5" t="str">
        <f>A89</f>
        <v>Vakrangee</v>
      </c>
      <c r="C97" s="4">
        <f t="shared" si="20"/>
        <v>2019</v>
      </c>
      <c r="D97" s="4">
        <f t="shared" si="21"/>
        <v>10</v>
      </c>
      <c r="E97" s="6">
        <v>43747</v>
      </c>
      <c r="F97" s="3">
        <v>100</v>
      </c>
      <c r="G97" s="11">
        <v>26</v>
      </c>
      <c r="H97" s="11">
        <f t="shared" si="22"/>
        <v>2600</v>
      </c>
      <c r="I97" s="91"/>
      <c r="J97" s="93"/>
      <c r="K97" s="123"/>
      <c r="L97" s="64"/>
      <c r="M97" s="30"/>
      <c r="N97" s="34"/>
      <c r="O97" s="35"/>
      <c r="P97" s="116"/>
      <c r="Q97" s="116"/>
      <c r="R97" s="111"/>
      <c r="S97" s="119"/>
      <c r="T97" s="111"/>
      <c r="U97" s="111"/>
      <c r="V97" s="114"/>
      <c r="W97" s="44"/>
      <c r="X97" s="111"/>
    </row>
    <row r="98" spans="1:24" x14ac:dyDescent="0.25">
      <c r="A98" s="121"/>
      <c r="B98" s="5" t="str">
        <f>A89</f>
        <v>Vakrangee</v>
      </c>
      <c r="C98" s="4">
        <f t="shared" si="20"/>
        <v>2019</v>
      </c>
      <c r="D98" s="4">
        <f t="shared" si="21"/>
        <v>10</v>
      </c>
      <c r="E98" s="6">
        <v>43749</v>
      </c>
      <c r="F98" s="3">
        <v>250</v>
      </c>
      <c r="G98" s="11">
        <v>24.9</v>
      </c>
      <c r="H98" s="11">
        <f t="shared" si="22"/>
        <v>6225</v>
      </c>
      <c r="I98" s="91"/>
      <c r="J98" s="93"/>
      <c r="K98" s="123"/>
      <c r="L98" s="64"/>
      <c r="M98" s="30"/>
      <c r="N98" s="34"/>
      <c r="O98" s="35"/>
      <c r="P98" s="116"/>
      <c r="Q98" s="116"/>
      <c r="R98" s="111"/>
      <c r="S98" s="119"/>
      <c r="T98" s="111"/>
      <c r="U98" s="111"/>
      <c r="V98" s="114"/>
      <c r="W98" s="44"/>
      <c r="X98" s="111"/>
    </row>
    <row r="99" spans="1:24" x14ac:dyDescent="0.25">
      <c r="A99" s="121"/>
      <c r="B99" s="5" t="str">
        <f>A89</f>
        <v>Vakrangee</v>
      </c>
      <c r="C99" s="4">
        <f t="shared" si="20"/>
        <v>2019</v>
      </c>
      <c r="D99" s="4">
        <f t="shared" si="21"/>
        <v>12</v>
      </c>
      <c r="E99" s="6">
        <v>43823</v>
      </c>
      <c r="F99" s="3">
        <v>50</v>
      </c>
      <c r="G99" s="11">
        <v>41</v>
      </c>
      <c r="H99" s="11">
        <f t="shared" si="22"/>
        <v>2050</v>
      </c>
      <c r="I99" s="91"/>
      <c r="J99" s="93"/>
      <c r="K99" s="123"/>
      <c r="L99" s="64"/>
      <c r="M99" s="30"/>
      <c r="N99" s="34"/>
      <c r="O99" s="35"/>
      <c r="P99" s="116"/>
      <c r="Q99" s="116"/>
      <c r="R99" s="111"/>
      <c r="S99" s="119"/>
      <c r="T99" s="111"/>
      <c r="U99" s="111"/>
      <c r="V99" s="114"/>
      <c r="W99" s="44"/>
      <c r="X99" s="111"/>
    </row>
    <row r="100" spans="1:24" x14ac:dyDescent="0.25">
      <c r="A100" s="121"/>
      <c r="B100" s="5" t="str">
        <f>A89</f>
        <v>Vakrangee</v>
      </c>
      <c r="C100" s="4">
        <f t="shared" si="20"/>
        <v>2020</v>
      </c>
      <c r="D100" s="4">
        <f t="shared" si="21"/>
        <v>2</v>
      </c>
      <c r="E100" s="6">
        <v>43871</v>
      </c>
      <c r="F100" s="3">
        <v>50</v>
      </c>
      <c r="G100" s="11">
        <v>44</v>
      </c>
      <c r="H100" s="11">
        <f t="shared" si="22"/>
        <v>2200</v>
      </c>
      <c r="I100" s="91"/>
      <c r="J100" s="93"/>
      <c r="K100" s="123"/>
      <c r="L100" s="64"/>
      <c r="M100" s="30"/>
      <c r="N100" s="34"/>
      <c r="O100" s="35"/>
      <c r="P100" s="116"/>
      <c r="Q100" s="116"/>
      <c r="R100" s="111"/>
      <c r="S100" s="119"/>
      <c r="T100" s="111"/>
      <c r="U100" s="111"/>
      <c r="V100" s="114"/>
      <c r="W100" s="44"/>
      <c r="X100" s="111"/>
    </row>
    <row r="101" spans="1:24" x14ac:dyDescent="0.25">
      <c r="A101" s="121"/>
      <c r="B101" s="5" t="str">
        <f>A89</f>
        <v>Vakrangee</v>
      </c>
      <c r="C101" s="4">
        <f t="shared" si="20"/>
        <v>2020</v>
      </c>
      <c r="D101" s="4">
        <f t="shared" si="21"/>
        <v>3</v>
      </c>
      <c r="E101" s="6">
        <v>43916</v>
      </c>
      <c r="F101" s="3">
        <v>100</v>
      </c>
      <c r="G101" s="11">
        <v>22.5</v>
      </c>
      <c r="H101" s="11">
        <f t="shared" si="22"/>
        <v>2250</v>
      </c>
      <c r="I101" s="91"/>
      <c r="J101" s="93"/>
      <c r="K101" s="123"/>
      <c r="L101" s="64"/>
      <c r="M101" s="30"/>
      <c r="N101" s="34"/>
      <c r="O101" s="35"/>
      <c r="P101" s="116"/>
      <c r="Q101" s="116"/>
      <c r="R101" s="111"/>
      <c r="S101" s="119"/>
      <c r="T101" s="111"/>
      <c r="U101" s="111"/>
      <c r="V101" s="114"/>
      <c r="W101" s="44"/>
      <c r="X101" s="111"/>
    </row>
    <row r="102" spans="1:24" x14ac:dyDescent="0.25">
      <c r="A102" s="121"/>
      <c r="B102" s="5" t="str">
        <f>A89</f>
        <v>Vakrangee</v>
      </c>
      <c r="C102" s="4">
        <f t="shared" si="20"/>
        <v>2020</v>
      </c>
      <c r="D102" s="4">
        <f t="shared" si="21"/>
        <v>3</v>
      </c>
      <c r="E102" s="6">
        <v>43921</v>
      </c>
      <c r="F102" s="3">
        <v>100</v>
      </c>
      <c r="G102" s="11">
        <v>19.899999999999999</v>
      </c>
      <c r="H102" s="11">
        <f t="shared" si="22"/>
        <v>1989.9999999999998</v>
      </c>
      <c r="I102" s="91"/>
      <c r="J102" s="93"/>
      <c r="K102" s="123"/>
      <c r="L102" s="64"/>
      <c r="M102" s="30"/>
      <c r="N102" s="34"/>
      <c r="O102" s="35"/>
      <c r="P102" s="116"/>
      <c r="Q102" s="116"/>
      <c r="R102" s="111"/>
      <c r="S102" s="119"/>
      <c r="T102" s="111"/>
      <c r="U102" s="111"/>
      <c r="V102" s="114"/>
      <c r="W102" s="44"/>
      <c r="X102" s="111"/>
    </row>
    <row r="103" spans="1:24" x14ac:dyDescent="0.25">
      <c r="A103" s="121"/>
      <c r="B103" s="5" t="str">
        <f>A89</f>
        <v>Vakrangee</v>
      </c>
      <c r="C103" s="4">
        <f t="shared" si="20"/>
        <v>2020</v>
      </c>
      <c r="D103" s="4">
        <f t="shared" si="21"/>
        <v>4</v>
      </c>
      <c r="E103" s="6">
        <v>43922</v>
      </c>
      <c r="F103" s="3">
        <v>250</v>
      </c>
      <c r="G103" s="11">
        <v>18.899999999999999</v>
      </c>
      <c r="H103" s="11">
        <f t="shared" si="22"/>
        <v>4725</v>
      </c>
      <c r="I103" s="91"/>
      <c r="J103" s="93"/>
      <c r="K103" s="123"/>
      <c r="L103" s="64"/>
      <c r="M103" s="30"/>
      <c r="N103" s="34"/>
      <c r="O103" s="35"/>
      <c r="P103" s="116"/>
      <c r="Q103" s="116"/>
      <c r="R103" s="111"/>
      <c r="S103" s="119"/>
      <c r="T103" s="111"/>
      <c r="U103" s="111"/>
      <c r="V103" s="114"/>
      <c r="W103" s="44"/>
      <c r="X103" s="111"/>
    </row>
    <row r="104" spans="1:24" x14ac:dyDescent="0.25">
      <c r="A104" s="121"/>
      <c r="B104" s="5" t="str">
        <f>A89</f>
        <v>Vakrangee</v>
      </c>
      <c r="C104" s="4">
        <f t="shared" si="20"/>
        <v>2020</v>
      </c>
      <c r="D104" s="4">
        <f t="shared" si="21"/>
        <v>4</v>
      </c>
      <c r="E104" s="6">
        <v>43924</v>
      </c>
      <c r="F104" s="3">
        <v>250</v>
      </c>
      <c r="G104" s="11">
        <v>18.05</v>
      </c>
      <c r="H104" s="11">
        <f t="shared" si="22"/>
        <v>4512.5</v>
      </c>
      <c r="I104" s="91"/>
      <c r="J104" s="93"/>
      <c r="K104" s="123"/>
      <c r="L104" s="64"/>
      <c r="M104" s="30"/>
      <c r="N104" s="34"/>
      <c r="O104" s="35"/>
      <c r="P104" s="116"/>
      <c r="Q104" s="116"/>
      <c r="R104" s="111"/>
      <c r="S104" s="119"/>
      <c r="T104" s="111"/>
      <c r="U104" s="111"/>
      <c r="V104" s="114"/>
      <c r="W104" s="44"/>
      <c r="X104" s="111"/>
    </row>
    <row r="105" spans="1:24" x14ac:dyDescent="0.25">
      <c r="A105" s="121"/>
      <c r="B105" s="5" t="str">
        <f>A89</f>
        <v>Vakrangee</v>
      </c>
      <c r="C105" s="4">
        <f t="shared" si="20"/>
        <v>2020</v>
      </c>
      <c r="D105" s="4">
        <f t="shared" si="21"/>
        <v>6</v>
      </c>
      <c r="E105" s="6">
        <v>43990</v>
      </c>
      <c r="F105" s="3">
        <v>250</v>
      </c>
      <c r="G105" s="11">
        <v>31.5</v>
      </c>
      <c r="H105" s="11">
        <f t="shared" si="22"/>
        <v>7875</v>
      </c>
      <c r="I105" s="91"/>
      <c r="J105" s="93"/>
      <c r="K105" s="123"/>
      <c r="L105" s="64"/>
      <c r="M105" s="30"/>
      <c r="N105" s="34"/>
      <c r="O105" s="35"/>
      <c r="P105" s="116"/>
      <c r="Q105" s="116"/>
      <c r="R105" s="111"/>
      <c r="S105" s="119"/>
      <c r="T105" s="111"/>
      <c r="U105" s="111"/>
      <c r="V105" s="114"/>
      <c r="W105" s="44"/>
      <c r="X105" s="111"/>
    </row>
    <row r="106" spans="1:24" x14ac:dyDescent="0.25">
      <c r="A106" s="121"/>
      <c r="B106" s="5" t="str">
        <f>A89</f>
        <v>Vakrangee</v>
      </c>
      <c r="C106" s="4">
        <f t="shared" si="20"/>
        <v>2020</v>
      </c>
      <c r="D106" s="4">
        <f t="shared" si="21"/>
        <v>6</v>
      </c>
      <c r="E106" s="6">
        <v>44000</v>
      </c>
      <c r="F106" s="3">
        <v>50</v>
      </c>
      <c r="G106" s="11">
        <v>36.5</v>
      </c>
      <c r="H106" s="11">
        <f t="shared" si="22"/>
        <v>1825</v>
      </c>
      <c r="I106" s="91"/>
      <c r="J106" s="93"/>
      <c r="K106" s="123"/>
      <c r="L106" s="64"/>
      <c r="M106" s="30"/>
      <c r="N106" s="34"/>
      <c r="O106" s="35"/>
      <c r="P106" s="116"/>
      <c r="Q106" s="116"/>
      <c r="R106" s="111"/>
      <c r="S106" s="119"/>
      <c r="T106" s="111"/>
      <c r="U106" s="111"/>
      <c r="V106" s="114"/>
      <c r="W106" s="44"/>
      <c r="X106" s="111"/>
    </row>
    <row r="107" spans="1:24" x14ac:dyDescent="0.25">
      <c r="A107" s="121"/>
      <c r="B107" s="5" t="str">
        <f>A89</f>
        <v>Vakrangee</v>
      </c>
      <c r="C107" s="4">
        <f t="shared" si="20"/>
        <v>2020</v>
      </c>
      <c r="D107" s="4">
        <f t="shared" si="21"/>
        <v>6</v>
      </c>
      <c r="E107" s="6">
        <v>44004</v>
      </c>
      <c r="F107" s="3">
        <v>50</v>
      </c>
      <c r="G107" s="11">
        <v>35.5</v>
      </c>
      <c r="H107" s="11">
        <f t="shared" si="22"/>
        <v>1775</v>
      </c>
      <c r="I107" s="91"/>
      <c r="J107" s="93"/>
      <c r="K107" s="123"/>
      <c r="L107" s="64"/>
      <c r="M107" s="30"/>
      <c r="N107" s="34"/>
      <c r="O107" s="35"/>
      <c r="P107" s="116"/>
      <c r="Q107" s="116"/>
      <c r="R107" s="111"/>
      <c r="S107" s="119"/>
      <c r="T107" s="111"/>
      <c r="U107" s="111"/>
      <c r="V107" s="114"/>
      <c r="W107" s="44"/>
      <c r="X107" s="111"/>
    </row>
    <row r="108" spans="1:24" x14ac:dyDescent="0.25">
      <c r="A108" s="121"/>
      <c r="B108" s="5" t="str">
        <f>A89</f>
        <v>Vakrangee</v>
      </c>
      <c r="C108" s="4">
        <f t="shared" si="20"/>
        <v>2020</v>
      </c>
      <c r="D108" s="4">
        <f t="shared" si="21"/>
        <v>6</v>
      </c>
      <c r="E108" s="6">
        <v>44005</v>
      </c>
      <c r="F108" s="3">
        <v>50</v>
      </c>
      <c r="G108" s="11">
        <v>34</v>
      </c>
      <c r="H108" s="11">
        <f t="shared" si="22"/>
        <v>1700</v>
      </c>
      <c r="I108" s="91"/>
      <c r="J108" s="93"/>
      <c r="K108" s="123"/>
      <c r="L108" s="64"/>
      <c r="M108" s="30"/>
      <c r="N108" s="34"/>
      <c r="O108" s="35"/>
      <c r="P108" s="116"/>
      <c r="Q108" s="116"/>
      <c r="R108" s="111"/>
      <c r="S108" s="119"/>
      <c r="T108" s="111"/>
      <c r="U108" s="111"/>
      <c r="V108" s="114"/>
      <c r="W108" s="44"/>
      <c r="X108" s="111"/>
    </row>
    <row r="109" spans="1:24" x14ac:dyDescent="0.25">
      <c r="A109" s="121"/>
      <c r="B109" s="5" t="str">
        <f>A89</f>
        <v>Vakrangee</v>
      </c>
      <c r="C109" s="4">
        <f t="shared" si="20"/>
        <v>2020</v>
      </c>
      <c r="D109" s="4">
        <f t="shared" si="21"/>
        <v>6</v>
      </c>
      <c r="E109" s="6">
        <v>44006</v>
      </c>
      <c r="F109" s="3">
        <v>50</v>
      </c>
      <c r="G109" s="11">
        <v>31.85</v>
      </c>
      <c r="H109" s="11">
        <f t="shared" si="22"/>
        <v>1592.5</v>
      </c>
      <c r="I109" s="91"/>
      <c r="J109" s="93"/>
      <c r="K109" s="123"/>
      <c r="L109" s="64"/>
      <c r="M109" s="30"/>
      <c r="N109" s="34"/>
      <c r="O109" s="35"/>
      <c r="P109" s="116"/>
      <c r="Q109" s="116"/>
      <c r="R109" s="111"/>
      <c r="S109" s="119"/>
      <c r="T109" s="111"/>
      <c r="U109" s="111"/>
      <c r="V109" s="114"/>
      <c r="W109" s="44"/>
      <c r="X109" s="111"/>
    </row>
    <row r="110" spans="1:24" x14ac:dyDescent="0.25">
      <c r="A110" s="121"/>
      <c r="B110" s="5" t="str">
        <f>A89</f>
        <v>Vakrangee</v>
      </c>
      <c r="C110" s="4">
        <f t="shared" si="20"/>
        <v>2020</v>
      </c>
      <c r="D110" s="4">
        <f t="shared" si="21"/>
        <v>7</v>
      </c>
      <c r="E110" s="6">
        <v>44020</v>
      </c>
      <c r="F110" s="3">
        <v>50</v>
      </c>
      <c r="G110" s="11">
        <v>32.049999999999997</v>
      </c>
      <c r="H110" s="11">
        <f t="shared" si="22"/>
        <v>1602.4999999999998</v>
      </c>
      <c r="I110" s="91"/>
      <c r="J110" s="93"/>
      <c r="K110" s="123"/>
      <c r="L110" s="64"/>
      <c r="M110" s="30"/>
      <c r="N110" s="34"/>
      <c r="O110" s="35"/>
      <c r="P110" s="116"/>
      <c r="Q110" s="116"/>
      <c r="R110" s="111"/>
      <c r="S110" s="119"/>
      <c r="T110" s="111"/>
      <c r="U110" s="111"/>
      <c r="V110" s="114"/>
      <c r="W110" s="44"/>
      <c r="X110" s="111"/>
    </row>
    <row r="111" spans="1:24" x14ac:dyDescent="0.25">
      <c r="A111" s="121"/>
      <c r="B111" s="5" t="str">
        <f>A89</f>
        <v>Vakrangee</v>
      </c>
      <c r="C111" s="4">
        <f t="shared" si="20"/>
        <v>2020</v>
      </c>
      <c r="D111" s="4">
        <f t="shared" si="21"/>
        <v>7</v>
      </c>
      <c r="E111" s="6">
        <v>44032</v>
      </c>
      <c r="F111" s="3">
        <v>100</v>
      </c>
      <c r="G111" s="11">
        <v>26.2</v>
      </c>
      <c r="H111" s="11">
        <f t="shared" si="22"/>
        <v>2620</v>
      </c>
      <c r="I111" s="91"/>
      <c r="J111" s="93"/>
      <c r="K111" s="123"/>
      <c r="L111" s="64"/>
      <c r="M111" s="30"/>
      <c r="N111" s="34"/>
      <c r="O111" s="35"/>
      <c r="P111" s="116"/>
      <c r="Q111" s="116"/>
      <c r="R111" s="111"/>
      <c r="S111" s="119"/>
      <c r="T111" s="111"/>
      <c r="U111" s="111"/>
      <c r="V111" s="114"/>
      <c r="W111" s="44"/>
      <c r="X111" s="111"/>
    </row>
    <row r="112" spans="1:24" x14ac:dyDescent="0.25">
      <c r="A112" s="121"/>
      <c r="B112" s="5" t="str">
        <f>A89</f>
        <v>Vakrangee</v>
      </c>
      <c r="C112" s="4">
        <f t="shared" si="20"/>
        <v>2020</v>
      </c>
      <c r="D112" s="4">
        <f t="shared" si="21"/>
        <v>9</v>
      </c>
      <c r="E112" s="6">
        <v>44099</v>
      </c>
      <c r="F112" s="3">
        <v>150</v>
      </c>
      <c r="G112" s="11">
        <v>25.25</v>
      </c>
      <c r="H112" s="11">
        <f t="shared" si="22"/>
        <v>3787.5</v>
      </c>
      <c r="I112" s="91"/>
      <c r="J112" s="93"/>
      <c r="K112" s="123"/>
      <c r="L112" s="64"/>
      <c r="M112" s="30"/>
      <c r="N112" s="34"/>
      <c r="O112" s="35"/>
      <c r="P112" s="116"/>
      <c r="Q112" s="116"/>
      <c r="R112" s="111"/>
      <c r="S112" s="119"/>
      <c r="T112" s="111"/>
      <c r="U112" s="111"/>
      <c r="V112" s="114"/>
      <c r="W112" s="44"/>
      <c r="X112" s="111"/>
    </row>
    <row r="113" spans="1:25" x14ac:dyDescent="0.25">
      <c r="A113" s="80" t="s">
        <v>118</v>
      </c>
      <c r="B113" s="4" t="str">
        <f>A113</f>
        <v>Federal Bank</v>
      </c>
      <c r="C113" s="4">
        <f t="shared" si="20"/>
        <v>2020</v>
      </c>
      <c r="D113" s="4">
        <f t="shared" si="21"/>
        <v>5</v>
      </c>
      <c r="E113" s="6">
        <v>43980</v>
      </c>
      <c r="F113" s="3">
        <v>100</v>
      </c>
      <c r="G113" s="11">
        <v>45</v>
      </c>
      <c r="H113" s="11">
        <f t="shared" ref="H113:H116" si="28">F113*G113</f>
        <v>4500</v>
      </c>
      <c r="I113" s="81">
        <f>SUM(F113:F114)</f>
        <v>2600</v>
      </c>
      <c r="J113" s="82">
        <f>SUM(H113:H114)/SUM(F113:F114)</f>
        <v>51.730769230769234</v>
      </c>
      <c r="K113" s="82">
        <f>SUM(H113:H114)</f>
        <v>134500</v>
      </c>
      <c r="L113" s="62">
        <v>44202</v>
      </c>
      <c r="M113" s="3">
        <v>2500</v>
      </c>
      <c r="N113" s="3">
        <v>72.900000000000006</v>
      </c>
      <c r="O113" s="3">
        <f>M113*N113</f>
        <v>182250</v>
      </c>
      <c r="P113" s="143">
        <f>SUM(M113:M114)</f>
        <v>2600</v>
      </c>
      <c r="Q113" s="143">
        <f>SUM(O113:O114)</f>
        <v>189275</v>
      </c>
      <c r="R113" s="103">
        <f>Q113-K113</f>
        <v>54775</v>
      </c>
      <c r="S113" s="106">
        <f>R113/K113</f>
        <v>0.40724907063197024</v>
      </c>
      <c r="W113" s="38">
        <f>L113-E113</f>
        <v>222</v>
      </c>
    </row>
    <row r="114" spans="1:25" x14ac:dyDescent="0.25">
      <c r="A114" s="80"/>
      <c r="B114" s="4" t="str">
        <f>A113</f>
        <v>Federal Bank</v>
      </c>
      <c r="C114" s="4">
        <f t="shared" si="20"/>
        <v>2020</v>
      </c>
      <c r="D114" s="4">
        <f t="shared" si="21"/>
        <v>10</v>
      </c>
      <c r="E114" s="6">
        <v>44112</v>
      </c>
      <c r="F114" s="3">
        <v>2500</v>
      </c>
      <c r="G114" s="11">
        <v>52</v>
      </c>
      <c r="H114" s="11">
        <f t="shared" si="28"/>
        <v>130000</v>
      </c>
      <c r="I114" s="81"/>
      <c r="J114" s="82"/>
      <c r="K114" s="81"/>
      <c r="L114" s="62">
        <v>44223</v>
      </c>
      <c r="M114" s="3">
        <v>100</v>
      </c>
      <c r="N114" s="3">
        <v>70.25</v>
      </c>
      <c r="O114" s="3">
        <f>M114*N114</f>
        <v>7025</v>
      </c>
      <c r="P114" s="143"/>
      <c r="Q114" s="143"/>
      <c r="R114" s="100"/>
      <c r="S114" s="106"/>
      <c r="W114" s="38">
        <f>L114-E113</f>
        <v>243</v>
      </c>
    </row>
    <row r="115" spans="1:25" x14ac:dyDescent="0.25">
      <c r="A115" s="5" t="s">
        <v>117</v>
      </c>
      <c r="B115" s="5" t="str">
        <f>A115</f>
        <v>Ashok Leyland</v>
      </c>
      <c r="C115" s="4">
        <f t="shared" ref="C115:C155" si="29">YEAR(E115)</f>
        <v>2020</v>
      </c>
      <c r="D115" s="4">
        <f t="shared" ref="D115:D155" si="30">MONTH(E115)</f>
        <v>8</v>
      </c>
      <c r="E115" s="6">
        <v>44056</v>
      </c>
      <c r="F115" s="3">
        <v>50</v>
      </c>
      <c r="G115" s="11">
        <v>49.75</v>
      </c>
      <c r="H115" s="11">
        <f t="shared" si="28"/>
        <v>2487.5</v>
      </c>
      <c r="I115" s="4">
        <f>SUM(F115:F115)</f>
        <v>50</v>
      </c>
      <c r="J115" s="55">
        <f>SUM(H115)/SUM(F115)</f>
        <v>49.75</v>
      </c>
      <c r="K115" s="29">
        <f>SUM(H115)</f>
        <v>2487.5</v>
      </c>
      <c r="L115" s="62">
        <v>44224</v>
      </c>
      <c r="M115" s="3">
        <v>50</v>
      </c>
      <c r="N115" s="3">
        <v>114</v>
      </c>
      <c r="O115" s="3">
        <f>M115*N115</f>
        <v>5700</v>
      </c>
      <c r="P115" s="3">
        <v>50</v>
      </c>
      <c r="Q115" s="3">
        <v>5700</v>
      </c>
      <c r="R115" s="53">
        <f>Q115-K115</f>
        <v>3212.5</v>
      </c>
      <c r="S115" s="52">
        <f>R115/K115</f>
        <v>1.2914572864321607</v>
      </c>
      <c r="W115" s="38">
        <f>L115-E115</f>
        <v>168</v>
      </c>
    </row>
    <row r="116" spans="1:25" x14ac:dyDescent="0.25">
      <c r="A116" s="55" t="s">
        <v>120</v>
      </c>
      <c r="B116" s="55" t="str">
        <f>A116</f>
        <v>VEDLIM</v>
      </c>
      <c r="C116" s="4">
        <f t="shared" si="29"/>
        <v>2020</v>
      </c>
      <c r="D116" s="4">
        <f t="shared" si="30"/>
        <v>10</v>
      </c>
      <c r="E116" s="51">
        <v>44118</v>
      </c>
      <c r="F116" s="3">
        <v>50</v>
      </c>
      <c r="G116" s="11">
        <v>91.16</v>
      </c>
      <c r="H116" s="11">
        <f t="shared" si="28"/>
        <v>4558</v>
      </c>
      <c r="I116" s="55">
        <v>50</v>
      </c>
      <c r="J116" s="55">
        <v>91.16</v>
      </c>
      <c r="K116" s="56">
        <f>H116</f>
        <v>4558</v>
      </c>
      <c r="L116" s="62">
        <v>44223</v>
      </c>
      <c r="M116" s="3">
        <v>50</v>
      </c>
      <c r="N116" s="3">
        <v>163.5</v>
      </c>
      <c r="O116" s="3">
        <f>M116*N116</f>
        <v>8175</v>
      </c>
      <c r="P116" s="3">
        <v>50</v>
      </c>
      <c r="Q116" s="3">
        <f>O116</f>
        <v>8175</v>
      </c>
      <c r="R116" s="53">
        <f>Q116-K116</f>
        <v>3617</v>
      </c>
      <c r="S116" s="57">
        <f>R116/K116</f>
        <v>0.79354980254497587</v>
      </c>
      <c r="W116" s="38">
        <f>L116-E116</f>
        <v>105</v>
      </c>
    </row>
    <row r="117" spans="1:25" x14ac:dyDescent="0.25">
      <c r="A117" s="80" t="s">
        <v>93</v>
      </c>
      <c r="B117" s="5" t="str">
        <f>A117</f>
        <v>JSW Steel</v>
      </c>
      <c r="C117" s="4">
        <f t="shared" si="29"/>
        <v>2020</v>
      </c>
      <c r="D117" s="4">
        <f t="shared" si="30"/>
        <v>6</v>
      </c>
      <c r="E117" s="6">
        <v>43992</v>
      </c>
      <c r="F117" s="3">
        <v>10</v>
      </c>
      <c r="G117" s="3">
        <v>189.75</v>
      </c>
      <c r="H117" s="11">
        <f>F117*G117</f>
        <v>1897.5</v>
      </c>
      <c r="I117" s="81">
        <f>SUM(F117:F118)</f>
        <v>20</v>
      </c>
      <c r="J117" s="82">
        <f>SUM(H117:H118)/SUM(F117:F118)</f>
        <v>192.375</v>
      </c>
      <c r="K117" s="82">
        <f>SUM(H117:H118)</f>
        <v>3847.5</v>
      </c>
      <c r="L117" s="108">
        <v>44291</v>
      </c>
      <c r="M117" s="100">
        <v>20</v>
      </c>
      <c r="N117" s="100">
        <v>510.15</v>
      </c>
      <c r="O117" s="100">
        <f>M117*N117</f>
        <v>10203</v>
      </c>
      <c r="P117" s="100">
        <f>M117</f>
        <v>20</v>
      </c>
      <c r="Q117" s="100">
        <f>O117</f>
        <v>10203</v>
      </c>
      <c r="R117" s="103">
        <f>Q117-K117</f>
        <v>6355.5</v>
      </c>
      <c r="S117" s="106">
        <f>R117/K117</f>
        <v>1.6518518518518519</v>
      </c>
      <c r="W117" s="104">
        <f>L117-E117</f>
        <v>299</v>
      </c>
    </row>
    <row r="118" spans="1:25" x14ac:dyDescent="0.25">
      <c r="A118" s="80"/>
      <c r="B118" s="5" t="str">
        <f>A117</f>
        <v>JSW Steel</v>
      </c>
      <c r="C118" s="4">
        <f t="shared" si="29"/>
        <v>2020</v>
      </c>
      <c r="D118" s="4">
        <f t="shared" si="30"/>
        <v>6</v>
      </c>
      <c r="E118" s="6">
        <v>44006</v>
      </c>
      <c r="F118" s="3">
        <v>10</v>
      </c>
      <c r="G118" s="3">
        <v>195</v>
      </c>
      <c r="H118" s="11">
        <f>F118*G118</f>
        <v>1950</v>
      </c>
      <c r="I118" s="81"/>
      <c r="J118" s="82"/>
      <c r="K118" s="81"/>
      <c r="L118" s="108"/>
      <c r="M118" s="100"/>
      <c r="N118" s="100"/>
      <c r="O118" s="100"/>
      <c r="P118" s="100"/>
      <c r="Q118" s="100"/>
      <c r="R118" s="103"/>
      <c r="S118" s="106"/>
      <c r="W118" s="104"/>
    </row>
    <row r="119" spans="1:25" x14ac:dyDescent="0.25">
      <c r="A119" s="80" t="s">
        <v>112</v>
      </c>
      <c r="B119" s="4" t="str">
        <f>A119</f>
        <v>Punjab National Bank</v>
      </c>
      <c r="C119" s="4">
        <f t="shared" si="29"/>
        <v>2020</v>
      </c>
      <c r="D119" s="4">
        <f t="shared" si="30"/>
        <v>1</v>
      </c>
      <c r="E119" s="6">
        <v>43837</v>
      </c>
      <c r="F119" s="3">
        <v>1000</v>
      </c>
      <c r="G119" s="11">
        <v>66.25</v>
      </c>
      <c r="H119" s="11">
        <f t="shared" ref="H119:H155" si="31">F119*G119</f>
        <v>66250</v>
      </c>
      <c r="I119" s="81">
        <f>SUM(F119:F129)</f>
        <v>3900</v>
      </c>
      <c r="J119" s="82">
        <f>SUM(H119:H129)/SUM(F119:F129)</f>
        <v>39.16282051282051</v>
      </c>
      <c r="K119" s="82">
        <f>SUM(H119:H129)</f>
        <v>152735</v>
      </c>
      <c r="L119" s="108">
        <v>44291</v>
      </c>
      <c r="M119" s="110">
        <v>3900</v>
      </c>
      <c r="N119" s="100">
        <v>37.6</v>
      </c>
      <c r="O119" s="100">
        <f>M119*N119</f>
        <v>146640</v>
      </c>
      <c r="P119" s="100">
        <f>M119</f>
        <v>3900</v>
      </c>
      <c r="Q119" s="100">
        <f>O119</f>
        <v>146640</v>
      </c>
      <c r="R119" s="103">
        <f>Q119-K119</f>
        <v>-6095</v>
      </c>
      <c r="S119" s="113">
        <f>R119/K119</f>
        <v>-3.9905719055881105E-2</v>
      </c>
      <c r="W119" s="100">
        <f>L119-E119</f>
        <v>454</v>
      </c>
      <c r="Y119" s="105" t="s">
        <v>140</v>
      </c>
    </row>
    <row r="120" spans="1:25" x14ac:dyDescent="0.25">
      <c r="A120" s="80"/>
      <c r="B120" s="4" t="str">
        <f>A119</f>
        <v>Punjab National Bank</v>
      </c>
      <c r="C120" s="4">
        <f t="shared" si="29"/>
        <v>2020</v>
      </c>
      <c r="D120" s="4">
        <f t="shared" si="30"/>
        <v>4</v>
      </c>
      <c r="E120" s="6">
        <v>43951</v>
      </c>
      <c r="F120" s="3">
        <v>500</v>
      </c>
      <c r="G120" s="11">
        <v>33</v>
      </c>
      <c r="H120" s="11">
        <f t="shared" si="31"/>
        <v>16500</v>
      </c>
      <c r="I120" s="81"/>
      <c r="J120" s="82"/>
      <c r="K120" s="81"/>
      <c r="L120" s="109"/>
      <c r="M120" s="111"/>
      <c r="N120" s="100"/>
      <c r="O120" s="100"/>
      <c r="P120" s="100"/>
      <c r="Q120" s="100"/>
      <c r="R120" s="100"/>
      <c r="S120" s="113"/>
      <c r="W120" s="100"/>
      <c r="Y120" s="105"/>
    </row>
    <row r="121" spans="1:25" x14ac:dyDescent="0.25">
      <c r="A121" s="80"/>
      <c r="B121" s="4" t="str">
        <f>A119</f>
        <v>Punjab National Bank</v>
      </c>
      <c r="C121" s="4">
        <f t="shared" si="29"/>
        <v>2020</v>
      </c>
      <c r="D121" s="4">
        <f t="shared" si="30"/>
        <v>5</v>
      </c>
      <c r="E121" s="6">
        <v>43957</v>
      </c>
      <c r="F121" s="3">
        <v>100</v>
      </c>
      <c r="G121" s="11">
        <v>29.5</v>
      </c>
      <c r="H121" s="11">
        <f t="shared" si="31"/>
        <v>2950</v>
      </c>
      <c r="I121" s="81"/>
      <c r="J121" s="82"/>
      <c r="K121" s="81"/>
      <c r="L121" s="109"/>
      <c r="M121" s="111"/>
      <c r="N121" s="100"/>
      <c r="O121" s="100"/>
      <c r="P121" s="100"/>
      <c r="Q121" s="100"/>
      <c r="R121" s="100"/>
      <c r="S121" s="113"/>
      <c r="W121" s="100"/>
      <c r="Y121" s="105"/>
    </row>
    <row r="122" spans="1:25" x14ac:dyDescent="0.25">
      <c r="A122" s="80"/>
      <c r="B122" s="4" t="str">
        <f>A119</f>
        <v>Punjab National Bank</v>
      </c>
      <c r="C122" s="4">
        <f t="shared" si="29"/>
        <v>2020</v>
      </c>
      <c r="D122" s="4">
        <f t="shared" si="30"/>
        <v>5</v>
      </c>
      <c r="E122" s="6">
        <v>43970</v>
      </c>
      <c r="F122" s="3">
        <v>1000</v>
      </c>
      <c r="G122" s="11">
        <v>26.6</v>
      </c>
      <c r="H122" s="11">
        <f t="shared" si="31"/>
        <v>26600</v>
      </c>
      <c r="I122" s="81"/>
      <c r="J122" s="82"/>
      <c r="K122" s="81"/>
      <c r="L122" s="109"/>
      <c r="M122" s="111"/>
      <c r="N122" s="100"/>
      <c r="O122" s="100"/>
      <c r="P122" s="100"/>
      <c r="Q122" s="100"/>
      <c r="R122" s="100"/>
      <c r="S122" s="113"/>
      <c r="W122" s="100"/>
      <c r="Y122" s="105"/>
    </row>
    <row r="123" spans="1:25" x14ac:dyDescent="0.25">
      <c r="A123" s="80"/>
      <c r="B123" s="4" t="str">
        <f>A119</f>
        <v>Punjab National Bank</v>
      </c>
      <c r="C123" s="4">
        <f t="shared" si="29"/>
        <v>2020</v>
      </c>
      <c r="D123" s="4">
        <f t="shared" si="30"/>
        <v>6</v>
      </c>
      <c r="E123" s="6">
        <v>43986</v>
      </c>
      <c r="F123" s="3">
        <v>150</v>
      </c>
      <c r="G123" s="11">
        <v>32</v>
      </c>
      <c r="H123" s="11">
        <f t="shared" si="31"/>
        <v>4800</v>
      </c>
      <c r="I123" s="81"/>
      <c r="J123" s="82"/>
      <c r="K123" s="81"/>
      <c r="L123" s="109"/>
      <c r="M123" s="111"/>
      <c r="N123" s="100"/>
      <c r="O123" s="100"/>
      <c r="P123" s="100"/>
      <c r="Q123" s="100"/>
      <c r="R123" s="100"/>
      <c r="S123" s="113"/>
      <c r="W123" s="100"/>
      <c r="Y123" s="105"/>
    </row>
    <row r="124" spans="1:25" x14ac:dyDescent="0.25">
      <c r="A124" s="80"/>
      <c r="B124" s="4" t="str">
        <f>A119</f>
        <v>Punjab National Bank</v>
      </c>
      <c r="C124" s="4">
        <f t="shared" si="29"/>
        <v>2020</v>
      </c>
      <c r="D124" s="4">
        <f t="shared" si="30"/>
        <v>6</v>
      </c>
      <c r="E124" s="6">
        <v>43987</v>
      </c>
      <c r="F124" s="3">
        <v>350</v>
      </c>
      <c r="G124" s="11">
        <v>33.9</v>
      </c>
      <c r="H124" s="11">
        <f t="shared" si="31"/>
        <v>11865</v>
      </c>
      <c r="I124" s="81"/>
      <c r="J124" s="82"/>
      <c r="K124" s="81"/>
      <c r="L124" s="109"/>
      <c r="M124" s="111"/>
      <c r="N124" s="100"/>
      <c r="O124" s="100"/>
      <c r="P124" s="100"/>
      <c r="Q124" s="100"/>
      <c r="R124" s="100"/>
      <c r="S124" s="113"/>
      <c r="W124" s="100"/>
      <c r="Y124" s="105"/>
    </row>
    <row r="125" spans="1:25" x14ac:dyDescent="0.25">
      <c r="A125" s="80"/>
      <c r="B125" s="4" t="str">
        <f>A119</f>
        <v>Punjab National Bank</v>
      </c>
      <c r="C125" s="4">
        <f t="shared" si="29"/>
        <v>2020</v>
      </c>
      <c r="D125" s="4">
        <f t="shared" si="30"/>
        <v>6</v>
      </c>
      <c r="E125" s="6">
        <v>43990</v>
      </c>
      <c r="F125" s="3">
        <v>100</v>
      </c>
      <c r="G125" s="11">
        <v>32.5</v>
      </c>
      <c r="H125" s="11">
        <f t="shared" si="31"/>
        <v>3250</v>
      </c>
      <c r="I125" s="81"/>
      <c r="J125" s="82"/>
      <c r="K125" s="81"/>
      <c r="L125" s="109"/>
      <c r="M125" s="111"/>
      <c r="N125" s="100"/>
      <c r="O125" s="100"/>
      <c r="P125" s="100"/>
      <c r="Q125" s="100"/>
      <c r="R125" s="100"/>
      <c r="S125" s="113"/>
      <c r="W125" s="100"/>
      <c r="Y125" s="105"/>
    </row>
    <row r="126" spans="1:25" x14ac:dyDescent="0.25">
      <c r="A126" s="80"/>
      <c r="B126" s="4" t="str">
        <f>A119</f>
        <v>Punjab National Bank</v>
      </c>
      <c r="C126" s="4">
        <f t="shared" si="29"/>
        <v>2020</v>
      </c>
      <c r="D126" s="4">
        <f t="shared" si="30"/>
        <v>9</v>
      </c>
      <c r="E126" s="6">
        <v>44099</v>
      </c>
      <c r="F126" s="3">
        <v>300</v>
      </c>
      <c r="G126" s="11">
        <v>28.05</v>
      </c>
      <c r="H126" s="11">
        <f t="shared" si="31"/>
        <v>8415</v>
      </c>
      <c r="I126" s="81"/>
      <c r="J126" s="82"/>
      <c r="K126" s="81"/>
      <c r="L126" s="109"/>
      <c r="M126" s="111"/>
      <c r="N126" s="100"/>
      <c r="O126" s="100"/>
      <c r="P126" s="100"/>
      <c r="Q126" s="100"/>
      <c r="R126" s="100"/>
      <c r="S126" s="113"/>
      <c r="W126" s="100"/>
      <c r="Y126" s="105"/>
    </row>
    <row r="127" spans="1:25" x14ac:dyDescent="0.25">
      <c r="A127" s="80"/>
      <c r="B127" s="4" t="str">
        <f>A119</f>
        <v>Punjab National Bank</v>
      </c>
      <c r="C127" s="4">
        <f t="shared" si="29"/>
        <v>2020</v>
      </c>
      <c r="D127" s="4">
        <f t="shared" si="30"/>
        <v>11</v>
      </c>
      <c r="E127" s="6">
        <v>44141</v>
      </c>
      <c r="F127" s="3">
        <v>250</v>
      </c>
      <c r="G127" s="11">
        <v>27.9</v>
      </c>
      <c r="H127" s="11">
        <f t="shared" si="31"/>
        <v>6975</v>
      </c>
      <c r="I127" s="81"/>
      <c r="J127" s="82"/>
      <c r="K127" s="81"/>
      <c r="L127" s="109"/>
      <c r="M127" s="111"/>
      <c r="N127" s="100"/>
      <c r="O127" s="100"/>
      <c r="P127" s="100"/>
      <c r="Q127" s="100"/>
      <c r="R127" s="100"/>
      <c r="S127" s="113"/>
      <c r="W127" s="100"/>
      <c r="Y127" s="105"/>
    </row>
    <row r="128" spans="1:25" x14ac:dyDescent="0.25">
      <c r="A128" s="80"/>
      <c r="B128" s="4" t="str">
        <f>A119</f>
        <v>Punjab National Bank</v>
      </c>
      <c r="C128" s="4">
        <f t="shared" si="29"/>
        <v>2021</v>
      </c>
      <c r="D128" s="4">
        <f t="shared" si="30"/>
        <v>1</v>
      </c>
      <c r="E128" s="6">
        <v>44201</v>
      </c>
      <c r="F128" s="3">
        <v>100</v>
      </c>
      <c r="G128" s="11">
        <v>35.299999999999997</v>
      </c>
      <c r="H128" s="11">
        <f t="shared" si="31"/>
        <v>3529.9999999999995</v>
      </c>
      <c r="I128" s="81"/>
      <c r="J128" s="82"/>
      <c r="K128" s="81"/>
      <c r="L128" s="109"/>
      <c r="M128" s="111"/>
      <c r="N128" s="100"/>
      <c r="O128" s="100"/>
      <c r="P128" s="100"/>
      <c r="Q128" s="100"/>
      <c r="R128" s="100"/>
      <c r="S128" s="113"/>
      <c r="W128" s="100"/>
      <c r="Y128" s="105"/>
    </row>
    <row r="129" spans="1:25" x14ac:dyDescent="0.25">
      <c r="A129" s="80"/>
      <c r="B129" s="4" t="str">
        <f>A119</f>
        <v>Punjab National Bank</v>
      </c>
      <c r="C129" s="4">
        <f t="shared" si="29"/>
        <v>2021</v>
      </c>
      <c r="D129" s="4">
        <f t="shared" si="30"/>
        <v>1</v>
      </c>
      <c r="E129" s="6">
        <v>44224</v>
      </c>
      <c r="F129" s="3">
        <v>50</v>
      </c>
      <c r="G129" s="11">
        <v>32</v>
      </c>
      <c r="H129" s="11">
        <f t="shared" si="31"/>
        <v>1600</v>
      </c>
      <c r="I129" s="81"/>
      <c r="J129" s="82"/>
      <c r="K129" s="81"/>
      <c r="L129" s="109"/>
      <c r="M129" s="112"/>
      <c r="N129" s="100"/>
      <c r="O129" s="100"/>
      <c r="P129" s="100"/>
      <c r="Q129" s="100"/>
      <c r="R129" s="100"/>
      <c r="S129" s="113"/>
      <c r="W129" s="100"/>
      <c r="Y129" s="105"/>
    </row>
    <row r="130" spans="1:25" x14ac:dyDescent="0.25">
      <c r="A130" s="80" t="s">
        <v>121</v>
      </c>
      <c r="B130" s="5" t="str">
        <f>A130</f>
        <v>WIPRO</v>
      </c>
      <c r="C130" s="4">
        <f t="shared" si="29"/>
        <v>2020</v>
      </c>
      <c r="D130" s="4">
        <f t="shared" si="30"/>
        <v>10</v>
      </c>
      <c r="E130" s="6">
        <v>44118</v>
      </c>
      <c r="F130" s="3">
        <v>25</v>
      </c>
      <c r="G130" s="11">
        <v>351</v>
      </c>
      <c r="H130" s="11">
        <f t="shared" si="31"/>
        <v>8775</v>
      </c>
      <c r="I130" s="82">
        <f>SUM(F130:F131)</f>
        <v>50</v>
      </c>
      <c r="J130" s="81">
        <f>SUM(F130*G130+F131*G131)/SUM(F130:F131)</f>
        <v>343.25</v>
      </c>
      <c r="K130" s="82">
        <f>SUM(H130:H131)</f>
        <v>17162.5</v>
      </c>
      <c r="L130" s="108">
        <v>44429</v>
      </c>
      <c r="M130" s="100">
        <v>50</v>
      </c>
      <c r="N130" s="100">
        <v>619</v>
      </c>
      <c r="O130" s="100">
        <f>M130*N130</f>
        <v>30950</v>
      </c>
      <c r="P130" s="100">
        <f>M130</f>
        <v>50</v>
      </c>
      <c r="Q130" s="81">
        <f>O130</f>
        <v>30950</v>
      </c>
      <c r="R130" s="103">
        <f>Q130-K130</f>
        <v>13787.5</v>
      </c>
      <c r="S130" s="102">
        <f>R130/K130</f>
        <v>0.8033503277494537</v>
      </c>
      <c r="W130" s="104">
        <f>L130-E130</f>
        <v>311</v>
      </c>
    </row>
    <row r="131" spans="1:25" x14ac:dyDescent="0.25">
      <c r="A131" s="120"/>
      <c r="B131" s="60" t="str">
        <f>A130</f>
        <v>WIPRO</v>
      </c>
      <c r="C131" s="59">
        <f t="shared" si="29"/>
        <v>2020</v>
      </c>
      <c r="D131" s="59">
        <f t="shared" si="30"/>
        <v>10</v>
      </c>
      <c r="E131" s="74">
        <v>44133</v>
      </c>
      <c r="F131" s="75">
        <v>25</v>
      </c>
      <c r="G131" s="76">
        <v>335.5</v>
      </c>
      <c r="H131" s="76">
        <f t="shared" si="31"/>
        <v>8387.5</v>
      </c>
      <c r="I131" s="90"/>
      <c r="J131" s="90"/>
      <c r="K131" s="90"/>
      <c r="L131" s="142"/>
      <c r="M131" s="110"/>
      <c r="N131" s="110"/>
      <c r="O131" s="110"/>
      <c r="P131" s="110"/>
      <c r="Q131" s="90"/>
      <c r="R131" s="110"/>
      <c r="S131" s="141"/>
      <c r="W131" s="107"/>
    </row>
    <row r="132" spans="1:25" x14ac:dyDescent="0.25">
      <c r="A132" s="81" t="s">
        <v>122</v>
      </c>
      <c r="B132" s="4" t="str">
        <f>A132</f>
        <v>ELGI</v>
      </c>
      <c r="C132" s="4">
        <f t="shared" si="29"/>
        <v>2020</v>
      </c>
      <c r="D132" s="4">
        <f t="shared" si="30"/>
        <v>10</v>
      </c>
      <c r="E132" s="6">
        <v>44109</v>
      </c>
      <c r="F132" s="3">
        <v>50</v>
      </c>
      <c r="G132" s="11">
        <v>120.5</v>
      </c>
      <c r="H132" s="11">
        <f t="shared" si="31"/>
        <v>6025</v>
      </c>
      <c r="I132" s="81">
        <f>SUM(F132:F136)</f>
        <v>500</v>
      </c>
      <c r="J132" s="82">
        <f>SUM(F132*G132+F133*G133+F134*G134+F135*G135+F136*G136)/SUM(F132:F136)</f>
        <v>201.02099999999999</v>
      </c>
      <c r="K132" s="82">
        <f>SUM(H132:H136)</f>
        <v>100510.5</v>
      </c>
      <c r="L132" s="85">
        <v>44510</v>
      </c>
      <c r="M132" s="100">
        <v>500</v>
      </c>
      <c r="N132" s="100">
        <v>219.9</v>
      </c>
      <c r="O132" s="100">
        <f>M132*N132</f>
        <v>109950</v>
      </c>
      <c r="P132" s="100">
        <f>M132</f>
        <v>500</v>
      </c>
      <c r="Q132" s="100">
        <f>O132</f>
        <v>109950</v>
      </c>
      <c r="R132" s="103">
        <f>Q132-K132</f>
        <v>9439.5</v>
      </c>
      <c r="S132" s="101">
        <f>R132/K132</f>
        <v>9.3915561060784691E-2</v>
      </c>
      <c r="T132" s="39"/>
      <c r="U132" s="39"/>
      <c r="V132" s="51"/>
      <c r="W132" s="100">
        <f>L132-E132</f>
        <v>401</v>
      </c>
    </row>
    <row r="133" spans="1:25" x14ac:dyDescent="0.25">
      <c r="A133" s="81"/>
      <c r="B133" s="4" t="str">
        <f>A132</f>
        <v>ELGI</v>
      </c>
      <c r="C133" s="4">
        <f t="shared" si="29"/>
        <v>2021</v>
      </c>
      <c r="D133" s="4">
        <f t="shared" si="30"/>
        <v>5</v>
      </c>
      <c r="E133" s="32">
        <v>44344</v>
      </c>
      <c r="F133" s="3">
        <v>25</v>
      </c>
      <c r="G133" s="11">
        <v>210</v>
      </c>
      <c r="H133" s="11">
        <f t="shared" si="31"/>
        <v>5250</v>
      </c>
      <c r="I133" s="81"/>
      <c r="J133" s="82"/>
      <c r="K133" s="81"/>
      <c r="L133" s="81"/>
      <c r="M133" s="100"/>
      <c r="N133" s="100"/>
      <c r="O133" s="100"/>
      <c r="P133" s="100"/>
      <c r="Q133" s="100"/>
      <c r="R133" s="100"/>
      <c r="S133" s="101"/>
      <c r="T133" s="39"/>
      <c r="U133" s="39"/>
      <c r="V133" s="51"/>
      <c r="W133" s="100"/>
    </row>
    <row r="134" spans="1:25" x14ac:dyDescent="0.25">
      <c r="A134" s="81"/>
      <c r="B134" s="4" t="str">
        <f>A132</f>
        <v>ELGI</v>
      </c>
      <c r="C134" s="4">
        <f t="shared" si="29"/>
        <v>2021</v>
      </c>
      <c r="D134" s="4">
        <f t="shared" si="30"/>
        <v>6</v>
      </c>
      <c r="E134" s="32">
        <v>44351</v>
      </c>
      <c r="F134" s="3">
        <v>25</v>
      </c>
      <c r="G134" s="11">
        <v>214.1</v>
      </c>
      <c r="H134" s="11">
        <f t="shared" si="31"/>
        <v>5352.5</v>
      </c>
      <c r="I134" s="81"/>
      <c r="J134" s="82"/>
      <c r="K134" s="81"/>
      <c r="L134" s="81"/>
      <c r="M134" s="100"/>
      <c r="N134" s="100"/>
      <c r="O134" s="100"/>
      <c r="P134" s="100"/>
      <c r="Q134" s="100"/>
      <c r="R134" s="100"/>
      <c r="S134" s="101"/>
      <c r="T134" s="39"/>
      <c r="U134" s="39"/>
      <c r="V134" s="51"/>
      <c r="W134" s="100"/>
    </row>
    <row r="135" spans="1:25" x14ac:dyDescent="0.25">
      <c r="A135" s="81"/>
      <c r="B135" s="4" t="str">
        <f>A132</f>
        <v>ELGI</v>
      </c>
      <c r="C135" s="4">
        <f t="shared" si="29"/>
        <v>2021</v>
      </c>
      <c r="D135" s="4">
        <f t="shared" si="30"/>
        <v>6</v>
      </c>
      <c r="E135" s="32">
        <v>44354</v>
      </c>
      <c r="F135" s="3">
        <v>50</v>
      </c>
      <c r="G135" s="11">
        <v>214.1</v>
      </c>
      <c r="H135" s="11">
        <f t="shared" si="31"/>
        <v>10705</v>
      </c>
      <c r="I135" s="81"/>
      <c r="J135" s="82"/>
      <c r="K135" s="81"/>
      <c r="L135" s="81"/>
      <c r="M135" s="100"/>
      <c r="N135" s="100"/>
      <c r="O135" s="100"/>
      <c r="P135" s="100"/>
      <c r="Q135" s="100"/>
      <c r="R135" s="100"/>
      <c r="S135" s="101"/>
      <c r="T135" s="39"/>
      <c r="U135" s="39"/>
      <c r="V135" s="51"/>
      <c r="W135" s="100"/>
    </row>
    <row r="136" spans="1:25" x14ac:dyDescent="0.25">
      <c r="A136" s="81"/>
      <c r="B136" s="4" t="str">
        <f>A132</f>
        <v>ELGI</v>
      </c>
      <c r="C136" s="4">
        <f t="shared" si="29"/>
        <v>2021</v>
      </c>
      <c r="D136" s="4">
        <f t="shared" si="30"/>
        <v>6</v>
      </c>
      <c r="E136" s="32">
        <v>44368</v>
      </c>
      <c r="F136" s="3">
        <v>350</v>
      </c>
      <c r="G136" s="11">
        <v>209.08</v>
      </c>
      <c r="H136" s="11">
        <f t="shared" si="31"/>
        <v>73178</v>
      </c>
      <c r="I136" s="81"/>
      <c r="J136" s="82"/>
      <c r="K136" s="81"/>
      <c r="L136" s="81"/>
      <c r="M136" s="100"/>
      <c r="N136" s="100"/>
      <c r="O136" s="100"/>
      <c r="P136" s="100"/>
      <c r="Q136" s="100"/>
      <c r="R136" s="100"/>
      <c r="S136" s="101"/>
      <c r="T136" s="39"/>
      <c r="U136" s="39"/>
      <c r="V136" s="51"/>
      <c r="W136" s="100"/>
    </row>
    <row r="137" spans="1:25" x14ac:dyDescent="0.25">
      <c r="A137" s="80" t="s">
        <v>107</v>
      </c>
      <c r="B137" s="5" t="str">
        <f>A137</f>
        <v>Infosys</v>
      </c>
      <c r="C137" s="4">
        <f t="shared" si="29"/>
        <v>2021</v>
      </c>
      <c r="D137" s="4">
        <f t="shared" si="30"/>
        <v>4</v>
      </c>
      <c r="E137" s="6">
        <v>44306</v>
      </c>
      <c r="F137" s="3">
        <v>10</v>
      </c>
      <c r="G137" s="11">
        <v>1350</v>
      </c>
      <c r="H137" s="11">
        <f t="shared" si="31"/>
        <v>13500</v>
      </c>
      <c r="I137" s="81">
        <f>SUM(F137:F139)</f>
        <v>35</v>
      </c>
      <c r="J137" s="82">
        <f>SUM(H137:H139)/SUM(F137:F139)</f>
        <v>1332.5714285714287</v>
      </c>
      <c r="K137" s="83">
        <f>I137*J137</f>
        <v>46640</v>
      </c>
      <c r="L137" s="85">
        <v>44431</v>
      </c>
      <c r="M137" s="100">
        <v>35</v>
      </c>
      <c r="N137" s="100">
        <v>1750.05</v>
      </c>
      <c r="O137" s="100">
        <f>M137*N137</f>
        <v>61251.75</v>
      </c>
      <c r="P137" s="100">
        <f>M137</f>
        <v>35</v>
      </c>
      <c r="Q137" s="100">
        <f>O137</f>
        <v>61251.75</v>
      </c>
      <c r="R137" s="104">
        <f>Q137-K137</f>
        <v>14611.75</v>
      </c>
      <c r="S137" s="102">
        <f>R137/K137</f>
        <v>0.31328795025728989</v>
      </c>
      <c r="T137" s="39"/>
      <c r="U137" s="39"/>
      <c r="V137" s="51"/>
      <c r="W137" s="100">
        <f>L137-E137</f>
        <v>125</v>
      </c>
    </row>
    <row r="138" spans="1:25" x14ac:dyDescent="0.25">
      <c r="A138" s="80"/>
      <c r="B138" s="5" t="str">
        <f>A137</f>
        <v>Infosys</v>
      </c>
      <c r="C138" s="4">
        <f t="shared" si="29"/>
        <v>2021</v>
      </c>
      <c r="D138" s="4">
        <f t="shared" si="30"/>
        <v>4</v>
      </c>
      <c r="E138" s="6">
        <v>44309</v>
      </c>
      <c r="F138" s="3">
        <v>15</v>
      </c>
      <c r="G138" s="11">
        <v>1334</v>
      </c>
      <c r="H138" s="11">
        <f t="shared" si="31"/>
        <v>20010</v>
      </c>
      <c r="I138" s="81"/>
      <c r="J138" s="82"/>
      <c r="K138" s="83"/>
      <c r="L138" s="81"/>
      <c r="M138" s="100"/>
      <c r="N138" s="100"/>
      <c r="O138" s="100"/>
      <c r="P138" s="100"/>
      <c r="Q138" s="100"/>
      <c r="R138" s="100"/>
      <c r="S138" s="102"/>
      <c r="T138" s="39"/>
      <c r="U138" s="39"/>
      <c r="V138" s="51"/>
      <c r="W138" s="100"/>
    </row>
    <row r="139" spans="1:25" x14ac:dyDescent="0.25">
      <c r="A139" s="80"/>
      <c r="B139" s="5" t="str">
        <f>A137</f>
        <v>Infosys</v>
      </c>
      <c r="C139" s="4">
        <f t="shared" si="29"/>
        <v>2021</v>
      </c>
      <c r="D139" s="4">
        <f t="shared" si="30"/>
        <v>5</v>
      </c>
      <c r="E139" s="6">
        <v>44330</v>
      </c>
      <c r="F139" s="3">
        <v>10</v>
      </c>
      <c r="G139" s="11">
        <v>1313</v>
      </c>
      <c r="H139" s="11">
        <f t="shared" si="31"/>
        <v>13130</v>
      </c>
      <c r="I139" s="81"/>
      <c r="J139" s="82"/>
      <c r="K139" s="83"/>
      <c r="L139" s="81"/>
      <c r="M139" s="100"/>
      <c r="N139" s="100"/>
      <c r="O139" s="100"/>
      <c r="P139" s="100"/>
      <c r="Q139" s="100"/>
      <c r="R139" s="100"/>
      <c r="S139" s="102"/>
      <c r="T139" s="39"/>
      <c r="U139" s="39"/>
      <c r="V139" s="51"/>
      <c r="W139" s="100"/>
    </row>
    <row r="140" spans="1:25" x14ac:dyDescent="0.25">
      <c r="A140" s="81" t="s">
        <v>139</v>
      </c>
      <c r="B140" s="3" t="str">
        <f>A140</f>
        <v>Hatson Agro</v>
      </c>
      <c r="C140" s="4">
        <f t="shared" si="29"/>
        <v>2020</v>
      </c>
      <c r="D140" s="4">
        <f t="shared" si="30"/>
        <v>12</v>
      </c>
      <c r="E140" s="51">
        <v>44183</v>
      </c>
      <c r="F140" s="3">
        <v>10</v>
      </c>
      <c r="G140" s="11">
        <v>742.05</v>
      </c>
      <c r="H140" s="11">
        <f t="shared" si="31"/>
        <v>7420.5</v>
      </c>
      <c r="I140" s="81">
        <f>SUM(F140:F144)</f>
        <v>75</v>
      </c>
      <c r="J140" s="82">
        <f>SUM(H140:H144)/SUM(F140:F144)</f>
        <v>708.50666666666666</v>
      </c>
      <c r="K140" s="81">
        <f>I140*J140</f>
        <v>53138</v>
      </c>
      <c r="L140" s="85">
        <v>44438</v>
      </c>
      <c r="M140" s="100">
        <v>75</v>
      </c>
      <c r="N140" s="100">
        <v>1090.1500000000001</v>
      </c>
      <c r="O140" s="100">
        <f>M140*N140</f>
        <v>81761.25</v>
      </c>
      <c r="P140" s="100">
        <f>M140</f>
        <v>75</v>
      </c>
      <c r="Q140" s="100">
        <f>O140</f>
        <v>81761.25</v>
      </c>
      <c r="R140" s="100">
        <f>Q140-K140</f>
        <v>28623.25</v>
      </c>
      <c r="S140" s="102">
        <f>R140/K140</f>
        <v>0.53865877526440586</v>
      </c>
      <c r="T140" s="39"/>
      <c r="U140" s="39"/>
      <c r="V140" s="51"/>
      <c r="W140" s="100">
        <f>L140-E140</f>
        <v>255</v>
      </c>
    </row>
    <row r="141" spans="1:25" x14ac:dyDescent="0.25">
      <c r="A141" s="81"/>
      <c r="B141" s="3" t="str">
        <f>A140</f>
        <v>Hatson Agro</v>
      </c>
      <c r="C141" s="4">
        <f t="shared" si="29"/>
        <v>2020</v>
      </c>
      <c r="D141" s="4">
        <f t="shared" si="30"/>
        <v>12</v>
      </c>
      <c r="E141" s="51">
        <v>44186</v>
      </c>
      <c r="F141" s="3">
        <v>5</v>
      </c>
      <c r="G141" s="11">
        <v>716</v>
      </c>
      <c r="H141" s="11">
        <f t="shared" si="31"/>
        <v>3580</v>
      </c>
      <c r="I141" s="81"/>
      <c r="J141" s="82"/>
      <c r="K141" s="81"/>
      <c r="L141" s="81"/>
      <c r="M141" s="100"/>
      <c r="N141" s="100"/>
      <c r="O141" s="100"/>
      <c r="P141" s="100"/>
      <c r="Q141" s="100"/>
      <c r="R141" s="100"/>
      <c r="S141" s="102"/>
      <c r="T141" s="39"/>
      <c r="U141" s="39"/>
      <c r="V141" s="51"/>
      <c r="W141" s="100"/>
    </row>
    <row r="142" spans="1:25" x14ac:dyDescent="0.25">
      <c r="A142" s="81"/>
      <c r="B142" s="3" t="str">
        <f>A140</f>
        <v>Hatson Agro</v>
      </c>
      <c r="C142" s="4">
        <f t="shared" si="29"/>
        <v>2020</v>
      </c>
      <c r="D142" s="4">
        <f t="shared" si="30"/>
        <v>12</v>
      </c>
      <c r="E142" s="51">
        <v>44187</v>
      </c>
      <c r="F142" s="3">
        <v>10</v>
      </c>
      <c r="G142" s="11">
        <v>686</v>
      </c>
      <c r="H142" s="11">
        <f t="shared" si="31"/>
        <v>6860</v>
      </c>
      <c r="I142" s="81"/>
      <c r="J142" s="82"/>
      <c r="K142" s="81"/>
      <c r="L142" s="81"/>
      <c r="M142" s="100"/>
      <c r="N142" s="100"/>
      <c r="O142" s="100"/>
      <c r="P142" s="100"/>
      <c r="Q142" s="100"/>
      <c r="R142" s="100"/>
      <c r="S142" s="102"/>
      <c r="T142" s="39"/>
      <c r="U142" s="39"/>
      <c r="V142" s="51"/>
      <c r="W142" s="100"/>
    </row>
    <row r="143" spans="1:25" x14ac:dyDescent="0.25">
      <c r="A143" s="81"/>
      <c r="B143" s="3" t="str">
        <f>A140</f>
        <v>Hatson Agro</v>
      </c>
      <c r="C143" s="4">
        <f t="shared" si="29"/>
        <v>2021</v>
      </c>
      <c r="D143" s="4">
        <f t="shared" si="30"/>
        <v>1</v>
      </c>
      <c r="E143" s="51">
        <v>44223</v>
      </c>
      <c r="F143" s="3">
        <v>25</v>
      </c>
      <c r="G143" s="11">
        <v>711.1</v>
      </c>
      <c r="H143" s="11">
        <f t="shared" si="31"/>
        <v>17777.5</v>
      </c>
      <c r="I143" s="81"/>
      <c r="J143" s="82"/>
      <c r="K143" s="81"/>
      <c r="L143" s="81"/>
      <c r="M143" s="100"/>
      <c r="N143" s="100"/>
      <c r="O143" s="100"/>
      <c r="P143" s="100"/>
      <c r="Q143" s="100"/>
      <c r="R143" s="100"/>
      <c r="S143" s="102"/>
      <c r="T143" s="39"/>
      <c r="U143" s="39"/>
      <c r="V143" s="51"/>
      <c r="W143" s="100"/>
    </row>
    <row r="144" spans="1:25" x14ac:dyDescent="0.25">
      <c r="A144" s="81"/>
      <c r="B144" s="3" t="str">
        <f>A140</f>
        <v>Hatson Agro</v>
      </c>
      <c r="C144" s="4">
        <f t="shared" si="29"/>
        <v>2021</v>
      </c>
      <c r="D144" s="4">
        <f t="shared" si="30"/>
        <v>1</v>
      </c>
      <c r="E144" s="51">
        <v>44224</v>
      </c>
      <c r="F144" s="3">
        <v>25</v>
      </c>
      <c r="G144" s="11">
        <v>700</v>
      </c>
      <c r="H144" s="11">
        <f t="shared" si="31"/>
        <v>17500</v>
      </c>
      <c r="I144" s="81"/>
      <c r="J144" s="82"/>
      <c r="K144" s="81"/>
      <c r="L144" s="81"/>
      <c r="M144" s="100"/>
      <c r="N144" s="100"/>
      <c r="O144" s="100"/>
      <c r="P144" s="100"/>
      <c r="Q144" s="100"/>
      <c r="R144" s="100"/>
      <c r="S144" s="102"/>
      <c r="T144" s="39"/>
      <c r="U144" s="39"/>
      <c r="V144" s="51"/>
      <c r="W144" s="100"/>
    </row>
    <row r="145" spans="1:23" x14ac:dyDescent="0.25">
      <c r="A145" s="81" t="s">
        <v>154</v>
      </c>
      <c r="B145" s="3" t="str">
        <f>A145</f>
        <v>Bandhan Bank</v>
      </c>
      <c r="C145" s="4">
        <f t="shared" si="29"/>
        <v>2021</v>
      </c>
      <c r="D145" s="4">
        <f t="shared" si="30"/>
        <v>7</v>
      </c>
      <c r="E145" s="51">
        <v>44394</v>
      </c>
      <c r="F145" s="3">
        <v>50</v>
      </c>
      <c r="G145" s="11">
        <v>1</v>
      </c>
      <c r="H145" s="11">
        <f t="shared" si="31"/>
        <v>50</v>
      </c>
      <c r="I145" s="90">
        <f>SUM(F145:F150)</f>
        <v>300</v>
      </c>
      <c r="J145" s="92">
        <f>SUM(H145:H150)/SUM(F145:F150)</f>
        <v>251.20333333333335</v>
      </c>
      <c r="K145" s="90">
        <f>I145*J145</f>
        <v>75361</v>
      </c>
      <c r="L145" s="85">
        <v>44585</v>
      </c>
      <c r="M145" s="100">
        <v>300</v>
      </c>
      <c r="N145" s="100">
        <v>308.14999999999998</v>
      </c>
      <c r="O145" s="100">
        <f>M145*N145</f>
        <v>92445</v>
      </c>
      <c r="P145" s="100">
        <f>M145</f>
        <v>300</v>
      </c>
      <c r="Q145" s="100">
        <f>O145</f>
        <v>92445</v>
      </c>
      <c r="R145" s="100">
        <f>Q145-K145</f>
        <v>17084</v>
      </c>
      <c r="S145" s="102">
        <f>R145/K145</f>
        <v>0.22669550563288704</v>
      </c>
      <c r="T145" s="39"/>
      <c r="U145" s="39"/>
      <c r="V145" s="51"/>
      <c r="W145" s="100">
        <f>L145-E145</f>
        <v>191</v>
      </c>
    </row>
    <row r="146" spans="1:23" x14ac:dyDescent="0.25">
      <c r="A146" s="81"/>
      <c r="B146" s="3" t="str">
        <f>A145</f>
        <v>Bandhan Bank</v>
      </c>
      <c r="C146" s="4">
        <f t="shared" si="29"/>
        <v>2021</v>
      </c>
      <c r="D146" s="4">
        <f t="shared" si="30"/>
        <v>5</v>
      </c>
      <c r="E146" s="51">
        <v>44330</v>
      </c>
      <c r="F146" s="3">
        <v>25</v>
      </c>
      <c r="G146" s="11">
        <v>280.95</v>
      </c>
      <c r="H146" s="11">
        <f t="shared" si="31"/>
        <v>7023.75</v>
      </c>
      <c r="I146" s="91"/>
      <c r="J146" s="93"/>
      <c r="K146" s="91"/>
      <c r="L146" s="81"/>
      <c r="M146" s="100"/>
      <c r="N146" s="100"/>
      <c r="O146" s="100"/>
      <c r="P146" s="100"/>
      <c r="Q146" s="100"/>
      <c r="R146" s="100"/>
      <c r="S146" s="102"/>
      <c r="T146" s="39"/>
      <c r="U146" s="39"/>
      <c r="V146" s="51"/>
      <c r="W146" s="100"/>
    </row>
    <row r="147" spans="1:23" x14ac:dyDescent="0.25">
      <c r="A147" s="81"/>
      <c r="B147" s="3" t="str">
        <f>A145</f>
        <v>Bandhan Bank</v>
      </c>
      <c r="C147" s="4">
        <f t="shared" si="29"/>
        <v>2021</v>
      </c>
      <c r="D147" s="4">
        <f t="shared" si="30"/>
        <v>7</v>
      </c>
      <c r="E147" s="51">
        <v>44396</v>
      </c>
      <c r="F147" s="3">
        <v>25</v>
      </c>
      <c r="G147" s="11">
        <v>306.25</v>
      </c>
      <c r="H147" s="11">
        <f t="shared" si="31"/>
        <v>7656.25</v>
      </c>
      <c r="I147" s="91"/>
      <c r="J147" s="93"/>
      <c r="K147" s="91"/>
      <c r="L147" s="81"/>
      <c r="M147" s="100"/>
      <c r="N147" s="100"/>
      <c r="O147" s="100"/>
      <c r="P147" s="100"/>
      <c r="Q147" s="100"/>
      <c r="R147" s="100"/>
      <c r="S147" s="102"/>
      <c r="T147" s="39"/>
      <c r="U147" s="39"/>
      <c r="V147" s="51"/>
      <c r="W147" s="100"/>
    </row>
    <row r="148" spans="1:23" x14ac:dyDescent="0.25">
      <c r="A148" s="81"/>
      <c r="B148" s="3" t="str">
        <f>A145</f>
        <v>Bandhan Bank</v>
      </c>
      <c r="C148" s="4">
        <f t="shared" si="29"/>
        <v>2021</v>
      </c>
      <c r="D148" s="4">
        <f t="shared" si="30"/>
        <v>7</v>
      </c>
      <c r="E148" s="51">
        <v>44396</v>
      </c>
      <c r="F148" s="3">
        <v>100</v>
      </c>
      <c r="G148" s="11">
        <v>308.95</v>
      </c>
      <c r="H148" s="11">
        <f t="shared" si="31"/>
        <v>30895</v>
      </c>
      <c r="I148" s="91"/>
      <c r="J148" s="93"/>
      <c r="K148" s="91"/>
      <c r="L148" s="81"/>
      <c r="M148" s="100"/>
      <c r="N148" s="100"/>
      <c r="O148" s="100"/>
      <c r="P148" s="100"/>
      <c r="Q148" s="100"/>
      <c r="R148" s="100"/>
      <c r="S148" s="102"/>
      <c r="T148" s="39"/>
      <c r="U148" s="39"/>
      <c r="V148" s="51"/>
      <c r="W148" s="100"/>
    </row>
    <row r="149" spans="1:23" x14ac:dyDescent="0.25">
      <c r="A149" s="81"/>
      <c r="B149" s="3" t="str">
        <f>A145</f>
        <v>Bandhan Bank</v>
      </c>
      <c r="C149" s="4">
        <f t="shared" si="29"/>
        <v>2021</v>
      </c>
      <c r="D149" s="4">
        <f t="shared" si="30"/>
        <v>7</v>
      </c>
      <c r="E149" s="51">
        <v>44403</v>
      </c>
      <c r="F149" s="3">
        <v>50</v>
      </c>
      <c r="G149" s="11">
        <v>299.82</v>
      </c>
      <c r="H149" s="11">
        <f t="shared" si="31"/>
        <v>14991</v>
      </c>
      <c r="I149" s="91"/>
      <c r="J149" s="93"/>
      <c r="K149" s="91"/>
      <c r="L149" s="81"/>
      <c r="M149" s="100"/>
      <c r="N149" s="100"/>
      <c r="O149" s="100"/>
      <c r="P149" s="100"/>
      <c r="Q149" s="100"/>
      <c r="R149" s="100"/>
      <c r="S149" s="102"/>
      <c r="T149" s="39"/>
      <c r="U149" s="39"/>
      <c r="V149" s="51"/>
      <c r="W149" s="100"/>
    </row>
    <row r="150" spans="1:23" x14ac:dyDescent="0.25">
      <c r="A150" s="81"/>
      <c r="B150" s="3" t="str">
        <f>A145</f>
        <v>Bandhan Bank</v>
      </c>
      <c r="C150" s="4">
        <f t="shared" si="29"/>
        <v>2021</v>
      </c>
      <c r="D150" s="4">
        <f t="shared" si="30"/>
        <v>8</v>
      </c>
      <c r="E150" s="51">
        <v>44410</v>
      </c>
      <c r="F150" s="3">
        <v>50</v>
      </c>
      <c r="G150" s="11">
        <v>294.89999999999998</v>
      </c>
      <c r="H150" s="11">
        <f t="shared" si="31"/>
        <v>14744.999999999998</v>
      </c>
      <c r="I150" s="97"/>
      <c r="J150" s="98"/>
      <c r="K150" s="97"/>
      <c r="L150" s="81"/>
      <c r="M150" s="100"/>
      <c r="N150" s="100"/>
      <c r="O150" s="100"/>
      <c r="P150" s="100"/>
      <c r="Q150" s="100"/>
      <c r="R150" s="100"/>
      <c r="S150" s="102"/>
      <c r="T150" s="39"/>
      <c r="U150" s="39"/>
      <c r="V150" s="51"/>
      <c r="W150" s="100"/>
    </row>
    <row r="151" spans="1:23" x14ac:dyDescent="0.25">
      <c r="A151" s="81" t="s">
        <v>164</v>
      </c>
      <c r="B151" s="3" t="str">
        <f>A151</f>
        <v>Varun Beverages</v>
      </c>
      <c r="C151" s="4">
        <f t="shared" si="29"/>
        <v>2021</v>
      </c>
      <c r="D151" s="4">
        <f t="shared" si="30"/>
        <v>6</v>
      </c>
      <c r="E151" s="51">
        <v>44370</v>
      </c>
      <c r="F151" s="3">
        <v>10</v>
      </c>
      <c r="G151" s="11">
        <v>770.1</v>
      </c>
      <c r="H151" s="11">
        <f t="shared" si="31"/>
        <v>7701</v>
      </c>
      <c r="I151" s="81">
        <f>SUM(F151:F155)</f>
        <v>60</v>
      </c>
      <c r="J151" s="82">
        <f>SUM(H151:H155)/SUM(F151:F155)</f>
        <v>741.91666666666663</v>
      </c>
      <c r="K151" s="81">
        <f>I151*J151</f>
        <v>44515</v>
      </c>
      <c r="L151" s="85">
        <v>44431</v>
      </c>
      <c r="M151" s="100">
        <v>60</v>
      </c>
      <c r="N151" s="100">
        <v>831.9</v>
      </c>
      <c r="O151" s="100">
        <f>M151*N151</f>
        <v>49914</v>
      </c>
      <c r="P151" s="100">
        <f>M151</f>
        <v>60</v>
      </c>
      <c r="Q151" s="100">
        <f>O151</f>
        <v>49914</v>
      </c>
      <c r="R151" s="100">
        <f>Q151-K151</f>
        <v>5399</v>
      </c>
      <c r="S151" s="101">
        <f>R151/K151</f>
        <v>0.1212849601258003</v>
      </c>
      <c r="T151" s="39"/>
      <c r="U151" s="39"/>
      <c r="V151" s="77"/>
      <c r="W151" s="100">
        <f>L151-E151</f>
        <v>61</v>
      </c>
    </row>
    <row r="152" spans="1:23" x14ac:dyDescent="0.25">
      <c r="A152" s="81"/>
      <c r="B152" s="3" t="str">
        <f>A151</f>
        <v>Varun Beverages</v>
      </c>
      <c r="C152" s="4">
        <f t="shared" si="29"/>
        <v>2021</v>
      </c>
      <c r="D152" s="4">
        <f t="shared" si="30"/>
        <v>6</v>
      </c>
      <c r="E152" s="51">
        <v>44370</v>
      </c>
      <c r="F152" s="3">
        <v>10</v>
      </c>
      <c r="G152" s="11">
        <v>760.1</v>
      </c>
      <c r="H152" s="11">
        <f t="shared" si="31"/>
        <v>7601</v>
      </c>
      <c r="I152" s="81"/>
      <c r="J152" s="82"/>
      <c r="K152" s="81"/>
      <c r="L152" s="81"/>
      <c r="M152" s="100"/>
      <c r="N152" s="100"/>
      <c r="O152" s="100"/>
      <c r="P152" s="100"/>
      <c r="Q152" s="100"/>
      <c r="R152" s="100"/>
      <c r="S152" s="101"/>
      <c r="T152" s="39"/>
      <c r="U152" s="39"/>
      <c r="V152" s="77"/>
      <c r="W152" s="100"/>
    </row>
    <row r="153" spans="1:23" x14ac:dyDescent="0.25">
      <c r="A153" s="81"/>
      <c r="B153" s="3" t="str">
        <f>A151</f>
        <v>Varun Beverages</v>
      </c>
      <c r="C153" s="4">
        <f t="shared" si="29"/>
        <v>2021</v>
      </c>
      <c r="D153" s="4">
        <f t="shared" si="30"/>
        <v>6</v>
      </c>
      <c r="E153" s="51">
        <v>44371</v>
      </c>
      <c r="F153" s="3">
        <v>10</v>
      </c>
      <c r="G153" s="11">
        <v>750.1</v>
      </c>
      <c r="H153" s="11">
        <f t="shared" si="31"/>
        <v>7501</v>
      </c>
      <c r="I153" s="81"/>
      <c r="J153" s="82"/>
      <c r="K153" s="81"/>
      <c r="L153" s="81"/>
      <c r="M153" s="100"/>
      <c r="N153" s="100"/>
      <c r="O153" s="100"/>
      <c r="P153" s="100"/>
      <c r="Q153" s="100"/>
      <c r="R153" s="100"/>
      <c r="S153" s="101"/>
      <c r="T153" s="39"/>
      <c r="U153" s="39"/>
      <c r="V153" s="77"/>
      <c r="W153" s="100"/>
    </row>
    <row r="154" spans="1:23" x14ac:dyDescent="0.25">
      <c r="A154" s="81"/>
      <c r="B154" s="3" t="str">
        <f>A151</f>
        <v>Varun Beverages</v>
      </c>
      <c r="C154" s="4">
        <f t="shared" si="29"/>
        <v>2021</v>
      </c>
      <c r="D154" s="4">
        <f t="shared" si="30"/>
        <v>6</v>
      </c>
      <c r="E154" s="51">
        <v>44371</v>
      </c>
      <c r="F154" s="3">
        <v>20</v>
      </c>
      <c r="G154" s="11">
        <v>728.05</v>
      </c>
      <c r="H154" s="11">
        <f t="shared" si="31"/>
        <v>14561</v>
      </c>
      <c r="I154" s="81"/>
      <c r="J154" s="82"/>
      <c r="K154" s="81"/>
      <c r="L154" s="81"/>
      <c r="M154" s="100"/>
      <c r="N154" s="100"/>
      <c r="O154" s="100"/>
      <c r="P154" s="100"/>
      <c r="Q154" s="100"/>
      <c r="R154" s="100"/>
      <c r="S154" s="101"/>
      <c r="T154" s="39"/>
      <c r="U154" s="39"/>
      <c r="V154" s="77"/>
      <c r="W154" s="100"/>
    </row>
    <row r="155" spans="1:23" x14ac:dyDescent="0.25">
      <c r="A155" s="81"/>
      <c r="B155" s="3" t="str">
        <f>A151</f>
        <v>Varun Beverages</v>
      </c>
      <c r="C155" s="4">
        <f t="shared" si="29"/>
        <v>2021</v>
      </c>
      <c r="D155" s="4">
        <f t="shared" si="30"/>
        <v>7</v>
      </c>
      <c r="E155" s="51">
        <v>44379</v>
      </c>
      <c r="F155" s="3">
        <v>10</v>
      </c>
      <c r="G155" s="11">
        <v>715.1</v>
      </c>
      <c r="H155" s="11">
        <f t="shared" si="31"/>
        <v>7151</v>
      </c>
      <c r="I155" s="81"/>
      <c r="J155" s="82"/>
      <c r="K155" s="81"/>
      <c r="L155" s="81"/>
      <c r="M155" s="100"/>
      <c r="N155" s="100"/>
      <c r="O155" s="100"/>
      <c r="P155" s="100"/>
      <c r="Q155" s="100"/>
      <c r="R155" s="100"/>
      <c r="S155" s="101"/>
      <c r="T155" s="39"/>
      <c r="U155" s="39"/>
      <c r="V155" s="77"/>
      <c r="W155" s="100"/>
    </row>
  </sheetData>
  <autoFilter ref="A1:Z155" xr:uid="{00000000-0001-0000-0400-000000000000}"/>
  <mergeCells count="307">
    <mergeCell ref="A70:A88"/>
    <mergeCell ref="I70:I88"/>
    <mergeCell ref="J70:J88"/>
    <mergeCell ref="K70:K88"/>
    <mergeCell ref="R70:R88"/>
    <mergeCell ref="S70:S88"/>
    <mergeCell ref="P130:P131"/>
    <mergeCell ref="Q130:Q131"/>
    <mergeCell ref="R130:R131"/>
    <mergeCell ref="S130:S131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A113:A114"/>
    <mergeCell ref="I113:I114"/>
    <mergeCell ref="J113:J114"/>
    <mergeCell ref="K113:K114"/>
    <mergeCell ref="P113:P114"/>
    <mergeCell ref="Q113:Q114"/>
    <mergeCell ref="T54:T58"/>
    <mergeCell ref="U54:U58"/>
    <mergeCell ref="V54:V58"/>
    <mergeCell ref="U65:U69"/>
    <mergeCell ref="V65:V69"/>
    <mergeCell ref="X65:X69"/>
    <mergeCell ref="A65:A69"/>
    <mergeCell ref="I65:I69"/>
    <mergeCell ref="J65:J69"/>
    <mergeCell ref="K65:K69"/>
    <mergeCell ref="L65:L69"/>
    <mergeCell ref="M65:M69"/>
    <mergeCell ref="N65:N69"/>
    <mergeCell ref="O65:O69"/>
    <mergeCell ref="W65:W69"/>
    <mergeCell ref="P65:P69"/>
    <mergeCell ref="Q65:Q69"/>
    <mergeCell ref="R65:R69"/>
    <mergeCell ref="S65:S69"/>
    <mergeCell ref="T65:T69"/>
    <mergeCell ref="K49:K53"/>
    <mergeCell ref="N49:N53"/>
    <mergeCell ref="L49:L53"/>
    <mergeCell ref="M49:M53"/>
    <mergeCell ref="O49:O53"/>
    <mergeCell ref="R49:R53"/>
    <mergeCell ref="S49:S53"/>
    <mergeCell ref="W49:W53"/>
    <mergeCell ref="P49:P53"/>
    <mergeCell ref="Q49:Q53"/>
    <mergeCell ref="A15:A26"/>
    <mergeCell ref="I15:I26"/>
    <mergeCell ref="J15:J26"/>
    <mergeCell ref="K15:K26"/>
    <mergeCell ref="N15:N26"/>
    <mergeCell ref="L15:L26"/>
    <mergeCell ref="M15:M26"/>
    <mergeCell ref="A47:A48"/>
    <mergeCell ref="I47:I48"/>
    <mergeCell ref="J47:J48"/>
    <mergeCell ref="K47:K48"/>
    <mergeCell ref="N47:N48"/>
    <mergeCell ref="L47:L48"/>
    <mergeCell ref="M47:M48"/>
    <mergeCell ref="A27:A38"/>
    <mergeCell ref="I27:I38"/>
    <mergeCell ref="J27:J38"/>
    <mergeCell ref="K27:K38"/>
    <mergeCell ref="A3:A9"/>
    <mergeCell ref="I3:I9"/>
    <mergeCell ref="J3:J9"/>
    <mergeCell ref="K3:K9"/>
    <mergeCell ref="N3:N9"/>
    <mergeCell ref="S15:S26"/>
    <mergeCell ref="W15:W26"/>
    <mergeCell ref="P15:P26"/>
    <mergeCell ref="Q15:Q26"/>
    <mergeCell ref="A10:A12"/>
    <mergeCell ref="I10:I12"/>
    <mergeCell ref="J10:J12"/>
    <mergeCell ref="K10:K12"/>
    <mergeCell ref="N10:N12"/>
    <mergeCell ref="L10:L12"/>
    <mergeCell ref="M10:M12"/>
    <mergeCell ref="O10:O12"/>
    <mergeCell ref="R10:R12"/>
    <mergeCell ref="W10:W12"/>
    <mergeCell ref="P10:P12"/>
    <mergeCell ref="Q10:Q12"/>
    <mergeCell ref="L3:L9"/>
    <mergeCell ref="M3:M9"/>
    <mergeCell ref="O3:O9"/>
    <mergeCell ref="R3:R9"/>
    <mergeCell ref="O27:O38"/>
    <mergeCell ref="R27:R38"/>
    <mergeCell ref="S27:S38"/>
    <mergeCell ref="W27:W38"/>
    <mergeCell ref="P27:P38"/>
    <mergeCell ref="Q27:Q38"/>
    <mergeCell ref="O15:O26"/>
    <mergeCell ref="R15:R26"/>
    <mergeCell ref="S3:S9"/>
    <mergeCell ref="W3:W9"/>
    <mergeCell ref="P3:P9"/>
    <mergeCell ref="Q3:Q9"/>
    <mergeCell ref="S10:S12"/>
    <mergeCell ref="T3:T9"/>
    <mergeCell ref="U3:U9"/>
    <mergeCell ref="V3:V9"/>
    <mergeCell ref="N27:N38"/>
    <mergeCell ref="L27:L38"/>
    <mergeCell ref="M27:M38"/>
    <mergeCell ref="O39:O44"/>
    <mergeCell ref="R39:R44"/>
    <mergeCell ref="S39:S44"/>
    <mergeCell ref="W39:W44"/>
    <mergeCell ref="P39:P44"/>
    <mergeCell ref="Q39:Q44"/>
    <mergeCell ref="A45:A46"/>
    <mergeCell ref="I45:I46"/>
    <mergeCell ref="J45:J46"/>
    <mergeCell ref="K45:K46"/>
    <mergeCell ref="N45:N46"/>
    <mergeCell ref="L45:L46"/>
    <mergeCell ref="M45:M46"/>
    <mergeCell ref="V45:V46"/>
    <mergeCell ref="A39:A44"/>
    <mergeCell ref="I39:I44"/>
    <mergeCell ref="J39:J44"/>
    <mergeCell ref="K39:K44"/>
    <mergeCell ref="N39:N44"/>
    <mergeCell ref="L39:L44"/>
    <mergeCell ref="M39:M44"/>
    <mergeCell ref="O45:O46"/>
    <mergeCell ref="R45:R46"/>
    <mergeCell ref="X3:X9"/>
    <mergeCell ref="T10:T12"/>
    <mergeCell ref="U10:U12"/>
    <mergeCell ref="V10:V12"/>
    <mergeCell ref="X10:X12"/>
    <mergeCell ref="T15:T26"/>
    <mergeCell ref="U15:U26"/>
    <mergeCell ref="V15:V26"/>
    <mergeCell ref="X15:X26"/>
    <mergeCell ref="V27:V38"/>
    <mergeCell ref="X27:X38"/>
    <mergeCell ref="T39:T44"/>
    <mergeCell ref="U39:U44"/>
    <mergeCell ref="V39:V44"/>
    <mergeCell ref="X39:X44"/>
    <mergeCell ref="T27:T38"/>
    <mergeCell ref="U27:U38"/>
    <mergeCell ref="V49:V53"/>
    <mergeCell ref="T49:T53"/>
    <mergeCell ref="X49:X53"/>
    <mergeCell ref="W45:W46"/>
    <mergeCell ref="T45:T46"/>
    <mergeCell ref="U45:U46"/>
    <mergeCell ref="W47:W48"/>
    <mergeCell ref="J54:J58"/>
    <mergeCell ref="K54:K58"/>
    <mergeCell ref="N54:N58"/>
    <mergeCell ref="L54:L58"/>
    <mergeCell ref="M54:M58"/>
    <mergeCell ref="O54:O58"/>
    <mergeCell ref="R54:R58"/>
    <mergeCell ref="X45:X46"/>
    <mergeCell ref="T47:T48"/>
    <mergeCell ref="U47:U48"/>
    <mergeCell ref="V47:V48"/>
    <mergeCell ref="X47:X48"/>
    <mergeCell ref="U49:U53"/>
    <mergeCell ref="S45:S46"/>
    <mergeCell ref="P45:P46"/>
    <mergeCell ref="Q45:Q46"/>
    <mergeCell ref="S47:S48"/>
    <mergeCell ref="P47:P48"/>
    <mergeCell ref="Q47:Q48"/>
    <mergeCell ref="O47:O48"/>
    <mergeCell ref="R47:R48"/>
    <mergeCell ref="W54:W58"/>
    <mergeCell ref="P54:P58"/>
    <mergeCell ref="Q54:Q58"/>
    <mergeCell ref="A49:A53"/>
    <mergeCell ref="I49:I53"/>
    <mergeCell ref="J49:J53"/>
    <mergeCell ref="Q70:Q88"/>
    <mergeCell ref="P70:P88"/>
    <mergeCell ref="T70:T88"/>
    <mergeCell ref="S54:S58"/>
    <mergeCell ref="X89:X112"/>
    <mergeCell ref="R89:R112"/>
    <mergeCell ref="S89:S112"/>
    <mergeCell ref="T89:T112"/>
    <mergeCell ref="U89:U112"/>
    <mergeCell ref="P89:P112"/>
    <mergeCell ref="Q89:Q112"/>
    <mergeCell ref="A89:A112"/>
    <mergeCell ref="I89:I112"/>
    <mergeCell ref="J89:J112"/>
    <mergeCell ref="K89:K112"/>
    <mergeCell ref="X54:X58"/>
    <mergeCell ref="V70:V88"/>
    <mergeCell ref="X70:X88"/>
    <mergeCell ref="U70:U88"/>
    <mergeCell ref="A54:A58"/>
    <mergeCell ref="I54:I58"/>
    <mergeCell ref="R113:R114"/>
    <mergeCell ref="S113:S114"/>
    <mergeCell ref="V89:V112"/>
    <mergeCell ref="A117:A118"/>
    <mergeCell ref="I117:I118"/>
    <mergeCell ref="J117:J118"/>
    <mergeCell ref="K117:K118"/>
    <mergeCell ref="L117:L118"/>
    <mergeCell ref="M117:M118"/>
    <mergeCell ref="N117:N118"/>
    <mergeCell ref="O117:O118"/>
    <mergeCell ref="A119:A129"/>
    <mergeCell ref="I119:I129"/>
    <mergeCell ref="J119:J129"/>
    <mergeCell ref="K119:K129"/>
    <mergeCell ref="L119:L129"/>
    <mergeCell ref="M119:M129"/>
    <mergeCell ref="N119:N129"/>
    <mergeCell ref="O119:O129"/>
    <mergeCell ref="W119:W129"/>
    <mergeCell ref="P119:P129"/>
    <mergeCell ref="Q119:Q129"/>
    <mergeCell ref="R119:R129"/>
    <mergeCell ref="S119:S129"/>
    <mergeCell ref="M132:M136"/>
    <mergeCell ref="N132:N136"/>
    <mergeCell ref="O132:O136"/>
    <mergeCell ref="P132:P136"/>
    <mergeCell ref="Y119:Y129"/>
    <mergeCell ref="P117:P118"/>
    <mergeCell ref="Q117:Q118"/>
    <mergeCell ref="R117:R118"/>
    <mergeCell ref="S117:S118"/>
    <mergeCell ref="W130:W131"/>
    <mergeCell ref="W117:W118"/>
    <mergeCell ref="O140:O144"/>
    <mergeCell ref="P140:P144"/>
    <mergeCell ref="Q132:Q136"/>
    <mergeCell ref="R132:R136"/>
    <mergeCell ref="S132:S136"/>
    <mergeCell ref="W132:W136"/>
    <mergeCell ref="A137:A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S137:S139"/>
    <mergeCell ref="W137:W139"/>
    <mergeCell ref="A132:A136"/>
    <mergeCell ref="I132:I136"/>
    <mergeCell ref="J132:J136"/>
    <mergeCell ref="K132:K136"/>
    <mergeCell ref="L132:L136"/>
    <mergeCell ref="Q140:Q144"/>
    <mergeCell ref="R140:R144"/>
    <mergeCell ref="S140:S144"/>
    <mergeCell ref="W140:W144"/>
    <mergeCell ref="A145:A150"/>
    <mergeCell ref="I145:I150"/>
    <mergeCell ref="J145:J150"/>
    <mergeCell ref="K145:K150"/>
    <mergeCell ref="L145:L150"/>
    <mergeCell ref="M145:M150"/>
    <mergeCell ref="N145:N150"/>
    <mergeCell ref="O145:O150"/>
    <mergeCell ref="P145:P150"/>
    <mergeCell ref="Q145:Q150"/>
    <mergeCell ref="R145:R150"/>
    <mergeCell ref="S145:S150"/>
    <mergeCell ref="W145:W150"/>
    <mergeCell ref="A140:A144"/>
    <mergeCell ref="I140:I144"/>
    <mergeCell ref="J140:J144"/>
    <mergeCell ref="K140:K144"/>
    <mergeCell ref="L140:L144"/>
    <mergeCell ref="M140:M144"/>
    <mergeCell ref="N140:N144"/>
    <mergeCell ref="Q151:Q155"/>
    <mergeCell ref="R151:R155"/>
    <mergeCell ref="S151:S155"/>
    <mergeCell ref="W151:W155"/>
    <mergeCell ref="A151:A155"/>
    <mergeCell ref="I151:I155"/>
    <mergeCell ref="J151:J155"/>
    <mergeCell ref="K151:K155"/>
    <mergeCell ref="L151:L155"/>
    <mergeCell ref="M151:M155"/>
    <mergeCell ref="N151:N155"/>
    <mergeCell ref="O151:O155"/>
    <mergeCell ref="P151:P155"/>
  </mergeCells>
  <conditionalFormatting sqref="S2:S65">
    <cfRule type="cellIs" dxfId="9" priority="16" operator="greaterThan">
      <formula>0.2</formula>
    </cfRule>
    <cfRule type="cellIs" dxfId="8" priority="17" operator="lessThan">
      <formula>-0.1</formula>
    </cfRule>
  </conditionalFormatting>
  <conditionalFormatting sqref="S70:S89">
    <cfRule type="cellIs" dxfId="7" priority="2" operator="lessThan">
      <formula>-0.1</formula>
    </cfRule>
    <cfRule type="cellIs" dxfId="6" priority="1" operator="greaterThan">
      <formula>0.2</formula>
    </cfRule>
  </conditionalFormatting>
  <conditionalFormatting sqref="W2:W14">
    <cfRule type="cellIs" dxfId="5" priority="48" operator="greaterThan">
      <formula>300</formula>
    </cfRule>
  </conditionalFormatting>
  <conditionalFormatting sqref="W15:W44">
    <cfRule type="cellIs" dxfId="4" priority="39" stopIfTrue="1" operator="greaterThan">
      <formula>300</formula>
    </cfRule>
  </conditionalFormatting>
  <conditionalFormatting sqref="W45:W46">
    <cfRule type="cellIs" dxfId="3" priority="36" stopIfTrue="1" operator="greaterThan">
      <formula>300</formula>
    </cfRule>
  </conditionalFormatting>
  <conditionalFormatting sqref="W47:W58">
    <cfRule type="cellIs" dxfId="2" priority="27" stopIfTrue="1" operator="greaterThan">
      <formula>300</formula>
    </cfRule>
  </conditionalFormatting>
  <conditionalFormatting sqref="W59:W64">
    <cfRule type="cellIs" dxfId="1" priority="15" stopIfTrue="1" operator="greaterThan">
      <formula>300</formula>
    </cfRule>
  </conditionalFormatting>
  <conditionalFormatting sqref="W70:W88">
    <cfRule type="cellIs" dxfId="0" priority="6" stopIfTrue="1" operator="greaterThan">
      <formula>300</formula>
    </cfRule>
  </conditionalFormatting>
  <pageMargins left="0.7" right="0.7" top="0.75" bottom="0.75" header="0.3" footer="0.3"/>
  <pageSetup orientation="portrait" r:id="rId1"/>
  <ignoredErrors>
    <ignoredError sqref="B11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B13" sqref="B13"/>
    </sheetView>
  </sheetViews>
  <sheetFormatPr defaultRowHeight="15" x14ac:dyDescent="0.25"/>
  <cols>
    <col min="1" max="1" width="18.5703125" bestFit="1" customWidth="1"/>
    <col min="2" max="2" width="80.140625" bestFit="1" customWidth="1"/>
  </cols>
  <sheetData>
    <row r="1" spans="1:2" x14ac:dyDescent="0.25">
      <c r="A1" t="s">
        <v>4</v>
      </c>
      <c r="B1" t="s">
        <v>150</v>
      </c>
    </row>
    <row r="2" spans="1:2" x14ac:dyDescent="0.25">
      <c r="A2" t="s">
        <v>116</v>
      </c>
      <c r="B2" t="s">
        <v>151</v>
      </c>
    </row>
    <row r="3" spans="1:2" x14ac:dyDescent="0.25">
      <c r="A3" t="s">
        <v>11</v>
      </c>
      <c r="B3" t="s">
        <v>152</v>
      </c>
    </row>
    <row r="4" spans="1:2" x14ac:dyDescent="0.25">
      <c r="A4" t="s">
        <v>149</v>
      </c>
      <c r="B4" t="s">
        <v>151</v>
      </c>
    </row>
    <row r="5" spans="1:2" x14ac:dyDescent="0.25">
      <c r="A5" t="s">
        <v>15</v>
      </c>
      <c r="B5" t="s">
        <v>151</v>
      </c>
    </row>
    <row r="6" spans="1:2" x14ac:dyDescent="0.25">
      <c r="A6" t="s">
        <v>107</v>
      </c>
      <c r="B6" t="s">
        <v>151</v>
      </c>
    </row>
    <row r="7" spans="1:2" x14ac:dyDescent="0.25">
      <c r="A7" t="s">
        <v>93</v>
      </c>
      <c r="B7" t="s">
        <v>153</v>
      </c>
    </row>
    <row r="8" spans="1:2" x14ac:dyDescent="0.25">
      <c r="A8" t="s">
        <v>122</v>
      </c>
      <c r="B8" t="s">
        <v>153</v>
      </c>
    </row>
    <row r="9" spans="1:2" x14ac:dyDescent="0.25">
      <c r="A9" t="s">
        <v>117</v>
      </c>
      <c r="B9" t="s">
        <v>152</v>
      </c>
    </row>
    <row r="10" spans="1:2" x14ac:dyDescent="0.25">
      <c r="A10" t="s">
        <v>118</v>
      </c>
      <c r="B10" t="s">
        <v>152</v>
      </c>
    </row>
    <row r="11" spans="1:2" x14ac:dyDescent="0.25">
      <c r="A11" t="s">
        <v>160</v>
      </c>
      <c r="B11" t="s">
        <v>161</v>
      </c>
    </row>
    <row r="12" spans="1:2" x14ac:dyDescent="0.25">
      <c r="A12" t="s">
        <v>162</v>
      </c>
      <c r="B12" t="s">
        <v>163</v>
      </c>
    </row>
    <row r="13" spans="1:2" x14ac:dyDescent="0.25">
      <c r="A13" t="s">
        <v>154</v>
      </c>
      <c r="B13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5"/>
  <sheetViews>
    <sheetView workbookViewId="0">
      <selection activeCell="A6" sqref="A6"/>
    </sheetView>
  </sheetViews>
  <sheetFormatPr defaultRowHeight="15" x14ac:dyDescent="0.25"/>
  <cols>
    <col min="1" max="1" width="4.85546875" bestFit="1" customWidth="1"/>
    <col min="2" max="2" width="9.7109375" bestFit="1" customWidth="1"/>
    <col min="3" max="3" width="28.42578125" bestFit="1" customWidth="1"/>
    <col min="4" max="4" width="17.42578125" bestFit="1" customWidth="1"/>
    <col min="5" max="5" width="17.85546875" bestFit="1" customWidth="1"/>
    <col min="6" max="6" width="18" bestFit="1" customWidth="1"/>
    <col min="7" max="7" width="12.28515625" bestFit="1" customWidth="1"/>
    <col min="8" max="8" width="12.5703125" bestFit="1" customWidth="1"/>
    <col min="9" max="10" width="12.5703125" customWidth="1"/>
    <col min="11" max="11" width="13.5703125" bestFit="1" customWidth="1"/>
    <col min="12" max="12" width="11" bestFit="1" customWidth="1"/>
    <col min="13" max="13" width="11" customWidth="1"/>
    <col min="14" max="14" width="13.7109375" style="10" bestFit="1" customWidth="1"/>
    <col min="15" max="15" width="12.140625" bestFit="1" customWidth="1"/>
    <col min="16" max="16" width="6.42578125" bestFit="1" customWidth="1"/>
    <col min="17" max="17" width="34.140625" bestFit="1" customWidth="1"/>
    <col min="18" max="18" width="15.28515625" bestFit="1" customWidth="1"/>
    <col min="19" max="19" width="18.140625" style="10" bestFit="1" customWidth="1"/>
    <col min="20" max="20" width="28.7109375" bestFit="1" customWidth="1"/>
  </cols>
  <sheetData>
    <row r="1" spans="1:20" x14ac:dyDescent="0.25">
      <c r="A1" t="s">
        <v>21</v>
      </c>
      <c r="B1" t="s">
        <v>22</v>
      </c>
      <c r="C1" t="s">
        <v>4</v>
      </c>
      <c r="D1" t="s">
        <v>49</v>
      </c>
      <c r="E1" t="s">
        <v>50</v>
      </c>
      <c r="F1" t="s">
        <v>29</v>
      </c>
      <c r="G1" t="s">
        <v>54</v>
      </c>
      <c r="H1" t="s">
        <v>37</v>
      </c>
      <c r="I1" t="s">
        <v>61</v>
      </c>
      <c r="J1" t="s">
        <v>6</v>
      </c>
      <c r="K1" t="s">
        <v>28</v>
      </c>
      <c r="L1" t="s">
        <v>23</v>
      </c>
      <c r="M1" t="s">
        <v>25</v>
      </c>
      <c r="N1" s="10" t="s">
        <v>63</v>
      </c>
      <c r="O1" t="s">
        <v>64</v>
      </c>
      <c r="P1" t="s">
        <v>24</v>
      </c>
      <c r="Q1" t="s">
        <v>26</v>
      </c>
      <c r="R1" t="s">
        <v>59</v>
      </c>
      <c r="S1" s="10" t="s">
        <v>60</v>
      </c>
      <c r="T1" t="s">
        <v>46</v>
      </c>
    </row>
    <row r="2" spans="1:20" x14ac:dyDescent="0.25">
      <c r="A2" s="14">
        <v>1</v>
      </c>
      <c r="B2" s="15">
        <v>43640</v>
      </c>
      <c r="C2" s="14" t="s">
        <v>43</v>
      </c>
      <c r="D2" s="14">
        <v>69</v>
      </c>
      <c r="E2" s="14">
        <v>78</v>
      </c>
      <c r="F2" s="14">
        <v>73</v>
      </c>
      <c r="G2" s="15">
        <v>43644</v>
      </c>
      <c r="H2" s="14" t="s">
        <v>45</v>
      </c>
      <c r="I2" s="15"/>
      <c r="J2" s="14"/>
      <c r="K2" s="15">
        <v>43650</v>
      </c>
      <c r="L2" s="14">
        <v>76</v>
      </c>
      <c r="M2" s="15">
        <v>43662</v>
      </c>
      <c r="N2" s="16"/>
      <c r="O2" s="15"/>
      <c r="P2" s="14"/>
      <c r="Q2" s="14" t="s">
        <v>44</v>
      </c>
      <c r="R2" s="14">
        <f t="shared" ref="R2:R10" si="0">M2-B2</f>
        <v>22</v>
      </c>
      <c r="S2" s="16">
        <f t="shared" ref="S2:S10" si="1">IF(K2="","NA", K2-B2)</f>
        <v>10</v>
      </c>
      <c r="T2" s="13" t="s">
        <v>62</v>
      </c>
    </row>
    <row r="3" spans="1:20" s="14" customFormat="1" x14ac:dyDescent="0.25">
      <c r="A3" s="14">
        <v>2</v>
      </c>
      <c r="B3" s="15">
        <v>43664</v>
      </c>
      <c r="C3" s="14" t="s">
        <v>20</v>
      </c>
      <c r="D3" s="14">
        <v>211</v>
      </c>
      <c r="E3" s="14">
        <v>236</v>
      </c>
      <c r="F3" s="14">
        <v>222</v>
      </c>
      <c r="G3" s="15">
        <v>43668</v>
      </c>
      <c r="H3" s="14" t="s">
        <v>38</v>
      </c>
      <c r="I3" s="15">
        <v>43677</v>
      </c>
      <c r="J3" s="18">
        <v>211</v>
      </c>
      <c r="L3" s="14">
        <v>230</v>
      </c>
      <c r="M3" s="15">
        <v>43683</v>
      </c>
      <c r="N3" s="16">
        <v>220</v>
      </c>
      <c r="O3" s="15">
        <v>43677</v>
      </c>
      <c r="P3" s="14" t="s">
        <v>65</v>
      </c>
      <c r="Q3" s="14" t="s">
        <v>27</v>
      </c>
      <c r="R3" s="14">
        <f t="shared" si="0"/>
        <v>19</v>
      </c>
      <c r="S3" s="16" t="str">
        <f t="shared" si="1"/>
        <v>NA</v>
      </c>
    </row>
    <row r="4" spans="1:20" s="14" customFormat="1" x14ac:dyDescent="0.25">
      <c r="A4" s="14">
        <v>3</v>
      </c>
      <c r="B4" s="15">
        <v>43665</v>
      </c>
      <c r="C4" s="14" t="s">
        <v>55</v>
      </c>
      <c r="D4" s="14">
        <v>83</v>
      </c>
      <c r="E4" s="14">
        <v>97</v>
      </c>
      <c r="F4" s="14">
        <v>80</v>
      </c>
      <c r="G4" s="15">
        <v>43677</v>
      </c>
      <c r="H4" s="14" t="s">
        <v>57</v>
      </c>
      <c r="I4" s="15">
        <v>43677</v>
      </c>
      <c r="J4" s="19">
        <v>75</v>
      </c>
      <c r="L4" s="14">
        <v>80</v>
      </c>
      <c r="M4" s="15">
        <v>43686</v>
      </c>
      <c r="N4" s="16"/>
      <c r="O4" s="15"/>
      <c r="P4" s="14" t="s">
        <v>65</v>
      </c>
      <c r="Q4" s="14" t="s">
        <v>56</v>
      </c>
      <c r="R4" s="14">
        <f>M4-B4</f>
        <v>21</v>
      </c>
      <c r="S4" s="16" t="str">
        <f>IF(K4="","NA", K4-B4)</f>
        <v>NA</v>
      </c>
    </row>
    <row r="5" spans="1:20" s="14" customFormat="1" x14ac:dyDescent="0.25">
      <c r="A5" s="14">
        <v>4</v>
      </c>
      <c r="B5" s="15">
        <v>43664</v>
      </c>
      <c r="C5" s="14" t="s">
        <v>34</v>
      </c>
      <c r="E5" s="14">
        <v>97</v>
      </c>
      <c r="F5" s="14">
        <v>95</v>
      </c>
      <c r="G5" s="15">
        <v>43677</v>
      </c>
      <c r="H5" s="14" t="s">
        <v>39</v>
      </c>
      <c r="I5" s="15">
        <v>43677</v>
      </c>
      <c r="J5" s="14">
        <v>91</v>
      </c>
      <c r="L5" s="14">
        <v>100</v>
      </c>
      <c r="M5" s="15">
        <v>43683</v>
      </c>
      <c r="N5" s="16"/>
      <c r="O5" s="15"/>
      <c r="P5" s="14" t="s">
        <v>65</v>
      </c>
      <c r="Q5" s="14" t="s">
        <v>27</v>
      </c>
      <c r="R5" s="14">
        <f t="shared" si="0"/>
        <v>19</v>
      </c>
      <c r="S5" s="16" t="str">
        <f t="shared" si="1"/>
        <v>NA</v>
      </c>
    </row>
    <row r="6" spans="1:20" s="14" customFormat="1" x14ac:dyDescent="0.25">
      <c r="A6" s="14">
        <v>5</v>
      </c>
      <c r="B6" s="15">
        <v>43664</v>
      </c>
      <c r="C6" s="14" t="s">
        <v>30</v>
      </c>
      <c r="E6" s="14">
        <v>80</v>
      </c>
      <c r="F6" s="14">
        <v>74</v>
      </c>
      <c r="G6" s="15">
        <v>43668</v>
      </c>
      <c r="H6" s="14" t="s">
        <v>40</v>
      </c>
      <c r="I6" s="15">
        <v>43677</v>
      </c>
      <c r="J6" s="18">
        <v>62.95</v>
      </c>
      <c r="L6" s="14">
        <v>72</v>
      </c>
      <c r="M6" s="15">
        <v>43686</v>
      </c>
      <c r="N6" s="16">
        <v>70</v>
      </c>
      <c r="O6" s="15">
        <v>43677</v>
      </c>
      <c r="P6" s="14" t="s">
        <v>65</v>
      </c>
      <c r="Q6" s="14" t="s">
        <v>31</v>
      </c>
      <c r="R6" s="14">
        <f t="shared" si="0"/>
        <v>22</v>
      </c>
      <c r="S6" s="16" t="str">
        <f t="shared" si="1"/>
        <v>NA</v>
      </c>
    </row>
    <row r="7" spans="1:20" s="14" customFormat="1" x14ac:dyDescent="0.25">
      <c r="A7" s="14">
        <v>6</v>
      </c>
      <c r="B7" s="15">
        <v>43664</v>
      </c>
      <c r="C7" s="14" t="s">
        <v>32</v>
      </c>
      <c r="E7" s="14">
        <v>126</v>
      </c>
      <c r="F7" s="14">
        <v>92</v>
      </c>
      <c r="G7" s="15">
        <v>43668</v>
      </c>
      <c r="H7" s="14" t="s">
        <v>41</v>
      </c>
      <c r="I7" s="15">
        <v>43677</v>
      </c>
      <c r="J7" s="18">
        <v>81.75</v>
      </c>
      <c r="L7" s="14">
        <v>100</v>
      </c>
      <c r="M7" s="15">
        <v>43689</v>
      </c>
      <c r="N7" s="16">
        <v>90</v>
      </c>
      <c r="O7" s="15">
        <v>43677</v>
      </c>
      <c r="P7" s="14" t="s">
        <v>65</v>
      </c>
      <c r="Q7" s="14" t="s">
        <v>33</v>
      </c>
      <c r="R7" s="14">
        <f t="shared" si="0"/>
        <v>25</v>
      </c>
      <c r="S7" s="16" t="str">
        <f t="shared" si="1"/>
        <v>NA</v>
      </c>
    </row>
    <row r="8" spans="1:20" s="14" customFormat="1" x14ac:dyDescent="0.25">
      <c r="A8" s="14">
        <v>7</v>
      </c>
      <c r="B8" s="15">
        <v>43664</v>
      </c>
      <c r="C8" s="14" t="s">
        <v>35</v>
      </c>
      <c r="E8" s="14">
        <v>475</v>
      </c>
      <c r="F8" s="14">
        <v>445</v>
      </c>
      <c r="G8" s="15">
        <v>43677</v>
      </c>
      <c r="H8" s="14" t="s">
        <v>42</v>
      </c>
      <c r="I8" s="15">
        <v>43677</v>
      </c>
      <c r="J8" s="19">
        <v>420</v>
      </c>
      <c r="L8" s="14">
        <v>450</v>
      </c>
      <c r="M8" s="15">
        <v>43689</v>
      </c>
      <c r="N8" s="16"/>
      <c r="O8" s="15"/>
      <c r="P8" s="14" t="s">
        <v>65</v>
      </c>
      <c r="Q8" s="14" t="s">
        <v>36</v>
      </c>
      <c r="R8" s="14">
        <f t="shared" si="0"/>
        <v>25</v>
      </c>
      <c r="S8" s="16" t="str">
        <f t="shared" si="1"/>
        <v>NA</v>
      </c>
    </row>
    <row r="9" spans="1:20" s="14" customFormat="1" x14ac:dyDescent="0.25">
      <c r="A9" s="14">
        <v>8</v>
      </c>
      <c r="B9" s="15">
        <v>43664</v>
      </c>
      <c r="C9" s="14" t="s">
        <v>52</v>
      </c>
      <c r="D9" s="14">
        <v>136</v>
      </c>
      <c r="E9" s="14">
        <v>159</v>
      </c>
      <c r="F9" s="14">
        <v>150</v>
      </c>
      <c r="G9" s="15">
        <v>43670</v>
      </c>
      <c r="H9" s="14" t="s">
        <v>58</v>
      </c>
      <c r="I9" s="15">
        <v>43677</v>
      </c>
      <c r="J9" s="18">
        <v>131</v>
      </c>
      <c r="L9" s="14">
        <v>150</v>
      </c>
      <c r="M9" s="15">
        <v>43693</v>
      </c>
      <c r="N9" s="16"/>
      <c r="O9" s="15"/>
      <c r="P9" s="14" t="s">
        <v>65</v>
      </c>
      <c r="Q9" s="14" t="s">
        <v>53</v>
      </c>
      <c r="R9" s="14">
        <f t="shared" si="0"/>
        <v>29</v>
      </c>
      <c r="S9" s="16" t="str">
        <f t="shared" si="1"/>
        <v>NA</v>
      </c>
    </row>
    <row r="10" spans="1:20" x14ac:dyDescent="0.25">
      <c r="A10">
        <v>9</v>
      </c>
      <c r="B10" s="12">
        <v>43664</v>
      </c>
      <c r="C10" t="s">
        <v>48</v>
      </c>
      <c r="D10">
        <v>175</v>
      </c>
      <c r="E10">
        <v>183</v>
      </c>
      <c r="F10">
        <v>177</v>
      </c>
      <c r="G10" s="12">
        <v>43671</v>
      </c>
      <c r="H10" t="s">
        <v>51</v>
      </c>
      <c r="I10" s="12">
        <v>43677</v>
      </c>
      <c r="J10" s="17">
        <v>170.5</v>
      </c>
      <c r="L10">
        <v>180</v>
      </c>
      <c r="M10" s="12">
        <v>43724</v>
      </c>
      <c r="O10" s="12"/>
      <c r="Q10" t="s">
        <v>47</v>
      </c>
      <c r="R10">
        <f t="shared" si="0"/>
        <v>60</v>
      </c>
      <c r="S10" s="10" t="str">
        <f t="shared" si="1"/>
        <v>NA</v>
      </c>
    </row>
    <row r="25" spans="3:3" x14ac:dyDescent="0.25">
      <c r="C25" s="23"/>
    </row>
    <row r="26" spans="3:3" x14ac:dyDescent="0.25">
      <c r="C26" s="23"/>
    </row>
    <row r="27" spans="3:3" x14ac:dyDescent="0.25">
      <c r="C27" s="23"/>
    </row>
    <row r="28" spans="3:3" x14ac:dyDescent="0.25">
      <c r="C28" s="23"/>
    </row>
    <row r="29" spans="3:3" x14ac:dyDescent="0.25">
      <c r="C29" s="23"/>
    </row>
    <row r="30" spans="3:3" x14ac:dyDescent="0.25">
      <c r="C30" s="23"/>
    </row>
    <row r="31" spans="3:3" x14ac:dyDescent="0.25">
      <c r="C31" s="23"/>
    </row>
    <row r="32" spans="3:3" x14ac:dyDescent="0.25">
      <c r="C32" s="23"/>
    </row>
    <row r="33" spans="3:3" x14ac:dyDescent="0.25">
      <c r="C33" s="23"/>
    </row>
    <row r="34" spans="3:3" x14ac:dyDescent="0.25">
      <c r="C34" s="23"/>
    </row>
    <row r="35" spans="3:3" x14ac:dyDescent="0.25">
      <c r="C35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MonthlyInvestment</vt:lpstr>
      <vt:lpstr>StockvalueStatus</vt:lpstr>
      <vt:lpstr>Opportunities</vt:lpstr>
      <vt:lpstr>HistoryData</vt:lpstr>
      <vt:lpstr>Favourites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2024-12-11T12:13:58Z</dcterms:modified>
</cp:coreProperties>
</file>