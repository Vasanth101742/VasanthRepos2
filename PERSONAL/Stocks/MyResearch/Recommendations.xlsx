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General" sheetId="1" r:id="rId1"/>
    <sheet name="Mining" sheetId="2" r:id="rId2"/>
    <sheet name="About Company" sheetId="3" r:id="rId3"/>
  </sheets>
  <calcPr calcId="152511"/>
</workbook>
</file>

<file path=xl/calcChain.xml><?xml version="1.0" encoding="utf-8"?>
<calcChain xmlns="http://schemas.openxmlformats.org/spreadsheetml/2006/main">
  <c r="H3" i="1" l="1"/>
  <c r="H4" i="1"/>
  <c r="H5" i="1"/>
  <c r="H2" i="1"/>
  <c r="I2" i="1" l="1"/>
  <c r="I3" i="1" l="1"/>
  <c r="I4" i="1"/>
  <c r="I5" i="1"/>
</calcChain>
</file>

<file path=xl/sharedStrings.xml><?xml version="1.0" encoding="utf-8"?>
<sst xmlns="http://schemas.openxmlformats.org/spreadsheetml/2006/main" count="168" uniqueCount="79">
  <si>
    <t xml:space="preserve"> Buy</t>
  </si>
  <si>
    <t>Greaves Cotton</t>
  </si>
  <si>
    <t>Date</t>
  </si>
  <si>
    <t>Stock</t>
  </si>
  <si>
    <t>Type</t>
  </si>
  <si>
    <t>Stop Loss</t>
  </si>
  <si>
    <t>LTP</t>
  </si>
  <si>
    <t>Target</t>
  </si>
  <si>
    <t>Return</t>
  </si>
  <si>
    <t>DueDate</t>
  </si>
  <si>
    <t>Broker</t>
  </si>
  <si>
    <t>Dharmesh Shah</t>
  </si>
  <si>
    <t>ICICI Direct.com</t>
  </si>
  <si>
    <t>Person</t>
  </si>
  <si>
    <t>ActDate</t>
  </si>
  <si>
    <t>Status</t>
  </si>
  <si>
    <t>Time Frame in Months</t>
  </si>
  <si>
    <t>Balrampur Chini Mills</t>
  </si>
  <si>
    <t>Reason</t>
  </si>
  <si>
    <t>Witnessing Breakout</t>
  </si>
  <si>
    <t>Activity</t>
  </si>
  <si>
    <t>The production rose 4.40 percent from 34 million tonne (MT) in 2016-17</t>
  </si>
  <si>
    <t>NMDC</t>
  </si>
  <si>
    <t>Aditya Agarwal</t>
  </si>
  <si>
    <t>Way2Wealth</t>
  </si>
  <si>
    <t>Market added huge short positions in derivatives segment indicating more selloff in the counter.</t>
  </si>
  <si>
    <t>After giving a breakdown from its long-term trendline support of Rs 124, it hovering in narrow band of Rs 116-125 for last 7 weeks.</t>
  </si>
  <si>
    <t>sell</t>
  </si>
  <si>
    <t>Abhishek Mondal</t>
  </si>
  <si>
    <t>Guiness Securities</t>
  </si>
  <si>
    <t>RSI is showing a downward momentum and the MACD is trading below zero line with negative cross</t>
  </si>
  <si>
    <t>TrendReversal Occurred After days</t>
  </si>
  <si>
    <t>ReversalPriceMax</t>
  </si>
  <si>
    <t>AchievedDate</t>
  </si>
  <si>
    <t>Achieved</t>
  </si>
  <si>
    <t>Yes</t>
  </si>
  <si>
    <t>Uptrend / Downtrend days lasts for</t>
  </si>
  <si>
    <t>NMDC, NLC to ink pact with Aussie ECT for R&amp;D project</t>
  </si>
  <si>
    <t>PTI</t>
  </si>
  <si>
    <t>NMDC gains 4% as profit doubles in March quarter; Edelweiss maintains buy</t>
  </si>
  <si>
    <t>Rakesh Patil</t>
  </si>
  <si>
    <t>News</t>
  </si>
  <si>
    <t>NMDC inks pact with Australia's CSIRO</t>
  </si>
  <si>
    <t>NMDC iron ore output at 4.5 MT in 2 months of of FY19</t>
  </si>
  <si>
    <t>Iron ore is a key raw material for making steel. NMDC produces about 30 million tonne of iron ore from three fully mechanised mines.</t>
  </si>
  <si>
    <t>Sector</t>
  </si>
  <si>
    <t>Decsription</t>
  </si>
  <si>
    <t>NMDC ore prices to remain at Rs 3,050 per tonne</t>
  </si>
  <si>
    <t>NMDC, Kopano Logistics form JV for exploration in South Africa</t>
  </si>
  <si>
    <t>Mining Stocks are attractively Priced</t>
  </si>
  <si>
    <t>NMDC shares gain 1% after raising iron ore lumps, fines prices</t>
  </si>
  <si>
    <t>honest tax payer.</t>
  </si>
  <si>
    <t>Mining</t>
  </si>
  <si>
    <t>Shareholders not happy if CSR (Corporate Social Responsibility) spending increases from 150 to 200 cr, Tax Burden will increase</t>
  </si>
  <si>
    <t>NMDC board meeting scheduled on August 08, 2018</t>
  </si>
  <si>
    <t>resources are expected to be 1.83 million tonnes containing 5.15 grams of gold per tonne thereby contributing 8.5 Tonnes of GOLD</t>
  </si>
  <si>
    <t>NMDC wins race for gold mine in Andhra Pradesh over their competitors Adani and Vedanta</t>
  </si>
  <si>
    <t>it will take around 2 years for commercial visibility</t>
  </si>
  <si>
    <t>NMDC shares fall over 2% after decline in July production and sales data</t>
  </si>
  <si>
    <t>Motilal Oswal</t>
  </si>
  <si>
    <t>Kotak Securities</t>
  </si>
  <si>
    <t>Buy</t>
  </si>
  <si>
    <t>ICICI Direct</t>
  </si>
  <si>
    <t>Hold</t>
  </si>
  <si>
    <t>we expect EBITDA CAGR of 13% to INR103b over FY18-22</t>
  </si>
  <si>
    <t>The declining trend witnessed in production and offtake volumes made a negative rub-off on the overall performance of the company</t>
  </si>
  <si>
    <t>we are factoring the CWIP of steel plant at 50% of its investment and valuing in core business at 5.5x FY20E EBITDA.</t>
  </si>
  <si>
    <t>NMDC is India's single largest iron ore producer, producing about 36 MT of iron ore from three fully mechanised mines.</t>
  </si>
  <si>
    <t>NMDC iron ore production at 9.85 MT in April-August</t>
  </si>
  <si>
    <t>NMDC: Pricing the risk of lower production this year</t>
  </si>
  <si>
    <t>Jitendra Kumar Gupta</t>
  </si>
  <si>
    <t>Bank of Baroda</t>
  </si>
  <si>
    <t>Corrected &gt;10% in 3 days</t>
  </si>
  <si>
    <t>Notification</t>
  </si>
  <si>
    <t>KNR Constructions</t>
  </si>
  <si>
    <t>Dolat Capital</t>
  </si>
  <si>
    <t>Healthy Revenue Growth  over Fy18-20E and Low D/E Ratio</t>
  </si>
  <si>
    <t>CurrentPrice</t>
  </si>
  <si>
    <t>CurrentReturn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</si>
</sst>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14" fontId="0" fillId="0" borderId="1" xfId="0" applyNumberFormat="1" applyBorder="1"/>
    <xf numFmtId="0" fontId="0" fillId="0" borderId="1" xfId="0" applyBorder="1"/>
    <xf numFmtId="0" fontId="0" fillId="0" borderId="1" xfId="0" applyFont="1" applyBorder="1"/>
    <xf numFmtId="0" fontId="1" fillId="0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1" xfId="0" applyFill="1" applyBorder="1"/>
    <xf numFmtId="9" fontId="0" fillId="0" borderId="1" xfId="1" applyFont="1" applyBorder="1"/>
    <xf numFmtId="14" fontId="0" fillId="0" borderId="1" xfId="0" applyNumberFormat="1" applyFont="1" applyBorder="1"/>
    <xf numFmtId="0" fontId="0" fillId="0" borderId="1" xfId="0" applyFont="1" applyFill="1" applyBorder="1"/>
    <xf numFmtId="0" fontId="0" fillId="0" borderId="0" xfId="0" applyFont="1"/>
    <xf numFmtId="0" fontId="0" fillId="2" borderId="1" xfId="0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>
      <selection activeCell="F2" sqref="F2"/>
    </sheetView>
  </sheetViews>
  <sheetFormatPr defaultRowHeight="15" x14ac:dyDescent="0.25"/>
  <cols>
    <col min="1" max="1" width="9.7109375" bestFit="1" customWidth="1"/>
    <col min="2" max="2" width="20.140625" bestFit="1" customWidth="1"/>
    <col min="6" max="6" width="12.140625" bestFit="1" customWidth="1"/>
    <col min="7" max="7" width="13.140625" bestFit="1" customWidth="1"/>
    <col min="8" max="8" width="13.140625" customWidth="1"/>
    <col min="9" max="9" width="15.7109375" bestFit="1" customWidth="1"/>
    <col min="10" max="10" width="21.140625" bestFit="1" customWidth="1"/>
    <col min="14" max="14" width="14.85546875" bestFit="1" customWidth="1"/>
    <col min="15" max="15" width="15.140625" bestFit="1" customWidth="1"/>
    <col min="16" max="16" width="53.85546875" bestFit="1" customWidth="1"/>
  </cols>
  <sheetData>
    <row r="1" spans="1:16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77</v>
      </c>
      <c r="G1" s="1" t="s">
        <v>7</v>
      </c>
      <c r="H1" s="1" t="s">
        <v>78</v>
      </c>
      <c r="I1" s="1" t="s">
        <v>8</v>
      </c>
      <c r="J1" s="1" t="s">
        <v>16</v>
      </c>
      <c r="K1" s="1" t="s">
        <v>9</v>
      </c>
      <c r="L1" s="1" t="s">
        <v>14</v>
      </c>
      <c r="M1" s="1" t="s">
        <v>15</v>
      </c>
      <c r="N1" s="1" t="s">
        <v>13</v>
      </c>
      <c r="O1" s="1" t="s">
        <v>10</v>
      </c>
      <c r="P1" s="5" t="s">
        <v>18</v>
      </c>
    </row>
    <row r="2" spans="1:16" s="11" customFormat="1" x14ac:dyDescent="0.25">
      <c r="A2" s="9">
        <v>43354</v>
      </c>
      <c r="B2" s="4" t="s">
        <v>74</v>
      </c>
      <c r="C2" s="3" t="s">
        <v>0</v>
      </c>
      <c r="D2" s="4">
        <v>180</v>
      </c>
      <c r="E2" s="4">
        <v>195</v>
      </c>
      <c r="F2" s="4">
        <v>277</v>
      </c>
      <c r="G2" s="4">
        <v>418</v>
      </c>
      <c r="H2" s="8">
        <f>(F2-E2)/100</f>
        <v>0.82</v>
      </c>
      <c r="I2" s="8">
        <f t="shared" ref="I2:I4" si="0">(G2-E2)/100</f>
        <v>2.23</v>
      </c>
      <c r="J2" s="4">
        <v>24</v>
      </c>
      <c r="K2" s="4"/>
      <c r="L2" s="4"/>
      <c r="M2" s="4"/>
      <c r="N2" s="4"/>
      <c r="O2" s="4" t="s">
        <v>75</v>
      </c>
      <c r="P2" s="10" t="s">
        <v>76</v>
      </c>
    </row>
    <row r="3" spans="1:16" x14ac:dyDescent="0.25">
      <c r="A3" s="2">
        <v>43356</v>
      </c>
      <c r="B3" s="3" t="s">
        <v>1</v>
      </c>
      <c r="C3" s="3" t="s">
        <v>0</v>
      </c>
      <c r="D3" s="3">
        <v>142</v>
      </c>
      <c r="E3" s="3">
        <v>152</v>
      </c>
      <c r="F3" s="3"/>
      <c r="G3" s="3">
        <v>180</v>
      </c>
      <c r="H3" s="8">
        <f t="shared" ref="H3:H5" si="1">(F3-E3)/100</f>
        <v>-1.52</v>
      </c>
      <c r="I3" s="8">
        <f t="shared" si="0"/>
        <v>0.28000000000000003</v>
      </c>
      <c r="J3" s="3">
        <v>6</v>
      </c>
      <c r="K3" s="3"/>
      <c r="L3" s="3"/>
      <c r="M3" s="3"/>
      <c r="N3" s="4" t="s">
        <v>11</v>
      </c>
      <c r="O3" s="4" t="s">
        <v>12</v>
      </c>
      <c r="P3" s="3" t="s">
        <v>19</v>
      </c>
    </row>
    <row r="4" spans="1:16" x14ac:dyDescent="0.25">
      <c r="A4" s="2">
        <v>43356</v>
      </c>
      <c r="B4" s="3" t="s">
        <v>17</v>
      </c>
      <c r="C4" s="3" t="s">
        <v>0</v>
      </c>
      <c r="D4" s="3">
        <v>71</v>
      </c>
      <c r="E4" s="3">
        <v>78</v>
      </c>
      <c r="F4" s="3"/>
      <c r="G4" s="3">
        <v>90</v>
      </c>
      <c r="H4" s="8">
        <f t="shared" si="1"/>
        <v>-0.78</v>
      </c>
      <c r="I4" s="8">
        <f t="shared" si="0"/>
        <v>0.12</v>
      </c>
      <c r="J4" s="3">
        <v>1</v>
      </c>
      <c r="K4" s="3"/>
      <c r="L4" s="3"/>
      <c r="M4" s="12" t="s">
        <v>34</v>
      </c>
      <c r="N4" s="4" t="s">
        <v>11</v>
      </c>
      <c r="O4" s="4" t="s">
        <v>12</v>
      </c>
      <c r="P4" s="3" t="s">
        <v>19</v>
      </c>
    </row>
    <row r="5" spans="1:16" x14ac:dyDescent="0.25">
      <c r="A5" s="2">
        <v>43362</v>
      </c>
      <c r="B5" s="3" t="s">
        <v>71</v>
      </c>
      <c r="C5" s="3" t="s">
        <v>0</v>
      </c>
      <c r="D5" s="3">
        <v>108</v>
      </c>
      <c r="E5" s="3">
        <v>116.35</v>
      </c>
      <c r="F5" s="3">
        <v>123.5</v>
      </c>
      <c r="G5" s="3">
        <v>135</v>
      </c>
      <c r="H5" s="8">
        <f t="shared" si="1"/>
        <v>7.1500000000000064E-2</v>
      </c>
      <c r="I5" s="8">
        <f>(G5-E5)/100</f>
        <v>0.18650000000000005</v>
      </c>
      <c r="J5" s="3">
        <v>12</v>
      </c>
      <c r="K5" s="3"/>
      <c r="L5" s="3"/>
      <c r="M5" s="12" t="s">
        <v>34</v>
      </c>
      <c r="N5" s="3" t="s">
        <v>73</v>
      </c>
      <c r="O5" s="4" t="s">
        <v>12</v>
      </c>
      <c r="P5" s="3" t="s">
        <v>72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" sqref="E2"/>
    </sheetView>
  </sheetViews>
  <sheetFormatPr defaultRowHeight="15" x14ac:dyDescent="0.25"/>
  <cols>
    <col min="1" max="1" width="10.7109375" bestFit="1" customWidth="1"/>
    <col min="8" max="8" width="13.5703125" bestFit="1" customWidth="1"/>
    <col min="9" max="9" width="19.140625" customWidth="1"/>
    <col min="10" max="10" width="18.7109375" bestFit="1" customWidth="1"/>
    <col min="11" max="11" width="14.7109375" customWidth="1"/>
    <col min="12" max="12" width="20.28515625" bestFit="1" customWidth="1"/>
    <col min="13" max="13" width="17.42578125" bestFit="1" customWidth="1"/>
    <col min="14" max="14" width="139.140625" bestFit="1" customWidth="1"/>
  </cols>
  <sheetData>
    <row r="1" spans="1:14" ht="4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34</v>
      </c>
      <c r="H1" s="1" t="s">
        <v>33</v>
      </c>
      <c r="I1" s="6" t="s">
        <v>31</v>
      </c>
      <c r="J1" s="1" t="s">
        <v>32</v>
      </c>
      <c r="K1" s="6" t="s">
        <v>36</v>
      </c>
      <c r="L1" s="1" t="s">
        <v>13</v>
      </c>
      <c r="M1" s="1" t="s">
        <v>10</v>
      </c>
      <c r="N1" s="5" t="s">
        <v>20</v>
      </c>
    </row>
    <row r="2" spans="1:14" x14ac:dyDescent="0.25">
      <c r="A2" s="2">
        <v>43202</v>
      </c>
      <c r="B2" s="3" t="s">
        <v>22</v>
      </c>
      <c r="C2" s="3" t="s">
        <v>41</v>
      </c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21</v>
      </c>
    </row>
    <row r="3" spans="1:14" x14ac:dyDescent="0.25">
      <c r="A3" s="2">
        <v>43231</v>
      </c>
      <c r="B3" s="3" t="s">
        <v>22</v>
      </c>
      <c r="C3" s="3" t="s">
        <v>27</v>
      </c>
      <c r="D3" s="3"/>
      <c r="E3" s="3">
        <v>117</v>
      </c>
      <c r="F3" s="3">
        <v>116</v>
      </c>
      <c r="G3" s="3" t="s">
        <v>35</v>
      </c>
      <c r="H3" s="2">
        <v>43234</v>
      </c>
      <c r="I3" s="3"/>
      <c r="J3" s="3"/>
      <c r="K3" s="3"/>
      <c r="L3" s="3" t="s">
        <v>23</v>
      </c>
      <c r="M3" s="3" t="s">
        <v>24</v>
      </c>
      <c r="N3" s="3" t="s">
        <v>26</v>
      </c>
    </row>
    <row r="4" spans="1:14" x14ac:dyDescent="0.25">
      <c r="A4" s="2">
        <v>43231</v>
      </c>
      <c r="B4" s="3" t="s">
        <v>22</v>
      </c>
      <c r="C4" s="3" t="s">
        <v>27</v>
      </c>
      <c r="D4" s="3"/>
      <c r="E4" s="3">
        <v>117</v>
      </c>
      <c r="F4" s="3">
        <v>116</v>
      </c>
      <c r="G4" s="3" t="s">
        <v>35</v>
      </c>
      <c r="H4" s="2">
        <v>43234</v>
      </c>
      <c r="I4" s="3"/>
      <c r="J4" s="3"/>
      <c r="K4" s="3"/>
      <c r="L4" s="3" t="s">
        <v>23</v>
      </c>
      <c r="M4" s="3" t="s">
        <v>24</v>
      </c>
      <c r="N4" s="3" t="s">
        <v>25</v>
      </c>
    </row>
    <row r="5" spans="1:14" x14ac:dyDescent="0.25">
      <c r="A5" s="2">
        <v>43236</v>
      </c>
      <c r="B5" s="3" t="s">
        <v>22</v>
      </c>
      <c r="C5" s="3" t="s">
        <v>27</v>
      </c>
      <c r="D5" s="3"/>
      <c r="E5" s="3">
        <v>115</v>
      </c>
      <c r="F5" s="3">
        <v>102</v>
      </c>
      <c r="G5" s="3" t="s">
        <v>35</v>
      </c>
      <c r="H5" s="2">
        <v>43293</v>
      </c>
      <c r="I5" s="3">
        <v>5</v>
      </c>
      <c r="J5" s="3">
        <v>120</v>
      </c>
      <c r="K5" s="3">
        <v>3</v>
      </c>
      <c r="L5" s="3" t="s">
        <v>28</v>
      </c>
      <c r="M5" s="3" t="s">
        <v>29</v>
      </c>
      <c r="N5" s="3" t="s">
        <v>30</v>
      </c>
    </row>
    <row r="6" spans="1:14" x14ac:dyDescent="0.25">
      <c r="A6" s="2">
        <v>43240</v>
      </c>
      <c r="B6" s="3" t="s">
        <v>22</v>
      </c>
      <c r="C6" s="3" t="s">
        <v>41</v>
      </c>
      <c r="D6" s="3"/>
      <c r="E6" s="3"/>
      <c r="F6" s="3"/>
      <c r="G6" s="3"/>
      <c r="H6" s="3"/>
      <c r="I6" s="3"/>
      <c r="J6" s="3"/>
      <c r="K6" s="3"/>
      <c r="L6" s="3" t="s">
        <v>38</v>
      </c>
      <c r="M6" s="3" t="s">
        <v>38</v>
      </c>
      <c r="N6" s="3" t="s">
        <v>37</v>
      </c>
    </row>
    <row r="7" spans="1:14" x14ac:dyDescent="0.25">
      <c r="A7" s="2">
        <v>43249</v>
      </c>
      <c r="B7" s="7" t="s">
        <v>22</v>
      </c>
      <c r="C7" s="3" t="s">
        <v>41</v>
      </c>
      <c r="D7" s="3"/>
      <c r="E7" s="3"/>
      <c r="F7" s="3"/>
      <c r="G7" s="3"/>
      <c r="H7" s="3"/>
      <c r="I7" s="3"/>
      <c r="J7" s="3"/>
      <c r="K7" s="3"/>
      <c r="L7" s="3" t="s">
        <v>40</v>
      </c>
      <c r="M7" s="3"/>
      <c r="N7" s="3" t="s">
        <v>39</v>
      </c>
    </row>
    <row r="8" spans="1:14" x14ac:dyDescent="0.25">
      <c r="A8" s="2">
        <v>43250</v>
      </c>
      <c r="B8" s="7" t="s">
        <v>22</v>
      </c>
      <c r="C8" s="7" t="s">
        <v>41</v>
      </c>
      <c r="D8" s="3"/>
      <c r="E8" s="3"/>
      <c r="F8" s="3"/>
      <c r="G8" s="3"/>
      <c r="H8" s="3"/>
      <c r="I8" s="3"/>
      <c r="J8" s="3"/>
      <c r="K8" s="3"/>
      <c r="L8" s="7" t="s">
        <v>38</v>
      </c>
      <c r="M8" s="7" t="s">
        <v>38</v>
      </c>
      <c r="N8" s="3" t="s">
        <v>42</v>
      </c>
    </row>
    <row r="9" spans="1:14" x14ac:dyDescent="0.25">
      <c r="A9" s="2">
        <v>43256</v>
      </c>
      <c r="B9" s="7" t="s">
        <v>22</v>
      </c>
      <c r="C9" s="7" t="s">
        <v>41</v>
      </c>
      <c r="D9" s="3"/>
      <c r="E9" s="3"/>
      <c r="F9" s="3"/>
      <c r="G9" s="3"/>
      <c r="H9" s="3"/>
      <c r="I9" s="3"/>
      <c r="J9" s="3"/>
      <c r="K9" s="3"/>
      <c r="L9" s="3" t="s">
        <v>38</v>
      </c>
      <c r="M9" s="3" t="s">
        <v>38</v>
      </c>
      <c r="N9" s="3" t="s">
        <v>43</v>
      </c>
    </row>
    <row r="10" spans="1:14" x14ac:dyDescent="0.25">
      <c r="A10" s="2">
        <v>43277</v>
      </c>
      <c r="B10" s="7" t="s">
        <v>22</v>
      </c>
      <c r="C10" s="7" t="s">
        <v>41</v>
      </c>
      <c r="D10" s="3"/>
      <c r="E10" s="3"/>
      <c r="F10" s="3"/>
      <c r="G10" s="3"/>
      <c r="H10" s="3"/>
      <c r="I10" s="3"/>
      <c r="J10" s="3"/>
      <c r="K10" s="3"/>
      <c r="L10" s="3" t="s">
        <v>38</v>
      </c>
      <c r="M10" s="3" t="s">
        <v>38</v>
      </c>
      <c r="N10" s="3" t="s">
        <v>47</v>
      </c>
    </row>
    <row r="11" spans="1:14" x14ac:dyDescent="0.25">
      <c r="A11" s="2">
        <v>43281</v>
      </c>
      <c r="B11" s="3" t="s">
        <v>22</v>
      </c>
      <c r="C11" s="3" t="s">
        <v>41</v>
      </c>
      <c r="D11" s="3"/>
      <c r="E11" s="3"/>
      <c r="F11" s="3"/>
      <c r="G11" s="3"/>
      <c r="H11" s="3"/>
      <c r="I11" s="3"/>
      <c r="J11" s="3"/>
      <c r="K11" s="3"/>
      <c r="L11" s="3" t="s">
        <v>38</v>
      </c>
      <c r="M11" s="3" t="s">
        <v>38</v>
      </c>
      <c r="N11" s="3" t="s">
        <v>48</v>
      </c>
    </row>
    <row r="12" spans="1:14" x14ac:dyDescent="0.25">
      <c r="A12" s="2">
        <v>43287</v>
      </c>
      <c r="B12" s="7" t="s">
        <v>22</v>
      </c>
      <c r="C12" s="7" t="s">
        <v>41</v>
      </c>
      <c r="D12" s="3"/>
      <c r="E12" s="3"/>
      <c r="F12" s="3"/>
      <c r="G12" s="3"/>
      <c r="H12" s="3"/>
      <c r="I12" s="3"/>
      <c r="J12" s="3"/>
      <c r="K12" s="3"/>
      <c r="L12" s="7" t="s">
        <v>38</v>
      </c>
      <c r="M12" s="7" t="s">
        <v>38</v>
      </c>
      <c r="N12" s="7" t="s">
        <v>49</v>
      </c>
    </row>
    <row r="13" spans="1:14" x14ac:dyDescent="0.25">
      <c r="A13" s="2">
        <v>43291</v>
      </c>
      <c r="B13" s="7" t="s">
        <v>22</v>
      </c>
      <c r="C13" s="7" t="s">
        <v>41</v>
      </c>
      <c r="D13" s="3"/>
      <c r="E13" s="3"/>
      <c r="F13" s="3"/>
      <c r="G13" s="3"/>
      <c r="H13" s="3"/>
      <c r="I13" s="3"/>
      <c r="J13" s="3"/>
      <c r="K13" s="3"/>
      <c r="L13" s="7" t="s">
        <v>38</v>
      </c>
      <c r="M13" s="7" t="s">
        <v>38</v>
      </c>
      <c r="N13" s="3" t="s">
        <v>50</v>
      </c>
    </row>
    <row r="14" spans="1:14" x14ac:dyDescent="0.25">
      <c r="A14" s="2">
        <v>43305</v>
      </c>
      <c r="B14" s="7" t="s">
        <v>22</v>
      </c>
      <c r="C14" s="7" t="s">
        <v>41</v>
      </c>
      <c r="D14" s="3"/>
      <c r="E14" s="3"/>
      <c r="F14" s="3"/>
      <c r="G14" s="3"/>
      <c r="H14" s="3"/>
      <c r="I14" s="3"/>
      <c r="J14" s="3"/>
      <c r="K14" s="3"/>
      <c r="L14" s="7" t="s">
        <v>38</v>
      </c>
      <c r="M14" s="7" t="s">
        <v>38</v>
      </c>
      <c r="N14" s="3" t="s">
        <v>53</v>
      </c>
    </row>
    <row r="15" spans="1:14" x14ac:dyDescent="0.25">
      <c r="A15" s="2">
        <v>43306</v>
      </c>
      <c r="B15" s="3" t="s">
        <v>22</v>
      </c>
      <c r="C15" s="3" t="s">
        <v>41</v>
      </c>
      <c r="D15" s="3"/>
      <c r="E15" s="3"/>
      <c r="F15" s="3"/>
      <c r="G15" s="3"/>
      <c r="H15" s="3"/>
      <c r="I15" s="3"/>
      <c r="J15" s="3"/>
      <c r="K15" s="3"/>
      <c r="L15" s="7" t="s">
        <v>38</v>
      </c>
      <c r="M15" s="7" t="s">
        <v>38</v>
      </c>
      <c r="N15" s="3" t="s">
        <v>54</v>
      </c>
    </row>
    <row r="16" spans="1:14" x14ac:dyDescent="0.25">
      <c r="A16" s="2">
        <v>43310</v>
      </c>
      <c r="B16" s="7" t="s">
        <v>22</v>
      </c>
      <c r="C16" s="7" t="s">
        <v>41</v>
      </c>
      <c r="D16" s="3"/>
      <c r="E16" s="3"/>
      <c r="F16" s="3"/>
      <c r="G16" s="3"/>
      <c r="H16" s="3"/>
      <c r="I16" s="3"/>
      <c r="J16" s="3"/>
      <c r="K16" s="3"/>
      <c r="L16" s="7" t="s">
        <v>38</v>
      </c>
      <c r="M16" s="7" t="s">
        <v>38</v>
      </c>
      <c r="N16" s="7" t="s">
        <v>56</v>
      </c>
    </row>
    <row r="17" spans="1:14" x14ac:dyDescent="0.25">
      <c r="A17" s="2">
        <v>43310</v>
      </c>
      <c r="B17" s="7" t="s">
        <v>22</v>
      </c>
      <c r="C17" s="7" t="s">
        <v>41</v>
      </c>
      <c r="D17" s="3"/>
      <c r="E17" s="3"/>
      <c r="F17" s="3"/>
      <c r="G17" s="3"/>
      <c r="H17" s="3"/>
      <c r="I17" s="3"/>
      <c r="J17" s="3"/>
      <c r="K17" s="3"/>
      <c r="L17" s="7" t="s">
        <v>38</v>
      </c>
      <c r="M17" s="7" t="s">
        <v>38</v>
      </c>
      <c r="N17" s="7" t="s">
        <v>55</v>
      </c>
    </row>
    <row r="18" spans="1:14" x14ac:dyDescent="0.25">
      <c r="A18" s="2">
        <v>43310</v>
      </c>
      <c r="B18" s="7" t="s">
        <v>22</v>
      </c>
      <c r="C18" s="7" t="s">
        <v>41</v>
      </c>
      <c r="D18" s="3"/>
      <c r="E18" s="3"/>
      <c r="F18" s="3"/>
      <c r="G18" s="3"/>
      <c r="H18" s="3"/>
      <c r="I18" s="3"/>
      <c r="J18" s="3"/>
      <c r="K18" s="3"/>
      <c r="L18" s="7" t="s">
        <v>38</v>
      </c>
      <c r="M18" s="7" t="s">
        <v>38</v>
      </c>
      <c r="N18" s="7" t="s">
        <v>57</v>
      </c>
    </row>
    <row r="19" spans="1:14" x14ac:dyDescent="0.25">
      <c r="A19" s="2">
        <v>43320</v>
      </c>
      <c r="B19" s="7" t="s">
        <v>22</v>
      </c>
      <c r="C19" s="7" t="s">
        <v>41</v>
      </c>
      <c r="D19" s="3"/>
      <c r="E19" s="3"/>
      <c r="F19" s="3"/>
      <c r="G19" s="3"/>
      <c r="H19" s="3"/>
      <c r="I19" s="3"/>
      <c r="J19" s="3"/>
      <c r="K19" s="3"/>
      <c r="L19" s="7" t="s">
        <v>38</v>
      </c>
      <c r="M19" s="7" t="s">
        <v>38</v>
      </c>
      <c r="N19" s="3" t="s">
        <v>58</v>
      </c>
    </row>
    <row r="20" spans="1:14" x14ac:dyDescent="0.25">
      <c r="A20" s="2">
        <v>43322</v>
      </c>
      <c r="B20" s="7" t="s">
        <v>22</v>
      </c>
      <c r="C20" s="7" t="s">
        <v>63</v>
      </c>
      <c r="D20" s="3"/>
      <c r="E20" s="3"/>
      <c r="F20" s="3">
        <v>105</v>
      </c>
      <c r="G20" s="3"/>
      <c r="H20" s="3"/>
      <c r="I20" s="3"/>
      <c r="J20" s="3"/>
      <c r="K20" s="3"/>
      <c r="L20" s="7"/>
      <c r="M20" s="3" t="s">
        <v>62</v>
      </c>
      <c r="N20" s="3" t="s">
        <v>65</v>
      </c>
    </row>
    <row r="21" spans="1:14" x14ac:dyDescent="0.25">
      <c r="A21" s="2">
        <v>43328</v>
      </c>
      <c r="B21" s="7" t="s">
        <v>22</v>
      </c>
      <c r="C21" s="7" t="s">
        <v>61</v>
      </c>
      <c r="D21" s="3"/>
      <c r="E21" s="3"/>
      <c r="F21" s="3">
        <v>178</v>
      </c>
      <c r="G21" s="3"/>
      <c r="H21" s="3"/>
      <c r="I21" s="3"/>
      <c r="J21" s="3"/>
      <c r="K21" s="3"/>
      <c r="L21" s="3"/>
      <c r="M21" s="3" t="s">
        <v>59</v>
      </c>
      <c r="N21" s="3" t="s">
        <v>64</v>
      </c>
    </row>
    <row r="22" spans="1:14" x14ac:dyDescent="0.25">
      <c r="A22" s="2">
        <v>43342</v>
      </c>
      <c r="B22" s="7" t="s">
        <v>22</v>
      </c>
      <c r="C22" s="7" t="s">
        <v>61</v>
      </c>
      <c r="D22" s="3"/>
      <c r="E22" s="3"/>
      <c r="F22" s="3">
        <v>125</v>
      </c>
      <c r="G22" s="3"/>
      <c r="H22" s="3"/>
      <c r="I22" s="3"/>
      <c r="J22" s="3"/>
      <c r="K22" s="3"/>
      <c r="L22" s="7"/>
      <c r="M22" s="3" t="s">
        <v>60</v>
      </c>
      <c r="N22" s="3" t="s">
        <v>66</v>
      </c>
    </row>
    <row r="23" spans="1:14" x14ac:dyDescent="0.25">
      <c r="A23" s="2">
        <v>43383</v>
      </c>
      <c r="B23" s="7" t="s">
        <v>22</v>
      </c>
      <c r="C23" s="7" t="s">
        <v>41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68</v>
      </c>
    </row>
    <row r="24" spans="1:14" x14ac:dyDescent="0.25">
      <c r="A24" s="2">
        <v>43385</v>
      </c>
      <c r="B24" s="7" t="s">
        <v>22</v>
      </c>
      <c r="C24" s="7" t="s">
        <v>41</v>
      </c>
      <c r="D24" s="3"/>
      <c r="E24" s="3"/>
      <c r="F24" s="3"/>
      <c r="G24" s="3"/>
      <c r="H24" s="3"/>
      <c r="I24" s="3"/>
      <c r="J24" s="3"/>
      <c r="K24" s="3"/>
      <c r="L24" s="3" t="s">
        <v>70</v>
      </c>
      <c r="M24" s="3"/>
      <c r="N24" s="3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5" sqref="C5"/>
    </sheetView>
  </sheetViews>
  <sheetFormatPr defaultRowHeight="15" x14ac:dyDescent="0.25"/>
  <cols>
    <col min="3" max="3" width="122.28515625" bestFit="1" customWidth="1"/>
  </cols>
  <sheetData>
    <row r="1" spans="1:3" x14ac:dyDescent="0.25">
      <c r="A1" t="s">
        <v>45</v>
      </c>
      <c r="B1" t="s">
        <v>3</v>
      </c>
      <c r="C1" t="s">
        <v>46</v>
      </c>
    </row>
    <row r="2" spans="1:3" x14ac:dyDescent="0.25">
      <c r="A2" t="s">
        <v>52</v>
      </c>
      <c r="B2" t="s">
        <v>22</v>
      </c>
      <c r="C2" t="s">
        <v>44</v>
      </c>
    </row>
    <row r="3" spans="1:3" x14ac:dyDescent="0.25">
      <c r="C3" t="s">
        <v>67</v>
      </c>
    </row>
    <row r="4" spans="1:3" x14ac:dyDescent="0.25">
      <c r="C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Mining</vt:lpstr>
      <vt:lpstr>About Company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2020-01-04T09:09:51Z</dcterms:modified>
</cp:coreProperties>
</file>