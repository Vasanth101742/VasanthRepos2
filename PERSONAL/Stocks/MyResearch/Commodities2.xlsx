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Stk2/Options/"/>
    </mc:Choice>
  </mc:AlternateContent>
  <xr:revisionPtr revIDLastSave="2" documentId="13_ncr:1_{428F08DD-6335-42B5-ADD2-AA610216E2C6}" xr6:coauthVersionLast="47" xr6:coauthVersionMax="47" xr10:uidLastSave="{A5A27329-89F9-475F-B291-026CED78B38D}"/>
  <bookViews>
    <workbookView xWindow="-120" yWindow="-120" windowWidth="20730" windowHeight="11040" activeTab="1" xr2:uid="{00000000-000D-0000-FFFF-FFFF00000000}"/>
  </bookViews>
  <sheets>
    <sheet name="Pivot" sheetId="3" r:id="rId1"/>
    <sheet name="Details" sheetId="1" r:id="rId2"/>
    <sheet name="OI Trend" sheetId="7" r:id="rId3"/>
    <sheet name="Sheet1" sheetId="10" r:id="rId4"/>
    <sheet name="Sheet4" sheetId="11" r:id="rId5"/>
    <sheet name="Strategy" sheetId="9" r:id="rId6"/>
  </sheets>
  <definedNames>
    <definedName name="_xlnm._FilterDatabase" localSheetId="1" hidden="1">Details!$A$1:$AD$39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0" l="1"/>
  <c r="L26" i="10"/>
  <c r="K26" i="10"/>
  <c r="J26" i="10"/>
  <c r="I26" i="10"/>
  <c r="H26" i="10"/>
  <c r="F26" i="10"/>
  <c r="E26" i="10"/>
  <c r="D26" i="10"/>
  <c r="C26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M27" i="10" s="1"/>
  <c r="L23" i="10"/>
  <c r="L27" i="10" s="1"/>
  <c r="K23" i="10"/>
  <c r="K25" i="10" s="1"/>
  <c r="J23" i="10"/>
  <c r="J25" i="10" s="1"/>
  <c r="I23" i="10"/>
  <c r="I27" i="10" s="1"/>
  <c r="H23" i="10"/>
  <c r="H27" i="10" s="1"/>
  <c r="F23" i="10"/>
  <c r="F25" i="10" s="1"/>
  <c r="E23" i="10"/>
  <c r="E27" i="10" s="1"/>
  <c r="D23" i="10"/>
  <c r="D27" i="10" s="1"/>
  <c r="C23" i="10"/>
  <c r="C25" i="10" s="1"/>
  <c r="G26" i="10"/>
  <c r="A22" i="10"/>
  <c r="G23" i="10"/>
  <c r="C19" i="10"/>
  <c r="P14" i="10"/>
  <c r="O14" i="10"/>
  <c r="N14" i="10"/>
  <c r="M14" i="10"/>
  <c r="M15" i="10" s="1"/>
  <c r="L14" i="10"/>
  <c r="L15" i="10" s="1"/>
  <c r="K14" i="10"/>
  <c r="K15" i="10" s="1"/>
  <c r="J14" i="10"/>
  <c r="J15" i="10" s="1"/>
  <c r="I14" i="10"/>
  <c r="I15" i="10" s="1"/>
  <c r="H14" i="10"/>
  <c r="H15" i="10" s="1"/>
  <c r="G14" i="10"/>
  <c r="G15" i="10" s="1"/>
  <c r="F14" i="10"/>
  <c r="F15" i="10" s="1"/>
  <c r="E14" i="10"/>
  <c r="E15" i="10" s="1"/>
  <c r="D14" i="10"/>
  <c r="D15" i="10" s="1"/>
  <c r="C14" i="10"/>
  <c r="C15" i="10" s="1"/>
  <c r="C27" i="10" l="1"/>
  <c r="A24" i="10"/>
  <c r="G25" i="10"/>
  <c r="A23" i="10"/>
  <c r="G27" i="10"/>
  <c r="D25" i="10"/>
  <c r="H25" i="10"/>
  <c r="L25" i="10"/>
  <c r="F27" i="10"/>
  <c r="J27" i="10"/>
  <c r="A21" i="10"/>
  <c r="E25" i="10"/>
  <c r="I25" i="10"/>
  <c r="M25" i="10"/>
  <c r="K27" i="10"/>
  <c r="A25" i="10" l="1"/>
  <c r="M1" i="7" l="1"/>
  <c r="G1" i="7"/>
  <c r="Q5" i="7"/>
  <c r="Q6" i="7"/>
  <c r="Q7" i="7"/>
  <c r="Q8" i="7"/>
  <c r="Q9" i="7"/>
  <c r="Q10" i="7"/>
  <c r="Q11" i="7"/>
  <c r="Q12" i="7"/>
  <c r="Q13" i="7"/>
  <c r="Q14" i="7"/>
  <c r="Q15" i="7"/>
  <c r="E5" i="7"/>
  <c r="E6" i="7"/>
  <c r="E7" i="7"/>
  <c r="E8" i="7"/>
  <c r="E9" i="7"/>
  <c r="E10" i="7"/>
  <c r="E11" i="7"/>
  <c r="E12" i="7"/>
  <c r="E13" i="7"/>
  <c r="E14" i="7"/>
  <c r="E15" i="7"/>
  <c r="K5" i="7"/>
  <c r="K6" i="7"/>
  <c r="K7" i="7"/>
  <c r="K8" i="7"/>
  <c r="K9" i="7"/>
  <c r="K10" i="7"/>
  <c r="K11" i="7"/>
  <c r="K12" i="7"/>
  <c r="K13" i="7"/>
  <c r="K14" i="7"/>
  <c r="K15" i="7"/>
  <c r="AD37" i="1"/>
  <c r="AD38" i="1"/>
  <c r="AD39" i="1"/>
  <c r="AD31" i="1"/>
  <c r="AD32" i="1"/>
  <c r="AD33" i="1"/>
  <c r="AD34" i="1"/>
  <c r="AD35" i="1"/>
  <c r="AD25" i="1"/>
  <c r="AD26" i="1"/>
  <c r="AD27" i="1"/>
  <c r="AD28" i="1"/>
  <c r="AD29" i="1"/>
  <c r="AD30" i="1"/>
  <c r="AD24" i="1"/>
  <c r="AD23" i="1"/>
  <c r="AD22" i="1"/>
  <c r="AD20" i="1"/>
  <c r="AD21" i="1"/>
  <c r="AD16" i="1"/>
  <c r="AD17" i="1"/>
  <c r="AD18" i="1"/>
  <c r="AD19" i="1"/>
  <c r="AD14" i="1"/>
  <c r="AD15" i="1"/>
  <c r="AD13" i="1"/>
  <c r="AD12" i="1"/>
  <c r="AD8" i="1"/>
  <c r="AD9" i="1"/>
  <c r="AD10" i="1"/>
  <c r="AD11" i="1"/>
  <c r="AD6" i="1"/>
  <c r="AD7" i="1"/>
  <c r="AD2" i="1"/>
  <c r="AD3" i="1"/>
  <c r="AD4" i="1"/>
  <c r="AD5" i="1"/>
  <c r="AD36" i="1"/>
  <c r="AC34" i="1"/>
  <c r="AC19" i="1"/>
  <c r="AB26" i="1"/>
  <c r="AB27" i="1"/>
  <c r="AA26" i="1"/>
  <c r="AA27" i="1"/>
  <c r="AA13" i="1"/>
  <c r="AA12" i="1"/>
  <c r="Z37" i="1"/>
  <c r="AA37" i="1" s="1"/>
  <c r="Z38" i="1"/>
  <c r="AA38" i="1" s="1"/>
  <c r="Z39" i="1"/>
  <c r="AA39" i="1" s="1"/>
  <c r="Z31" i="1"/>
  <c r="AA31" i="1" s="1"/>
  <c r="Z32" i="1"/>
  <c r="AA32" i="1" s="1"/>
  <c r="Z26" i="1"/>
  <c r="Z27" i="1"/>
  <c r="Z28" i="1"/>
  <c r="AA28" i="1" s="1"/>
  <c r="AB28" i="1" s="1"/>
  <c r="Z29" i="1"/>
  <c r="AA29" i="1" s="1"/>
  <c r="AB29" i="1" s="1"/>
  <c r="Z30" i="1"/>
  <c r="AA30" i="1" s="1"/>
  <c r="AB30" i="1" s="1"/>
  <c r="Z24" i="1"/>
  <c r="AA24" i="1" s="1"/>
  <c r="AB24" i="1" s="1"/>
  <c r="Z23" i="1"/>
  <c r="AA23" i="1" s="1"/>
  <c r="Z22" i="1"/>
  <c r="AA22" i="1" s="1"/>
  <c r="Z20" i="1"/>
  <c r="AA20" i="1" s="1"/>
  <c r="Z21" i="1"/>
  <c r="AA21" i="1" s="1"/>
  <c r="Z16" i="1"/>
  <c r="AA16" i="1" s="1"/>
  <c r="Z17" i="1"/>
  <c r="AA17" i="1" s="1"/>
  <c r="Z13" i="1"/>
  <c r="Z12" i="1"/>
  <c r="Z8" i="1"/>
  <c r="AA8" i="1" s="1"/>
  <c r="Z9" i="1"/>
  <c r="AA9" i="1" s="1"/>
  <c r="Z10" i="1"/>
  <c r="AA10" i="1" s="1"/>
  <c r="Z11" i="1"/>
  <c r="AA11" i="1" s="1"/>
  <c r="Z6" i="1"/>
  <c r="AA6" i="1" s="1"/>
  <c r="Z7" i="1"/>
  <c r="AA7" i="1" s="1"/>
  <c r="Z2" i="1"/>
  <c r="AA2" i="1" s="1"/>
  <c r="Z3" i="1"/>
  <c r="AA3" i="1" s="1"/>
  <c r="Z4" i="1"/>
  <c r="AA4" i="1" s="1"/>
  <c r="Z5" i="1"/>
  <c r="AA5" i="1" s="1"/>
  <c r="Y26" i="1"/>
  <c r="Y27" i="1"/>
  <c r="Y28" i="1"/>
  <c r="Y29" i="1"/>
  <c r="Y30" i="1"/>
  <c r="Y24" i="1"/>
  <c r="Y13" i="1"/>
  <c r="AB13" i="1" s="1"/>
  <c r="Y12" i="1"/>
  <c r="AB12" i="1" s="1"/>
  <c r="Y8" i="1"/>
  <c r="Y9" i="1"/>
  <c r="Y10" i="1"/>
  <c r="AB10" i="1" s="1"/>
  <c r="Y11" i="1"/>
  <c r="AB11" i="1" s="1"/>
  <c r="X37" i="1"/>
  <c r="Y37" i="1" s="1"/>
  <c r="AB37" i="1" s="1"/>
  <c r="X38" i="1"/>
  <c r="Y38" i="1" s="1"/>
  <c r="AB38" i="1" s="1"/>
  <c r="X39" i="1"/>
  <c r="Y39" i="1" s="1"/>
  <c r="AB39" i="1" s="1"/>
  <c r="X31" i="1"/>
  <c r="Y31" i="1" s="1"/>
  <c r="AB31" i="1" s="1"/>
  <c r="X32" i="1"/>
  <c r="Y32" i="1" s="1"/>
  <c r="AB32" i="1" s="1"/>
  <c r="X33" i="1"/>
  <c r="Z33" i="1" s="1"/>
  <c r="AA33" i="1" s="1"/>
  <c r="X34" i="1"/>
  <c r="Y34" i="1" s="1"/>
  <c r="X35" i="1"/>
  <c r="Y35" i="1" s="1"/>
  <c r="X25" i="1"/>
  <c r="Z25" i="1" s="1"/>
  <c r="AA25" i="1" s="1"/>
  <c r="X26" i="1"/>
  <c r="X27" i="1"/>
  <c r="X28" i="1"/>
  <c r="X29" i="1"/>
  <c r="X30" i="1"/>
  <c r="X24" i="1"/>
  <c r="X23" i="1"/>
  <c r="Y23" i="1" s="1"/>
  <c r="X22" i="1"/>
  <c r="Y22" i="1" s="1"/>
  <c r="AB22" i="1" s="1"/>
  <c r="X20" i="1"/>
  <c r="Y20" i="1" s="1"/>
  <c r="X21" i="1"/>
  <c r="Y21" i="1" s="1"/>
  <c r="X16" i="1"/>
  <c r="Y16" i="1" s="1"/>
  <c r="AB16" i="1" s="1"/>
  <c r="X17" i="1"/>
  <c r="Y17" i="1" s="1"/>
  <c r="AB17" i="1" s="1"/>
  <c r="X18" i="1"/>
  <c r="Z18" i="1" s="1"/>
  <c r="AA18" i="1" s="1"/>
  <c r="X19" i="1"/>
  <c r="Z19" i="1" s="1"/>
  <c r="AA19" i="1" s="1"/>
  <c r="X14" i="1"/>
  <c r="Z14" i="1" s="1"/>
  <c r="AA14" i="1" s="1"/>
  <c r="X15" i="1"/>
  <c r="Z15" i="1" s="1"/>
  <c r="AA15" i="1" s="1"/>
  <c r="X13" i="1"/>
  <c r="X12" i="1"/>
  <c r="X8" i="1"/>
  <c r="X9" i="1"/>
  <c r="X10" i="1"/>
  <c r="X11" i="1"/>
  <c r="X6" i="1"/>
  <c r="Y6" i="1" s="1"/>
  <c r="AB6" i="1" s="1"/>
  <c r="X7" i="1"/>
  <c r="Y7" i="1" s="1"/>
  <c r="AB7" i="1" s="1"/>
  <c r="X2" i="1"/>
  <c r="Y2" i="1" s="1"/>
  <c r="AB2" i="1" s="1"/>
  <c r="X3" i="1"/>
  <c r="Y3" i="1" s="1"/>
  <c r="AB3" i="1" s="1"/>
  <c r="X4" i="1"/>
  <c r="Y4" i="1" s="1"/>
  <c r="AB4" i="1" s="1"/>
  <c r="X5" i="1"/>
  <c r="Y5" i="1" s="1"/>
  <c r="AB5" i="1" s="1"/>
  <c r="X36" i="1"/>
  <c r="Z36" i="1" s="1"/>
  <c r="AA36" i="1" s="1"/>
  <c r="W37" i="1"/>
  <c r="AC37" i="1" s="1"/>
  <c r="W38" i="1"/>
  <c r="AC38" i="1" s="1"/>
  <c r="W39" i="1"/>
  <c r="AC39" i="1" s="1"/>
  <c r="W31" i="1"/>
  <c r="AC31" i="1" s="1"/>
  <c r="W32" i="1"/>
  <c r="AC32" i="1" s="1"/>
  <c r="W33" i="1"/>
  <c r="AC33" i="1" s="1"/>
  <c r="W34" i="1"/>
  <c r="W35" i="1"/>
  <c r="AC35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24" i="1"/>
  <c r="AC24" i="1" s="1"/>
  <c r="W23" i="1"/>
  <c r="AC23" i="1" s="1"/>
  <c r="W22" i="1"/>
  <c r="AC22" i="1" s="1"/>
  <c r="W20" i="1"/>
  <c r="AC20" i="1" s="1"/>
  <c r="W21" i="1"/>
  <c r="AC21" i="1" s="1"/>
  <c r="W16" i="1"/>
  <c r="AC16" i="1" s="1"/>
  <c r="W17" i="1"/>
  <c r="AC17" i="1" s="1"/>
  <c r="W18" i="1"/>
  <c r="AC18" i="1" s="1"/>
  <c r="W19" i="1"/>
  <c r="W14" i="1"/>
  <c r="AC14" i="1" s="1"/>
  <c r="W15" i="1"/>
  <c r="AC15" i="1" s="1"/>
  <c r="W13" i="1"/>
  <c r="AC13" i="1" s="1"/>
  <c r="W12" i="1"/>
  <c r="AC12" i="1" s="1"/>
  <c r="W8" i="1"/>
  <c r="AC8" i="1" s="1"/>
  <c r="W9" i="1"/>
  <c r="AC9" i="1" s="1"/>
  <c r="W10" i="1"/>
  <c r="AC10" i="1" s="1"/>
  <c r="W11" i="1"/>
  <c r="AC11" i="1" s="1"/>
  <c r="W6" i="1"/>
  <c r="AC6" i="1" s="1"/>
  <c r="W7" i="1"/>
  <c r="AC7" i="1" s="1"/>
  <c r="W2" i="1"/>
  <c r="AC2" i="1" s="1"/>
  <c r="W3" i="1"/>
  <c r="AC3" i="1" s="1"/>
  <c r="W4" i="1"/>
  <c r="AC4" i="1" s="1"/>
  <c r="W5" i="1"/>
  <c r="AC5" i="1" s="1"/>
  <c r="W36" i="1"/>
  <c r="AC36" i="1" s="1"/>
  <c r="O21" i="9"/>
  <c r="O20" i="9"/>
  <c r="M21" i="9"/>
  <c r="M20" i="9"/>
  <c r="M11" i="9"/>
  <c r="M12" i="9"/>
  <c r="M13" i="9"/>
  <c r="M14" i="9"/>
  <c r="M15" i="9"/>
  <c r="K16" i="9"/>
  <c r="M10" i="9"/>
  <c r="O4" i="9"/>
  <c r="L4" i="9"/>
  <c r="M4" i="9"/>
  <c r="L3" i="9"/>
  <c r="AB20" i="1" l="1"/>
  <c r="AB9" i="1"/>
  <c r="AB8" i="1"/>
  <c r="AB21" i="1"/>
  <c r="AB23" i="1"/>
  <c r="Y15" i="1"/>
  <c r="AB15" i="1" s="1"/>
  <c r="Y25" i="1"/>
  <c r="AB25" i="1" s="1"/>
  <c r="Y14" i="1"/>
  <c r="AB14" i="1" s="1"/>
  <c r="Y19" i="1"/>
  <c r="AB19" i="1" s="1"/>
  <c r="Y36" i="1"/>
  <c r="AB36" i="1" s="1"/>
  <c r="Y33" i="1"/>
  <c r="AB33" i="1" s="1"/>
  <c r="Z35" i="1"/>
  <c r="AA35" i="1" s="1"/>
  <c r="AB35" i="1" s="1"/>
  <c r="Z34" i="1"/>
  <c r="AA34" i="1" s="1"/>
  <c r="AB34" i="1" s="1"/>
  <c r="Y18" i="1"/>
  <c r="AB18" i="1" s="1"/>
  <c r="M16" i="9"/>
  <c r="L16" i="9" s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5" i="3"/>
  <c r="J2" i="7"/>
  <c r="K2" i="7" s="1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5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6" i="9"/>
  <c r="A27" i="9" l="1"/>
  <c r="A52" i="9"/>
  <c r="A77" i="9"/>
  <c r="A2" i="9"/>
  <c r="P10" i="7" l="1"/>
  <c r="J10" i="7"/>
  <c r="D10" i="7"/>
  <c r="P9" i="7"/>
  <c r="J9" i="7"/>
  <c r="D9" i="7"/>
  <c r="P5" i="7"/>
  <c r="J5" i="7"/>
  <c r="D5" i="7"/>
  <c r="D3" i="7"/>
  <c r="E3" i="7" s="1"/>
  <c r="D4" i="7"/>
  <c r="E4" i="7" s="1"/>
  <c r="D6" i="7"/>
  <c r="D7" i="7"/>
  <c r="D8" i="7"/>
  <c r="D11" i="7"/>
  <c r="D12" i="7"/>
  <c r="D13" i="7"/>
  <c r="D14" i="7"/>
  <c r="D15" i="7"/>
  <c r="D2" i="7"/>
  <c r="E2" i="7" s="1"/>
  <c r="P3" i="7"/>
  <c r="Q3" i="7" s="1"/>
  <c r="P4" i="7"/>
  <c r="Q4" i="7" s="1"/>
  <c r="P6" i="7"/>
  <c r="P7" i="7"/>
  <c r="P8" i="7"/>
  <c r="P11" i="7"/>
  <c r="P12" i="7"/>
  <c r="P13" i="7"/>
  <c r="P14" i="7"/>
  <c r="P15" i="7"/>
  <c r="J3" i="7"/>
  <c r="K3" i="7" s="1"/>
  <c r="J4" i="7"/>
  <c r="K4" i="7" s="1"/>
  <c r="J6" i="7"/>
  <c r="J7" i="7"/>
  <c r="J8" i="7"/>
  <c r="J11" i="7"/>
  <c r="J12" i="7"/>
  <c r="J13" i="7"/>
  <c r="J14" i="7"/>
  <c r="J15" i="7"/>
  <c r="P2" i="7"/>
  <c r="Q2" i="7" s="1"/>
  <c r="R4" i="7" l="1"/>
  <c r="S4" i="7" s="1"/>
  <c r="R13" i="7"/>
  <c r="S13" i="7" s="1"/>
  <c r="R15" i="7"/>
  <c r="S15" i="7" s="1"/>
  <c r="R7" i="7"/>
  <c r="S7" i="7" s="1"/>
  <c r="R5" i="7"/>
  <c r="S5" i="7" s="1"/>
  <c r="R11" i="7"/>
  <c r="S11" i="7" s="1"/>
  <c r="R14" i="7"/>
  <c r="S14" i="7" s="1"/>
  <c r="R3" i="7"/>
  <c r="S3" i="7" s="1"/>
  <c r="R9" i="7"/>
  <c r="S9" i="7" s="1"/>
  <c r="R2" i="7"/>
  <c r="S2" i="7" s="1"/>
  <c r="R12" i="7"/>
  <c r="S12" i="7" s="1"/>
  <c r="R6" i="7"/>
  <c r="S6" i="7" s="1"/>
  <c r="R10" i="7"/>
  <c r="S10" i="7" s="1"/>
  <c r="R8" i="7"/>
  <c r="S8" i="7" s="1"/>
</calcChain>
</file>

<file path=xl/sharedStrings.xml><?xml version="1.0" encoding="utf-8"?>
<sst xmlns="http://schemas.openxmlformats.org/spreadsheetml/2006/main" count="893" uniqueCount="163">
  <si>
    <t>Trade Date</t>
  </si>
  <si>
    <t>Contract Descriptor</t>
  </si>
  <si>
    <t>Exch</t>
  </si>
  <si>
    <t>Action</t>
  </si>
  <si>
    <t>Qty</t>
  </si>
  <si>
    <t>Price</t>
  </si>
  <si>
    <t>Value</t>
  </si>
  <si>
    <t>Order Ref.</t>
  </si>
  <si>
    <t>Transaction Charges</t>
  </si>
  <si>
    <t>Stamp Duty</t>
  </si>
  <si>
    <t>SEBI Turnover Charges</t>
  </si>
  <si>
    <t>Brokerage</t>
  </si>
  <si>
    <t>Total Charges</t>
  </si>
  <si>
    <t>Sell</t>
  </si>
  <si>
    <t>Buy</t>
  </si>
  <si>
    <t>CalYear</t>
  </si>
  <si>
    <t>CalMonth</t>
  </si>
  <si>
    <t>FinYear</t>
  </si>
  <si>
    <t>FinMonth</t>
  </si>
  <si>
    <t>MonthName</t>
  </si>
  <si>
    <t>FinMonth2</t>
  </si>
  <si>
    <t>FinPeriod</t>
  </si>
  <si>
    <t>Grand Total</t>
  </si>
  <si>
    <t>Amount</t>
  </si>
  <si>
    <t>Sum of Amount</t>
  </si>
  <si>
    <t>call OI</t>
  </si>
  <si>
    <t>Put OI</t>
  </si>
  <si>
    <t>Diff</t>
  </si>
  <si>
    <t>Go with</t>
  </si>
  <si>
    <t>low</t>
  </si>
  <si>
    <t>middle</t>
  </si>
  <si>
    <t>high</t>
  </si>
  <si>
    <t>Strong Call</t>
  </si>
  <si>
    <t>Turning to Put</t>
  </si>
  <si>
    <t>waiting for call breakout</t>
  </si>
  <si>
    <t>NA</t>
  </si>
  <si>
    <t>Turning to Call</t>
  </si>
  <si>
    <t>Put</t>
  </si>
  <si>
    <t>Strong Put</t>
  </si>
  <si>
    <t>Rangebound</t>
  </si>
  <si>
    <t>Call</t>
  </si>
  <si>
    <t>Wait</t>
  </si>
  <si>
    <t>Rangebound to break</t>
  </si>
  <si>
    <t>ColA</t>
  </si>
  <si>
    <t>Strategy</t>
  </si>
  <si>
    <t>Breakout to Happen</t>
  </si>
  <si>
    <t>Outcome</t>
  </si>
  <si>
    <t>Bal</t>
  </si>
  <si>
    <t>Feb-25</t>
  </si>
  <si>
    <t>Stop Loss Followed</t>
  </si>
  <si>
    <t>Later Trading</t>
  </si>
  <si>
    <t>Opposite Trading</t>
  </si>
  <si>
    <t>202411</t>
  </si>
  <si>
    <t>RoundTotal</t>
  </si>
  <si>
    <t>In Hand</t>
  </si>
  <si>
    <t>Avl for Trade</t>
  </si>
  <si>
    <t>Trade Amnt 1</t>
  </si>
  <si>
    <t>Trade Amnt 2</t>
  </si>
  <si>
    <t>Trade Amnt 3</t>
  </si>
  <si>
    <t>Amnt Total</t>
  </si>
  <si>
    <t>Continous Strong Put/Call implies Rangebound Trade</t>
  </si>
  <si>
    <t>Qty Unit</t>
  </si>
  <si>
    <t>Price Unit</t>
  </si>
  <si>
    <t>Price Multiplier</t>
  </si>
  <si>
    <t>General Multiplier</t>
  </si>
  <si>
    <t>Taxes(Incl of all charges)</t>
  </si>
  <si>
    <t>Contract Note no.</t>
  </si>
  <si>
    <t>Commodity Transaction Tax-CTT</t>
  </si>
  <si>
    <t>GST</t>
  </si>
  <si>
    <t>OPT-NATGAS-23-Apr-2025-350-P-E-C</t>
  </si>
  <si>
    <t>MCX</t>
  </si>
  <si>
    <t>mmBtu</t>
  </si>
  <si>
    <t>RS/1mmBtu</t>
  </si>
  <si>
    <t>#20250403X200043386</t>
  </si>
  <si>
    <t>#20250403X200025493</t>
  </si>
  <si>
    <t>#20250403X200022084</t>
  </si>
  <si>
    <t>#20250403X200016737</t>
  </si>
  <si>
    <t>OPT-NATGAS-23-Apr-2025-355-C-E-C</t>
  </si>
  <si>
    <t>#20250401X200017468</t>
  </si>
  <si>
    <t>#20250401X200016241</t>
  </si>
  <si>
    <t>#20250401X200010085</t>
  </si>
  <si>
    <t>#20250401X200009828</t>
  </si>
  <si>
    <t>#20250401X200009747</t>
  </si>
  <si>
    <t>#20250331X200017675</t>
  </si>
  <si>
    <t>#20250331X200012513</t>
  </si>
  <si>
    <t>#20250331X200012374</t>
  </si>
  <si>
    <t>#20250331X200012297</t>
  </si>
  <si>
    <t>#20250331X200011963</t>
  </si>
  <si>
    <t>#20250331X200009205</t>
  </si>
  <si>
    <t>OPT-NATGAS-24-Mar-2025-380-C-E-C</t>
  </si>
  <si>
    <t>#20250321X100002955</t>
  </si>
  <si>
    <t>#20250320X200015603</t>
  </si>
  <si>
    <t>#20250317X200016470</t>
  </si>
  <si>
    <t>#20250313X200020104</t>
  </si>
  <si>
    <t>#20250313X200003686</t>
  </si>
  <si>
    <t>#20250312X200027198</t>
  </si>
  <si>
    <t>#20250312X200011343</t>
  </si>
  <si>
    <t>#20250312X200010002</t>
  </si>
  <si>
    <t>#20250312X200008644</t>
  </si>
  <si>
    <t>OPT-NATGAS-24-Mar-2025-350-P-E-C</t>
  </si>
  <si>
    <t>#20250307X200026889</t>
  </si>
  <si>
    <t>#20250307X200026721</t>
  </si>
  <si>
    <t>OPT-NATGAS-24-Mar-2025-360-P-E-C</t>
  </si>
  <si>
    <t>#20250305X200000421</t>
  </si>
  <si>
    <t>#20250304X200016399</t>
  </si>
  <si>
    <t>OPT-NATGAS-24-Mar-2025-335-C-E-C</t>
  </si>
  <si>
    <t>#20250228X200020899</t>
  </si>
  <si>
    <t>#20250228X200020080</t>
  </si>
  <si>
    <t>#20250228X200013675</t>
  </si>
  <si>
    <t>#20250228X200013025</t>
  </si>
  <si>
    <t>OPT-NATGAS-21-Feb-2025-355-C-E-C</t>
  </si>
  <si>
    <t>#20250220X200024928</t>
  </si>
  <si>
    <t>#20250220X200024482</t>
  </si>
  <si>
    <t>OPT-NATGAS-21-Feb-2025-360-C-E-C</t>
  </si>
  <si>
    <t>#20250219X100041262</t>
  </si>
  <si>
    <t>#20250219X100038552</t>
  </si>
  <si>
    <t>OPT-NATGAS-21-Feb-2025-350-C-E-C</t>
  </si>
  <si>
    <t>#20250219X100033469</t>
  </si>
  <si>
    <t>#20250219X100033297</t>
  </si>
  <si>
    <t>202501</t>
  </si>
  <si>
    <t>Apr-25</t>
  </si>
  <si>
    <t>202412</t>
  </si>
  <si>
    <t>Mar-25</t>
  </si>
  <si>
    <t>Checklist</t>
  </si>
  <si>
    <t>Values</t>
  </si>
  <si>
    <t>Daytype</t>
  </si>
  <si>
    <t>Normal/Expiry/Critical</t>
  </si>
  <si>
    <t>Normal</t>
  </si>
  <si>
    <t>Expiry</t>
  </si>
  <si>
    <t>Critical</t>
  </si>
  <si>
    <t>OI Favourable</t>
  </si>
  <si>
    <t>Normal/Rangebound/Volatile</t>
  </si>
  <si>
    <t>Indicators Favourable</t>
  </si>
  <si>
    <t>YES/NO</t>
  </si>
  <si>
    <t>YES</t>
  </si>
  <si>
    <t>NO</t>
  </si>
  <si>
    <t>CD Pattern</t>
  </si>
  <si>
    <t>Horizontal/Vertical/Fooling/Spinning</t>
  </si>
  <si>
    <t>Spinning</t>
  </si>
  <si>
    <t>Horizontal</t>
  </si>
  <si>
    <t>Fooling</t>
  </si>
  <si>
    <t>Vertical</t>
  </si>
  <si>
    <t>Triangle Pattern</t>
  </si>
  <si>
    <t>SL: Prev Candle bottom</t>
  </si>
  <si>
    <t>Reversal Bulk Buy</t>
  </si>
  <si>
    <t>Hurry Buy</t>
  </si>
  <si>
    <t>Pulse</t>
  </si>
  <si>
    <t>Normal/Fear/Careless/Greed</t>
  </si>
  <si>
    <t>Greed</t>
  </si>
  <si>
    <t>Fear</t>
  </si>
  <si>
    <t>Careless</t>
  </si>
  <si>
    <t>15 Mins Period</t>
  </si>
  <si>
    <t>Situation Based Trade</t>
  </si>
  <si>
    <t>Trade Level</t>
  </si>
  <si>
    <t>Trade Quality</t>
  </si>
  <si>
    <t>Total Lots</t>
  </si>
  <si>
    <t>Estimated P/L</t>
  </si>
  <si>
    <t>Actual P/L</t>
  </si>
  <si>
    <t>Commission</t>
  </si>
  <si>
    <t>Tax</t>
  </si>
  <si>
    <t>Column1</t>
  </si>
  <si>
    <t>Volatile</t>
  </si>
  <si>
    <t>Bought below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</si>
</sst>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15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2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2" fontId="1" fillId="4" borderId="1" xfId="0" applyNumberFormat="1" applyFont="1" applyFill="1" applyBorder="1"/>
    <xf numFmtId="0" fontId="1" fillId="4" borderId="1" xfId="0" applyFont="1" applyFill="1" applyBorder="1"/>
    <xf numFmtId="1" fontId="0" fillId="0" borderId="0" xfId="0" applyNumberFormat="1"/>
    <xf numFmtId="9" fontId="0" fillId="0" borderId="0" xfId="1" applyFont="1"/>
    <xf numFmtId="49" fontId="0" fillId="0" borderId="0" xfId="0" applyNumberFormat="1"/>
    <xf numFmtId="0" fontId="1" fillId="5" borderId="1" xfId="0" applyFont="1" applyFill="1" applyBorder="1"/>
    <xf numFmtId="15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1" fillId="7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20" fontId="0" fillId="0" borderId="0" xfId="0" applyNumberFormat="1"/>
    <xf numFmtId="1" fontId="0" fillId="0" borderId="0" xfId="0" applyNumberFormat="1" applyAlignment="1">
      <alignment horizontal="right"/>
    </xf>
    <xf numFmtId="2" fontId="1" fillId="10" borderId="0" xfId="0" applyNumberFormat="1" applyFont="1" applyFill="1"/>
    <xf numFmtId="2" fontId="1" fillId="8" borderId="0" xfId="0" applyNumberFormat="1" applyFont="1" applyFill="1"/>
    <xf numFmtId="2" fontId="0" fillId="10" borderId="0" xfId="0" applyNumberFormat="1" applyFill="1"/>
    <xf numFmtId="0" fontId="5" fillId="0" borderId="1" xfId="0" applyFont="1" applyBorder="1"/>
    <xf numFmtId="20" fontId="3" fillId="0" borderId="0" xfId="0" applyNumberFormat="1" applyFont="1"/>
  </cellXfs>
  <cellStyles count="2">
    <cellStyle name="Normal" xfId="0" builtinId="0"/>
    <cellStyle name="Percent" xfId="1" builtinId="5"/>
  </cellStyles>
  <dxfs count="1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[Commodities.xlsx]Pivot!PivotTable2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</c:marker>
        <c:dLbl>
          <c:idx val="0"/>
          <c:numFmt formatCode="#,##0" sourceLinked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</c:marker>
          <c:dLbls>
            <c:numFmt formatCode="#,##0" sourceLinked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Pivot!$H$5:$I$8</c:f>
              <c:multiLvlStrCache>
                <c:ptCount val="3"/>
                <c:lvl>
                  <c:pt idx="0">
                    <c:v>Feb-25</c:v>
                  </c:pt>
                  <c:pt idx="1">
                    <c:v>Mar-25</c:v>
                  </c:pt>
                  <c:pt idx="2">
                    <c:v>Apr-25</c:v>
                  </c:pt>
                </c:lvl>
                <c:lvl>
                  <c:pt idx="0">
                    <c:v>202411</c:v>
                  </c:pt>
                  <c:pt idx="1">
                    <c:v>202412</c:v>
                  </c:pt>
                  <c:pt idx="2">
                    <c:v>202501</c:v>
                  </c:pt>
                </c:lvl>
              </c:multiLvlStrCache>
            </c:multiLvlStrRef>
          </c:cat>
          <c:val>
            <c:numRef>
              <c:f>Pivot!$J$5:$J$8</c:f>
              <c:numCache>
                <c:formatCode>0.00</c:formatCode>
                <c:ptCount val="3"/>
                <c:pt idx="0">
                  <c:v>2730.9199999999983</c:v>
                </c:pt>
                <c:pt idx="1">
                  <c:v>-39528.520000000004</c:v>
                </c:pt>
                <c:pt idx="2">
                  <c:v>-19301.259999999995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B-4E04-AB74-5406CB66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001791"/>
        <c:axId val="568002751"/>
      </c:lineChart>
      <c:catAx>
        <c:axId val="5680017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2751"/>
        <c:crosses val="max"/>
        <c:auto val="1"/>
        <c:lblAlgn val="ctr"/>
        <c:lblOffset val="100"/>
        <c:noMultiLvlLbl val="0"/>
      </c:catAx>
      <c:valAx>
        <c:axId val="5680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14287</xdr:rowOff>
    </xdr:from>
    <xdr:to>
      <xdr:col>11</xdr:col>
      <xdr:colOff>923925</xdr:colOff>
      <xdr:row>34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6B41E-A418-21AC-91AD-B928146A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5751.370166550929" createdVersion="8" refreshedVersion="8" minRefreshableVersion="3" recordCount="944" xr:uid="{B0F7018B-68E4-420F-BDBE-BB63515F5B04}">
  <cacheSource type="worksheet">
    <worksheetSource ref="A1:AD1048576" sheet="Details"/>
  </cacheSource>
  <cacheFields count="30">
    <cacheField name="Trade Date" numFmtId="0">
      <sharedItems containsNonDate="0" containsDate="1" containsString="0" containsBlank="1" minDate="2025-02-19T00:00:00" maxDate="2025-04-04T00:00:00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 count="3">
        <s v="Sell"/>
        <s v="Buy"/>
        <m/>
      </sharedItems>
    </cacheField>
    <cacheField name="Qty" numFmtId="0">
      <sharedItems containsString="0" containsBlank="1" containsNumber="1" containsInteger="1" minValue="1250" maxValue="5000"/>
    </cacheField>
    <cacheField name="Qty Unit" numFmtId="0">
      <sharedItems containsBlank="1"/>
    </cacheField>
    <cacheField name="Price" numFmtId="0">
      <sharedItems containsString="0" containsBlank="1" containsNumber="1" minValue="0.55000000000000004" maxValue="23.2"/>
    </cacheField>
    <cacheField name="Price Unit" numFmtId="0">
      <sharedItems containsBlank="1"/>
    </cacheField>
    <cacheField name="Price Multiplier" numFmtId="0">
      <sharedItems containsString="0" containsBlank="1" containsNumber="1" containsInteger="1" minValue="1" maxValue="1"/>
    </cacheField>
    <cacheField name="General Multiplier" numFmtId="0">
      <sharedItems containsString="0" containsBlank="1" containsNumber="1" containsInteger="1" minValue="1" maxValue="1"/>
    </cacheField>
    <cacheField name="Value" numFmtId="0">
      <sharedItems containsString="0" containsBlank="1" containsNumber="1" minValue="2750" maxValue="48625"/>
    </cacheField>
    <cacheField name="Brokerage" numFmtId="0">
      <sharedItems containsString="0" containsBlank="1" containsNumber="1" containsInteger="1" minValue="20" maxValue="20"/>
    </cacheField>
    <cacheField name="Taxes(Incl of all charges)" numFmtId="0">
      <sharedItems containsString="0" containsBlank="1" containsNumber="1" minValue="5.4" maxValue="48.61"/>
    </cacheField>
    <cacheField name="Order Ref." numFmtId="0">
      <sharedItems containsBlank="1"/>
    </cacheField>
    <cacheField name="Contract Note no." numFmtId="0">
      <sharedItems containsBlank="1"/>
    </cacheField>
    <cacheField name="Commodity Transaction Tax-CTT" numFmtId="0">
      <sharedItems containsString="0" containsBlank="1" containsNumber="1" minValue="0" maxValue="22.63"/>
    </cacheField>
    <cacheField name="Transaction Charges" numFmtId="0">
      <sharedItems containsString="0" containsBlank="1" containsNumber="1" minValue="1.1499999999999999" maxValue="20.329999999999998"/>
    </cacheField>
    <cacheField name="Stamp Duty" numFmtId="0">
      <sharedItems containsString="0" containsBlank="1" containsNumber="1" minValue="0" maxValue="2.92"/>
    </cacheField>
    <cacheField name="SEBI Turnover Charges" numFmtId="0">
      <sharedItems containsString="0" containsBlank="1" containsNumber="1" minValue="0" maxValue="0.05"/>
    </cacheField>
    <cacheField name="Brokerage2" numFmtId="0">
      <sharedItems containsString="0" containsBlank="1" containsNumber="1" containsInteger="1" minValue="20" maxValue="20"/>
    </cacheField>
    <cacheField name="GST" numFmtId="0">
      <sharedItems containsString="0" containsBlank="1" containsNumber="1" minValue="3.8" maxValue="7.26"/>
    </cacheField>
    <cacheField name="Total Charges" numFmtId="0">
      <sharedItems containsString="0" containsBlank="1" containsNumber="1" minValue="25.4" maxValue="68.61"/>
    </cacheField>
    <cacheField name="CalYear" numFmtId="0">
      <sharedItems containsString="0" containsBlank="1" containsNumber="1" containsInteger="1" minValue="2025" maxValue="2025"/>
    </cacheField>
    <cacheField name="CalMonth" numFmtId="1">
      <sharedItems containsString="0" containsBlank="1" containsNumber="1" containsInteger="1" minValue="2" maxValue="4"/>
    </cacheField>
    <cacheField name="FinYear" numFmtId="0">
      <sharedItems containsString="0" containsBlank="1" containsNumber="1" containsInteger="1" minValue="2024" maxValue="2025"/>
    </cacheField>
    <cacheField name="FinMonth" numFmtId="0">
      <sharedItems containsString="0" containsBlank="1" containsNumber="1" containsInteger="1" minValue="1" maxValue="12"/>
    </cacheField>
    <cacheField name="FinMonth2" numFmtId="49">
      <sharedItems containsBlank="1" containsMixedTypes="1" containsNumber="1" containsInteger="1" minValue="11" maxValue="12"/>
    </cacheField>
    <cacheField name="FinPeriod" numFmtId="0">
      <sharedItems containsBlank="1" count="4">
        <s v="202501"/>
        <s v="202412"/>
        <s v="202411"/>
        <m/>
      </sharedItems>
    </cacheField>
    <cacheField name="MonthName" numFmtId="0">
      <sharedItems containsBlank="1" count="4">
        <s v="Apr-25"/>
        <s v="Mar-25"/>
        <s v="Feb-25"/>
        <m/>
      </sharedItems>
    </cacheField>
    <cacheField name="Amount" numFmtId="2">
      <sharedItems containsString="0" containsBlank="1" containsNumber="1" minValue="-48706.12" maxValue="45132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">
  <r>
    <d v="2025-04-03T00:00:00"/>
    <s v="OPT-NATGAS-23-Apr-2025-350-P-E-C"/>
    <s v="MCX"/>
    <x v="0"/>
    <n v="1250"/>
    <s v="mmBtu"/>
    <n v="15.3"/>
    <s v="RS/1mmBtu"/>
    <n v="1"/>
    <n v="1"/>
    <n v="19125"/>
    <n v="20"/>
    <n v="22.61"/>
    <s v="#20250403X200043386"/>
    <s v="#20250403X200043386"/>
    <n v="9.56"/>
    <n v="7.99"/>
    <n v="0"/>
    <n v="0.02"/>
    <n v="20"/>
    <n v="5.04"/>
    <n v="42.61"/>
    <n v="2025"/>
    <n v="4"/>
    <n v="2025"/>
    <n v="1"/>
    <s v="01"/>
    <x v="0"/>
    <x v="0"/>
    <n v="19059.78"/>
  </r>
  <r>
    <d v="2025-04-03T00:00:00"/>
    <s v="OPT-NATGAS-23-Apr-2025-350-P-E-C"/>
    <s v="MCX"/>
    <x v="1"/>
    <n v="1250"/>
    <s v="mmBtu"/>
    <n v="16.8"/>
    <s v="RS/1mmBtu"/>
    <n v="1"/>
    <n v="1"/>
    <n v="21000"/>
    <n v="20"/>
    <n v="13.98"/>
    <s v="#20250403X200025493"/>
    <s v="#20250403X200025493"/>
    <n v="0"/>
    <n v="8.7799999999999994"/>
    <n v="0"/>
    <n v="0.02"/>
    <n v="20"/>
    <n v="5.18"/>
    <n v="33.979999999999997"/>
    <n v="2025"/>
    <n v="4"/>
    <n v="2025"/>
    <n v="1"/>
    <s v="01"/>
    <x v="0"/>
    <x v="0"/>
    <n v="-21047.96"/>
  </r>
  <r>
    <d v="2025-04-03T00:00:00"/>
    <s v="OPT-NATGAS-23-Apr-2025-350-P-E-C"/>
    <s v="MCX"/>
    <x v="0"/>
    <n v="1250"/>
    <s v="mmBtu"/>
    <n v="15.4"/>
    <s v="RS/1mmBtu"/>
    <n v="1"/>
    <n v="1"/>
    <n v="19250"/>
    <n v="20"/>
    <n v="22.57"/>
    <s v="#20250403X200022084"/>
    <s v="#20250403X200022084"/>
    <n v="9.44"/>
    <n v="8.0500000000000007"/>
    <n v="0"/>
    <n v="0.02"/>
    <n v="20"/>
    <n v="5.0599999999999996"/>
    <n v="42.57"/>
    <n v="2025"/>
    <n v="4"/>
    <n v="2025"/>
    <n v="1"/>
    <s v="01"/>
    <x v="0"/>
    <x v="0"/>
    <n v="19184.86"/>
  </r>
  <r>
    <d v="2025-04-03T00:00:00"/>
    <s v="OPT-NATGAS-23-Apr-2025-350-P-E-C"/>
    <s v="MCX"/>
    <x v="1"/>
    <n v="1250"/>
    <s v="mmBtu"/>
    <n v="19.100000000000001"/>
    <s v="RS/1mmBtu"/>
    <n v="1"/>
    <n v="1"/>
    <n v="23875"/>
    <n v="20"/>
    <n v="16.75"/>
    <s v="#20250403X200016737"/>
    <s v="#20250403X200016737"/>
    <n v="0"/>
    <n v="9.98"/>
    <n v="1.35"/>
    <n v="0.02"/>
    <n v="20"/>
    <n v="5.4"/>
    <n v="36.75"/>
    <n v="2025"/>
    <n v="4"/>
    <n v="2025"/>
    <n v="1"/>
    <s v="01"/>
    <x v="0"/>
    <x v="0"/>
    <n v="-23928.5"/>
  </r>
  <r>
    <d v="2025-04-01T00:00:00"/>
    <s v="OPT-NATGAS-23-Apr-2025-355-C-E-C"/>
    <s v="MCX"/>
    <x v="0"/>
    <n v="1250"/>
    <s v="mmBtu"/>
    <n v="13.75"/>
    <s v="RS/1mmBtu"/>
    <n v="1"/>
    <n v="1"/>
    <n v="17187.5"/>
    <n v="20"/>
    <n v="20.57"/>
    <s v="#20250401X200017468"/>
    <s v="#20250401X200017468"/>
    <n v="8.4700000000000006"/>
    <n v="7.18"/>
    <n v="0"/>
    <n v="0.02"/>
    <n v="20"/>
    <n v="4.9000000000000004"/>
    <n v="40.57"/>
    <n v="2025"/>
    <n v="4"/>
    <n v="2025"/>
    <n v="1"/>
    <s v="01"/>
    <x v="0"/>
    <x v="0"/>
    <n v="17126.36"/>
  </r>
  <r>
    <d v="2025-04-01T00:00:00"/>
    <s v="OPT-NATGAS-23-Apr-2025-355-C-E-C"/>
    <s v="MCX"/>
    <x v="0"/>
    <n v="1250"/>
    <s v="mmBtu"/>
    <n v="13.25"/>
    <s v="RS/1mmBtu"/>
    <n v="1"/>
    <n v="1"/>
    <n v="16562.5"/>
    <n v="20"/>
    <n v="20.059999999999999"/>
    <s v="#20250401X200016241"/>
    <s v="#20250401X200016241"/>
    <n v="8.2799999999999994"/>
    <n v="6.92"/>
    <n v="0"/>
    <n v="0.02"/>
    <n v="20"/>
    <n v="4.84"/>
    <n v="40.06"/>
    <n v="2025"/>
    <n v="4"/>
    <n v="2025"/>
    <n v="1"/>
    <s v="01"/>
    <x v="0"/>
    <x v="0"/>
    <n v="16502.38"/>
  </r>
  <r>
    <d v="2025-04-01T00:00:00"/>
    <s v="OPT-NATGAS-23-Apr-2025-355-C-E-C"/>
    <s v="MCX"/>
    <x v="1"/>
    <n v="2500"/>
    <s v="mmBtu"/>
    <n v="18.05"/>
    <s v="RS/1mmBtu"/>
    <n v="1"/>
    <n v="1"/>
    <n v="45125"/>
    <n v="20"/>
    <n v="27.26"/>
    <s v="#20250401X200010085"/>
    <s v="#20250401X200010085"/>
    <n v="0"/>
    <n v="18.86"/>
    <n v="1.35"/>
    <n v="0.05"/>
    <n v="20"/>
    <n v="7"/>
    <n v="47.26"/>
    <n v="2025"/>
    <n v="4"/>
    <n v="2025"/>
    <n v="1"/>
    <s v="01"/>
    <x v="0"/>
    <x v="0"/>
    <n v="-45199.519999999997"/>
  </r>
  <r>
    <d v="2025-04-01T00:00:00"/>
    <s v="OPT-NATGAS-23-Apr-2025-350-P-E-C"/>
    <s v="MCX"/>
    <x v="0"/>
    <n v="1250"/>
    <s v="mmBtu"/>
    <n v="18"/>
    <s v="RS/1mmBtu"/>
    <n v="1"/>
    <n v="1"/>
    <n v="22500"/>
    <n v="20"/>
    <n v="25.98"/>
    <s v="#20250401X200009828"/>
    <s v="#20250401X200009828"/>
    <n v="11.25"/>
    <n v="9.41"/>
    <n v="0"/>
    <n v="0.02"/>
    <n v="20"/>
    <n v="5.3"/>
    <n v="45.98"/>
    <n v="2025"/>
    <n v="4"/>
    <n v="2025"/>
    <n v="1"/>
    <s v="01"/>
    <x v="0"/>
    <x v="0"/>
    <n v="22428.04"/>
  </r>
  <r>
    <d v="2025-04-01T00:00:00"/>
    <s v="OPT-NATGAS-23-Apr-2025-350-P-E-C"/>
    <s v="MCX"/>
    <x v="1"/>
    <n v="1250"/>
    <s v="mmBtu"/>
    <n v="18.7"/>
    <s v="RS/1mmBtu"/>
    <n v="1"/>
    <n v="1"/>
    <n v="23375"/>
    <n v="20"/>
    <n v="15.85"/>
    <s v="#20250401X200009747"/>
    <s v="#20250401X200009747"/>
    <n v="0"/>
    <n v="9.77"/>
    <n v="0.7"/>
    <n v="0.02"/>
    <n v="20"/>
    <n v="5.36"/>
    <n v="35.85"/>
    <n v="2025"/>
    <n v="4"/>
    <n v="2025"/>
    <n v="1"/>
    <s v="01"/>
    <x v="0"/>
    <x v="0"/>
    <n v="-23426.7"/>
  </r>
  <r>
    <d v="2025-03-31T00:00:00"/>
    <s v="OPT-NATGAS-23-Apr-2025-355-C-E-C"/>
    <s v="MCX"/>
    <x v="0"/>
    <n v="2500"/>
    <s v="mmBtu"/>
    <n v="18.100000000000001"/>
    <s v="RS/1mmBtu"/>
    <n v="1"/>
    <n v="1"/>
    <n v="45250"/>
    <n v="20"/>
    <n v="48.61"/>
    <s v="#20250331X200017675"/>
    <s v="#20250331X200017675"/>
    <n v="22.63"/>
    <n v="18.91"/>
    <n v="0"/>
    <n v="0.05"/>
    <n v="20"/>
    <n v="7.02"/>
    <n v="68.61"/>
    <n v="2025"/>
    <n v="3"/>
    <n v="2024"/>
    <n v="12"/>
    <n v="12"/>
    <x v="1"/>
    <x v="1"/>
    <n v="45132.78"/>
  </r>
  <r>
    <d v="2025-03-31T00:00:00"/>
    <s v="OPT-NATGAS-23-Apr-2025-355-C-E-C"/>
    <s v="MCX"/>
    <x v="1"/>
    <n v="2500"/>
    <s v="mmBtu"/>
    <n v="19.45"/>
    <s v="RS/1mmBtu"/>
    <n v="1"/>
    <n v="1"/>
    <n v="48625"/>
    <n v="20"/>
    <n v="30.56"/>
    <s v="#20250331X200012513"/>
    <s v="#20250331X200012513"/>
    <n v="0"/>
    <n v="20.329999999999998"/>
    <n v="2.92"/>
    <n v="0.05"/>
    <n v="20"/>
    <n v="7.26"/>
    <n v="50.56"/>
    <n v="2025"/>
    <n v="3"/>
    <n v="2024"/>
    <n v="12"/>
    <n v="12"/>
    <x v="1"/>
    <x v="1"/>
    <n v="-48706.12"/>
  </r>
  <r>
    <d v="2025-03-31T00:00:00"/>
    <s v="OPT-NATGAS-23-Apr-2025-355-C-E-C"/>
    <s v="MCX"/>
    <x v="0"/>
    <n v="1250"/>
    <s v="mmBtu"/>
    <n v="19"/>
    <s v="RS/1mmBtu"/>
    <n v="1"/>
    <n v="1"/>
    <n v="23750"/>
    <n v="20"/>
    <n v="26.76"/>
    <s v="#20250331X200012374"/>
    <s v="#20250331X200012374"/>
    <n v="11.41"/>
    <n v="9.93"/>
    <n v="0"/>
    <n v="0.02"/>
    <n v="20"/>
    <n v="5.4"/>
    <n v="46.76"/>
    <n v="2025"/>
    <n v="3"/>
    <n v="2024"/>
    <n v="12"/>
    <n v="12"/>
    <x v="1"/>
    <x v="1"/>
    <n v="23676.48"/>
  </r>
  <r>
    <d v="2025-03-31T00:00:00"/>
    <s v="OPT-NATGAS-23-Apr-2025-355-C-E-C"/>
    <s v="MCX"/>
    <x v="1"/>
    <n v="1250"/>
    <s v="mmBtu"/>
    <n v="19.649999999999999"/>
    <s v="RS/1mmBtu"/>
    <n v="1"/>
    <n v="1"/>
    <n v="24562.5"/>
    <n v="20"/>
    <n v="15.75"/>
    <s v="#20250331X200012297"/>
    <s v="#20250331X200012297"/>
    <n v="0"/>
    <n v="10.27"/>
    <n v="0"/>
    <n v="0.02"/>
    <n v="20"/>
    <n v="5.46"/>
    <n v="35.75"/>
    <n v="2025"/>
    <n v="3"/>
    <n v="2024"/>
    <n v="12"/>
    <n v="12"/>
    <x v="1"/>
    <x v="1"/>
    <n v="-24614"/>
  </r>
  <r>
    <d v="2025-03-31T00:00:00"/>
    <s v="OPT-NATGAS-23-Apr-2025-355-C-E-C"/>
    <s v="MCX"/>
    <x v="0"/>
    <n v="1250"/>
    <s v="mmBtu"/>
    <n v="19.149999999999999"/>
    <s v="RS/1mmBtu"/>
    <n v="1"/>
    <n v="1"/>
    <n v="23937.5"/>
    <n v="20"/>
    <n v="27.4"/>
    <s v="#20250331X200011963"/>
    <s v="#20250331X200011963"/>
    <n v="11.97"/>
    <n v="10.01"/>
    <n v="0"/>
    <n v="0.02"/>
    <n v="20"/>
    <n v="5.4"/>
    <n v="47.4"/>
    <n v="2025"/>
    <n v="3"/>
    <n v="2024"/>
    <n v="12"/>
    <n v="12"/>
    <x v="1"/>
    <x v="1"/>
    <n v="23862.7"/>
  </r>
  <r>
    <d v="2025-03-31T00:00:00"/>
    <s v="OPT-NATGAS-23-Apr-2025-355-C-E-C"/>
    <s v="MCX"/>
    <x v="1"/>
    <n v="1250"/>
    <s v="mmBtu"/>
    <n v="19.25"/>
    <s v="RS/1mmBtu"/>
    <n v="1"/>
    <n v="1"/>
    <n v="24062.5"/>
    <n v="20"/>
    <n v="15.5"/>
    <s v="#20250331X200009205"/>
    <s v="#20250331X200009205"/>
    <n v="0"/>
    <n v="10.06"/>
    <n v="0"/>
    <n v="0.02"/>
    <n v="20"/>
    <n v="5.42"/>
    <n v="35.5"/>
    <n v="2025"/>
    <n v="3"/>
    <n v="2024"/>
    <n v="12"/>
    <n v="12"/>
    <x v="1"/>
    <x v="1"/>
    <n v="-24113.5"/>
  </r>
  <r>
    <d v="2025-03-21T00:00:00"/>
    <s v="OPT-NATGAS-24-Mar-2025-380-C-E-C"/>
    <s v="MCX"/>
    <x v="0"/>
    <n v="5000"/>
    <s v="mmBtu"/>
    <n v="0.55000000000000004"/>
    <s v="RS/1mmBtu"/>
    <n v="1"/>
    <n v="1"/>
    <n v="2750"/>
    <n v="20"/>
    <n v="5.95"/>
    <s v="#20250321X100002955"/>
    <s v="#20250321X100002955"/>
    <n v="1"/>
    <n v="1.1499999999999999"/>
    <n v="0"/>
    <n v="0"/>
    <n v="20"/>
    <n v="3.8"/>
    <n v="25.95"/>
    <n v="2025"/>
    <n v="3"/>
    <n v="2024"/>
    <n v="12"/>
    <n v="12"/>
    <x v="1"/>
    <x v="1"/>
    <n v="2718.1"/>
  </r>
  <r>
    <d v="2025-03-20T00:00:00"/>
    <s v="OPT-NATGAS-24-Mar-2025-380-C-E-C"/>
    <s v="MCX"/>
    <x v="1"/>
    <n v="1250"/>
    <s v="mmBtu"/>
    <n v="2.75"/>
    <s v="RS/1mmBtu"/>
    <n v="1"/>
    <n v="1"/>
    <n v="3437.5"/>
    <n v="20"/>
    <n v="5.4"/>
    <s v="#20250320X200015603"/>
    <s v="#20250320X200015603"/>
    <n v="0"/>
    <n v="1.44"/>
    <n v="0.1"/>
    <n v="0"/>
    <n v="20"/>
    <n v="3.86"/>
    <n v="25.4"/>
    <n v="2025"/>
    <n v="3"/>
    <n v="2024"/>
    <n v="12"/>
    <n v="12"/>
    <x v="1"/>
    <x v="1"/>
    <n v="-3468.3"/>
  </r>
  <r>
    <d v="2025-03-17T00:00:00"/>
    <s v="OPT-NATGAS-24-Mar-2025-380-C-E-C"/>
    <s v="MCX"/>
    <x v="1"/>
    <n v="1250"/>
    <s v="mmBtu"/>
    <n v="4.8499999999999996"/>
    <s v="RS/1mmBtu"/>
    <n v="1"/>
    <n v="1"/>
    <n v="6062.5"/>
    <n v="20"/>
    <n v="6.78"/>
    <s v="#20250317X200016470"/>
    <s v="#20250317X200016470"/>
    <n v="0"/>
    <n v="2.5299999999999998"/>
    <n v="0.18"/>
    <n v="0.01"/>
    <n v="20"/>
    <n v="4.0599999999999996"/>
    <n v="26.78"/>
    <n v="2025"/>
    <n v="3"/>
    <n v="2024"/>
    <n v="12"/>
    <n v="12"/>
    <x v="1"/>
    <x v="1"/>
    <n v="-6096.06"/>
  </r>
  <r>
    <d v="2025-03-13T00:00:00"/>
    <s v="OPT-NATGAS-24-Mar-2025-380-C-E-C"/>
    <s v="MCX"/>
    <x v="0"/>
    <n v="1250"/>
    <s v="mmBtu"/>
    <n v="9.4499999999999993"/>
    <s v="RS/1mmBtu"/>
    <n v="1"/>
    <n v="1"/>
    <n v="11812.5"/>
    <n v="20"/>
    <n v="15.45"/>
    <s v="#20250313X200020104"/>
    <s v="#20250313X200020104"/>
    <n v="6"/>
    <n v="4.9400000000000004"/>
    <n v="0"/>
    <n v="0.01"/>
    <n v="20"/>
    <n v="4.5"/>
    <n v="35.450000000000003"/>
    <n v="2025"/>
    <n v="3"/>
    <n v="2024"/>
    <n v="12"/>
    <n v="12"/>
    <x v="1"/>
    <x v="1"/>
    <n v="11761.6"/>
  </r>
  <r>
    <d v="2025-03-13T00:00:00"/>
    <s v="OPT-NATGAS-24-Mar-2025-380-C-E-C"/>
    <s v="MCX"/>
    <x v="1"/>
    <n v="1250"/>
    <s v="mmBtu"/>
    <n v="7.05"/>
    <s v="RS/1mmBtu"/>
    <n v="1"/>
    <n v="1"/>
    <n v="8812.5"/>
    <n v="20"/>
    <n v="8.2100000000000009"/>
    <s v="#20250313X200003686"/>
    <s v="#20250313X200003686"/>
    <n v="0"/>
    <n v="3.68"/>
    <n v="0.26"/>
    <n v="0.01"/>
    <n v="20"/>
    <n v="4.26"/>
    <n v="28.21"/>
    <n v="2025"/>
    <n v="3"/>
    <n v="2024"/>
    <n v="12"/>
    <n v="12"/>
    <x v="1"/>
    <x v="1"/>
    <n v="-8848.92"/>
  </r>
  <r>
    <d v="2025-03-12T00:00:00"/>
    <s v="OPT-NATGAS-24-Mar-2025-380-C-E-C"/>
    <s v="MCX"/>
    <x v="1"/>
    <n v="1250"/>
    <s v="mmBtu"/>
    <n v="9.1999999999999993"/>
    <s v="RS/1mmBtu"/>
    <n v="1"/>
    <n v="1"/>
    <n v="11500"/>
    <n v="20"/>
    <n v="9.2799999999999994"/>
    <s v="#20250312X200027198"/>
    <s v="#20250312X200027198"/>
    <n v="0"/>
    <n v="4.8099999999999996"/>
    <n v="0"/>
    <n v="0.01"/>
    <n v="20"/>
    <n v="4.46"/>
    <n v="29.28"/>
    <n v="2025"/>
    <n v="3"/>
    <n v="2024"/>
    <n v="12"/>
    <n v="12"/>
    <x v="1"/>
    <x v="1"/>
    <n v="-11538.56"/>
  </r>
  <r>
    <d v="2025-03-12T00:00:00"/>
    <s v="OPT-NATGAS-24-Mar-2025-380-C-E-C"/>
    <s v="MCX"/>
    <x v="1"/>
    <n v="1250"/>
    <s v="mmBtu"/>
    <n v="13.35"/>
    <s v="RS/1mmBtu"/>
    <n v="1"/>
    <n v="1"/>
    <n v="16687.5"/>
    <n v="20"/>
    <n v="11.86"/>
    <s v="#20250312X200011343"/>
    <s v="#20250312X200011343"/>
    <n v="0"/>
    <n v="6.98"/>
    <n v="0"/>
    <n v="0.02"/>
    <n v="20"/>
    <n v="4.8600000000000003"/>
    <n v="31.86"/>
    <n v="2025"/>
    <n v="3"/>
    <n v="2024"/>
    <n v="12"/>
    <n v="12"/>
    <x v="1"/>
    <x v="1"/>
    <n v="-16731.22"/>
  </r>
  <r>
    <d v="2025-03-12T00:00:00"/>
    <s v="OPT-NATGAS-24-Mar-2025-380-C-E-C"/>
    <s v="MCX"/>
    <x v="0"/>
    <n v="1250"/>
    <s v="mmBtu"/>
    <n v="14.7"/>
    <s v="RS/1mmBtu"/>
    <n v="1"/>
    <n v="1"/>
    <n v="18375"/>
    <n v="20"/>
    <n v="21.68"/>
    <s v="#20250312X200010002"/>
    <s v="#20250312X200010002"/>
    <n v="9"/>
    <n v="7.68"/>
    <n v="0"/>
    <n v="0.02"/>
    <n v="20"/>
    <n v="4.9800000000000004"/>
    <n v="41.68"/>
    <n v="2025"/>
    <n v="3"/>
    <n v="2024"/>
    <n v="12"/>
    <n v="12"/>
    <x v="1"/>
    <x v="1"/>
    <n v="18311.64"/>
  </r>
  <r>
    <d v="2025-03-12T00:00:00"/>
    <s v="OPT-NATGAS-24-Mar-2025-380-C-E-C"/>
    <s v="MCX"/>
    <x v="1"/>
    <n v="1250"/>
    <s v="mmBtu"/>
    <n v="15.1"/>
    <s v="RS/1mmBtu"/>
    <n v="1"/>
    <n v="1"/>
    <n v="18875"/>
    <n v="20"/>
    <n v="14.34"/>
    <s v="#20250312X200008644"/>
    <s v="#20250312X200008644"/>
    <n v="0"/>
    <n v="7.89"/>
    <n v="1.41"/>
    <n v="0.02"/>
    <n v="20"/>
    <n v="5.0199999999999996"/>
    <n v="34.340000000000003"/>
    <n v="2025"/>
    <n v="3"/>
    <n v="2024"/>
    <n v="12"/>
    <n v="12"/>
    <x v="1"/>
    <x v="1"/>
    <n v="-18923.68"/>
  </r>
  <r>
    <d v="2025-03-07T00:00:00"/>
    <s v="OPT-NATGAS-24-Mar-2025-350-P-E-C"/>
    <s v="MCX"/>
    <x v="0"/>
    <n v="1250"/>
    <s v="mmBtu"/>
    <n v="10.9"/>
    <s v="RS/1mmBtu"/>
    <n v="1"/>
    <n v="1"/>
    <n v="13625"/>
    <n v="20"/>
    <n v="17.329999999999998"/>
    <s v="#20250307X200026889"/>
    <s v="#20250307X200026889"/>
    <n v="7"/>
    <n v="5.7"/>
    <n v="0"/>
    <n v="0.01"/>
    <n v="20"/>
    <n v="4.62"/>
    <n v="37.33"/>
    <n v="2025"/>
    <n v="3"/>
    <n v="2024"/>
    <n v="12"/>
    <n v="12"/>
    <x v="1"/>
    <x v="1"/>
    <n v="13570.34"/>
  </r>
  <r>
    <d v="2025-03-07T00:00:00"/>
    <s v="OPT-NATGAS-24-Mar-2025-350-P-E-C"/>
    <s v="MCX"/>
    <x v="1"/>
    <n v="1250"/>
    <s v="mmBtu"/>
    <n v="10.25"/>
    <s v="RS/1mmBtu"/>
    <n v="1"/>
    <n v="1"/>
    <n v="12812.5"/>
    <n v="20"/>
    <n v="10.31"/>
    <s v="#20250307X200026721"/>
    <s v="#20250307X200026721"/>
    <n v="0"/>
    <n v="5.36"/>
    <n v="0.38"/>
    <n v="0.01"/>
    <n v="20"/>
    <n v="4.5599999999999996"/>
    <n v="30.31"/>
    <n v="2025"/>
    <n v="3"/>
    <n v="2024"/>
    <n v="12"/>
    <n v="12"/>
    <x v="1"/>
    <x v="1"/>
    <n v="-12853.12"/>
  </r>
  <r>
    <d v="2025-03-05T00:00:00"/>
    <s v="OPT-NATGAS-24-Mar-2025-360-P-E-C"/>
    <s v="MCX"/>
    <x v="0"/>
    <n v="1250"/>
    <s v="mmBtu"/>
    <n v="13"/>
    <s v="RS/1mmBtu"/>
    <n v="1"/>
    <n v="1"/>
    <n v="16250"/>
    <n v="20"/>
    <n v="19.63"/>
    <s v="#20250305X200000421"/>
    <s v="#20250305X200000421"/>
    <n v="8"/>
    <n v="6.79"/>
    <n v="0"/>
    <n v="0.02"/>
    <n v="20"/>
    <n v="4.82"/>
    <n v="39.630000000000003"/>
    <n v="2025"/>
    <n v="3"/>
    <n v="2024"/>
    <n v="12"/>
    <n v="12"/>
    <x v="1"/>
    <x v="1"/>
    <n v="16190.74"/>
  </r>
  <r>
    <d v="2025-03-04T00:00:00"/>
    <s v="OPT-NATGAS-24-Mar-2025-360-P-E-C"/>
    <s v="MCX"/>
    <x v="1"/>
    <n v="1250"/>
    <s v="mmBtu"/>
    <n v="15.05"/>
    <s v="RS/1mmBtu"/>
    <n v="1"/>
    <n v="1"/>
    <n v="18812.5"/>
    <n v="20"/>
    <n v="13.46"/>
    <s v="#20250304X200016399"/>
    <s v="#20250304X200016399"/>
    <n v="0"/>
    <n v="7.86"/>
    <n v="0.56000000000000005"/>
    <n v="0.02"/>
    <n v="20"/>
    <n v="5.0199999999999996"/>
    <n v="33.46"/>
    <n v="2025"/>
    <n v="3"/>
    <n v="2024"/>
    <n v="12"/>
    <n v="12"/>
    <x v="1"/>
    <x v="1"/>
    <n v="-18859.419999999998"/>
  </r>
  <r>
    <d v="2025-02-28T00:00:00"/>
    <s v="OPT-NATGAS-24-Mar-2025-335-C-E-C"/>
    <s v="MCX"/>
    <x v="0"/>
    <n v="1250"/>
    <s v="mmBtu"/>
    <n v="20.25"/>
    <s v="RS/1mmBtu"/>
    <n v="1"/>
    <n v="1"/>
    <n v="25312.5"/>
    <n v="20"/>
    <n v="28.77"/>
    <s v="#20250228X200020899"/>
    <s v="#20250228X200020899"/>
    <n v="12.66"/>
    <n v="10.58"/>
    <n v="0"/>
    <n v="0.03"/>
    <n v="20"/>
    <n v="5.5"/>
    <n v="48.77"/>
    <n v="2025"/>
    <n v="2"/>
    <n v="2024"/>
    <n v="11"/>
    <n v="11"/>
    <x v="2"/>
    <x v="2"/>
    <n v="25234.959999999999"/>
  </r>
  <r>
    <d v="2025-02-28T00:00:00"/>
    <s v="OPT-NATGAS-24-Mar-2025-335-C-E-C"/>
    <s v="MCX"/>
    <x v="1"/>
    <n v="1250"/>
    <s v="mmBtu"/>
    <n v="19.649999999999999"/>
    <s v="RS/1mmBtu"/>
    <n v="1"/>
    <n v="1"/>
    <n v="24562.5"/>
    <n v="20"/>
    <n v="15.75"/>
    <s v="#20250228X200020080"/>
    <s v="#20250228X200020080"/>
    <n v="0"/>
    <n v="10.27"/>
    <n v="0"/>
    <n v="0.02"/>
    <n v="20"/>
    <n v="5.46"/>
    <n v="35.75"/>
    <n v="2025"/>
    <n v="2"/>
    <n v="2024"/>
    <n v="11"/>
    <n v="11"/>
    <x v="2"/>
    <x v="2"/>
    <n v="-24614"/>
  </r>
  <r>
    <d v="2025-02-28T00:00:00"/>
    <s v="OPT-NATGAS-24-Mar-2025-335-C-E-C"/>
    <s v="MCX"/>
    <x v="0"/>
    <n v="1250"/>
    <s v="mmBtu"/>
    <n v="23.2"/>
    <s v="RS/1mmBtu"/>
    <n v="1"/>
    <n v="1"/>
    <n v="29000"/>
    <n v="20"/>
    <n v="32.270000000000003"/>
    <s v="#20250228X200013675"/>
    <s v="#20250228X200013675"/>
    <n v="14.34"/>
    <n v="12.12"/>
    <n v="0"/>
    <n v="0.03"/>
    <n v="20"/>
    <n v="5.78"/>
    <n v="52.27"/>
    <n v="2025"/>
    <n v="2"/>
    <n v="2024"/>
    <n v="11"/>
    <n v="11"/>
    <x v="2"/>
    <x v="2"/>
    <n v="28915.46"/>
  </r>
  <r>
    <d v="2025-02-28T00:00:00"/>
    <s v="OPT-NATGAS-24-Mar-2025-335-C-E-C"/>
    <s v="MCX"/>
    <x v="1"/>
    <n v="1250"/>
    <s v="mmBtu"/>
    <n v="22.1"/>
    <s v="RS/1mmBtu"/>
    <n v="1"/>
    <n v="1"/>
    <n v="27625"/>
    <n v="20"/>
    <n v="18.829999999999998"/>
    <s v="#20250228X200013025"/>
    <s v="#20250228X200013025"/>
    <n v="0"/>
    <n v="11.55"/>
    <n v="1.57"/>
    <n v="0.03"/>
    <n v="20"/>
    <n v="5.68"/>
    <n v="38.83"/>
    <n v="2025"/>
    <n v="2"/>
    <n v="2024"/>
    <n v="11"/>
    <n v="11"/>
    <x v="2"/>
    <x v="2"/>
    <n v="-27682.66"/>
  </r>
  <r>
    <d v="2025-02-20T00:00:00"/>
    <s v="OPT-NATGAS-21-Feb-2025-355-C-E-C"/>
    <s v="MCX"/>
    <x v="0"/>
    <n v="1250"/>
    <s v="mmBtu"/>
    <n v="5.5"/>
    <s v="RS/1mmBtu"/>
    <n v="1"/>
    <n v="1"/>
    <n v="6875"/>
    <n v="20"/>
    <n v="10"/>
    <s v="#20250220X200024928"/>
    <s v="#20250220X200024928"/>
    <n v="3"/>
    <n v="2.87"/>
    <n v="0"/>
    <n v="0.01"/>
    <n v="20"/>
    <n v="4.12"/>
    <n v="30"/>
    <n v="2025"/>
    <n v="2"/>
    <n v="2024"/>
    <n v="11"/>
    <n v="11"/>
    <x v="2"/>
    <x v="2"/>
    <n v="6835"/>
  </r>
  <r>
    <d v="2025-02-20T00:00:00"/>
    <s v="OPT-NATGAS-21-Feb-2025-355-C-E-C"/>
    <s v="MCX"/>
    <x v="1"/>
    <n v="1250"/>
    <s v="mmBtu"/>
    <n v="6.8"/>
    <s v="RS/1mmBtu"/>
    <n v="1"/>
    <n v="1"/>
    <n v="8500"/>
    <n v="20"/>
    <n v="8.06"/>
    <s v="#20250220X200024482"/>
    <s v="#20250220X200024482"/>
    <n v="0"/>
    <n v="3.55"/>
    <n v="0.26"/>
    <n v="0.01"/>
    <n v="20"/>
    <n v="4.24"/>
    <n v="28.06"/>
    <n v="2025"/>
    <n v="2"/>
    <n v="2024"/>
    <n v="11"/>
    <n v="11"/>
    <x v="2"/>
    <x v="2"/>
    <n v="-8536.1200000000008"/>
  </r>
  <r>
    <d v="2025-02-19T00:00:00"/>
    <s v="OPT-NATGAS-21-Feb-2025-360-C-E-C"/>
    <s v="MCX"/>
    <x v="0"/>
    <n v="1250"/>
    <s v="mmBtu"/>
    <n v="13.95"/>
    <s v="RS/1mmBtu"/>
    <n v="1"/>
    <n v="1"/>
    <n v="17437.5"/>
    <n v="20"/>
    <n v="20.95"/>
    <s v="#20250219X100041262"/>
    <s v="#20250219X100041262"/>
    <n v="8.7200000000000006"/>
    <n v="7.29"/>
    <n v="0"/>
    <n v="0.02"/>
    <n v="20"/>
    <n v="4.92"/>
    <n v="40.950000000000003"/>
    <n v="2025"/>
    <n v="2"/>
    <n v="2024"/>
    <n v="11"/>
    <n v="11"/>
    <x v="2"/>
    <x v="2"/>
    <n v="17375.599999999999"/>
  </r>
  <r>
    <d v="2025-02-19T00:00:00"/>
    <s v="OPT-NATGAS-21-Feb-2025-360-C-E-C"/>
    <s v="MCX"/>
    <x v="1"/>
    <n v="1250"/>
    <s v="mmBtu"/>
    <n v="13.5"/>
    <s v="RS/1mmBtu"/>
    <n v="1"/>
    <n v="1"/>
    <n v="16875"/>
    <n v="20"/>
    <n v="12.46"/>
    <s v="#20250219X100038552"/>
    <s v="#20250219X100038552"/>
    <n v="0"/>
    <n v="7.05"/>
    <n v="0.51"/>
    <n v="0.02"/>
    <n v="20"/>
    <n v="4.88"/>
    <n v="32.46"/>
    <n v="2025"/>
    <n v="2"/>
    <n v="2024"/>
    <n v="11"/>
    <n v="11"/>
    <x v="2"/>
    <x v="2"/>
    <n v="-16919.919999999998"/>
  </r>
  <r>
    <d v="2025-02-19T00:00:00"/>
    <s v="OPT-NATGAS-21-Feb-2025-350-C-E-C"/>
    <s v="MCX"/>
    <x v="0"/>
    <n v="1250"/>
    <s v="mmBtu"/>
    <n v="19.95"/>
    <s v="RS/1mmBtu"/>
    <n v="1"/>
    <n v="1"/>
    <n v="24937.5"/>
    <n v="20"/>
    <n v="28.2"/>
    <s v="#20250219X100033469"/>
    <s v="#20250219X100033469"/>
    <n v="12.28"/>
    <n v="10.42"/>
    <n v="0"/>
    <n v="0.02"/>
    <n v="20"/>
    <n v="5.48"/>
    <n v="48.2"/>
    <n v="2025"/>
    <n v="2"/>
    <n v="2024"/>
    <n v="11"/>
    <n v="11"/>
    <x v="2"/>
    <x v="2"/>
    <n v="24861.1"/>
  </r>
  <r>
    <d v="2025-02-19T00:00:00"/>
    <s v="OPT-NATGAS-21-Feb-2025-350-C-E-C"/>
    <s v="MCX"/>
    <x v="1"/>
    <n v="1250"/>
    <s v="mmBtu"/>
    <n v="18.149999999999999"/>
    <s v="RS/1mmBtu"/>
    <n v="1"/>
    <n v="1"/>
    <n v="22687.5"/>
    <n v="20"/>
    <n v="15.5"/>
    <s v="#20250219X100033297"/>
    <s v="#20250219X100033297"/>
    <n v="0"/>
    <n v="9.48"/>
    <n v="0.68"/>
    <n v="0.02"/>
    <n v="20"/>
    <n v="5.32"/>
    <n v="35.5"/>
    <n v="2025"/>
    <n v="2"/>
    <n v="2024"/>
    <n v="11"/>
    <n v="11"/>
    <x v="2"/>
    <x v="2"/>
    <n v="-22738.5"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  <r>
    <m/>
    <m/>
    <m/>
    <x v="2"/>
    <m/>
    <m/>
    <m/>
    <m/>
    <m/>
    <m/>
    <m/>
    <m/>
    <m/>
    <m/>
    <m/>
    <m/>
    <m/>
    <m/>
    <m/>
    <m/>
    <m/>
    <m/>
    <m/>
    <m/>
    <m/>
    <m/>
    <m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5D721-D311-4868-9E2C-D0D785BFA2F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E8" firstHeaderRow="1" firstDataRow="2" firstDataCol="2"/>
  <pivotFields count="30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3">
        <item x="1"/>
        <item x="0"/>
        <item h="1" x="2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4">
        <item x="2"/>
        <item x="1"/>
        <item x="0"/>
        <item x="3"/>
      </items>
    </pivotField>
    <pivotField axis="axisRow" compact="0" outline="0" showAll="0" defaultSubtotal="0">
      <items count="4">
        <item x="3"/>
        <item x="2"/>
        <item x="0"/>
        <item x="1"/>
      </items>
    </pivotField>
    <pivotField dataField="1" compact="0" outline="0" showAll="0" defaultSubtotal="0"/>
  </pivotFields>
  <rowFields count="2">
    <field x="27"/>
    <field x="28"/>
  </rowFields>
  <rowItems count="4">
    <i>
      <x/>
      <x v="1"/>
    </i>
    <i>
      <x v="1"/>
      <x v="3"/>
    </i>
    <i>
      <x v="2"/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Amount" fld="29" baseField="21" baseItem="0"/>
  </dataFields>
  <formats count="1">
    <format dxfId="122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5B240-DD34-444D-85FE-62B3EA3D6E4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H4:J8" firstHeaderRow="1" firstDataRow="1" firstDataCol="2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2"/>
        <item x="1"/>
        <item x="0"/>
        <item h="1" x="3"/>
      </items>
    </pivotField>
    <pivotField axis="axisRow" compact="0" outline="0" showAll="0" defaultSubtotal="0">
      <items count="4">
        <item x="3"/>
        <item x="2"/>
        <item x="0"/>
        <item x="1"/>
      </items>
    </pivotField>
    <pivotField dataField="1" compact="0" outline="0" showAll="0" defaultSubtotal="0"/>
  </pivotFields>
  <rowFields count="2">
    <field x="27"/>
    <field x="28"/>
  </rowFields>
  <rowItems count="4">
    <i>
      <x/>
      <x v="1"/>
    </i>
    <i>
      <x v="1"/>
      <x v="3"/>
    </i>
    <i>
      <x v="2"/>
      <x v="2"/>
    </i>
    <i t="grand">
      <x/>
    </i>
  </rowItems>
  <colItems count="1">
    <i/>
  </colItems>
  <dataFields count="1">
    <dataField name="Sum of Amount" fld="29" baseField="21" baseItem="0"/>
  </dataFields>
  <formats count="1">
    <format dxfId="123">
      <pivotArea field="3" grandCol="1" outline="0" collapsedLevelsAreSubtotals="1">
        <references count="1">
          <reference field="4294967294" count="1" selected="0">
            <x v="0"/>
          </reference>
        </references>
      </pivotArea>
    </format>
  </format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058BD-1CFF-4D6E-A769-23248CE54A83}" name="Table1" displayName="Table1" ref="A1:A4" totalsRowShown="0">
  <autoFilter ref="A1:A4" xr:uid="{5A4058BD-1CFF-4D6E-A769-23248CE54A83}"/>
  <tableColumns count="1">
    <tableColumn id="1" xr3:uid="{7F1E704D-528A-42D6-82C3-E95DCBF842F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DBFAD-7765-4716-8A81-D428B3681671}" name="Table2" displayName="Table2" ref="C1:C3" totalsRowShown="0">
  <autoFilter ref="C1:C3" xr:uid="{EE2DBFAD-7765-4716-8A81-D428B3681671}"/>
  <tableColumns count="1">
    <tableColumn id="1" xr3:uid="{DD0AC79F-566A-4B25-899B-9F2C63C65662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277C7-1651-4B2F-A762-61AE71AA58BA}" name="Table3" displayName="Table3" ref="E1:E5" totalsRowShown="0">
  <autoFilter ref="E1:E5" xr:uid="{251277C7-1651-4B2F-A762-61AE71AA58BA}"/>
  <tableColumns count="1">
    <tableColumn id="1" xr3:uid="{36848662-A56C-4C11-B241-54F77D92D0D9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2F2E1-C939-45D4-9A74-8BE30EDBC0E5}" name="Table4" displayName="Table4" ref="G1:G5" totalsRowShown="0">
  <autoFilter ref="G1:G5" xr:uid="{7B02F2E1-C939-45D4-9A74-8BE30EDBC0E5}"/>
  <tableColumns count="1">
    <tableColumn id="1" xr3:uid="{6F002342-EBE6-40B8-8E8D-16F6B8E0400A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30BB50-1BDF-4ED0-8142-C126FBD2EE10}" name="Table5" displayName="Table5" ref="I1:I4" totalsRowShown="0">
  <autoFilter ref="I1:I4" xr:uid="{1130BB50-1BDF-4ED0-8142-C126FBD2EE10}"/>
  <tableColumns count="1">
    <tableColumn id="1" xr3:uid="{ACB54927-C12C-472C-A6DA-88141BA32E7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CE3-DCC9-4C19-820C-17CF5F01F2DA}">
  <dimension ref="A3:K32"/>
  <sheetViews>
    <sheetView workbookViewId="0">
      <selection activeCell="I7" sqref="I7"/>
    </sheetView>
  </sheetViews>
  <sheetFormatPr defaultRowHeight="15" x14ac:dyDescent="0.25"/>
  <cols>
    <col min="1" max="1" width="13.140625" bestFit="1" customWidth="1"/>
    <col min="2" max="2" width="14.5703125" bestFit="1" customWidth="1"/>
    <col min="3" max="4" width="10.7109375" bestFit="1" customWidth="1"/>
    <col min="5" max="7" width="11.28515625" bestFit="1" customWidth="1"/>
    <col min="8" max="9" width="14.5703125" bestFit="1" customWidth="1"/>
    <col min="10" max="10" width="14.85546875" style="3" bestFit="1" customWidth="1"/>
    <col min="11" max="11" width="19.85546875" style="11" bestFit="1" customWidth="1"/>
    <col min="12" max="12" width="15.7109375" bestFit="1" customWidth="1"/>
    <col min="13" max="13" width="12.7109375" bestFit="1" customWidth="1"/>
    <col min="14" max="14" width="21.42578125" bestFit="1" customWidth="1"/>
    <col min="15" max="15" width="15.7109375" bestFit="1" customWidth="1"/>
    <col min="16" max="16" width="17.85546875" bestFit="1" customWidth="1"/>
  </cols>
  <sheetData>
    <row r="3" spans="1:11" x14ac:dyDescent="0.25">
      <c r="A3" s="2" t="s">
        <v>24</v>
      </c>
      <c r="C3" s="2" t="s">
        <v>3</v>
      </c>
    </row>
    <row r="4" spans="1:11" x14ac:dyDescent="0.25">
      <c r="A4" s="2" t="s">
        <v>21</v>
      </c>
      <c r="B4" s="2" t="s">
        <v>19</v>
      </c>
      <c r="C4" t="s">
        <v>14</v>
      </c>
      <c r="D4" t="s">
        <v>13</v>
      </c>
      <c r="E4" t="s">
        <v>22</v>
      </c>
      <c r="H4" s="2" t="s">
        <v>21</v>
      </c>
      <c r="I4" s="2" t="s">
        <v>19</v>
      </c>
      <c r="J4" t="s">
        <v>24</v>
      </c>
      <c r="K4" s="11" t="s">
        <v>53</v>
      </c>
    </row>
    <row r="5" spans="1:11" x14ac:dyDescent="0.25">
      <c r="A5" t="s">
        <v>52</v>
      </c>
      <c r="B5" t="s">
        <v>48</v>
      </c>
      <c r="C5">
        <v>-100491.20000000001</v>
      </c>
      <c r="D5">
        <v>103222.12</v>
      </c>
      <c r="E5" s="3">
        <v>2730.9199999999837</v>
      </c>
      <c r="H5" t="s">
        <v>52</v>
      </c>
      <c r="I5" t="s">
        <v>48</v>
      </c>
      <c r="J5" s="3">
        <v>2730.9199999999983</v>
      </c>
      <c r="K5" s="11">
        <f t="shared" ref="K5:K19" si="0">J5/1000</f>
        <v>2.7309199999999985</v>
      </c>
    </row>
    <row r="6" spans="1:11" x14ac:dyDescent="0.25">
      <c r="A6" t="s">
        <v>121</v>
      </c>
      <c r="B6" t="s">
        <v>122</v>
      </c>
      <c r="C6">
        <v>-194752.89999999997</v>
      </c>
      <c r="D6">
        <v>155224.38</v>
      </c>
      <c r="E6" s="3">
        <v>-39528.51999999996</v>
      </c>
      <c r="H6" t="s">
        <v>121</v>
      </c>
      <c r="I6" t="s">
        <v>122</v>
      </c>
      <c r="J6" s="3">
        <v>-39528.520000000004</v>
      </c>
      <c r="K6" s="11">
        <f t="shared" si="0"/>
        <v>-39.528520000000007</v>
      </c>
    </row>
    <row r="7" spans="1:11" x14ac:dyDescent="0.25">
      <c r="A7" t="s">
        <v>119</v>
      </c>
      <c r="B7" t="s">
        <v>120</v>
      </c>
      <c r="C7">
        <v>-113602.68</v>
      </c>
      <c r="D7">
        <v>94301.420000000013</v>
      </c>
      <c r="E7" s="3">
        <v>-19301.25999999998</v>
      </c>
      <c r="H7" t="s">
        <v>119</v>
      </c>
      <c r="I7" t="s">
        <v>120</v>
      </c>
      <c r="J7" s="3">
        <v>-19301.259999999995</v>
      </c>
      <c r="K7" s="11">
        <f t="shared" si="0"/>
        <v>-19.301259999999996</v>
      </c>
    </row>
    <row r="8" spans="1:11" x14ac:dyDescent="0.25">
      <c r="A8" t="s">
        <v>22</v>
      </c>
      <c r="C8">
        <v>-408846.77999999997</v>
      </c>
      <c r="D8">
        <v>352747.92000000004</v>
      </c>
      <c r="E8" s="3">
        <v>-56098.859999999957</v>
      </c>
      <c r="H8" t="s">
        <v>22</v>
      </c>
      <c r="J8" s="3">
        <v>-56098.86</v>
      </c>
      <c r="K8" s="11">
        <f t="shared" si="0"/>
        <v>-56.098860000000002</v>
      </c>
    </row>
    <row r="9" spans="1:11" x14ac:dyDescent="0.25">
      <c r="J9"/>
      <c r="K9" s="11">
        <f t="shared" si="0"/>
        <v>0</v>
      </c>
    </row>
    <row r="10" spans="1:11" x14ac:dyDescent="0.25">
      <c r="J10"/>
      <c r="K10" s="11">
        <f t="shared" si="0"/>
        <v>0</v>
      </c>
    </row>
    <row r="11" spans="1:11" x14ac:dyDescent="0.25">
      <c r="J11"/>
      <c r="K11" s="11">
        <f t="shared" si="0"/>
        <v>0</v>
      </c>
    </row>
    <row r="12" spans="1:11" x14ac:dyDescent="0.25">
      <c r="J12"/>
      <c r="K12" s="11">
        <f t="shared" si="0"/>
        <v>0</v>
      </c>
    </row>
    <row r="13" spans="1:11" x14ac:dyDescent="0.25">
      <c r="J13"/>
      <c r="K13" s="11">
        <f t="shared" si="0"/>
        <v>0</v>
      </c>
    </row>
    <row r="14" spans="1:11" x14ac:dyDescent="0.25">
      <c r="J14"/>
      <c r="K14" s="11">
        <f t="shared" si="0"/>
        <v>0</v>
      </c>
    </row>
    <row r="15" spans="1:11" x14ac:dyDescent="0.25">
      <c r="J15"/>
      <c r="K15" s="11">
        <f t="shared" si="0"/>
        <v>0</v>
      </c>
    </row>
    <row r="16" spans="1:11" x14ac:dyDescent="0.25">
      <c r="J16"/>
      <c r="K16" s="11">
        <f t="shared" si="0"/>
        <v>0</v>
      </c>
    </row>
    <row r="17" spans="10:11" x14ac:dyDescent="0.25">
      <c r="J17"/>
      <c r="K17" s="11">
        <f t="shared" si="0"/>
        <v>0</v>
      </c>
    </row>
    <row r="18" spans="10:11" x14ac:dyDescent="0.25">
      <c r="J18"/>
      <c r="K18" s="11">
        <f t="shared" si="0"/>
        <v>0</v>
      </c>
    </row>
    <row r="19" spans="10:11" x14ac:dyDescent="0.25">
      <c r="J19"/>
      <c r="K19" s="11">
        <f t="shared" si="0"/>
        <v>0</v>
      </c>
    </row>
    <row r="20" spans="10:11" x14ac:dyDescent="0.25">
      <c r="J20"/>
    </row>
    <row r="21" spans="10:11" x14ac:dyDescent="0.25">
      <c r="J21"/>
    </row>
    <row r="22" spans="10:11" x14ac:dyDescent="0.25">
      <c r="J22"/>
    </row>
    <row r="23" spans="10:11" x14ac:dyDescent="0.25">
      <c r="J23"/>
    </row>
    <row r="24" spans="10:11" x14ac:dyDescent="0.25">
      <c r="J24"/>
    </row>
    <row r="25" spans="10:11" x14ac:dyDescent="0.25">
      <c r="J25"/>
    </row>
    <row r="26" spans="10:11" x14ac:dyDescent="0.25">
      <c r="J26"/>
    </row>
    <row r="27" spans="10:11" x14ac:dyDescent="0.25">
      <c r="J27"/>
    </row>
    <row r="28" spans="10:11" x14ac:dyDescent="0.25">
      <c r="J28"/>
    </row>
    <row r="29" spans="10:11" x14ac:dyDescent="0.25">
      <c r="J29"/>
    </row>
    <row r="30" spans="10:11" x14ac:dyDescent="0.25">
      <c r="J30"/>
    </row>
    <row r="31" spans="10:11" x14ac:dyDescent="0.25">
      <c r="J31"/>
    </row>
    <row r="32" spans="10:11" x14ac:dyDescent="0.25">
      <c r="J32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4"/>
  <sheetViews>
    <sheetView tabSelected="1" topLeftCell="A25" zoomScaleNormal="100" workbookViewId="0">
      <selection activeCell="A40" sqref="A40"/>
    </sheetView>
  </sheetViews>
  <sheetFormatPr defaultRowHeight="15" x14ac:dyDescent="0.25"/>
  <cols>
    <col min="1" max="1" width="10.5703125" bestFit="1" customWidth="1"/>
    <col min="2" max="2" width="34.140625" bestFit="1" customWidth="1"/>
    <col min="3" max="3" width="5" bestFit="1" customWidth="1"/>
    <col min="4" max="4" width="6.7109375" bestFit="1" customWidth="1"/>
    <col min="5" max="5" width="5" bestFit="1" customWidth="1"/>
    <col min="6" max="6" width="8.28515625" bestFit="1" customWidth="1"/>
    <col min="7" max="7" width="6" bestFit="1" customWidth="1"/>
    <col min="8" max="8" width="11.42578125" bestFit="1" customWidth="1"/>
    <col min="9" max="9" width="14.85546875" bestFit="1" customWidth="1"/>
    <col min="10" max="10" width="17.5703125" bestFit="1" customWidth="1"/>
    <col min="11" max="11" width="8" bestFit="1" customWidth="1"/>
    <col min="12" max="12" width="10" bestFit="1" customWidth="1"/>
    <col min="13" max="13" width="23" bestFit="1" customWidth="1"/>
    <col min="14" max="15" width="20.42578125" bestFit="1" customWidth="1"/>
    <col min="16" max="16" width="29.85546875" bestFit="1" customWidth="1"/>
    <col min="17" max="17" width="18.85546875" bestFit="1" customWidth="1"/>
    <col min="18" max="18" width="11.140625" bestFit="1" customWidth="1"/>
    <col min="19" max="19" width="20.85546875" bestFit="1" customWidth="1"/>
    <col min="20" max="20" width="10" bestFit="1" customWidth="1"/>
    <col min="21" max="21" width="5" bestFit="1" customWidth="1"/>
    <col min="22" max="22" width="12.85546875" bestFit="1" customWidth="1"/>
    <col min="24" max="24" width="10.28515625" style="11" bestFit="1" customWidth="1"/>
    <col min="27" max="27" width="9.140625" style="13"/>
    <col min="30" max="30" width="9.140625" style="3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</v>
      </c>
      <c r="H1" t="s">
        <v>62</v>
      </c>
      <c r="I1" t="s">
        <v>63</v>
      </c>
      <c r="J1" t="s">
        <v>64</v>
      </c>
      <c r="K1" t="s">
        <v>6</v>
      </c>
      <c r="L1" t="s">
        <v>11</v>
      </c>
      <c r="M1" t="s">
        <v>65</v>
      </c>
      <c r="N1" t="s">
        <v>7</v>
      </c>
      <c r="O1" t="s">
        <v>66</v>
      </c>
      <c r="P1" t="s">
        <v>67</v>
      </c>
      <c r="Q1" t="s">
        <v>8</v>
      </c>
      <c r="R1" t="s">
        <v>9</v>
      </c>
      <c r="S1" t="s">
        <v>10</v>
      </c>
      <c r="T1" t="s">
        <v>11</v>
      </c>
      <c r="U1" t="s">
        <v>68</v>
      </c>
      <c r="V1" t="s">
        <v>12</v>
      </c>
      <c r="W1" t="s">
        <v>15</v>
      </c>
      <c r="X1" s="11" t="s">
        <v>16</v>
      </c>
      <c r="Y1" t="s">
        <v>17</v>
      </c>
      <c r="Z1" t="s">
        <v>18</v>
      </c>
      <c r="AA1" s="13" t="s">
        <v>20</v>
      </c>
      <c r="AB1" t="s">
        <v>21</v>
      </c>
      <c r="AC1" t="s">
        <v>19</v>
      </c>
      <c r="AD1" s="3" t="s">
        <v>23</v>
      </c>
    </row>
    <row r="2" spans="1:30" x14ac:dyDescent="0.25">
      <c r="A2" s="1">
        <v>45707</v>
      </c>
      <c r="B2" t="s">
        <v>113</v>
      </c>
      <c r="C2" t="s">
        <v>70</v>
      </c>
      <c r="D2" t="s">
        <v>13</v>
      </c>
      <c r="E2">
        <v>1250</v>
      </c>
      <c r="F2" t="s">
        <v>71</v>
      </c>
      <c r="G2">
        <v>13.95</v>
      </c>
      <c r="H2" t="s">
        <v>72</v>
      </c>
      <c r="I2">
        <v>1</v>
      </c>
      <c r="J2">
        <v>1</v>
      </c>
      <c r="K2">
        <v>17437.5</v>
      </c>
      <c r="L2">
        <v>20</v>
      </c>
      <c r="M2">
        <v>20.95</v>
      </c>
      <c r="N2" t="s">
        <v>114</v>
      </c>
      <c r="O2" t="s">
        <v>114</v>
      </c>
      <c r="P2">
        <v>8.7200000000000006</v>
      </c>
      <c r="Q2">
        <v>7.29</v>
      </c>
      <c r="R2">
        <v>0</v>
      </c>
      <c r="S2">
        <v>0.02</v>
      </c>
      <c r="T2">
        <v>20</v>
      </c>
      <c r="U2">
        <v>4.92</v>
      </c>
      <c r="V2">
        <v>40.950000000000003</v>
      </c>
      <c r="W2">
        <f>YEAR(A2)</f>
        <v>2025</v>
      </c>
      <c r="X2" s="11">
        <f>MONTH(A2)</f>
        <v>2</v>
      </c>
      <c r="Y2">
        <f>IF(X2&lt;4,W2-1,W2)</f>
        <v>2024</v>
      </c>
      <c r="Z2">
        <f>IF(X2&lt;4,X2+9,X2-3)</f>
        <v>11</v>
      </c>
      <c r="AA2" s="13">
        <f>IF(LEN(Z2)=1,_xlfn.CONCAT(0,Z2),Z2)</f>
        <v>11</v>
      </c>
      <c r="AB2" t="str">
        <f>_xlfn.CONCAT(Y2,AA2)</f>
        <v>202411</v>
      </c>
      <c r="AC2" t="str">
        <f>_xlfn.CONCAT(TEXT(A2,"MMM"),"-",MID(W2,3,2))</f>
        <v>Feb-25</v>
      </c>
      <c r="AD2" s="3">
        <f>IFERROR(IF(D2="Sell",(K2-(M2+V2)),-(K2+(M2+V2))),0)</f>
        <v>17375.599999999999</v>
      </c>
    </row>
    <row r="3" spans="1:30" x14ac:dyDescent="0.25">
      <c r="A3" s="1">
        <v>45707</v>
      </c>
      <c r="B3" t="s">
        <v>113</v>
      </c>
      <c r="C3" t="s">
        <v>70</v>
      </c>
      <c r="D3" t="s">
        <v>14</v>
      </c>
      <c r="E3">
        <v>1250</v>
      </c>
      <c r="F3" t="s">
        <v>71</v>
      </c>
      <c r="G3">
        <v>13.5</v>
      </c>
      <c r="H3" t="s">
        <v>72</v>
      </c>
      <c r="I3">
        <v>1</v>
      </c>
      <c r="J3">
        <v>1</v>
      </c>
      <c r="K3">
        <v>16875</v>
      </c>
      <c r="L3">
        <v>20</v>
      </c>
      <c r="M3">
        <v>12.46</v>
      </c>
      <c r="N3" t="s">
        <v>115</v>
      </c>
      <c r="O3" t="s">
        <v>115</v>
      </c>
      <c r="P3">
        <v>0</v>
      </c>
      <c r="Q3">
        <v>7.05</v>
      </c>
      <c r="R3">
        <v>0.51</v>
      </c>
      <c r="S3">
        <v>0.02</v>
      </c>
      <c r="T3">
        <v>20</v>
      </c>
      <c r="U3">
        <v>4.88</v>
      </c>
      <c r="V3">
        <v>32.46</v>
      </c>
      <c r="W3">
        <f>YEAR(A3)</f>
        <v>2025</v>
      </c>
      <c r="X3" s="11">
        <f>MONTH(A3)</f>
        <v>2</v>
      </c>
      <c r="Y3">
        <f>IF(X3&lt;4,W3-1,W3)</f>
        <v>2024</v>
      </c>
      <c r="Z3">
        <f>IF(X3&lt;4,X3+9,X3-3)</f>
        <v>11</v>
      </c>
      <c r="AA3" s="13">
        <f>IF(LEN(Z3)=1,_xlfn.CONCAT(0,Z3),Z3)</f>
        <v>11</v>
      </c>
      <c r="AB3" t="str">
        <f>_xlfn.CONCAT(Y3,AA3)</f>
        <v>202411</v>
      </c>
      <c r="AC3" t="str">
        <f>_xlfn.CONCAT(TEXT(A3,"MMM"),"-",MID(W3,3,2))</f>
        <v>Feb-25</v>
      </c>
      <c r="AD3" s="3">
        <f>IFERROR(IF(D3="Sell",(K3-(M3+V3)),-(K3+(M3+V3))),0)</f>
        <v>-16919.919999999998</v>
      </c>
    </row>
    <row r="4" spans="1:30" x14ac:dyDescent="0.25">
      <c r="A4" s="1">
        <v>45707</v>
      </c>
      <c r="B4" t="s">
        <v>116</v>
      </c>
      <c r="C4" t="s">
        <v>70</v>
      </c>
      <c r="D4" t="s">
        <v>13</v>
      </c>
      <c r="E4">
        <v>1250</v>
      </c>
      <c r="F4" t="s">
        <v>71</v>
      </c>
      <c r="G4">
        <v>19.95</v>
      </c>
      <c r="H4" t="s">
        <v>72</v>
      </c>
      <c r="I4">
        <v>1</v>
      </c>
      <c r="J4">
        <v>1</v>
      </c>
      <c r="K4">
        <v>24937.5</v>
      </c>
      <c r="L4">
        <v>20</v>
      </c>
      <c r="M4">
        <v>28.2</v>
      </c>
      <c r="N4" t="s">
        <v>117</v>
      </c>
      <c r="O4" t="s">
        <v>117</v>
      </c>
      <c r="P4">
        <v>12.28</v>
      </c>
      <c r="Q4">
        <v>10.42</v>
      </c>
      <c r="R4">
        <v>0</v>
      </c>
      <c r="S4">
        <v>0.02</v>
      </c>
      <c r="T4">
        <v>20</v>
      </c>
      <c r="U4">
        <v>5.48</v>
      </c>
      <c r="V4">
        <v>48.2</v>
      </c>
      <c r="W4">
        <f>YEAR(A4)</f>
        <v>2025</v>
      </c>
      <c r="X4" s="11">
        <f>MONTH(A4)</f>
        <v>2</v>
      </c>
      <c r="Y4">
        <f>IF(X4&lt;4,W4-1,W4)</f>
        <v>2024</v>
      </c>
      <c r="Z4">
        <f>IF(X4&lt;4,X4+9,X4-3)</f>
        <v>11</v>
      </c>
      <c r="AA4" s="13">
        <f>IF(LEN(Z4)=1,_xlfn.CONCAT(0,Z4),Z4)</f>
        <v>11</v>
      </c>
      <c r="AB4" t="str">
        <f>_xlfn.CONCAT(Y4,AA4)</f>
        <v>202411</v>
      </c>
      <c r="AC4" t="str">
        <f>_xlfn.CONCAT(TEXT(A4,"MMM"),"-",MID(W4,3,2))</f>
        <v>Feb-25</v>
      </c>
      <c r="AD4" s="3">
        <f>IFERROR(IF(D4="Sell",(K4-(M4+V4)),-(K4+(M4+V4))),0)</f>
        <v>24861.1</v>
      </c>
    </row>
    <row r="5" spans="1:30" x14ac:dyDescent="0.25">
      <c r="A5" s="1">
        <v>45707</v>
      </c>
      <c r="B5" t="s">
        <v>116</v>
      </c>
      <c r="C5" t="s">
        <v>70</v>
      </c>
      <c r="D5" t="s">
        <v>14</v>
      </c>
      <c r="E5">
        <v>1250</v>
      </c>
      <c r="F5" t="s">
        <v>71</v>
      </c>
      <c r="G5">
        <v>18.149999999999999</v>
      </c>
      <c r="H5" t="s">
        <v>72</v>
      </c>
      <c r="I5">
        <v>1</v>
      </c>
      <c r="J5">
        <v>1</v>
      </c>
      <c r="K5">
        <v>22687.5</v>
      </c>
      <c r="L5">
        <v>20</v>
      </c>
      <c r="M5">
        <v>15.5</v>
      </c>
      <c r="N5" t="s">
        <v>118</v>
      </c>
      <c r="O5" t="s">
        <v>118</v>
      </c>
      <c r="P5">
        <v>0</v>
      </c>
      <c r="Q5">
        <v>9.48</v>
      </c>
      <c r="R5">
        <v>0.68</v>
      </c>
      <c r="S5">
        <v>0.02</v>
      </c>
      <c r="T5">
        <v>20</v>
      </c>
      <c r="U5">
        <v>5.32</v>
      </c>
      <c r="V5">
        <v>35.5</v>
      </c>
      <c r="W5">
        <f>YEAR(A5)</f>
        <v>2025</v>
      </c>
      <c r="X5" s="11">
        <f>MONTH(A5)</f>
        <v>2</v>
      </c>
      <c r="Y5">
        <f>IF(X5&lt;4,W5-1,W5)</f>
        <v>2024</v>
      </c>
      <c r="Z5">
        <f>IF(X5&lt;4,X5+9,X5-3)</f>
        <v>11</v>
      </c>
      <c r="AA5" s="13">
        <f>IF(LEN(Z5)=1,_xlfn.CONCAT(0,Z5),Z5)</f>
        <v>11</v>
      </c>
      <c r="AB5" t="str">
        <f>_xlfn.CONCAT(Y5,AA5)</f>
        <v>202411</v>
      </c>
      <c r="AC5" t="str">
        <f>_xlfn.CONCAT(TEXT(A5,"MMM"),"-",MID(W5,3,2))</f>
        <v>Feb-25</v>
      </c>
      <c r="AD5" s="3">
        <f>IFERROR(IF(D5="Sell",(K5-(M5+V5)),-(K5+(M5+V5))),0)</f>
        <v>-22738.5</v>
      </c>
    </row>
    <row r="6" spans="1:30" x14ac:dyDescent="0.25">
      <c r="A6" s="1">
        <v>45708</v>
      </c>
      <c r="B6" t="s">
        <v>110</v>
      </c>
      <c r="C6" t="s">
        <v>70</v>
      </c>
      <c r="D6" t="s">
        <v>13</v>
      </c>
      <c r="E6">
        <v>1250</v>
      </c>
      <c r="F6" t="s">
        <v>71</v>
      </c>
      <c r="G6">
        <v>5.5</v>
      </c>
      <c r="H6" t="s">
        <v>72</v>
      </c>
      <c r="I6">
        <v>1</v>
      </c>
      <c r="J6">
        <v>1</v>
      </c>
      <c r="K6">
        <v>6875</v>
      </c>
      <c r="L6">
        <v>20</v>
      </c>
      <c r="M6">
        <v>10</v>
      </c>
      <c r="N6" t="s">
        <v>111</v>
      </c>
      <c r="O6" t="s">
        <v>111</v>
      </c>
      <c r="P6">
        <v>3</v>
      </c>
      <c r="Q6">
        <v>2.87</v>
      </c>
      <c r="R6">
        <v>0</v>
      </c>
      <c r="S6">
        <v>0.01</v>
      </c>
      <c r="T6">
        <v>20</v>
      </c>
      <c r="U6">
        <v>4.12</v>
      </c>
      <c r="V6">
        <v>30</v>
      </c>
      <c r="W6">
        <f>YEAR(A6)</f>
        <v>2025</v>
      </c>
      <c r="X6" s="11">
        <f>MONTH(A6)</f>
        <v>2</v>
      </c>
      <c r="Y6">
        <f>IF(X6&lt;4,W6-1,W6)</f>
        <v>2024</v>
      </c>
      <c r="Z6">
        <f>IF(X6&lt;4,X6+9,X6-3)</f>
        <v>11</v>
      </c>
      <c r="AA6" s="13">
        <f>IF(LEN(Z6)=1,_xlfn.CONCAT(0,Z6),Z6)</f>
        <v>11</v>
      </c>
      <c r="AB6" t="str">
        <f>_xlfn.CONCAT(Y6,AA6)</f>
        <v>202411</v>
      </c>
      <c r="AC6" t="str">
        <f>_xlfn.CONCAT(TEXT(A6,"MMM"),"-",MID(W6,3,2))</f>
        <v>Feb-25</v>
      </c>
      <c r="AD6" s="3">
        <f>IFERROR(IF(D6="Sell",(K6-(M6+V6)),-(K6+(M6+V6))),0)</f>
        <v>6835</v>
      </c>
    </row>
    <row r="7" spans="1:30" x14ac:dyDescent="0.25">
      <c r="A7" s="1">
        <v>45708</v>
      </c>
      <c r="B7" t="s">
        <v>110</v>
      </c>
      <c r="C7" t="s">
        <v>70</v>
      </c>
      <c r="D7" t="s">
        <v>14</v>
      </c>
      <c r="E7">
        <v>1250</v>
      </c>
      <c r="F7" t="s">
        <v>71</v>
      </c>
      <c r="G7">
        <v>6.8</v>
      </c>
      <c r="H7" t="s">
        <v>72</v>
      </c>
      <c r="I7">
        <v>1</v>
      </c>
      <c r="J7">
        <v>1</v>
      </c>
      <c r="K7">
        <v>8500</v>
      </c>
      <c r="L7">
        <v>20</v>
      </c>
      <c r="M7">
        <v>8.06</v>
      </c>
      <c r="N7" t="s">
        <v>112</v>
      </c>
      <c r="O7" t="s">
        <v>112</v>
      </c>
      <c r="P7">
        <v>0</v>
      </c>
      <c r="Q7">
        <v>3.55</v>
      </c>
      <c r="R7">
        <v>0.26</v>
      </c>
      <c r="S7">
        <v>0.01</v>
      </c>
      <c r="T7">
        <v>20</v>
      </c>
      <c r="U7">
        <v>4.24</v>
      </c>
      <c r="V7">
        <v>28.06</v>
      </c>
      <c r="W7">
        <f>YEAR(A7)</f>
        <v>2025</v>
      </c>
      <c r="X7" s="11">
        <f>MONTH(A7)</f>
        <v>2</v>
      </c>
      <c r="Y7">
        <f>IF(X7&lt;4,W7-1,W7)</f>
        <v>2024</v>
      </c>
      <c r="Z7">
        <f>IF(X7&lt;4,X7+9,X7-3)</f>
        <v>11</v>
      </c>
      <c r="AA7" s="13">
        <f>IF(LEN(Z7)=1,_xlfn.CONCAT(0,Z7),Z7)</f>
        <v>11</v>
      </c>
      <c r="AB7" t="str">
        <f>_xlfn.CONCAT(Y7,AA7)</f>
        <v>202411</v>
      </c>
      <c r="AC7" t="str">
        <f>_xlfn.CONCAT(TEXT(A7,"MMM"),"-",MID(W7,3,2))</f>
        <v>Feb-25</v>
      </c>
      <c r="AD7" s="3">
        <f>IFERROR(IF(D7="Sell",(K7-(M7+V7)),-(K7+(M7+V7))),0)</f>
        <v>-8536.1200000000008</v>
      </c>
    </row>
    <row r="8" spans="1:30" x14ac:dyDescent="0.25">
      <c r="A8" s="1">
        <v>45716</v>
      </c>
      <c r="B8" t="s">
        <v>105</v>
      </c>
      <c r="C8" t="s">
        <v>70</v>
      </c>
      <c r="D8" t="s">
        <v>13</v>
      </c>
      <c r="E8">
        <v>1250</v>
      </c>
      <c r="F8" t="s">
        <v>71</v>
      </c>
      <c r="G8">
        <v>20.25</v>
      </c>
      <c r="H8" t="s">
        <v>72</v>
      </c>
      <c r="I8">
        <v>1</v>
      </c>
      <c r="J8">
        <v>1</v>
      </c>
      <c r="K8">
        <v>25312.5</v>
      </c>
      <c r="L8">
        <v>20</v>
      </c>
      <c r="M8">
        <v>28.77</v>
      </c>
      <c r="N8" t="s">
        <v>106</v>
      </c>
      <c r="O8" t="s">
        <v>106</v>
      </c>
      <c r="P8">
        <v>12.66</v>
      </c>
      <c r="Q8">
        <v>10.58</v>
      </c>
      <c r="R8">
        <v>0</v>
      </c>
      <c r="S8">
        <v>0.03</v>
      </c>
      <c r="T8">
        <v>20</v>
      </c>
      <c r="U8">
        <v>5.5</v>
      </c>
      <c r="V8">
        <v>48.77</v>
      </c>
      <c r="W8">
        <f>YEAR(A8)</f>
        <v>2025</v>
      </c>
      <c r="X8" s="11">
        <f>MONTH(A8)</f>
        <v>2</v>
      </c>
      <c r="Y8">
        <f>IF(X8&lt;4,W8-1,W8)</f>
        <v>2024</v>
      </c>
      <c r="Z8">
        <f>IF(X8&lt;4,X8+9,X8-3)</f>
        <v>11</v>
      </c>
      <c r="AA8" s="13">
        <f>IF(LEN(Z8)=1,_xlfn.CONCAT(0,Z8),Z8)</f>
        <v>11</v>
      </c>
      <c r="AB8" t="str">
        <f>_xlfn.CONCAT(Y8,AA8)</f>
        <v>202411</v>
      </c>
      <c r="AC8" t="str">
        <f>_xlfn.CONCAT(TEXT(A8,"MMM"),"-",MID(W8,3,2))</f>
        <v>Feb-25</v>
      </c>
      <c r="AD8" s="3">
        <f>IFERROR(IF(D8="Sell",(K8-(M8+V8)),-(K8+(M8+V8))),0)</f>
        <v>25234.959999999999</v>
      </c>
    </row>
    <row r="9" spans="1:30" x14ac:dyDescent="0.25">
      <c r="A9" s="1">
        <v>45716</v>
      </c>
      <c r="B9" t="s">
        <v>105</v>
      </c>
      <c r="C9" t="s">
        <v>70</v>
      </c>
      <c r="D9" t="s">
        <v>14</v>
      </c>
      <c r="E9">
        <v>1250</v>
      </c>
      <c r="F9" t="s">
        <v>71</v>
      </c>
      <c r="G9">
        <v>19.649999999999999</v>
      </c>
      <c r="H9" t="s">
        <v>72</v>
      </c>
      <c r="I9">
        <v>1</v>
      </c>
      <c r="J9">
        <v>1</v>
      </c>
      <c r="K9">
        <v>24562.5</v>
      </c>
      <c r="L9">
        <v>20</v>
      </c>
      <c r="M9">
        <v>15.75</v>
      </c>
      <c r="N9" t="s">
        <v>107</v>
      </c>
      <c r="O9" t="s">
        <v>107</v>
      </c>
      <c r="P9">
        <v>0</v>
      </c>
      <c r="Q9">
        <v>10.27</v>
      </c>
      <c r="R9">
        <v>0</v>
      </c>
      <c r="S9">
        <v>0.02</v>
      </c>
      <c r="T9">
        <v>20</v>
      </c>
      <c r="U9">
        <v>5.46</v>
      </c>
      <c r="V9">
        <v>35.75</v>
      </c>
      <c r="W9">
        <f>YEAR(A9)</f>
        <v>2025</v>
      </c>
      <c r="X9" s="11">
        <f>MONTH(A9)</f>
        <v>2</v>
      </c>
      <c r="Y9">
        <f>IF(X9&lt;4,W9-1,W9)</f>
        <v>2024</v>
      </c>
      <c r="Z9">
        <f>IF(X9&lt;4,X9+9,X9-3)</f>
        <v>11</v>
      </c>
      <c r="AA9" s="13">
        <f>IF(LEN(Z9)=1,_xlfn.CONCAT(0,Z9),Z9)</f>
        <v>11</v>
      </c>
      <c r="AB9" t="str">
        <f>_xlfn.CONCAT(Y9,AA9)</f>
        <v>202411</v>
      </c>
      <c r="AC9" t="str">
        <f>_xlfn.CONCAT(TEXT(A9,"MMM"),"-",MID(W9,3,2))</f>
        <v>Feb-25</v>
      </c>
      <c r="AD9" s="3">
        <f>IFERROR(IF(D9="Sell",(K9-(M9+V9)),-(K9+(M9+V9))),0)</f>
        <v>-24614</v>
      </c>
    </row>
    <row r="10" spans="1:30" x14ac:dyDescent="0.25">
      <c r="A10" s="1">
        <v>45716</v>
      </c>
      <c r="B10" t="s">
        <v>105</v>
      </c>
      <c r="C10" t="s">
        <v>70</v>
      </c>
      <c r="D10" t="s">
        <v>13</v>
      </c>
      <c r="E10">
        <v>1250</v>
      </c>
      <c r="F10" t="s">
        <v>71</v>
      </c>
      <c r="G10">
        <v>23.2</v>
      </c>
      <c r="H10" t="s">
        <v>72</v>
      </c>
      <c r="I10">
        <v>1</v>
      </c>
      <c r="J10">
        <v>1</v>
      </c>
      <c r="K10">
        <v>29000</v>
      </c>
      <c r="L10">
        <v>20</v>
      </c>
      <c r="M10">
        <v>32.270000000000003</v>
      </c>
      <c r="N10" t="s">
        <v>108</v>
      </c>
      <c r="O10" t="s">
        <v>108</v>
      </c>
      <c r="P10">
        <v>14.34</v>
      </c>
      <c r="Q10">
        <v>12.12</v>
      </c>
      <c r="R10">
        <v>0</v>
      </c>
      <c r="S10">
        <v>0.03</v>
      </c>
      <c r="T10">
        <v>20</v>
      </c>
      <c r="U10">
        <v>5.78</v>
      </c>
      <c r="V10">
        <v>52.27</v>
      </c>
      <c r="W10">
        <f>YEAR(A10)</f>
        <v>2025</v>
      </c>
      <c r="X10" s="11">
        <f>MONTH(A10)</f>
        <v>2</v>
      </c>
      <c r="Y10">
        <f>IF(X10&lt;4,W10-1,W10)</f>
        <v>2024</v>
      </c>
      <c r="Z10">
        <f>IF(X10&lt;4,X10+9,X10-3)</f>
        <v>11</v>
      </c>
      <c r="AA10" s="13">
        <f>IF(LEN(Z10)=1,_xlfn.CONCAT(0,Z10),Z10)</f>
        <v>11</v>
      </c>
      <c r="AB10" t="str">
        <f>_xlfn.CONCAT(Y10,AA10)</f>
        <v>202411</v>
      </c>
      <c r="AC10" t="str">
        <f>_xlfn.CONCAT(TEXT(A10,"MMM"),"-",MID(W10,3,2))</f>
        <v>Feb-25</v>
      </c>
      <c r="AD10" s="3">
        <f>IFERROR(IF(D10="Sell",(K10-(M10+V10)),-(K10+(M10+V10))),0)</f>
        <v>28915.46</v>
      </c>
    </row>
    <row r="11" spans="1:30" x14ac:dyDescent="0.25">
      <c r="A11" s="1">
        <v>45716</v>
      </c>
      <c r="B11" t="s">
        <v>105</v>
      </c>
      <c r="C11" t="s">
        <v>70</v>
      </c>
      <c r="D11" t="s">
        <v>14</v>
      </c>
      <c r="E11">
        <v>1250</v>
      </c>
      <c r="F11" t="s">
        <v>71</v>
      </c>
      <c r="G11">
        <v>22.1</v>
      </c>
      <c r="H11" t="s">
        <v>72</v>
      </c>
      <c r="I11">
        <v>1</v>
      </c>
      <c r="J11">
        <v>1</v>
      </c>
      <c r="K11">
        <v>27625</v>
      </c>
      <c r="L11">
        <v>20</v>
      </c>
      <c r="M11">
        <v>18.829999999999998</v>
      </c>
      <c r="N11" t="s">
        <v>109</v>
      </c>
      <c r="O11" t="s">
        <v>109</v>
      </c>
      <c r="P11">
        <v>0</v>
      </c>
      <c r="Q11">
        <v>11.55</v>
      </c>
      <c r="R11">
        <v>1.57</v>
      </c>
      <c r="S11">
        <v>0.03</v>
      </c>
      <c r="T11">
        <v>20</v>
      </c>
      <c r="U11">
        <v>5.68</v>
      </c>
      <c r="V11">
        <v>38.83</v>
      </c>
      <c r="W11">
        <f>YEAR(A11)</f>
        <v>2025</v>
      </c>
      <c r="X11" s="11">
        <f>MONTH(A11)</f>
        <v>2</v>
      </c>
      <c r="Y11">
        <f>IF(X11&lt;4,W11-1,W11)</f>
        <v>2024</v>
      </c>
      <c r="Z11">
        <f>IF(X11&lt;4,X11+9,X11-3)</f>
        <v>11</v>
      </c>
      <c r="AA11" s="13">
        <f>IF(LEN(Z11)=1,_xlfn.CONCAT(0,Z11),Z11)</f>
        <v>11</v>
      </c>
      <c r="AB11" t="str">
        <f>_xlfn.CONCAT(Y11,AA11)</f>
        <v>202411</v>
      </c>
      <c r="AC11" t="str">
        <f>_xlfn.CONCAT(TEXT(A11,"MMM"),"-",MID(W11,3,2))</f>
        <v>Feb-25</v>
      </c>
      <c r="AD11" s="3">
        <f>IFERROR(IF(D11="Sell",(K11-(M11+V11)),-(K11+(M11+V11))),0)</f>
        <v>-27682.66</v>
      </c>
    </row>
    <row r="12" spans="1:30" x14ac:dyDescent="0.25">
      <c r="A12" s="1">
        <v>45720</v>
      </c>
      <c r="B12" t="s">
        <v>102</v>
      </c>
      <c r="C12" t="s">
        <v>70</v>
      </c>
      <c r="D12" t="s">
        <v>14</v>
      </c>
      <c r="E12">
        <v>1250</v>
      </c>
      <c r="F12" t="s">
        <v>71</v>
      </c>
      <c r="G12">
        <v>15.05</v>
      </c>
      <c r="H12" t="s">
        <v>72</v>
      </c>
      <c r="I12">
        <v>1</v>
      </c>
      <c r="J12">
        <v>1</v>
      </c>
      <c r="K12">
        <v>18812.5</v>
      </c>
      <c r="L12">
        <v>20</v>
      </c>
      <c r="M12">
        <v>13.46</v>
      </c>
      <c r="N12" t="s">
        <v>104</v>
      </c>
      <c r="O12" t="s">
        <v>104</v>
      </c>
      <c r="P12">
        <v>0</v>
      </c>
      <c r="Q12">
        <v>7.86</v>
      </c>
      <c r="R12">
        <v>0.56000000000000005</v>
      </c>
      <c r="S12">
        <v>0.02</v>
      </c>
      <c r="T12">
        <v>20</v>
      </c>
      <c r="U12">
        <v>5.0199999999999996</v>
      </c>
      <c r="V12">
        <v>33.46</v>
      </c>
      <c r="W12">
        <f>YEAR(A12)</f>
        <v>2025</v>
      </c>
      <c r="X12" s="11">
        <f>MONTH(A12)</f>
        <v>3</v>
      </c>
      <c r="Y12">
        <f>IF(X12&lt;4,W12-1,W12)</f>
        <v>2024</v>
      </c>
      <c r="Z12">
        <f>IF(X12&lt;4,X12+9,X12-3)</f>
        <v>12</v>
      </c>
      <c r="AA12" s="13">
        <f>IF(LEN(Z12)=1,_xlfn.CONCAT(0,Z12),Z12)</f>
        <v>12</v>
      </c>
      <c r="AB12" t="str">
        <f>_xlfn.CONCAT(Y12,AA12)</f>
        <v>202412</v>
      </c>
      <c r="AC12" t="str">
        <f>_xlfn.CONCAT(TEXT(A12,"MMM"),"-",MID(W12,3,2))</f>
        <v>Mar-25</v>
      </c>
      <c r="AD12" s="3">
        <f>IFERROR(IF(D12="Sell",(K12-(M12+V12)),-(K12+(M12+V12))),0)</f>
        <v>-18859.419999999998</v>
      </c>
    </row>
    <row r="13" spans="1:30" x14ac:dyDescent="0.25">
      <c r="A13" s="1">
        <v>45721</v>
      </c>
      <c r="B13" t="s">
        <v>102</v>
      </c>
      <c r="C13" t="s">
        <v>70</v>
      </c>
      <c r="D13" t="s">
        <v>13</v>
      </c>
      <c r="E13">
        <v>1250</v>
      </c>
      <c r="F13" t="s">
        <v>71</v>
      </c>
      <c r="G13">
        <v>13</v>
      </c>
      <c r="H13" t="s">
        <v>72</v>
      </c>
      <c r="I13">
        <v>1</v>
      </c>
      <c r="J13">
        <v>1</v>
      </c>
      <c r="K13">
        <v>16250</v>
      </c>
      <c r="L13">
        <v>20</v>
      </c>
      <c r="M13">
        <v>19.63</v>
      </c>
      <c r="N13" t="s">
        <v>103</v>
      </c>
      <c r="O13" t="s">
        <v>103</v>
      </c>
      <c r="P13">
        <v>8</v>
      </c>
      <c r="Q13">
        <v>6.79</v>
      </c>
      <c r="R13">
        <v>0</v>
      </c>
      <c r="S13">
        <v>0.02</v>
      </c>
      <c r="T13">
        <v>20</v>
      </c>
      <c r="U13">
        <v>4.82</v>
      </c>
      <c r="V13">
        <v>39.630000000000003</v>
      </c>
      <c r="W13">
        <f>YEAR(A13)</f>
        <v>2025</v>
      </c>
      <c r="X13" s="11">
        <f>MONTH(A13)</f>
        <v>3</v>
      </c>
      <c r="Y13">
        <f>IF(X13&lt;4,W13-1,W13)</f>
        <v>2024</v>
      </c>
      <c r="Z13">
        <f>IF(X13&lt;4,X13+9,X13-3)</f>
        <v>12</v>
      </c>
      <c r="AA13" s="13">
        <f>IF(LEN(Z13)=1,_xlfn.CONCAT(0,Z13),Z13)</f>
        <v>12</v>
      </c>
      <c r="AB13" t="str">
        <f>_xlfn.CONCAT(Y13,AA13)</f>
        <v>202412</v>
      </c>
      <c r="AC13" t="str">
        <f>_xlfn.CONCAT(TEXT(A13,"MMM"),"-",MID(W13,3,2))</f>
        <v>Mar-25</v>
      </c>
      <c r="AD13" s="3">
        <f>IFERROR(IF(D13="Sell",(K13-(M13+V13)),-(K13+(M13+V13))),0)</f>
        <v>16190.74</v>
      </c>
    </row>
    <row r="14" spans="1:30" x14ac:dyDescent="0.25">
      <c r="A14" s="1">
        <v>45723</v>
      </c>
      <c r="B14" t="s">
        <v>99</v>
      </c>
      <c r="C14" t="s">
        <v>70</v>
      </c>
      <c r="D14" t="s">
        <v>13</v>
      </c>
      <c r="E14">
        <v>1250</v>
      </c>
      <c r="F14" t="s">
        <v>71</v>
      </c>
      <c r="G14">
        <v>10.9</v>
      </c>
      <c r="H14" t="s">
        <v>72</v>
      </c>
      <c r="I14">
        <v>1</v>
      </c>
      <c r="J14">
        <v>1</v>
      </c>
      <c r="K14">
        <v>13625</v>
      </c>
      <c r="L14">
        <v>20</v>
      </c>
      <c r="M14">
        <v>17.329999999999998</v>
      </c>
      <c r="N14" t="s">
        <v>100</v>
      </c>
      <c r="O14" t="s">
        <v>100</v>
      </c>
      <c r="P14">
        <v>7</v>
      </c>
      <c r="Q14">
        <v>5.7</v>
      </c>
      <c r="R14">
        <v>0</v>
      </c>
      <c r="S14">
        <v>0.01</v>
      </c>
      <c r="T14">
        <v>20</v>
      </c>
      <c r="U14">
        <v>4.62</v>
      </c>
      <c r="V14">
        <v>37.33</v>
      </c>
      <c r="W14">
        <f>YEAR(A14)</f>
        <v>2025</v>
      </c>
      <c r="X14" s="11">
        <f>MONTH(A14)</f>
        <v>3</v>
      </c>
      <c r="Y14">
        <f>IF(X14&lt;4,W14-1,W14)</f>
        <v>2024</v>
      </c>
      <c r="Z14">
        <f>IF(X14&lt;4,X14+9,X14-3)</f>
        <v>12</v>
      </c>
      <c r="AA14" s="13">
        <f>IF(LEN(Z14)=1,_xlfn.CONCAT(0,Z14),Z14)</f>
        <v>12</v>
      </c>
      <c r="AB14" t="str">
        <f>_xlfn.CONCAT(Y14,AA14)</f>
        <v>202412</v>
      </c>
      <c r="AC14" t="str">
        <f>_xlfn.CONCAT(TEXT(A14,"MMM"),"-",MID(W14,3,2))</f>
        <v>Mar-25</v>
      </c>
      <c r="AD14" s="3">
        <f>IFERROR(IF(D14="Sell",(K14-(M14+V14)),-(K14+(M14+V14))),0)</f>
        <v>13570.34</v>
      </c>
    </row>
    <row r="15" spans="1:30" x14ac:dyDescent="0.25">
      <c r="A15" s="1">
        <v>45723</v>
      </c>
      <c r="B15" t="s">
        <v>99</v>
      </c>
      <c r="C15" t="s">
        <v>70</v>
      </c>
      <c r="D15" t="s">
        <v>14</v>
      </c>
      <c r="E15">
        <v>1250</v>
      </c>
      <c r="F15" t="s">
        <v>71</v>
      </c>
      <c r="G15">
        <v>10.25</v>
      </c>
      <c r="H15" t="s">
        <v>72</v>
      </c>
      <c r="I15">
        <v>1</v>
      </c>
      <c r="J15">
        <v>1</v>
      </c>
      <c r="K15">
        <v>12812.5</v>
      </c>
      <c r="L15">
        <v>20</v>
      </c>
      <c r="M15">
        <v>10.31</v>
      </c>
      <c r="N15" t="s">
        <v>101</v>
      </c>
      <c r="O15" t="s">
        <v>101</v>
      </c>
      <c r="P15">
        <v>0</v>
      </c>
      <c r="Q15">
        <v>5.36</v>
      </c>
      <c r="R15">
        <v>0.38</v>
      </c>
      <c r="S15">
        <v>0.01</v>
      </c>
      <c r="T15">
        <v>20</v>
      </c>
      <c r="U15">
        <v>4.5599999999999996</v>
      </c>
      <c r="V15">
        <v>30.31</v>
      </c>
      <c r="W15">
        <f>YEAR(A15)</f>
        <v>2025</v>
      </c>
      <c r="X15" s="11">
        <f>MONTH(A15)</f>
        <v>3</v>
      </c>
      <c r="Y15">
        <f>IF(X15&lt;4,W15-1,W15)</f>
        <v>2024</v>
      </c>
      <c r="Z15">
        <f>IF(X15&lt;4,X15+9,X15-3)</f>
        <v>12</v>
      </c>
      <c r="AA15" s="13">
        <f>IF(LEN(Z15)=1,_xlfn.CONCAT(0,Z15),Z15)</f>
        <v>12</v>
      </c>
      <c r="AB15" t="str">
        <f>_xlfn.CONCAT(Y15,AA15)</f>
        <v>202412</v>
      </c>
      <c r="AC15" t="str">
        <f>_xlfn.CONCAT(TEXT(A15,"MMM"),"-",MID(W15,3,2))</f>
        <v>Mar-25</v>
      </c>
      <c r="AD15" s="3">
        <f>IFERROR(IF(D15="Sell",(K15-(M15+V15)),-(K15+(M15+V15))),0)</f>
        <v>-12853.12</v>
      </c>
    </row>
    <row r="16" spans="1:30" x14ac:dyDescent="0.25">
      <c r="A16" s="1">
        <v>45728</v>
      </c>
      <c r="B16" t="s">
        <v>89</v>
      </c>
      <c r="C16" t="s">
        <v>70</v>
      </c>
      <c r="D16" t="s">
        <v>14</v>
      </c>
      <c r="E16">
        <v>1250</v>
      </c>
      <c r="F16" t="s">
        <v>71</v>
      </c>
      <c r="G16">
        <v>9.1999999999999993</v>
      </c>
      <c r="H16" t="s">
        <v>72</v>
      </c>
      <c r="I16">
        <v>1</v>
      </c>
      <c r="J16">
        <v>1</v>
      </c>
      <c r="K16">
        <v>11500</v>
      </c>
      <c r="L16">
        <v>20</v>
      </c>
      <c r="M16">
        <v>9.2799999999999994</v>
      </c>
      <c r="N16" t="s">
        <v>95</v>
      </c>
      <c r="O16" t="s">
        <v>95</v>
      </c>
      <c r="P16">
        <v>0</v>
      </c>
      <c r="Q16">
        <v>4.8099999999999996</v>
      </c>
      <c r="R16">
        <v>0</v>
      </c>
      <c r="S16">
        <v>0.01</v>
      </c>
      <c r="T16">
        <v>20</v>
      </c>
      <c r="U16">
        <v>4.46</v>
      </c>
      <c r="V16">
        <v>29.28</v>
      </c>
      <c r="W16">
        <f>YEAR(A16)</f>
        <v>2025</v>
      </c>
      <c r="X16" s="11">
        <f>MONTH(A16)</f>
        <v>3</v>
      </c>
      <c r="Y16">
        <f>IF(X16&lt;4,W16-1,W16)</f>
        <v>2024</v>
      </c>
      <c r="Z16">
        <f>IF(X16&lt;4,X16+9,X16-3)</f>
        <v>12</v>
      </c>
      <c r="AA16" s="13">
        <f>IF(LEN(Z16)=1,_xlfn.CONCAT(0,Z16),Z16)</f>
        <v>12</v>
      </c>
      <c r="AB16" t="str">
        <f>_xlfn.CONCAT(Y16,AA16)</f>
        <v>202412</v>
      </c>
      <c r="AC16" t="str">
        <f>_xlfn.CONCAT(TEXT(A16,"MMM"),"-",MID(W16,3,2))</f>
        <v>Mar-25</v>
      </c>
      <c r="AD16" s="3">
        <f>IFERROR(IF(D16="Sell",(K16-(M16+V16)),-(K16+(M16+V16))),0)</f>
        <v>-11538.56</v>
      </c>
    </row>
    <row r="17" spans="1:30" x14ac:dyDescent="0.25">
      <c r="A17" s="1">
        <v>45728</v>
      </c>
      <c r="B17" t="s">
        <v>89</v>
      </c>
      <c r="C17" t="s">
        <v>70</v>
      </c>
      <c r="D17" t="s">
        <v>14</v>
      </c>
      <c r="E17">
        <v>1250</v>
      </c>
      <c r="F17" t="s">
        <v>71</v>
      </c>
      <c r="G17">
        <v>13.35</v>
      </c>
      <c r="H17" t="s">
        <v>72</v>
      </c>
      <c r="I17">
        <v>1</v>
      </c>
      <c r="J17">
        <v>1</v>
      </c>
      <c r="K17">
        <v>16687.5</v>
      </c>
      <c r="L17">
        <v>20</v>
      </c>
      <c r="M17">
        <v>11.86</v>
      </c>
      <c r="N17" t="s">
        <v>96</v>
      </c>
      <c r="O17" t="s">
        <v>96</v>
      </c>
      <c r="P17">
        <v>0</v>
      </c>
      <c r="Q17">
        <v>6.98</v>
      </c>
      <c r="R17">
        <v>0</v>
      </c>
      <c r="S17">
        <v>0.02</v>
      </c>
      <c r="T17">
        <v>20</v>
      </c>
      <c r="U17">
        <v>4.8600000000000003</v>
      </c>
      <c r="V17">
        <v>31.86</v>
      </c>
      <c r="W17">
        <f>YEAR(A17)</f>
        <v>2025</v>
      </c>
      <c r="X17" s="11">
        <f>MONTH(A17)</f>
        <v>3</v>
      </c>
      <c r="Y17">
        <f>IF(X17&lt;4,W17-1,W17)</f>
        <v>2024</v>
      </c>
      <c r="Z17">
        <f>IF(X17&lt;4,X17+9,X17-3)</f>
        <v>12</v>
      </c>
      <c r="AA17" s="13">
        <f>IF(LEN(Z17)=1,_xlfn.CONCAT(0,Z17),Z17)</f>
        <v>12</v>
      </c>
      <c r="AB17" t="str">
        <f>_xlfn.CONCAT(Y17,AA17)</f>
        <v>202412</v>
      </c>
      <c r="AC17" t="str">
        <f>_xlfn.CONCAT(TEXT(A17,"MMM"),"-",MID(W17,3,2))</f>
        <v>Mar-25</v>
      </c>
      <c r="AD17" s="3">
        <f>IFERROR(IF(D17="Sell",(K17-(M17+V17)),-(K17+(M17+V17))),0)</f>
        <v>-16731.22</v>
      </c>
    </row>
    <row r="18" spans="1:30" x14ac:dyDescent="0.25">
      <c r="A18" s="1">
        <v>45728</v>
      </c>
      <c r="B18" t="s">
        <v>89</v>
      </c>
      <c r="C18" t="s">
        <v>70</v>
      </c>
      <c r="D18" t="s">
        <v>13</v>
      </c>
      <c r="E18">
        <v>1250</v>
      </c>
      <c r="F18" t="s">
        <v>71</v>
      </c>
      <c r="G18">
        <v>14.7</v>
      </c>
      <c r="H18" t="s">
        <v>72</v>
      </c>
      <c r="I18">
        <v>1</v>
      </c>
      <c r="J18">
        <v>1</v>
      </c>
      <c r="K18">
        <v>18375</v>
      </c>
      <c r="L18">
        <v>20</v>
      </c>
      <c r="M18">
        <v>21.68</v>
      </c>
      <c r="N18" t="s">
        <v>97</v>
      </c>
      <c r="O18" t="s">
        <v>97</v>
      </c>
      <c r="P18">
        <v>9</v>
      </c>
      <c r="Q18">
        <v>7.68</v>
      </c>
      <c r="R18">
        <v>0</v>
      </c>
      <c r="S18">
        <v>0.02</v>
      </c>
      <c r="T18">
        <v>20</v>
      </c>
      <c r="U18">
        <v>4.9800000000000004</v>
      </c>
      <c r="V18">
        <v>41.68</v>
      </c>
      <c r="W18">
        <f>YEAR(A18)</f>
        <v>2025</v>
      </c>
      <c r="X18" s="11">
        <f>MONTH(A18)</f>
        <v>3</v>
      </c>
      <c r="Y18">
        <f>IF(X18&lt;4,W18-1,W18)</f>
        <v>2024</v>
      </c>
      <c r="Z18">
        <f>IF(X18&lt;4,X18+9,X18-3)</f>
        <v>12</v>
      </c>
      <c r="AA18" s="13">
        <f>IF(LEN(Z18)=1,_xlfn.CONCAT(0,Z18),Z18)</f>
        <v>12</v>
      </c>
      <c r="AB18" t="str">
        <f>_xlfn.CONCAT(Y18,AA18)</f>
        <v>202412</v>
      </c>
      <c r="AC18" t="str">
        <f>_xlfn.CONCAT(TEXT(A18,"MMM"),"-",MID(W18,3,2))</f>
        <v>Mar-25</v>
      </c>
      <c r="AD18" s="3">
        <f>IFERROR(IF(D18="Sell",(K18-(M18+V18)),-(K18+(M18+V18))),0)</f>
        <v>18311.64</v>
      </c>
    </row>
    <row r="19" spans="1:30" x14ac:dyDescent="0.25">
      <c r="A19" s="1">
        <v>45728</v>
      </c>
      <c r="B19" t="s">
        <v>89</v>
      </c>
      <c r="C19" t="s">
        <v>70</v>
      </c>
      <c r="D19" t="s">
        <v>14</v>
      </c>
      <c r="E19">
        <v>1250</v>
      </c>
      <c r="F19" t="s">
        <v>71</v>
      </c>
      <c r="G19">
        <v>15.1</v>
      </c>
      <c r="H19" t="s">
        <v>72</v>
      </c>
      <c r="I19">
        <v>1</v>
      </c>
      <c r="J19">
        <v>1</v>
      </c>
      <c r="K19">
        <v>18875</v>
      </c>
      <c r="L19">
        <v>20</v>
      </c>
      <c r="M19">
        <v>14.34</v>
      </c>
      <c r="N19" t="s">
        <v>98</v>
      </c>
      <c r="O19" t="s">
        <v>98</v>
      </c>
      <c r="P19">
        <v>0</v>
      </c>
      <c r="Q19">
        <v>7.89</v>
      </c>
      <c r="R19">
        <v>1.41</v>
      </c>
      <c r="S19">
        <v>0.02</v>
      </c>
      <c r="T19">
        <v>20</v>
      </c>
      <c r="U19">
        <v>5.0199999999999996</v>
      </c>
      <c r="V19">
        <v>34.340000000000003</v>
      </c>
      <c r="W19">
        <f>YEAR(A19)</f>
        <v>2025</v>
      </c>
      <c r="X19" s="11">
        <f>MONTH(A19)</f>
        <v>3</v>
      </c>
      <c r="Y19">
        <f>IF(X19&lt;4,W19-1,W19)</f>
        <v>2024</v>
      </c>
      <c r="Z19">
        <f>IF(X19&lt;4,X19+9,X19-3)</f>
        <v>12</v>
      </c>
      <c r="AA19" s="13">
        <f>IF(LEN(Z19)=1,_xlfn.CONCAT(0,Z19),Z19)</f>
        <v>12</v>
      </c>
      <c r="AB19" t="str">
        <f>_xlfn.CONCAT(Y19,AA19)</f>
        <v>202412</v>
      </c>
      <c r="AC19" t="str">
        <f>_xlfn.CONCAT(TEXT(A19,"MMM"),"-",MID(W19,3,2))</f>
        <v>Mar-25</v>
      </c>
      <c r="AD19" s="3">
        <f>IFERROR(IF(D19="Sell",(K19-(M19+V19)),-(K19+(M19+V19))),0)</f>
        <v>-18923.68</v>
      </c>
    </row>
    <row r="20" spans="1:30" x14ac:dyDescent="0.25">
      <c r="A20" s="1">
        <v>45729</v>
      </c>
      <c r="B20" t="s">
        <v>89</v>
      </c>
      <c r="C20" t="s">
        <v>70</v>
      </c>
      <c r="D20" t="s">
        <v>13</v>
      </c>
      <c r="E20">
        <v>1250</v>
      </c>
      <c r="F20" t="s">
        <v>71</v>
      </c>
      <c r="G20">
        <v>9.4499999999999993</v>
      </c>
      <c r="H20" t="s">
        <v>72</v>
      </c>
      <c r="I20">
        <v>1</v>
      </c>
      <c r="J20">
        <v>1</v>
      </c>
      <c r="K20">
        <v>11812.5</v>
      </c>
      <c r="L20">
        <v>20</v>
      </c>
      <c r="M20">
        <v>15.45</v>
      </c>
      <c r="N20" t="s">
        <v>93</v>
      </c>
      <c r="O20" t="s">
        <v>93</v>
      </c>
      <c r="P20">
        <v>6</v>
      </c>
      <c r="Q20">
        <v>4.9400000000000004</v>
      </c>
      <c r="R20">
        <v>0</v>
      </c>
      <c r="S20">
        <v>0.01</v>
      </c>
      <c r="T20">
        <v>20</v>
      </c>
      <c r="U20">
        <v>4.5</v>
      </c>
      <c r="V20">
        <v>35.450000000000003</v>
      </c>
      <c r="W20">
        <f>YEAR(A20)</f>
        <v>2025</v>
      </c>
      <c r="X20" s="11">
        <f>MONTH(A20)</f>
        <v>3</v>
      </c>
      <c r="Y20">
        <f>IF(X20&lt;4,W20-1,W20)</f>
        <v>2024</v>
      </c>
      <c r="Z20">
        <f>IF(X20&lt;4,X20+9,X20-3)</f>
        <v>12</v>
      </c>
      <c r="AA20" s="13">
        <f>IF(LEN(Z20)=1,_xlfn.CONCAT(0,Z20),Z20)</f>
        <v>12</v>
      </c>
      <c r="AB20" t="str">
        <f>_xlfn.CONCAT(Y20,AA20)</f>
        <v>202412</v>
      </c>
      <c r="AC20" t="str">
        <f>_xlfn.CONCAT(TEXT(A20,"MMM"),"-",MID(W20,3,2))</f>
        <v>Mar-25</v>
      </c>
      <c r="AD20" s="3">
        <f>IFERROR(IF(D20="Sell",(K20-(M20+V20)),-(K20+(M20+V20))),0)</f>
        <v>11761.6</v>
      </c>
    </row>
    <row r="21" spans="1:30" x14ac:dyDescent="0.25">
      <c r="A21" s="1">
        <v>45729</v>
      </c>
      <c r="B21" t="s">
        <v>89</v>
      </c>
      <c r="C21" t="s">
        <v>70</v>
      </c>
      <c r="D21" t="s">
        <v>14</v>
      </c>
      <c r="E21">
        <v>1250</v>
      </c>
      <c r="F21" t="s">
        <v>71</v>
      </c>
      <c r="G21">
        <v>7.05</v>
      </c>
      <c r="H21" t="s">
        <v>72</v>
      </c>
      <c r="I21">
        <v>1</v>
      </c>
      <c r="J21">
        <v>1</v>
      </c>
      <c r="K21">
        <v>8812.5</v>
      </c>
      <c r="L21">
        <v>20</v>
      </c>
      <c r="M21">
        <v>8.2100000000000009</v>
      </c>
      <c r="N21" t="s">
        <v>94</v>
      </c>
      <c r="O21" t="s">
        <v>94</v>
      </c>
      <c r="P21">
        <v>0</v>
      </c>
      <c r="Q21">
        <v>3.68</v>
      </c>
      <c r="R21">
        <v>0.26</v>
      </c>
      <c r="S21">
        <v>0.01</v>
      </c>
      <c r="T21">
        <v>20</v>
      </c>
      <c r="U21">
        <v>4.26</v>
      </c>
      <c r="V21">
        <v>28.21</v>
      </c>
      <c r="W21">
        <f>YEAR(A21)</f>
        <v>2025</v>
      </c>
      <c r="X21" s="11">
        <f>MONTH(A21)</f>
        <v>3</v>
      </c>
      <c r="Y21">
        <f>IF(X21&lt;4,W21-1,W21)</f>
        <v>2024</v>
      </c>
      <c r="Z21">
        <f>IF(X21&lt;4,X21+9,X21-3)</f>
        <v>12</v>
      </c>
      <c r="AA21" s="13">
        <f>IF(LEN(Z21)=1,_xlfn.CONCAT(0,Z21),Z21)</f>
        <v>12</v>
      </c>
      <c r="AB21" t="str">
        <f>_xlfn.CONCAT(Y21,AA21)</f>
        <v>202412</v>
      </c>
      <c r="AC21" t="str">
        <f>_xlfn.CONCAT(TEXT(A21,"MMM"),"-",MID(W21,3,2))</f>
        <v>Mar-25</v>
      </c>
      <c r="AD21" s="3">
        <f>IFERROR(IF(D21="Sell",(K21-(M21+V21)),-(K21+(M21+V21))),0)</f>
        <v>-8848.92</v>
      </c>
    </row>
    <row r="22" spans="1:30" x14ac:dyDescent="0.25">
      <c r="A22" s="1">
        <v>45733</v>
      </c>
      <c r="B22" t="s">
        <v>89</v>
      </c>
      <c r="C22" t="s">
        <v>70</v>
      </c>
      <c r="D22" t="s">
        <v>14</v>
      </c>
      <c r="E22">
        <v>1250</v>
      </c>
      <c r="F22" t="s">
        <v>71</v>
      </c>
      <c r="G22">
        <v>4.8499999999999996</v>
      </c>
      <c r="H22" t="s">
        <v>72</v>
      </c>
      <c r="I22">
        <v>1</v>
      </c>
      <c r="J22">
        <v>1</v>
      </c>
      <c r="K22">
        <v>6062.5</v>
      </c>
      <c r="L22">
        <v>20</v>
      </c>
      <c r="M22">
        <v>6.78</v>
      </c>
      <c r="N22" t="s">
        <v>92</v>
      </c>
      <c r="O22" t="s">
        <v>92</v>
      </c>
      <c r="P22">
        <v>0</v>
      </c>
      <c r="Q22">
        <v>2.5299999999999998</v>
      </c>
      <c r="R22">
        <v>0.18</v>
      </c>
      <c r="S22">
        <v>0.01</v>
      </c>
      <c r="T22">
        <v>20</v>
      </c>
      <c r="U22">
        <v>4.0599999999999996</v>
      </c>
      <c r="V22">
        <v>26.78</v>
      </c>
      <c r="W22">
        <f>YEAR(A22)</f>
        <v>2025</v>
      </c>
      <c r="X22" s="11">
        <f>MONTH(A22)</f>
        <v>3</v>
      </c>
      <c r="Y22">
        <f>IF(X22&lt;4,W22-1,W22)</f>
        <v>2024</v>
      </c>
      <c r="Z22">
        <f>IF(X22&lt;4,X22+9,X22-3)</f>
        <v>12</v>
      </c>
      <c r="AA22" s="13">
        <f>IF(LEN(Z22)=1,_xlfn.CONCAT(0,Z22),Z22)</f>
        <v>12</v>
      </c>
      <c r="AB22" t="str">
        <f>_xlfn.CONCAT(Y22,AA22)</f>
        <v>202412</v>
      </c>
      <c r="AC22" t="str">
        <f>_xlfn.CONCAT(TEXT(A22,"MMM"),"-",MID(W22,3,2))</f>
        <v>Mar-25</v>
      </c>
      <c r="AD22" s="3">
        <f>IFERROR(IF(D22="Sell",(K22-(M22+V22)),-(K22+(M22+V22))),0)</f>
        <v>-6096.06</v>
      </c>
    </row>
    <row r="23" spans="1:30" x14ac:dyDescent="0.25">
      <c r="A23" s="1">
        <v>45736</v>
      </c>
      <c r="B23" t="s">
        <v>89</v>
      </c>
      <c r="C23" t="s">
        <v>70</v>
      </c>
      <c r="D23" t="s">
        <v>14</v>
      </c>
      <c r="E23">
        <v>1250</v>
      </c>
      <c r="F23" t="s">
        <v>71</v>
      </c>
      <c r="G23">
        <v>2.75</v>
      </c>
      <c r="H23" t="s">
        <v>72</v>
      </c>
      <c r="I23">
        <v>1</v>
      </c>
      <c r="J23">
        <v>1</v>
      </c>
      <c r="K23">
        <v>3437.5</v>
      </c>
      <c r="L23">
        <v>20</v>
      </c>
      <c r="M23">
        <v>5.4</v>
      </c>
      <c r="N23" t="s">
        <v>91</v>
      </c>
      <c r="O23" t="s">
        <v>91</v>
      </c>
      <c r="P23">
        <v>0</v>
      </c>
      <c r="Q23">
        <v>1.44</v>
      </c>
      <c r="R23">
        <v>0.1</v>
      </c>
      <c r="S23">
        <v>0</v>
      </c>
      <c r="T23">
        <v>20</v>
      </c>
      <c r="U23">
        <v>3.86</v>
      </c>
      <c r="V23">
        <v>25.4</v>
      </c>
      <c r="W23">
        <f>YEAR(A23)</f>
        <v>2025</v>
      </c>
      <c r="X23" s="11">
        <f>MONTH(A23)</f>
        <v>3</v>
      </c>
      <c r="Y23">
        <f>IF(X23&lt;4,W23-1,W23)</f>
        <v>2024</v>
      </c>
      <c r="Z23">
        <f>IF(X23&lt;4,X23+9,X23-3)</f>
        <v>12</v>
      </c>
      <c r="AA23" s="13">
        <f>IF(LEN(Z23)=1,_xlfn.CONCAT(0,Z23),Z23)</f>
        <v>12</v>
      </c>
      <c r="AB23" t="str">
        <f>_xlfn.CONCAT(Y23,AA23)</f>
        <v>202412</v>
      </c>
      <c r="AC23" t="str">
        <f>_xlfn.CONCAT(TEXT(A23,"MMM"),"-",MID(W23,3,2))</f>
        <v>Mar-25</v>
      </c>
      <c r="AD23" s="3">
        <f>IFERROR(IF(D23="Sell",(K23-(M23+V23)),-(K23+(M23+V23))),0)</f>
        <v>-3468.3</v>
      </c>
    </row>
    <row r="24" spans="1:30" x14ac:dyDescent="0.25">
      <c r="A24" s="1">
        <v>45737</v>
      </c>
      <c r="B24" t="s">
        <v>89</v>
      </c>
      <c r="C24" t="s">
        <v>70</v>
      </c>
      <c r="D24" t="s">
        <v>13</v>
      </c>
      <c r="E24">
        <v>5000</v>
      </c>
      <c r="F24" t="s">
        <v>71</v>
      </c>
      <c r="G24">
        <v>0.55000000000000004</v>
      </c>
      <c r="H24" t="s">
        <v>72</v>
      </c>
      <c r="I24">
        <v>1</v>
      </c>
      <c r="J24">
        <v>1</v>
      </c>
      <c r="K24">
        <v>2750</v>
      </c>
      <c r="L24">
        <v>20</v>
      </c>
      <c r="M24">
        <v>5.95</v>
      </c>
      <c r="N24" t="s">
        <v>90</v>
      </c>
      <c r="O24" t="s">
        <v>90</v>
      </c>
      <c r="P24">
        <v>1</v>
      </c>
      <c r="Q24">
        <v>1.1499999999999999</v>
      </c>
      <c r="R24">
        <v>0</v>
      </c>
      <c r="S24">
        <v>0</v>
      </c>
      <c r="T24">
        <v>20</v>
      </c>
      <c r="U24">
        <v>3.8</v>
      </c>
      <c r="V24">
        <v>25.95</v>
      </c>
      <c r="W24">
        <f>YEAR(A24)</f>
        <v>2025</v>
      </c>
      <c r="X24" s="11">
        <f>MONTH(A24)</f>
        <v>3</v>
      </c>
      <c r="Y24">
        <f>IF(X24&lt;4,W24-1,W24)</f>
        <v>2024</v>
      </c>
      <c r="Z24">
        <f>IF(X24&lt;4,X24+9,X24-3)</f>
        <v>12</v>
      </c>
      <c r="AA24" s="13">
        <f>IF(LEN(Z24)=1,_xlfn.CONCAT(0,Z24),Z24)</f>
        <v>12</v>
      </c>
      <c r="AB24" t="str">
        <f>_xlfn.CONCAT(Y24,AA24)</f>
        <v>202412</v>
      </c>
      <c r="AC24" t="str">
        <f>_xlfn.CONCAT(TEXT(A24,"MMM"),"-",MID(W24,3,2))</f>
        <v>Mar-25</v>
      </c>
      <c r="AD24" s="3">
        <f>IFERROR(IF(D24="Sell",(K24-(M24+V24)),-(K24+(M24+V24))),0)</f>
        <v>2718.1</v>
      </c>
    </row>
    <row r="25" spans="1:30" x14ac:dyDescent="0.25">
      <c r="A25" s="1">
        <v>45747</v>
      </c>
      <c r="B25" t="s">
        <v>77</v>
      </c>
      <c r="C25" t="s">
        <v>70</v>
      </c>
      <c r="D25" t="s">
        <v>13</v>
      </c>
      <c r="E25">
        <v>2500</v>
      </c>
      <c r="F25" t="s">
        <v>71</v>
      </c>
      <c r="G25">
        <v>18.100000000000001</v>
      </c>
      <c r="H25" t="s">
        <v>72</v>
      </c>
      <c r="I25">
        <v>1</v>
      </c>
      <c r="J25">
        <v>1</v>
      </c>
      <c r="K25">
        <v>45250</v>
      </c>
      <c r="L25">
        <v>20</v>
      </c>
      <c r="M25">
        <v>48.61</v>
      </c>
      <c r="N25" t="s">
        <v>83</v>
      </c>
      <c r="O25" t="s">
        <v>83</v>
      </c>
      <c r="P25">
        <v>22.63</v>
      </c>
      <c r="Q25">
        <v>18.91</v>
      </c>
      <c r="R25">
        <v>0</v>
      </c>
      <c r="S25">
        <v>0.05</v>
      </c>
      <c r="T25">
        <v>20</v>
      </c>
      <c r="U25">
        <v>7.02</v>
      </c>
      <c r="V25">
        <v>68.61</v>
      </c>
      <c r="W25">
        <f>YEAR(A25)</f>
        <v>2025</v>
      </c>
      <c r="X25" s="11">
        <f>MONTH(A25)</f>
        <v>3</v>
      </c>
      <c r="Y25">
        <f>IF(X25&lt;4,W25-1,W25)</f>
        <v>2024</v>
      </c>
      <c r="Z25">
        <f>IF(X25&lt;4,X25+9,X25-3)</f>
        <v>12</v>
      </c>
      <c r="AA25" s="13">
        <f>IF(LEN(Z25)=1,_xlfn.CONCAT(0,Z25),Z25)</f>
        <v>12</v>
      </c>
      <c r="AB25" t="str">
        <f>_xlfn.CONCAT(Y25,AA25)</f>
        <v>202412</v>
      </c>
      <c r="AC25" t="str">
        <f>_xlfn.CONCAT(TEXT(A25,"MMM"),"-",MID(W25,3,2))</f>
        <v>Mar-25</v>
      </c>
      <c r="AD25" s="3">
        <f>IFERROR(IF(D25="Sell",(K25-(M25+V25)),-(K25+(M25+V25))),0)</f>
        <v>45132.78</v>
      </c>
    </row>
    <row r="26" spans="1:30" x14ac:dyDescent="0.25">
      <c r="A26" s="1">
        <v>45747</v>
      </c>
      <c r="B26" t="s">
        <v>77</v>
      </c>
      <c r="C26" t="s">
        <v>70</v>
      </c>
      <c r="D26" t="s">
        <v>14</v>
      </c>
      <c r="E26">
        <v>2500</v>
      </c>
      <c r="F26" t="s">
        <v>71</v>
      </c>
      <c r="G26">
        <v>19.45</v>
      </c>
      <c r="H26" t="s">
        <v>72</v>
      </c>
      <c r="I26">
        <v>1</v>
      </c>
      <c r="J26">
        <v>1</v>
      </c>
      <c r="K26">
        <v>48625</v>
      </c>
      <c r="L26">
        <v>20</v>
      </c>
      <c r="M26">
        <v>30.56</v>
      </c>
      <c r="N26" t="s">
        <v>84</v>
      </c>
      <c r="O26" t="s">
        <v>84</v>
      </c>
      <c r="P26">
        <v>0</v>
      </c>
      <c r="Q26">
        <v>20.329999999999998</v>
      </c>
      <c r="R26">
        <v>2.92</v>
      </c>
      <c r="S26">
        <v>0.05</v>
      </c>
      <c r="T26">
        <v>20</v>
      </c>
      <c r="U26">
        <v>7.26</v>
      </c>
      <c r="V26">
        <v>50.56</v>
      </c>
      <c r="W26">
        <f>YEAR(A26)</f>
        <v>2025</v>
      </c>
      <c r="X26" s="11">
        <f>MONTH(A26)</f>
        <v>3</v>
      </c>
      <c r="Y26">
        <f>IF(X26&lt;4,W26-1,W26)</f>
        <v>2024</v>
      </c>
      <c r="Z26">
        <f>IF(X26&lt;4,X26+9,X26-3)</f>
        <v>12</v>
      </c>
      <c r="AA26" s="13">
        <f>IF(LEN(Z26)=1,_xlfn.CONCAT(0,Z26),Z26)</f>
        <v>12</v>
      </c>
      <c r="AB26" t="str">
        <f>_xlfn.CONCAT(Y26,AA26)</f>
        <v>202412</v>
      </c>
      <c r="AC26" t="str">
        <f>_xlfn.CONCAT(TEXT(A26,"MMM"),"-",MID(W26,3,2))</f>
        <v>Mar-25</v>
      </c>
      <c r="AD26" s="3">
        <f>IFERROR(IF(D26="Sell",(K26-(M26+V26)),-(K26+(M26+V26))),0)</f>
        <v>-48706.12</v>
      </c>
    </row>
    <row r="27" spans="1:30" x14ac:dyDescent="0.25">
      <c r="A27" s="1">
        <v>45747</v>
      </c>
      <c r="B27" t="s">
        <v>77</v>
      </c>
      <c r="C27" t="s">
        <v>70</v>
      </c>
      <c r="D27" t="s">
        <v>13</v>
      </c>
      <c r="E27">
        <v>1250</v>
      </c>
      <c r="F27" t="s">
        <v>71</v>
      </c>
      <c r="G27">
        <v>19</v>
      </c>
      <c r="H27" t="s">
        <v>72</v>
      </c>
      <c r="I27">
        <v>1</v>
      </c>
      <c r="J27">
        <v>1</v>
      </c>
      <c r="K27">
        <v>23750</v>
      </c>
      <c r="L27">
        <v>20</v>
      </c>
      <c r="M27">
        <v>26.76</v>
      </c>
      <c r="N27" t="s">
        <v>85</v>
      </c>
      <c r="O27" t="s">
        <v>85</v>
      </c>
      <c r="P27">
        <v>11.41</v>
      </c>
      <c r="Q27">
        <v>9.93</v>
      </c>
      <c r="R27">
        <v>0</v>
      </c>
      <c r="S27">
        <v>0.02</v>
      </c>
      <c r="T27">
        <v>20</v>
      </c>
      <c r="U27">
        <v>5.4</v>
      </c>
      <c r="V27">
        <v>46.76</v>
      </c>
      <c r="W27">
        <f>YEAR(A27)</f>
        <v>2025</v>
      </c>
      <c r="X27" s="11">
        <f>MONTH(A27)</f>
        <v>3</v>
      </c>
      <c r="Y27">
        <f>IF(X27&lt;4,W27-1,W27)</f>
        <v>2024</v>
      </c>
      <c r="Z27">
        <f>IF(X27&lt;4,X27+9,X27-3)</f>
        <v>12</v>
      </c>
      <c r="AA27" s="13">
        <f>IF(LEN(Z27)=1,_xlfn.CONCAT(0,Z27),Z27)</f>
        <v>12</v>
      </c>
      <c r="AB27" t="str">
        <f>_xlfn.CONCAT(Y27,AA27)</f>
        <v>202412</v>
      </c>
      <c r="AC27" t="str">
        <f>_xlfn.CONCAT(TEXT(A27,"MMM"),"-",MID(W27,3,2))</f>
        <v>Mar-25</v>
      </c>
      <c r="AD27" s="3">
        <f>IFERROR(IF(D27="Sell",(K27-(M27+V27)),-(K27+(M27+V27))),0)</f>
        <v>23676.48</v>
      </c>
    </row>
    <row r="28" spans="1:30" x14ac:dyDescent="0.25">
      <c r="A28" s="1">
        <v>45747</v>
      </c>
      <c r="B28" t="s">
        <v>77</v>
      </c>
      <c r="C28" t="s">
        <v>70</v>
      </c>
      <c r="D28" t="s">
        <v>14</v>
      </c>
      <c r="E28">
        <v>1250</v>
      </c>
      <c r="F28" t="s">
        <v>71</v>
      </c>
      <c r="G28">
        <v>19.649999999999999</v>
      </c>
      <c r="H28" t="s">
        <v>72</v>
      </c>
      <c r="I28">
        <v>1</v>
      </c>
      <c r="J28">
        <v>1</v>
      </c>
      <c r="K28">
        <v>24562.5</v>
      </c>
      <c r="L28">
        <v>20</v>
      </c>
      <c r="M28">
        <v>15.75</v>
      </c>
      <c r="N28" t="s">
        <v>86</v>
      </c>
      <c r="O28" t="s">
        <v>86</v>
      </c>
      <c r="P28">
        <v>0</v>
      </c>
      <c r="Q28">
        <v>10.27</v>
      </c>
      <c r="R28">
        <v>0</v>
      </c>
      <c r="S28">
        <v>0.02</v>
      </c>
      <c r="T28">
        <v>20</v>
      </c>
      <c r="U28">
        <v>5.46</v>
      </c>
      <c r="V28">
        <v>35.75</v>
      </c>
      <c r="W28">
        <f>YEAR(A28)</f>
        <v>2025</v>
      </c>
      <c r="X28" s="11">
        <f>MONTH(A28)</f>
        <v>3</v>
      </c>
      <c r="Y28">
        <f>IF(X28&lt;4,W28-1,W28)</f>
        <v>2024</v>
      </c>
      <c r="Z28">
        <f>IF(X28&lt;4,X28+9,X28-3)</f>
        <v>12</v>
      </c>
      <c r="AA28" s="13">
        <f>IF(LEN(Z28)=1,_xlfn.CONCAT(0,Z28),Z28)</f>
        <v>12</v>
      </c>
      <c r="AB28" t="str">
        <f>_xlfn.CONCAT(Y28,AA28)</f>
        <v>202412</v>
      </c>
      <c r="AC28" t="str">
        <f>_xlfn.CONCAT(TEXT(A28,"MMM"),"-",MID(W28,3,2))</f>
        <v>Mar-25</v>
      </c>
      <c r="AD28" s="3">
        <f>IFERROR(IF(D28="Sell",(K28-(M28+V28)),-(K28+(M28+V28))),0)</f>
        <v>-24614</v>
      </c>
    </row>
    <row r="29" spans="1:30" x14ac:dyDescent="0.25">
      <c r="A29" s="1">
        <v>45747</v>
      </c>
      <c r="B29" t="s">
        <v>77</v>
      </c>
      <c r="C29" t="s">
        <v>70</v>
      </c>
      <c r="D29" t="s">
        <v>13</v>
      </c>
      <c r="E29">
        <v>1250</v>
      </c>
      <c r="F29" t="s">
        <v>71</v>
      </c>
      <c r="G29">
        <v>19.149999999999999</v>
      </c>
      <c r="H29" t="s">
        <v>72</v>
      </c>
      <c r="I29">
        <v>1</v>
      </c>
      <c r="J29">
        <v>1</v>
      </c>
      <c r="K29">
        <v>23937.5</v>
      </c>
      <c r="L29">
        <v>20</v>
      </c>
      <c r="M29">
        <v>27.4</v>
      </c>
      <c r="N29" t="s">
        <v>87</v>
      </c>
      <c r="O29" t="s">
        <v>87</v>
      </c>
      <c r="P29">
        <v>11.97</v>
      </c>
      <c r="Q29">
        <v>10.01</v>
      </c>
      <c r="R29">
        <v>0</v>
      </c>
      <c r="S29">
        <v>0.02</v>
      </c>
      <c r="T29">
        <v>20</v>
      </c>
      <c r="U29">
        <v>5.4</v>
      </c>
      <c r="V29">
        <v>47.4</v>
      </c>
      <c r="W29">
        <f>YEAR(A29)</f>
        <v>2025</v>
      </c>
      <c r="X29" s="11">
        <f>MONTH(A29)</f>
        <v>3</v>
      </c>
      <c r="Y29">
        <f>IF(X29&lt;4,W29-1,W29)</f>
        <v>2024</v>
      </c>
      <c r="Z29">
        <f>IF(X29&lt;4,X29+9,X29-3)</f>
        <v>12</v>
      </c>
      <c r="AA29" s="13">
        <f>IF(LEN(Z29)=1,_xlfn.CONCAT(0,Z29),Z29)</f>
        <v>12</v>
      </c>
      <c r="AB29" t="str">
        <f>_xlfn.CONCAT(Y29,AA29)</f>
        <v>202412</v>
      </c>
      <c r="AC29" t="str">
        <f>_xlfn.CONCAT(TEXT(A29,"MMM"),"-",MID(W29,3,2))</f>
        <v>Mar-25</v>
      </c>
      <c r="AD29" s="3">
        <f>IFERROR(IF(D29="Sell",(K29-(M29+V29)),-(K29+(M29+V29))),0)</f>
        <v>23862.7</v>
      </c>
    </row>
    <row r="30" spans="1:30" x14ac:dyDescent="0.25">
      <c r="A30" s="1">
        <v>45747</v>
      </c>
      <c r="B30" t="s">
        <v>77</v>
      </c>
      <c r="C30" t="s">
        <v>70</v>
      </c>
      <c r="D30" t="s">
        <v>14</v>
      </c>
      <c r="E30">
        <v>1250</v>
      </c>
      <c r="F30" t="s">
        <v>71</v>
      </c>
      <c r="G30">
        <v>19.25</v>
      </c>
      <c r="H30" t="s">
        <v>72</v>
      </c>
      <c r="I30">
        <v>1</v>
      </c>
      <c r="J30">
        <v>1</v>
      </c>
      <c r="K30">
        <v>24062.5</v>
      </c>
      <c r="L30">
        <v>20</v>
      </c>
      <c r="M30">
        <v>15.5</v>
      </c>
      <c r="N30" t="s">
        <v>88</v>
      </c>
      <c r="O30" t="s">
        <v>88</v>
      </c>
      <c r="P30">
        <v>0</v>
      </c>
      <c r="Q30">
        <v>10.06</v>
      </c>
      <c r="R30">
        <v>0</v>
      </c>
      <c r="S30">
        <v>0.02</v>
      </c>
      <c r="T30">
        <v>20</v>
      </c>
      <c r="U30">
        <v>5.42</v>
      </c>
      <c r="V30">
        <v>35.5</v>
      </c>
      <c r="W30">
        <f>YEAR(A30)</f>
        <v>2025</v>
      </c>
      <c r="X30" s="11">
        <f>MONTH(A30)</f>
        <v>3</v>
      </c>
      <c r="Y30">
        <f>IF(X30&lt;4,W30-1,W30)</f>
        <v>2024</v>
      </c>
      <c r="Z30">
        <f>IF(X30&lt;4,X30+9,X30-3)</f>
        <v>12</v>
      </c>
      <c r="AA30" s="13">
        <f>IF(LEN(Z30)=1,_xlfn.CONCAT(0,Z30),Z30)</f>
        <v>12</v>
      </c>
      <c r="AB30" t="str">
        <f>_xlfn.CONCAT(Y30,AA30)</f>
        <v>202412</v>
      </c>
      <c r="AC30" t="str">
        <f>_xlfn.CONCAT(TEXT(A30,"MMM"),"-",MID(W30,3,2))</f>
        <v>Mar-25</v>
      </c>
      <c r="AD30" s="3">
        <f>IFERROR(IF(D30="Sell",(K30-(M30+V30)),-(K30+(M30+V30))),0)</f>
        <v>-24113.5</v>
      </c>
    </row>
    <row r="31" spans="1:30" x14ac:dyDescent="0.25">
      <c r="A31" s="1">
        <v>45748</v>
      </c>
      <c r="B31" t="s">
        <v>77</v>
      </c>
      <c r="C31" t="s">
        <v>70</v>
      </c>
      <c r="D31" t="s">
        <v>13</v>
      </c>
      <c r="E31">
        <v>1250</v>
      </c>
      <c r="F31" t="s">
        <v>71</v>
      </c>
      <c r="G31">
        <v>13.75</v>
      </c>
      <c r="H31" t="s">
        <v>72</v>
      </c>
      <c r="I31">
        <v>1</v>
      </c>
      <c r="J31">
        <v>1</v>
      </c>
      <c r="K31">
        <v>17187.5</v>
      </c>
      <c r="L31">
        <v>20</v>
      </c>
      <c r="M31">
        <v>20.57</v>
      </c>
      <c r="N31" t="s">
        <v>78</v>
      </c>
      <c r="O31" t="s">
        <v>78</v>
      </c>
      <c r="P31">
        <v>8.4700000000000006</v>
      </c>
      <c r="Q31">
        <v>7.18</v>
      </c>
      <c r="R31">
        <v>0</v>
      </c>
      <c r="S31">
        <v>0.02</v>
      </c>
      <c r="T31">
        <v>20</v>
      </c>
      <c r="U31">
        <v>4.9000000000000004</v>
      </c>
      <c r="V31">
        <v>40.57</v>
      </c>
      <c r="W31">
        <f>YEAR(A31)</f>
        <v>2025</v>
      </c>
      <c r="X31" s="11">
        <f>MONTH(A31)</f>
        <v>4</v>
      </c>
      <c r="Y31">
        <f>IF(X31&lt;4,W31-1,W31)</f>
        <v>2025</v>
      </c>
      <c r="Z31">
        <f>IF(X31&lt;4,X31+9,X31-3)</f>
        <v>1</v>
      </c>
      <c r="AA31" s="13" t="str">
        <f>IF(LEN(Z31)=1,_xlfn.CONCAT(0,Z31),Z31)</f>
        <v>01</v>
      </c>
      <c r="AB31" t="str">
        <f>_xlfn.CONCAT(Y31,AA31)</f>
        <v>202501</v>
      </c>
      <c r="AC31" t="str">
        <f>_xlfn.CONCAT(TEXT(A31,"MMM"),"-",MID(W31,3,2))</f>
        <v>Apr-25</v>
      </c>
      <c r="AD31" s="3">
        <f>IFERROR(IF(D31="Sell",(K31-(M31+V31)),-(K31+(M31+V31))),0)</f>
        <v>17126.36</v>
      </c>
    </row>
    <row r="32" spans="1:30" x14ac:dyDescent="0.25">
      <c r="A32" s="1">
        <v>45748</v>
      </c>
      <c r="B32" t="s">
        <v>77</v>
      </c>
      <c r="C32" t="s">
        <v>70</v>
      </c>
      <c r="D32" t="s">
        <v>13</v>
      </c>
      <c r="E32">
        <v>1250</v>
      </c>
      <c r="F32" t="s">
        <v>71</v>
      </c>
      <c r="G32">
        <v>13.25</v>
      </c>
      <c r="H32" t="s">
        <v>72</v>
      </c>
      <c r="I32">
        <v>1</v>
      </c>
      <c r="J32">
        <v>1</v>
      </c>
      <c r="K32">
        <v>16562.5</v>
      </c>
      <c r="L32">
        <v>20</v>
      </c>
      <c r="M32">
        <v>20.059999999999999</v>
      </c>
      <c r="N32" t="s">
        <v>79</v>
      </c>
      <c r="O32" t="s">
        <v>79</v>
      </c>
      <c r="P32">
        <v>8.2799999999999994</v>
      </c>
      <c r="Q32">
        <v>6.92</v>
      </c>
      <c r="R32">
        <v>0</v>
      </c>
      <c r="S32">
        <v>0.02</v>
      </c>
      <c r="T32">
        <v>20</v>
      </c>
      <c r="U32">
        <v>4.84</v>
      </c>
      <c r="V32">
        <v>40.06</v>
      </c>
      <c r="W32">
        <f>YEAR(A32)</f>
        <v>2025</v>
      </c>
      <c r="X32" s="11">
        <f>MONTH(A32)</f>
        <v>4</v>
      </c>
      <c r="Y32">
        <f>IF(X32&lt;4,W32-1,W32)</f>
        <v>2025</v>
      </c>
      <c r="Z32">
        <f>IF(X32&lt;4,X32+9,X32-3)</f>
        <v>1</v>
      </c>
      <c r="AA32" s="13" t="str">
        <f>IF(LEN(Z32)=1,_xlfn.CONCAT(0,Z32),Z32)</f>
        <v>01</v>
      </c>
      <c r="AB32" t="str">
        <f>_xlfn.CONCAT(Y32,AA32)</f>
        <v>202501</v>
      </c>
      <c r="AC32" t="str">
        <f>_xlfn.CONCAT(TEXT(A32,"MMM"),"-",MID(W32,3,2))</f>
        <v>Apr-25</v>
      </c>
      <c r="AD32" s="3">
        <f>IFERROR(IF(D32="Sell",(K32-(M32+V32)),-(K32+(M32+V32))),0)</f>
        <v>16502.38</v>
      </c>
    </row>
    <row r="33" spans="1:30" x14ac:dyDescent="0.25">
      <c r="A33" s="1">
        <v>45748</v>
      </c>
      <c r="B33" t="s">
        <v>77</v>
      </c>
      <c r="C33" t="s">
        <v>70</v>
      </c>
      <c r="D33" t="s">
        <v>14</v>
      </c>
      <c r="E33">
        <v>2500</v>
      </c>
      <c r="F33" t="s">
        <v>71</v>
      </c>
      <c r="G33">
        <v>18.05</v>
      </c>
      <c r="H33" t="s">
        <v>72</v>
      </c>
      <c r="I33">
        <v>1</v>
      </c>
      <c r="J33">
        <v>1</v>
      </c>
      <c r="K33">
        <v>45125</v>
      </c>
      <c r="L33">
        <v>20</v>
      </c>
      <c r="M33">
        <v>27.26</v>
      </c>
      <c r="N33" t="s">
        <v>80</v>
      </c>
      <c r="O33" t="s">
        <v>80</v>
      </c>
      <c r="P33">
        <v>0</v>
      </c>
      <c r="Q33">
        <v>18.86</v>
      </c>
      <c r="R33">
        <v>1.35</v>
      </c>
      <c r="S33">
        <v>0.05</v>
      </c>
      <c r="T33">
        <v>20</v>
      </c>
      <c r="U33">
        <v>7</v>
      </c>
      <c r="V33">
        <v>47.26</v>
      </c>
      <c r="W33">
        <f>YEAR(A33)</f>
        <v>2025</v>
      </c>
      <c r="X33" s="11">
        <f>MONTH(A33)</f>
        <v>4</v>
      </c>
      <c r="Y33">
        <f>IF(X33&lt;4,W33-1,W33)</f>
        <v>2025</v>
      </c>
      <c r="Z33">
        <f>IF(X33&lt;4,X33+9,X33-3)</f>
        <v>1</v>
      </c>
      <c r="AA33" s="13" t="str">
        <f>IF(LEN(Z33)=1,_xlfn.CONCAT(0,Z33),Z33)</f>
        <v>01</v>
      </c>
      <c r="AB33" t="str">
        <f>_xlfn.CONCAT(Y33,AA33)</f>
        <v>202501</v>
      </c>
      <c r="AC33" t="str">
        <f>_xlfn.CONCAT(TEXT(A33,"MMM"),"-",MID(W33,3,2))</f>
        <v>Apr-25</v>
      </c>
      <c r="AD33" s="3">
        <f>IFERROR(IF(D33="Sell",(K33-(M33+V33)),-(K33+(M33+V33))),0)</f>
        <v>-45199.519999999997</v>
      </c>
    </row>
    <row r="34" spans="1:30" x14ac:dyDescent="0.25">
      <c r="A34" s="1">
        <v>45748</v>
      </c>
      <c r="B34" t="s">
        <v>69</v>
      </c>
      <c r="C34" t="s">
        <v>70</v>
      </c>
      <c r="D34" t="s">
        <v>13</v>
      </c>
      <c r="E34">
        <v>1250</v>
      </c>
      <c r="F34" t="s">
        <v>71</v>
      </c>
      <c r="G34">
        <v>18</v>
      </c>
      <c r="H34" t="s">
        <v>72</v>
      </c>
      <c r="I34">
        <v>1</v>
      </c>
      <c r="J34">
        <v>1</v>
      </c>
      <c r="K34">
        <v>22500</v>
      </c>
      <c r="L34">
        <v>20</v>
      </c>
      <c r="M34">
        <v>25.98</v>
      </c>
      <c r="N34" t="s">
        <v>81</v>
      </c>
      <c r="O34" t="s">
        <v>81</v>
      </c>
      <c r="P34">
        <v>11.25</v>
      </c>
      <c r="Q34">
        <v>9.41</v>
      </c>
      <c r="R34">
        <v>0</v>
      </c>
      <c r="S34">
        <v>0.02</v>
      </c>
      <c r="T34">
        <v>20</v>
      </c>
      <c r="U34">
        <v>5.3</v>
      </c>
      <c r="V34">
        <v>45.98</v>
      </c>
      <c r="W34">
        <f>YEAR(A34)</f>
        <v>2025</v>
      </c>
      <c r="X34" s="11">
        <f>MONTH(A34)</f>
        <v>4</v>
      </c>
      <c r="Y34">
        <f>IF(X34&lt;4,W34-1,W34)</f>
        <v>2025</v>
      </c>
      <c r="Z34">
        <f>IF(X34&lt;4,X34+9,X34-3)</f>
        <v>1</v>
      </c>
      <c r="AA34" s="13" t="str">
        <f>IF(LEN(Z34)=1,_xlfn.CONCAT(0,Z34),Z34)</f>
        <v>01</v>
      </c>
      <c r="AB34" t="str">
        <f>_xlfn.CONCAT(Y34,AA34)</f>
        <v>202501</v>
      </c>
      <c r="AC34" t="str">
        <f>_xlfn.CONCAT(TEXT(A34,"MMM"),"-",MID(W34,3,2))</f>
        <v>Apr-25</v>
      </c>
      <c r="AD34" s="3">
        <f>IFERROR(IF(D34="Sell",(K34-(M34+V34)),-(K34+(M34+V34))),0)</f>
        <v>22428.04</v>
      </c>
    </row>
    <row r="35" spans="1:30" x14ac:dyDescent="0.25">
      <c r="A35" s="1">
        <v>45748</v>
      </c>
      <c r="B35" t="s">
        <v>69</v>
      </c>
      <c r="C35" t="s">
        <v>70</v>
      </c>
      <c r="D35" t="s">
        <v>14</v>
      </c>
      <c r="E35">
        <v>1250</v>
      </c>
      <c r="F35" t="s">
        <v>71</v>
      </c>
      <c r="G35">
        <v>18.7</v>
      </c>
      <c r="H35" t="s">
        <v>72</v>
      </c>
      <c r="I35">
        <v>1</v>
      </c>
      <c r="J35">
        <v>1</v>
      </c>
      <c r="K35">
        <v>23375</v>
      </c>
      <c r="L35">
        <v>20</v>
      </c>
      <c r="M35">
        <v>15.85</v>
      </c>
      <c r="N35" t="s">
        <v>82</v>
      </c>
      <c r="O35" t="s">
        <v>82</v>
      </c>
      <c r="P35">
        <v>0</v>
      </c>
      <c r="Q35">
        <v>9.77</v>
      </c>
      <c r="R35">
        <v>0.7</v>
      </c>
      <c r="S35">
        <v>0.02</v>
      </c>
      <c r="T35">
        <v>20</v>
      </c>
      <c r="U35">
        <v>5.36</v>
      </c>
      <c r="V35">
        <v>35.85</v>
      </c>
      <c r="W35">
        <f>YEAR(A35)</f>
        <v>2025</v>
      </c>
      <c r="X35" s="11">
        <f>MONTH(A35)</f>
        <v>4</v>
      </c>
      <c r="Y35">
        <f>IF(X35&lt;4,W35-1,W35)</f>
        <v>2025</v>
      </c>
      <c r="Z35">
        <f>IF(X35&lt;4,X35+9,X35-3)</f>
        <v>1</v>
      </c>
      <c r="AA35" s="13" t="str">
        <f>IF(LEN(Z35)=1,_xlfn.CONCAT(0,Z35),Z35)</f>
        <v>01</v>
      </c>
      <c r="AB35" t="str">
        <f>_xlfn.CONCAT(Y35,AA35)</f>
        <v>202501</v>
      </c>
      <c r="AC35" t="str">
        <f>_xlfn.CONCAT(TEXT(A35,"MMM"),"-",MID(W35,3,2))</f>
        <v>Apr-25</v>
      </c>
      <c r="AD35" s="3">
        <f>IFERROR(IF(D35="Sell",(K35-(M35+V35)),-(K35+(M35+V35))),0)</f>
        <v>-23426.7</v>
      </c>
    </row>
    <row r="36" spans="1:30" x14ac:dyDescent="0.25">
      <c r="A36" s="1">
        <v>45750</v>
      </c>
      <c r="B36" t="s">
        <v>69</v>
      </c>
      <c r="C36" t="s">
        <v>70</v>
      </c>
      <c r="D36" t="s">
        <v>13</v>
      </c>
      <c r="E36">
        <v>1250</v>
      </c>
      <c r="F36" t="s">
        <v>71</v>
      </c>
      <c r="G36">
        <v>15.3</v>
      </c>
      <c r="H36" t="s">
        <v>72</v>
      </c>
      <c r="I36">
        <v>1</v>
      </c>
      <c r="J36">
        <v>1</v>
      </c>
      <c r="K36">
        <v>19125</v>
      </c>
      <c r="L36">
        <v>20</v>
      </c>
      <c r="M36">
        <v>22.61</v>
      </c>
      <c r="N36" t="s">
        <v>73</v>
      </c>
      <c r="O36" t="s">
        <v>73</v>
      </c>
      <c r="P36">
        <v>9.56</v>
      </c>
      <c r="Q36">
        <v>7.99</v>
      </c>
      <c r="R36">
        <v>0</v>
      </c>
      <c r="S36">
        <v>0.02</v>
      </c>
      <c r="T36">
        <v>20</v>
      </c>
      <c r="U36">
        <v>5.04</v>
      </c>
      <c r="V36">
        <v>42.61</v>
      </c>
      <c r="W36">
        <f>YEAR(A36)</f>
        <v>2025</v>
      </c>
      <c r="X36" s="11">
        <f>MONTH(A36)</f>
        <v>4</v>
      </c>
      <c r="Y36">
        <f>IF(X36&lt;4,W36-1,W36)</f>
        <v>2025</v>
      </c>
      <c r="Z36">
        <f>IF(X36&lt;4,X36+9,X36-3)</f>
        <v>1</v>
      </c>
      <c r="AA36" s="13" t="str">
        <f>IF(LEN(Z36)=1,_xlfn.CONCAT(0,Z36),Z36)</f>
        <v>01</v>
      </c>
      <c r="AB36" t="str">
        <f>_xlfn.CONCAT(Y36,AA36)</f>
        <v>202501</v>
      </c>
      <c r="AC36" t="str">
        <f>_xlfn.CONCAT(TEXT(A36,"MMM"),"-",MID(W36,3,2))</f>
        <v>Apr-25</v>
      </c>
      <c r="AD36" s="3">
        <f>IFERROR(IF(D36="Sell",(K36-(M36+V36)),-(K36+(M36+V36))),0)</f>
        <v>19059.78</v>
      </c>
    </row>
    <row r="37" spans="1:30" x14ac:dyDescent="0.25">
      <c r="A37" s="1">
        <v>45750</v>
      </c>
      <c r="B37" t="s">
        <v>69</v>
      </c>
      <c r="C37" t="s">
        <v>70</v>
      </c>
      <c r="D37" t="s">
        <v>14</v>
      </c>
      <c r="E37">
        <v>1250</v>
      </c>
      <c r="F37" t="s">
        <v>71</v>
      </c>
      <c r="G37">
        <v>16.8</v>
      </c>
      <c r="H37" t="s">
        <v>72</v>
      </c>
      <c r="I37">
        <v>1</v>
      </c>
      <c r="J37">
        <v>1</v>
      </c>
      <c r="K37">
        <v>21000</v>
      </c>
      <c r="L37">
        <v>20</v>
      </c>
      <c r="M37">
        <v>13.98</v>
      </c>
      <c r="N37" t="s">
        <v>74</v>
      </c>
      <c r="O37" t="s">
        <v>74</v>
      </c>
      <c r="P37">
        <v>0</v>
      </c>
      <c r="Q37">
        <v>8.7799999999999994</v>
      </c>
      <c r="R37">
        <v>0</v>
      </c>
      <c r="S37">
        <v>0.02</v>
      </c>
      <c r="T37">
        <v>20</v>
      </c>
      <c r="U37">
        <v>5.18</v>
      </c>
      <c r="V37">
        <v>33.979999999999997</v>
      </c>
      <c r="W37">
        <f>YEAR(A37)</f>
        <v>2025</v>
      </c>
      <c r="X37" s="11">
        <f>MONTH(A37)</f>
        <v>4</v>
      </c>
      <c r="Y37">
        <f>IF(X37&lt;4,W37-1,W37)</f>
        <v>2025</v>
      </c>
      <c r="Z37">
        <f>IF(X37&lt;4,X37+9,X37-3)</f>
        <v>1</v>
      </c>
      <c r="AA37" s="13" t="str">
        <f>IF(LEN(Z37)=1,_xlfn.CONCAT(0,Z37),Z37)</f>
        <v>01</v>
      </c>
      <c r="AB37" t="str">
        <f>_xlfn.CONCAT(Y37,AA37)</f>
        <v>202501</v>
      </c>
      <c r="AC37" t="str">
        <f>_xlfn.CONCAT(TEXT(A37,"MMM"),"-",MID(W37,3,2))</f>
        <v>Apr-25</v>
      </c>
      <c r="AD37" s="3">
        <f>IFERROR(IF(D37="Sell",(K37-(M37+V37)),-(K37+(M37+V37))),0)</f>
        <v>-21047.96</v>
      </c>
    </row>
    <row r="38" spans="1:30" x14ac:dyDescent="0.25">
      <c r="A38" s="1">
        <v>45750</v>
      </c>
      <c r="B38" t="s">
        <v>69</v>
      </c>
      <c r="C38" t="s">
        <v>70</v>
      </c>
      <c r="D38" t="s">
        <v>13</v>
      </c>
      <c r="E38">
        <v>1250</v>
      </c>
      <c r="F38" t="s">
        <v>71</v>
      </c>
      <c r="G38">
        <v>15.4</v>
      </c>
      <c r="H38" t="s">
        <v>72</v>
      </c>
      <c r="I38">
        <v>1</v>
      </c>
      <c r="J38">
        <v>1</v>
      </c>
      <c r="K38">
        <v>19250</v>
      </c>
      <c r="L38">
        <v>20</v>
      </c>
      <c r="M38">
        <v>22.57</v>
      </c>
      <c r="N38" t="s">
        <v>75</v>
      </c>
      <c r="O38" t="s">
        <v>75</v>
      </c>
      <c r="P38">
        <v>9.44</v>
      </c>
      <c r="Q38">
        <v>8.0500000000000007</v>
      </c>
      <c r="R38">
        <v>0</v>
      </c>
      <c r="S38">
        <v>0.02</v>
      </c>
      <c r="T38">
        <v>20</v>
      </c>
      <c r="U38">
        <v>5.0599999999999996</v>
      </c>
      <c r="V38">
        <v>42.57</v>
      </c>
      <c r="W38">
        <f>YEAR(A38)</f>
        <v>2025</v>
      </c>
      <c r="X38" s="11">
        <f>MONTH(A38)</f>
        <v>4</v>
      </c>
      <c r="Y38">
        <f>IF(X38&lt;4,W38-1,W38)</f>
        <v>2025</v>
      </c>
      <c r="Z38">
        <f>IF(X38&lt;4,X38+9,X38-3)</f>
        <v>1</v>
      </c>
      <c r="AA38" s="13" t="str">
        <f>IF(LEN(Z38)=1,_xlfn.CONCAT(0,Z38),Z38)</f>
        <v>01</v>
      </c>
      <c r="AB38" t="str">
        <f>_xlfn.CONCAT(Y38,AA38)</f>
        <v>202501</v>
      </c>
      <c r="AC38" t="str">
        <f>_xlfn.CONCAT(TEXT(A38,"MMM"),"-",MID(W38,3,2))</f>
        <v>Apr-25</v>
      </c>
      <c r="AD38" s="3">
        <f>IFERROR(IF(D38="Sell",(K38-(M38+V38)),-(K38+(M38+V38))),0)</f>
        <v>19184.86</v>
      </c>
    </row>
    <row r="39" spans="1:30" x14ac:dyDescent="0.25">
      <c r="A39" s="1">
        <v>45750</v>
      </c>
      <c r="B39" t="s">
        <v>69</v>
      </c>
      <c r="C39" t="s">
        <v>70</v>
      </c>
      <c r="D39" t="s">
        <v>14</v>
      </c>
      <c r="E39">
        <v>1250</v>
      </c>
      <c r="F39" t="s">
        <v>71</v>
      </c>
      <c r="G39">
        <v>19.100000000000001</v>
      </c>
      <c r="H39" t="s">
        <v>72</v>
      </c>
      <c r="I39">
        <v>1</v>
      </c>
      <c r="J39">
        <v>1</v>
      </c>
      <c r="K39">
        <v>23875</v>
      </c>
      <c r="L39">
        <v>20</v>
      </c>
      <c r="M39">
        <v>16.75</v>
      </c>
      <c r="N39" t="s">
        <v>76</v>
      </c>
      <c r="O39" t="s">
        <v>76</v>
      </c>
      <c r="P39">
        <v>0</v>
      </c>
      <c r="Q39">
        <v>9.98</v>
      </c>
      <c r="R39">
        <v>1.35</v>
      </c>
      <c r="S39">
        <v>0.02</v>
      </c>
      <c r="T39">
        <v>20</v>
      </c>
      <c r="U39">
        <v>5.4</v>
      </c>
      <c r="V39">
        <v>36.75</v>
      </c>
      <c r="W39">
        <f>YEAR(A39)</f>
        <v>2025</v>
      </c>
      <c r="X39" s="11">
        <f>MONTH(A39)</f>
        <v>4</v>
      </c>
      <c r="Y39">
        <f>IF(X39&lt;4,W39-1,W39)</f>
        <v>2025</v>
      </c>
      <c r="Z39">
        <f>IF(X39&lt;4,X39+9,X39-3)</f>
        <v>1</v>
      </c>
      <c r="AA39" s="13" t="str">
        <f>IF(LEN(Z39)=1,_xlfn.CONCAT(0,Z39),Z39)</f>
        <v>01</v>
      </c>
      <c r="AB39" t="str">
        <f>_xlfn.CONCAT(Y39,AA39)</f>
        <v>202501</v>
      </c>
      <c r="AC39" t="str">
        <f>_xlfn.CONCAT(TEXT(A39,"MMM"),"-",MID(W39,3,2))</f>
        <v>Apr-25</v>
      </c>
      <c r="AD39" s="3">
        <f>IFERROR(IF(D39="Sell",(K39-(M39+V39)),-(K39+(M39+V39))),0)</f>
        <v>-23928.5</v>
      </c>
    </row>
    <row r="40" spans="1:30" x14ac:dyDescent="0.25">
      <c r="A40" s="1"/>
    </row>
    <row r="41" spans="1:30" x14ac:dyDescent="0.25">
      <c r="A41" s="1"/>
    </row>
    <row r="42" spans="1:30" x14ac:dyDescent="0.25">
      <c r="A42" s="1"/>
    </row>
    <row r="43" spans="1:30" x14ac:dyDescent="0.25">
      <c r="A43" s="1"/>
    </row>
    <row r="44" spans="1:30" x14ac:dyDescent="0.25">
      <c r="A44" s="1"/>
    </row>
    <row r="45" spans="1:30" x14ac:dyDescent="0.25">
      <c r="A45" s="1"/>
    </row>
    <row r="46" spans="1:30" x14ac:dyDescent="0.25">
      <c r="A46" s="1"/>
    </row>
    <row r="47" spans="1:30" x14ac:dyDescent="0.25">
      <c r="A47" s="1"/>
    </row>
    <row r="48" spans="1:30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</sheetData>
  <autoFilter ref="A1:AD39" xr:uid="{00000000-0001-0000-0000-000000000000}">
    <sortState xmlns:xlrd2="http://schemas.microsoft.com/office/spreadsheetml/2017/richdata2" ref="A2:AD39">
      <sortCondition ref="A1:A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810-1FD5-42E2-9ABA-F2825E11BB53}">
  <dimension ref="A1:T15"/>
  <sheetViews>
    <sheetView workbookViewId="0">
      <selection activeCell="G19" sqref="G19"/>
    </sheetView>
  </sheetViews>
  <sheetFormatPr defaultRowHeight="15" x14ac:dyDescent="0.25"/>
  <cols>
    <col min="2" max="3" width="6.42578125" bestFit="1" customWidth="1"/>
    <col min="4" max="4" width="4.7109375" bestFit="1" customWidth="1"/>
    <col min="5" max="5" width="10.140625" bestFit="1" customWidth="1"/>
    <col min="9" max="9" width="6.42578125" bestFit="1" customWidth="1"/>
    <col min="10" max="10" width="4.7109375" bestFit="1" customWidth="1"/>
    <col min="11" max="11" width="10.140625" bestFit="1" customWidth="1"/>
    <col min="14" max="15" width="6.42578125" bestFit="1" customWidth="1"/>
    <col min="16" max="16" width="5.7109375" bestFit="1" customWidth="1"/>
    <col min="17" max="17" width="10.140625" bestFit="1" customWidth="1"/>
    <col min="18" max="18" width="0" hidden="1" customWidth="1"/>
    <col min="19" max="19" width="20.140625" bestFit="1" customWidth="1"/>
    <col min="20" max="20" width="22.7109375" customWidth="1"/>
  </cols>
  <sheetData>
    <row r="1" spans="1:20" x14ac:dyDescent="0.25">
      <c r="A1" s="7">
        <v>350</v>
      </c>
      <c r="B1" s="4" t="s">
        <v>25</v>
      </c>
      <c r="C1" s="4" t="s">
        <v>26</v>
      </c>
      <c r="D1" s="4" t="s">
        <v>27</v>
      </c>
      <c r="E1" s="4" t="s">
        <v>28</v>
      </c>
      <c r="G1" s="7">
        <f>A1+5</f>
        <v>355</v>
      </c>
      <c r="H1" s="4" t="s">
        <v>25</v>
      </c>
      <c r="I1" s="4" t="s">
        <v>26</v>
      </c>
      <c r="J1" s="4" t="s">
        <v>27</v>
      </c>
      <c r="K1" s="4" t="s">
        <v>28</v>
      </c>
      <c r="M1" s="7">
        <f>G1+5</f>
        <v>360</v>
      </c>
      <c r="N1" s="4" t="s">
        <v>25</v>
      </c>
      <c r="O1" s="4" t="s">
        <v>26</v>
      </c>
      <c r="P1" s="4" t="s">
        <v>27</v>
      </c>
      <c r="Q1" s="4" t="s">
        <v>28</v>
      </c>
      <c r="S1" t="s">
        <v>46</v>
      </c>
    </row>
    <row r="2" spans="1:20" x14ac:dyDescent="0.25">
      <c r="A2" s="6">
        <v>9.1999999999999993</v>
      </c>
      <c r="B2" s="4">
        <v>2909</v>
      </c>
      <c r="C2" s="4">
        <v>4277</v>
      </c>
      <c r="D2" s="4">
        <f>C2-B2</f>
        <v>1368</v>
      </c>
      <c r="E2" s="4" t="str">
        <f>IF(D2&gt;=2000,"Strong Call",IF(D2&gt;1000,"Call",IF(D2&gt;=-1000,"Wait",IF(D2&gt;=-2000,"Put","Strong Put"))))</f>
        <v>Call</v>
      </c>
      <c r="G2" s="6">
        <v>9.1999999999999993</v>
      </c>
      <c r="H2" s="4">
        <v>1045</v>
      </c>
      <c r="I2" s="4">
        <v>917</v>
      </c>
      <c r="J2" s="4">
        <f>I2-H2</f>
        <v>-128</v>
      </c>
      <c r="K2" s="4" t="str">
        <f>IF(J2&gt;=2000,"Strong Call",IF(J2&gt;1000,"Call",IF(J2&gt;=-1000,"Wait",IF(J2&gt;=-2000,"Put","Strong Put"))))</f>
        <v>Wait</v>
      </c>
      <c r="M2" s="6">
        <v>9.1999999999999993</v>
      </c>
      <c r="N2" s="4">
        <v>2870</v>
      </c>
      <c r="O2" s="4">
        <v>1589</v>
      </c>
      <c r="P2" s="4">
        <f>O2-N2</f>
        <v>-1281</v>
      </c>
      <c r="Q2" s="4" t="str">
        <f>IF(P2&gt;=2000,"Strong Call",IF(P2&gt;1000,"Call",IF(P2&gt;=-1000,"Wait",IF(P2&gt;=-2000,"Put","Strong Put"))))</f>
        <v>Put</v>
      </c>
      <c r="R2" t="str">
        <f t="shared" ref="R2:R15" si="0">E2&amp;K2&amp;Q2</f>
        <v>CallWaitPut</v>
      </c>
      <c r="S2" t="str">
        <f>VLOOKUP(R2,Strategy!A:E,5,0)</f>
        <v>Rangebound</v>
      </c>
    </row>
    <row r="3" spans="1:20" x14ac:dyDescent="0.25">
      <c r="A3" s="6">
        <v>9.3000000000000007</v>
      </c>
      <c r="B3" s="4">
        <v>2918</v>
      </c>
      <c r="C3" s="4">
        <v>4159</v>
      </c>
      <c r="D3" s="4">
        <f t="shared" ref="D3:D15" si="1">C3-B3</f>
        <v>1241</v>
      </c>
      <c r="E3" s="4" t="str">
        <f t="shared" ref="E3:E15" si="2">IF(D3&gt;=2000,"Strong Call",IF(D3&gt;1000,"Call",IF(D3&gt;=-1000,"Wait",IF(D3&gt;=-2000,"Put","Strong Put"))))</f>
        <v>Call</v>
      </c>
      <c r="G3" s="6">
        <v>9.3000000000000007</v>
      </c>
      <c r="H3" s="4"/>
      <c r="I3" s="4">
        <v>894</v>
      </c>
      <c r="J3" s="4">
        <f t="shared" ref="J3:J15" si="3">I3-H3</f>
        <v>894</v>
      </c>
      <c r="K3" s="4" t="str">
        <f t="shared" ref="K3:K15" si="4">IF(J3&gt;=2000,"Strong Call",IF(J3&gt;1000,"Call",IF(J3&gt;=-1000,"Wait",IF(J3&gt;=-2000,"Put","Strong Put"))))</f>
        <v>Wait</v>
      </c>
      <c r="M3" s="6">
        <v>9.3000000000000007</v>
      </c>
      <c r="N3" s="4">
        <v>2814</v>
      </c>
      <c r="O3" s="4">
        <v>1565</v>
      </c>
      <c r="P3" s="4">
        <f t="shared" ref="P3:P15" si="5">O3-N3</f>
        <v>-1249</v>
      </c>
      <c r="Q3" s="4" t="str">
        <f t="shared" ref="Q3:Q15" si="6">IF(P3&gt;=2000,"Strong Call",IF(P3&gt;1000,"Call",IF(P3&gt;=-1000,"Wait",IF(P3&gt;=-2000,"Put","Strong Put"))))</f>
        <v>Put</v>
      </c>
      <c r="R3" t="str">
        <f t="shared" si="0"/>
        <v>CallWaitPut</v>
      </c>
      <c r="S3" t="str">
        <f>VLOOKUP(R3,Strategy!A:E,5,0)</f>
        <v>Rangebound</v>
      </c>
    </row>
    <row r="4" spans="1:20" x14ac:dyDescent="0.25">
      <c r="A4" s="6">
        <v>9.4499999999999993</v>
      </c>
      <c r="B4" s="4">
        <v>2963</v>
      </c>
      <c r="C4" s="4">
        <v>4216</v>
      </c>
      <c r="D4" s="4">
        <f t="shared" si="1"/>
        <v>1253</v>
      </c>
      <c r="E4" s="4" t="str">
        <f t="shared" si="2"/>
        <v>Call</v>
      </c>
      <c r="G4" s="6">
        <v>9.4499999999999993</v>
      </c>
      <c r="H4" s="4"/>
      <c r="I4" s="4">
        <v>882</v>
      </c>
      <c r="J4" s="4">
        <f t="shared" si="3"/>
        <v>882</v>
      </c>
      <c r="K4" s="4" t="str">
        <f t="shared" si="4"/>
        <v>Wait</v>
      </c>
      <c r="M4" s="6">
        <v>9.4499999999999993</v>
      </c>
      <c r="N4" s="4">
        <v>2841</v>
      </c>
      <c r="O4" s="4">
        <v>1562</v>
      </c>
      <c r="P4" s="4">
        <f t="shared" si="5"/>
        <v>-1279</v>
      </c>
      <c r="Q4" s="4" t="str">
        <f t="shared" si="6"/>
        <v>Put</v>
      </c>
      <c r="R4" t="str">
        <f t="shared" si="0"/>
        <v>CallWaitPut</v>
      </c>
      <c r="S4" t="str">
        <f>VLOOKUP(R4,Strategy!A:E,5,0)</f>
        <v>Rangebound</v>
      </c>
      <c r="T4" t="s">
        <v>60</v>
      </c>
    </row>
    <row r="5" spans="1:20" x14ac:dyDescent="0.25">
      <c r="A5" s="6">
        <v>9.5500000000000007</v>
      </c>
      <c r="B5" s="4"/>
      <c r="C5" s="4"/>
      <c r="D5" s="4">
        <f t="shared" si="1"/>
        <v>0</v>
      </c>
      <c r="E5" s="4" t="str">
        <f t="shared" si="2"/>
        <v>Wait</v>
      </c>
      <c r="G5" s="6">
        <v>9.5500000000000007</v>
      </c>
      <c r="H5" s="4"/>
      <c r="I5" s="4"/>
      <c r="J5" s="4">
        <f t="shared" si="3"/>
        <v>0</v>
      </c>
      <c r="K5" s="4" t="str">
        <f t="shared" si="4"/>
        <v>Wait</v>
      </c>
      <c r="M5" s="6">
        <v>9.5500000000000007</v>
      </c>
      <c r="N5" s="4"/>
      <c r="O5" s="4"/>
      <c r="P5" s="4">
        <f t="shared" si="5"/>
        <v>0</v>
      </c>
      <c r="Q5" s="4" t="str">
        <f t="shared" si="6"/>
        <v>Wait</v>
      </c>
      <c r="R5" t="str">
        <f t="shared" si="0"/>
        <v>WaitWaitWait</v>
      </c>
      <c r="S5" t="str">
        <f>VLOOKUP(R5,Strategy!A:E,5,0)</f>
        <v>Rangebound</v>
      </c>
    </row>
    <row r="6" spans="1:20" x14ac:dyDescent="0.25">
      <c r="A6" s="9">
        <v>10.050000000000001</v>
      </c>
      <c r="B6" s="10"/>
      <c r="C6" s="10"/>
      <c r="D6" s="10">
        <f t="shared" si="1"/>
        <v>0</v>
      </c>
      <c r="E6" s="14" t="str">
        <f t="shared" si="2"/>
        <v>Wait</v>
      </c>
      <c r="G6" s="9">
        <v>10.050000000000001</v>
      </c>
      <c r="H6" s="10"/>
      <c r="I6" s="10"/>
      <c r="J6" s="10">
        <f t="shared" si="3"/>
        <v>0</v>
      </c>
      <c r="K6" s="14" t="str">
        <f t="shared" si="4"/>
        <v>Wait</v>
      </c>
      <c r="M6" s="9">
        <v>10.050000000000001</v>
      </c>
      <c r="N6" s="10"/>
      <c r="O6" s="10"/>
      <c r="P6" s="10">
        <f t="shared" si="5"/>
        <v>0</v>
      </c>
      <c r="Q6" s="14" t="str">
        <f t="shared" si="6"/>
        <v>Wait</v>
      </c>
      <c r="R6" t="str">
        <f t="shared" si="0"/>
        <v>WaitWaitWait</v>
      </c>
      <c r="S6" t="str">
        <f>VLOOKUP(R6,Strategy!A:E,5,0)</f>
        <v>Rangebound</v>
      </c>
    </row>
    <row r="7" spans="1:20" x14ac:dyDescent="0.25">
      <c r="A7" s="9">
        <v>10.25</v>
      </c>
      <c r="B7" s="10"/>
      <c r="C7" s="10"/>
      <c r="D7" s="10">
        <f t="shared" si="1"/>
        <v>0</v>
      </c>
      <c r="E7" s="14" t="str">
        <f t="shared" si="2"/>
        <v>Wait</v>
      </c>
      <c r="G7" s="9">
        <v>10.25</v>
      </c>
      <c r="H7" s="10"/>
      <c r="I7" s="10"/>
      <c r="J7" s="10">
        <f t="shared" si="3"/>
        <v>0</v>
      </c>
      <c r="K7" s="14" t="str">
        <f t="shared" si="4"/>
        <v>Wait</v>
      </c>
      <c r="M7" s="9">
        <v>10.25</v>
      </c>
      <c r="N7" s="10"/>
      <c r="O7" s="10"/>
      <c r="P7" s="10">
        <f t="shared" si="5"/>
        <v>0</v>
      </c>
      <c r="Q7" s="14" t="str">
        <f t="shared" si="6"/>
        <v>Wait</v>
      </c>
      <c r="R7" t="str">
        <f t="shared" si="0"/>
        <v>WaitWaitWait</v>
      </c>
      <c r="S7" t="str">
        <f>VLOOKUP(R7,Strategy!A:E,5,0)</f>
        <v>Rangebound</v>
      </c>
    </row>
    <row r="8" spans="1:20" x14ac:dyDescent="0.25">
      <c r="A8" s="9">
        <v>10.4</v>
      </c>
      <c r="B8" s="10"/>
      <c r="C8" s="10"/>
      <c r="D8" s="10">
        <f t="shared" si="1"/>
        <v>0</v>
      </c>
      <c r="E8" s="14" t="str">
        <f t="shared" si="2"/>
        <v>Wait</v>
      </c>
      <c r="G8" s="9">
        <v>10.4</v>
      </c>
      <c r="H8" s="10"/>
      <c r="I8" s="10"/>
      <c r="J8" s="10">
        <f t="shared" si="3"/>
        <v>0</v>
      </c>
      <c r="K8" s="14" t="str">
        <f t="shared" si="4"/>
        <v>Wait</v>
      </c>
      <c r="M8" s="9">
        <v>10.4</v>
      </c>
      <c r="N8" s="10"/>
      <c r="O8" s="10"/>
      <c r="P8" s="10">
        <f t="shared" si="5"/>
        <v>0</v>
      </c>
      <c r="Q8" s="14" t="str">
        <f t="shared" si="6"/>
        <v>Wait</v>
      </c>
      <c r="R8" t="str">
        <f t="shared" si="0"/>
        <v>WaitWaitWait</v>
      </c>
      <c r="S8" t="str">
        <f>VLOOKUP(R8,Strategy!A:E,5,0)</f>
        <v>Rangebound</v>
      </c>
    </row>
    <row r="9" spans="1:20" x14ac:dyDescent="0.25">
      <c r="A9" s="9">
        <v>10.55</v>
      </c>
      <c r="B9" s="10"/>
      <c r="C9" s="10"/>
      <c r="D9" s="10">
        <f t="shared" si="1"/>
        <v>0</v>
      </c>
      <c r="E9" s="14" t="str">
        <f t="shared" si="2"/>
        <v>Wait</v>
      </c>
      <c r="G9" s="9">
        <v>10.55</v>
      </c>
      <c r="H9" s="10"/>
      <c r="I9" s="10"/>
      <c r="J9" s="10">
        <f t="shared" si="3"/>
        <v>0</v>
      </c>
      <c r="K9" s="14" t="str">
        <f t="shared" si="4"/>
        <v>Wait</v>
      </c>
      <c r="M9" s="9">
        <v>10.55</v>
      </c>
      <c r="N9" s="10"/>
      <c r="O9" s="10"/>
      <c r="P9" s="10">
        <f t="shared" si="5"/>
        <v>0</v>
      </c>
      <c r="Q9" s="14" t="str">
        <f t="shared" si="6"/>
        <v>Wait</v>
      </c>
      <c r="R9" t="str">
        <f t="shared" si="0"/>
        <v>WaitWaitWait</v>
      </c>
      <c r="S9" t="str">
        <f>VLOOKUP(R9,Strategy!A:E,5,0)</f>
        <v>Rangebound</v>
      </c>
    </row>
    <row r="10" spans="1:20" x14ac:dyDescent="0.25">
      <c r="A10" s="9">
        <v>11.05</v>
      </c>
      <c r="B10" s="10"/>
      <c r="C10" s="10"/>
      <c r="D10" s="10">
        <f t="shared" si="1"/>
        <v>0</v>
      </c>
      <c r="E10" s="14" t="str">
        <f t="shared" si="2"/>
        <v>Wait</v>
      </c>
      <c r="G10" s="9">
        <v>11.05</v>
      </c>
      <c r="H10" s="10"/>
      <c r="I10" s="10"/>
      <c r="J10" s="10">
        <f t="shared" si="3"/>
        <v>0</v>
      </c>
      <c r="K10" s="14" t="str">
        <f t="shared" si="4"/>
        <v>Wait</v>
      </c>
      <c r="M10" s="9">
        <v>11.05</v>
      </c>
      <c r="N10" s="10"/>
      <c r="O10" s="10"/>
      <c r="P10" s="10">
        <f t="shared" si="5"/>
        <v>0</v>
      </c>
      <c r="Q10" s="14" t="str">
        <f t="shared" si="6"/>
        <v>Wait</v>
      </c>
      <c r="R10" t="str">
        <f t="shared" si="0"/>
        <v>WaitWaitWait</v>
      </c>
      <c r="S10" t="str">
        <f>VLOOKUP(R10,Strategy!A:E,5,0)</f>
        <v>Rangebound</v>
      </c>
    </row>
    <row r="11" spans="1:20" x14ac:dyDescent="0.25">
      <c r="A11" s="9">
        <v>11.25</v>
      </c>
      <c r="B11" s="10"/>
      <c r="C11" s="10"/>
      <c r="D11" s="10">
        <f t="shared" si="1"/>
        <v>0</v>
      </c>
      <c r="E11" s="14" t="str">
        <f t="shared" si="2"/>
        <v>Wait</v>
      </c>
      <c r="G11" s="9">
        <v>11.25</v>
      </c>
      <c r="H11" s="10"/>
      <c r="I11" s="10"/>
      <c r="J11" s="10">
        <f t="shared" si="3"/>
        <v>0</v>
      </c>
      <c r="K11" s="14" t="str">
        <f t="shared" si="4"/>
        <v>Wait</v>
      </c>
      <c r="M11" s="9">
        <v>11.25</v>
      </c>
      <c r="N11" s="10"/>
      <c r="O11" s="10"/>
      <c r="P11" s="10">
        <f t="shared" si="5"/>
        <v>0</v>
      </c>
      <c r="Q11" s="14" t="str">
        <f t="shared" si="6"/>
        <v>Wait</v>
      </c>
      <c r="R11" t="str">
        <f t="shared" si="0"/>
        <v>WaitWaitWait</v>
      </c>
      <c r="S11" t="str">
        <f>VLOOKUP(R11,Strategy!A:E,5,0)</f>
        <v>Rangebound</v>
      </c>
    </row>
    <row r="12" spans="1:20" x14ac:dyDescent="0.25">
      <c r="A12" s="9">
        <v>11.35</v>
      </c>
      <c r="B12" s="10"/>
      <c r="C12" s="10"/>
      <c r="D12" s="10">
        <f t="shared" si="1"/>
        <v>0</v>
      </c>
      <c r="E12" s="14" t="str">
        <f t="shared" si="2"/>
        <v>Wait</v>
      </c>
      <c r="G12" s="9">
        <v>11.35</v>
      </c>
      <c r="H12" s="10"/>
      <c r="I12" s="10"/>
      <c r="J12" s="10">
        <f t="shared" si="3"/>
        <v>0</v>
      </c>
      <c r="K12" s="14" t="str">
        <f t="shared" si="4"/>
        <v>Wait</v>
      </c>
      <c r="M12" s="9">
        <v>11.35</v>
      </c>
      <c r="N12" s="10"/>
      <c r="O12" s="10"/>
      <c r="P12" s="10">
        <f t="shared" si="5"/>
        <v>0</v>
      </c>
      <c r="Q12" s="14" t="str">
        <f t="shared" si="6"/>
        <v>Wait</v>
      </c>
      <c r="R12" t="str">
        <f t="shared" si="0"/>
        <v>WaitWaitWait</v>
      </c>
      <c r="S12" t="str">
        <f>VLOOKUP(R12,Strategy!A:E,5,0)</f>
        <v>Rangebound</v>
      </c>
      <c r="T12" s="5"/>
    </row>
    <row r="13" spans="1:20" x14ac:dyDescent="0.25">
      <c r="A13" s="6">
        <v>12.25</v>
      </c>
      <c r="B13" s="4"/>
      <c r="C13" s="4"/>
      <c r="D13" s="4">
        <f t="shared" si="1"/>
        <v>0</v>
      </c>
      <c r="E13" s="4" t="str">
        <f t="shared" si="2"/>
        <v>Wait</v>
      </c>
      <c r="G13" s="6">
        <v>12.25</v>
      </c>
      <c r="H13" s="4"/>
      <c r="I13" s="4"/>
      <c r="J13" s="4">
        <f t="shared" si="3"/>
        <v>0</v>
      </c>
      <c r="K13" s="4" t="str">
        <f t="shared" si="4"/>
        <v>Wait</v>
      </c>
      <c r="M13" s="6">
        <v>12.25</v>
      </c>
      <c r="N13" s="4"/>
      <c r="O13" s="4"/>
      <c r="P13" s="4">
        <f t="shared" si="5"/>
        <v>0</v>
      </c>
      <c r="Q13" s="4" t="str">
        <f t="shared" si="6"/>
        <v>Wait</v>
      </c>
      <c r="R13" t="str">
        <f t="shared" si="0"/>
        <v>WaitWaitWait</v>
      </c>
      <c r="S13" t="str">
        <f>VLOOKUP(R13,Strategy!A:E,5,0)</f>
        <v>Rangebound</v>
      </c>
    </row>
    <row r="14" spans="1:20" x14ac:dyDescent="0.25">
      <c r="A14" s="6">
        <v>1.25</v>
      </c>
      <c r="B14" s="4"/>
      <c r="C14" s="4"/>
      <c r="D14" s="4">
        <f t="shared" si="1"/>
        <v>0</v>
      </c>
      <c r="E14" s="4" t="str">
        <f t="shared" si="2"/>
        <v>Wait</v>
      </c>
      <c r="G14" s="6">
        <v>1.25</v>
      </c>
      <c r="H14" s="4"/>
      <c r="I14" s="4"/>
      <c r="J14" s="4">
        <f t="shared" si="3"/>
        <v>0</v>
      </c>
      <c r="K14" s="4" t="str">
        <f t="shared" si="4"/>
        <v>Wait</v>
      </c>
      <c r="M14" s="6">
        <v>1.25</v>
      </c>
      <c r="N14" s="4"/>
      <c r="O14" s="4"/>
      <c r="P14" s="4">
        <f t="shared" si="5"/>
        <v>0</v>
      </c>
      <c r="Q14" s="4" t="str">
        <f t="shared" si="6"/>
        <v>Wait</v>
      </c>
      <c r="R14" t="str">
        <f t="shared" si="0"/>
        <v>WaitWaitWait</v>
      </c>
      <c r="S14" t="str">
        <f>VLOOKUP(R14,Strategy!A:E,5,0)</f>
        <v>Rangebound</v>
      </c>
    </row>
    <row r="15" spans="1:20" x14ac:dyDescent="0.25">
      <c r="A15" s="6">
        <v>2.15</v>
      </c>
      <c r="B15" s="4"/>
      <c r="C15" s="4"/>
      <c r="D15" s="4">
        <f t="shared" si="1"/>
        <v>0</v>
      </c>
      <c r="E15" s="4" t="str">
        <f t="shared" si="2"/>
        <v>Wait</v>
      </c>
      <c r="G15" s="6">
        <v>2.15</v>
      </c>
      <c r="H15" s="4"/>
      <c r="I15" s="4"/>
      <c r="J15" s="4">
        <f t="shared" si="3"/>
        <v>0</v>
      </c>
      <c r="K15" s="4" t="str">
        <f t="shared" si="4"/>
        <v>Wait</v>
      </c>
      <c r="M15" s="6">
        <v>2.15</v>
      </c>
      <c r="N15" s="4"/>
      <c r="O15" s="4"/>
      <c r="P15" s="4">
        <f t="shared" si="5"/>
        <v>0</v>
      </c>
      <c r="Q15" s="4" t="str">
        <f t="shared" si="6"/>
        <v>Wait</v>
      </c>
      <c r="R15" t="str">
        <f t="shared" si="0"/>
        <v>WaitWaitWait</v>
      </c>
      <c r="S15" t="str">
        <f>VLOOKUP(R15,Strategy!A:E,5,0)</f>
        <v>Rangebound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A355-6578-4279-AA23-69F3B3309B26}">
  <dimension ref="A1:P27"/>
  <sheetViews>
    <sheetView topLeftCell="A25" workbookViewId="0">
      <selection activeCell="E32" sqref="E32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4" width="12.140625" bestFit="1" customWidth="1"/>
    <col min="6" max="10" width="9.5703125" bestFit="1" customWidth="1"/>
    <col min="11" max="13" width="12.140625" bestFit="1" customWidth="1"/>
    <col min="14" max="16" width="9.85546875" bestFit="1" customWidth="1"/>
  </cols>
  <sheetData>
    <row r="1" spans="1:16" x14ac:dyDescent="0.25">
      <c r="A1" s="4" t="s">
        <v>123</v>
      </c>
      <c r="B1" s="4" t="s">
        <v>124</v>
      </c>
      <c r="C1" s="15">
        <v>45754</v>
      </c>
      <c r="D1" s="15">
        <v>45755</v>
      </c>
      <c r="E1" s="15">
        <v>45756</v>
      </c>
      <c r="F1" s="15">
        <v>45757</v>
      </c>
      <c r="G1" s="15">
        <v>45758</v>
      </c>
      <c r="H1" s="15">
        <v>45759</v>
      </c>
      <c r="I1" s="15">
        <v>45760</v>
      </c>
      <c r="J1" s="15">
        <v>45761</v>
      </c>
      <c r="K1" s="15">
        <v>45762</v>
      </c>
      <c r="L1" s="15">
        <v>45763</v>
      </c>
      <c r="M1" s="15">
        <v>45764</v>
      </c>
      <c r="N1" s="15">
        <v>45765</v>
      </c>
      <c r="O1" s="15">
        <v>45766</v>
      </c>
      <c r="P1" s="15">
        <v>45767</v>
      </c>
    </row>
    <row r="2" spans="1:16" x14ac:dyDescent="0.25">
      <c r="A2" s="16" t="s">
        <v>125</v>
      </c>
      <c r="B2" s="4" t="s">
        <v>126</v>
      </c>
      <c r="C2" s="4" t="s">
        <v>127</v>
      </c>
      <c r="D2" s="4" t="s">
        <v>127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16" t="s">
        <v>130</v>
      </c>
      <c r="B3" s="4" t="s">
        <v>131</v>
      </c>
      <c r="C3" s="4" t="s">
        <v>127</v>
      </c>
      <c r="D3" s="4" t="s">
        <v>127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16" t="s">
        <v>132</v>
      </c>
      <c r="B4" s="4" t="s">
        <v>133</v>
      </c>
      <c r="C4" s="4" t="s">
        <v>134</v>
      </c>
      <c r="D4" s="4" t="s">
        <v>135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17" t="s">
        <v>136</v>
      </c>
      <c r="B5" s="4" t="s">
        <v>137</v>
      </c>
      <c r="C5" s="4" t="s">
        <v>141</v>
      </c>
      <c r="D5" s="4" t="s">
        <v>140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17" t="s">
        <v>142</v>
      </c>
      <c r="B6" s="4" t="s">
        <v>133</v>
      </c>
      <c r="C6" s="4" t="s">
        <v>134</v>
      </c>
      <c r="D6" s="4" t="s">
        <v>135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18" t="s">
        <v>143</v>
      </c>
      <c r="B7" s="4" t="s">
        <v>133</v>
      </c>
      <c r="C7" s="4" t="s">
        <v>134</v>
      </c>
      <c r="D7" s="20" t="s">
        <v>135</v>
      </c>
      <c r="E7" s="4"/>
      <c r="F7" s="19"/>
      <c r="G7" s="19"/>
      <c r="H7" s="4"/>
      <c r="I7" s="20"/>
      <c r="J7" s="20"/>
      <c r="K7" s="4"/>
      <c r="L7" s="4"/>
      <c r="M7" s="4"/>
      <c r="N7" s="4"/>
      <c r="O7" s="4"/>
      <c r="P7" s="4"/>
    </row>
    <row r="8" spans="1:16" x14ac:dyDescent="0.25">
      <c r="A8" s="17" t="s">
        <v>144</v>
      </c>
      <c r="B8" s="4" t="s">
        <v>133</v>
      </c>
      <c r="C8" s="4" t="s">
        <v>135</v>
      </c>
      <c r="D8" s="4" t="s">
        <v>135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17" t="s">
        <v>145</v>
      </c>
      <c r="B9" s="4" t="s">
        <v>133</v>
      </c>
      <c r="C9" s="4" t="s">
        <v>135</v>
      </c>
      <c r="D9" s="4" t="s">
        <v>134</v>
      </c>
      <c r="E9" s="4"/>
      <c r="F9" s="4"/>
      <c r="G9" s="4"/>
      <c r="H9" s="4"/>
      <c r="I9" s="20"/>
      <c r="J9" s="20"/>
      <c r="K9" s="4"/>
      <c r="L9" s="4"/>
      <c r="M9" s="4"/>
      <c r="N9" s="4"/>
      <c r="O9" s="4"/>
      <c r="P9" s="4"/>
    </row>
    <row r="10" spans="1:16" x14ac:dyDescent="0.25">
      <c r="A10" s="21" t="s">
        <v>146</v>
      </c>
      <c r="B10" s="4" t="s">
        <v>147</v>
      </c>
      <c r="C10" s="4" t="s">
        <v>127</v>
      </c>
      <c r="D10" s="4" t="s">
        <v>127</v>
      </c>
      <c r="E10" s="4"/>
      <c r="F10" s="4"/>
      <c r="G10" s="4"/>
      <c r="H10" s="4"/>
      <c r="I10" s="20"/>
      <c r="J10" s="4"/>
      <c r="K10" s="4"/>
      <c r="L10" s="4"/>
      <c r="M10" s="4"/>
      <c r="N10" s="4"/>
      <c r="O10" s="4"/>
      <c r="P10" s="4"/>
    </row>
    <row r="11" spans="1:16" x14ac:dyDescent="0.25">
      <c r="A11" s="22" t="s">
        <v>151</v>
      </c>
      <c r="B11" s="4" t="s">
        <v>133</v>
      </c>
      <c r="C11" s="30" t="s">
        <v>134</v>
      </c>
      <c r="D11" s="19" t="s">
        <v>135</v>
      </c>
      <c r="E11" s="19"/>
      <c r="F11" s="4"/>
      <c r="G11" s="19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23" t="s">
        <v>162</v>
      </c>
      <c r="B12" s="4" t="s">
        <v>133</v>
      </c>
      <c r="C12" s="4" t="s">
        <v>135</v>
      </c>
      <c r="D12" s="4" t="s">
        <v>135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23" t="s">
        <v>152</v>
      </c>
      <c r="B13" s="4" t="s">
        <v>133</v>
      </c>
      <c r="C13" s="4" t="s">
        <v>134</v>
      </c>
      <c r="D13" s="4" t="s">
        <v>135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8" t="s">
        <v>153</v>
      </c>
      <c r="B14" s="4"/>
      <c r="C14" s="24">
        <f t="shared" ref="C14:G14" si="0">SUM(IF(C2="Normal",1,0))+SUM(IF(C3="Normal",1,-1))+SUM(IF(C4="YES",1,0))+SUM(IF(C5="Vertical",1,-1))+
SUM(IF(C6="YES",1,0))+SUM(IF(C7="YES",1,0))+SUM(IF(C8="YES",-1,1))+SUM(IF(C9="YES",-1,1))+SUM(IF(C10="Normal",1,-1))+
SUM(IF(C11="YES",1,-1))+SUM(IF(C11="YES",-1,1))+SUM(IF(C12="YES",1,0))+SUM(IF(C13="YES",1,0))</f>
        <v>10</v>
      </c>
      <c r="D14" s="24">
        <f t="shared" si="0"/>
        <v>2</v>
      </c>
      <c r="E14" s="24">
        <f t="shared" si="0"/>
        <v>-1</v>
      </c>
      <c r="F14" s="24">
        <f t="shared" si="0"/>
        <v>-1</v>
      </c>
      <c r="G14" s="24">
        <f t="shared" si="0"/>
        <v>-1</v>
      </c>
      <c r="H14" s="24">
        <f>SUM(IF(H2="Normal",1,0))+SUM(IF(H3="Normal",1,-1))+SUM(IF(H4="YES",1,0))+SUM(IF(H5="Vertical",1,-1))+
SUM(IF(H6="YES",1,0))+SUM(IF(H7="YES",1,0))+SUM(IF(H8="YES",-1,1))+SUM(IF(H9="YES",-1,1))+SUM(IF(H10="Normal",1,-1))+
SUM(IF(H11="YES",1,-1))+SUM(IF(H11="YES",-1,1))+SUM(IF(H12="YES",1,0))+SUM(IF(H13="YES",1,0))</f>
        <v>-1</v>
      </c>
      <c r="I14" s="24">
        <f>SUM(IF(I2="Normal",1,0))+SUM(IF(I3="Normal",1,-1))+SUM(IF(I4="YES",1,0))+SUM(IF(I5="Vertical",1,-1))+
SUM(IF(I6="YES",1,0))+SUM(IF(I7="YES",1,0))+SUM(IF(I8="YES",-1,1))+SUM(IF(I9="YES",-1,1))+SUM(IF(I10="Normal",1,-1))+
SUM(IF(I11="YES",1,-1))+SUM(IF(I11="YES",-1,1))+SUM(IF(I12="YES",1,0))+SUM(IF(I13="YES",1,0))</f>
        <v>-1</v>
      </c>
      <c r="J14" s="24">
        <f>SUM(IF(J2="Normal",1,0))+SUM(IF(J3="Normal",1,-1))+SUM(IF(J4="YES",1,0))+SUM(IF(J5="Vertical",1,-1))+
SUM(IF(J6="YES",1,0))+SUM(IF(J7="YES",1,0))+SUM(IF(J8="YES",-1,1))+SUM(IF(J9="YES",-1,1))+SUM(IF(J10="Normal",1,-1))+
SUM(IF(J11="YES",1,-1))+SUM(IF(J11="YES",1,-1))+SUM(IF(J12="YES",0,1))+SUM(IF(J13="YES",1,0))</f>
        <v>-2</v>
      </c>
      <c r="K14" s="24" t="str">
        <f t="shared" ref="K14:P14" si="1">IF(SUM(IF(K2="Normal",1,0))+SUM(IF(K3="Normal",1,-1))+SUM(IF(K7="YES",1,0))+SUM(IF(K4="YES",1,0))+SUM(IF(K6="YES",1,0))+SUM(IF(K8="YES",-1,0))&lt;=0,"",SUM(IF(K2="Normal",1,0))+SUM(IF(K3="Normal",1,-1))+SUM(IF(K7="YES",1,0))+SUM(IF(K4="YES",1,0))+SUM(IF(K6="YES",1,0))+SUM(IF(K8="YES",-1,1)+SUM(IF(K9="YES",-1,1))+SUM(IF(K10="Normal",1,-1))+SUM(IF(K11="YES",1,-1)+SUM(IF(K5="Vertical",1,-1)))))</f>
        <v/>
      </c>
      <c r="L14" s="24" t="str">
        <f t="shared" si="1"/>
        <v/>
      </c>
      <c r="M14" s="24" t="str">
        <f t="shared" si="1"/>
        <v/>
      </c>
      <c r="N14" s="24" t="str">
        <f t="shared" si="1"/>
        <v/>
      </c>
      <c r="O14" s="24" t="str">
        <f t="shared" si="1"/>
        <v/>
      </c>
      <c r="P14" s="24" t="str">
        <f t="shared" si="1"/>
        <v/>
      </c>
    </row>
    <row r="15" spans="1:16" x14ac:dyDescent="0.25">
      <c r="A15" s="8" t="s">
        <v>154</v>
      </c>
      <c r="B15" s="4"/>
      <c r="C15" s="24" t="str">
        <f>IF(C14&gt;=10,"Very Good",IF(C14 &gt;=7,"Good",IF(C14&gt;=5,"Avg",IF(C14&lt;5,"Poor",IF(C14="","Poor","Poor")))))</f>
        <v>Very Good</v>
      </c>
      <c r="D15" s="24" t="str">
        <f t="shared" ref="D15:M15" si="2">IF(D14&gt;=10,"Very Good",IF(D14 &gt;=7,"Good",IF(D14&gt;=5,"Avg",IF(D14&lt;5,"Poor",IF(D14="","Poor","Poor")))))</f>
        <v>Poor</v>
      </c>
      <c r="E15" s="24" t="str">
        <f t="shared" si="2"/>
        <v>Poor</v>
      </c>
      <c r="F15" s="24" t="str">
        <f t="shared" si="2"/>
        <v>Poor</v>
      </c>
      <c r="G15" s="24" t="str">
        <f t="shared" si="2"/>
        <v>Poor</v>
      </c>
      <c r="H15" s="24" t="str">
        <f t="shared" si="2"/>
        <v>Poor</v>
      </c>
      <c r="I15" s="24" t="str">
        <f t="shared" si="2"/>
        <v>Poor</v>
      </c>
      <c r="J15" s="24" t="str">
        <f t="shared" si="2"/>
        <v>Poor</v>
      </c>
      <c r="K15" s="24" t="str">
        <f t="shared" si="2"/>
        <v>Very Good</v>
      </c>
      <c r="L15" s="24" t="str">
        <f t="shared" si="2"/>
        <v>Very Good</v>
      </c>
      <c r="M15" s="24" t="str">
        <f t="shared" si="2"/>
        <v>Very Good</v>
      </c>
      <c r="N15" s="24"/>
      <c r="O15" s="24"/>
      <c r="P15" s="24"/>
    </row>
    <row r="16" spans="1:16" x14ac:dyDescent="0.25">
      <c r="C16" s="25">
        <v>0.70347222222222228</v>
      </c>
      <c r="D16" s="25">
        <v>0.72986111111111107</v>
      </c>
      <c r="E16" s="25"/>
      <c r="F16" s="25"/>
      <c r="G16" s="25"/>
      <c r="H16" s="25"/>
      <c r="K16" s="25"/>
    </row>
    <row r="17" spans="1:13" x14ac:dyDescent="0.25">
      <c r="C17" s="25">
        <v>0.71388888888888891</v>
      </c>
      <c r="D17" s="25">
        <v>0.74027777777777781</v>
      </c>
      <c r="E17" s="25"/>
      <c r="F17" s="25"/>
      <c r="G17" s="25"/>
      <c r="H17" s="25"/>
      <c r="K17" s="25"/>
    </row>
    <row r="18" spans="1:13" x14ac:dyDescent="0.25">
      <c r="C18" s="25">
        <v>0.71250000000000002</v>
      </c>
      <c r="D18" s="25">
        <v>0.39583333333333331</v>
      </c>
      <c r="E18" s="25"/>
      <c r="F18" s="25"/>
      <c r="G18" s="25"/>
      <c r="H18" s="25"/>
      <c r="K18" s="25"/>
    </row>
    <row r="19" spans="1:13" x14ac:dyDescent="0.25">
      <c r="C19" s="25">
        <f>C18-C16</f>
        <v>9.0277777777777457E-3</v>
      </c>
      <c r="D19" s="31">
        <v>0.70833333333333337</v>
      </c>
      <c r="E19" s="25"/>
      <c r="F19" s="25"/>
      <c r="G19" s="25"/>
      <c r="H19" s="25"/>
      <c r="I19" s="25"/>
      <c r="J19" s="25"/>
      <c r="K19" s="25"/>
    </row>
    <row r="20" spans="1:13" x14ac:dyDescent="0.25">
      <c r="B20" t="s">
        <v>155</v>
      </c>
      <c r="C20" s="26">
        <v>1</v>
      </c>
      <c r="D20" s="11">
        <v>1</v>
      </c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25">
      <c r="A21" s="27">
        <f>SUM(C21:P21)</f>
        <v>-4812.5</v>
      </c>
      <c r="B21" t="s">
        <v>156</v>
      </c>
      <c r="C21">
        <v>1687.5</v>
      </c>
      <c r="D21" s="3">
        <v>-6500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8">
        <f>SUM(C22:P22)</f>
        <v>0</v>
      </c>
      <c r="B22" t="s">
        <v>157</v>
      </c>
      <c r="C22" s="29"/>
      <c r="D22" s="29"/>
      <c r="E22" s="29"/>
      <c r="F22" s="29"/>
      <c r="G22" s="29"/>
      <c r="H22" s="29"/>
      <c r="I22" s="29"/>
      <c r="J22" s="3"/>
      <c r="K22" s="29"/>
      <c r="L22" s="29"/>
      <c r="M22" s="27"/>
    </row>
    <row r="23" spans="1:13" x14ac:dyDescent="0.25">
      <c r="A23" s="27">
        <f t="shared" ref="A23:A25" si="3">SUM(C23:P23)</f>
        <v>-4812.5</v>
      </c>
      <c r="B23" t="s">
        <v>11</v>
      </c>
      <c r="C23" s="3">
        <f t="shared" ref="C23:M23" si="4">C21-C22</f>
        <v>1687.5</v>
      </c>
      <c r="D23" s="3">
        <f t="shared" si="4"/>
        <v>-6500</v>
      </c>
      <c r="E23" s="3">
        <f t="shared" si="4"/>
        <v>0</v>
      </c>
      <c r="F23" s="3">
        <f t="shared" si="4"/>
        <v>0</v>
      </c>
      <c r="G23" s="3">
        <f t="shared" si="4"/>
        <v>0</v>
      </c>
      <c r="H23" s="3">
        <f t="shared" si="4"/>
        <v>0</v>
      </c>
      <c r="I23" s="3">
        <f t="shared" si="4"/>
        <v>0</v>
      </c>
      <c r="J23" s="3">
        <f t="shared" si="4"/>
        <v>0</v>
      </c>
      <c r="K23" s="3">
        <f t="shared" si="4"/>
        <v>0</v>
      </c>
      <c r="L23" s="3">
        <f t="shared" si="4"/>
        <v>0</v>
      </c>
      <c r="M23" s="3">
        <f t="shared" si="4"/>
        <v>0</v>
      </c>
    </row>
    <row r="24" spans="1:13" x14ac:dyDescent="0.25">
      <c r="A24" s="27">
        <f t="shared" si="3"/>
        <v>80</v>
      </c>
      <c r="B24" t="s">
        <v>158</v>
      </c>
      <c r="C24" s="3">
        <f t="shared" ref="C24:M24" si="5">C20*40</f>
        <v>40</v>
      </c>
      <c r="D24" s="3">
        <f t="shared" si="5"/>
        <v>40</v>
      </c>
      <c r="E24" s="3">
        <f t="shared" si="5"/>
        <v>0</v>
      </c>
      <c r="F24" s="3">
        <f t="shared" si="5"/>
        <v>0</v>
      </c>
      <c r="G24" s="3">
        <f t="shared" si="5"/>
        <v>0</v>
      </c>
      <c r="H24" s="3">
        <f t="shared" si="5"/>
        <v>0</v>
      </c>
      <c r="I24" s="3">
        <f t="shared" si="5"/>
        <v>0</v>
      </c>
      <c r="J24" s="3">
        <f t="shared" si="5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</row>
    <row r="25" spans="1:13" x14ac:dyDescent="0.25">
      <c r="A25" s="27">
        <f t="shared" si="3"/>
        <v>-4892.5</v>
      </c>
      <c r="B25" t="s">
        <v>159</v>
      </c>
      <c r="C25">
        <f t="shared" ref="C25:M25" si="6">C23-C24</f>
        <v>1647.5</v>
      </c>
      <c r="D25" s="3">
        <f t="shared" si="6"/>
        <v>-6540</v>
      </c>
      <c r="E25" s="3">
        <f t="shared" si="6"/>
        <v>0</v>
      </c>
      <c r="F25" s="3">
        <f t="shared" si="6"/>
        <v>0</v>
      </c>
      <c r="G25" s="3">
        <f t="shared" si="6"/>
        <v>0</v>
      </c>
      <c r="H25" s="3">
        <f t="shared" si="6"/>
        <v>0</v>
      </c>
      <c r="I25" s="3">
        <f t="shared" si="6"/>
        <v>0</v>
      </c>
      <c r="J25" s="3">
        <f t="shared" si="6"/>
        <v>0</v>
      </c>
      <c r="K25" s="3">
        <f t="shared" si="6"/>
        <v>0</v>
      </c>
      <c r="L25" s="3">
        <f t="shared" si="6"/>
        <v>0</v>
      </c>
      <c r="M25" s="3">
        <f t="shared" si="6"/>
        <v>0</v>
      </c>
    </row>
    <row r="26" spans="1:13" x14ac:dyDescent="0.25">
      <c r="C26" s="12">
        <f>C22/C21</f>
        <v>0</v>
      </c>
      <c r="D26" s="12">
        <f t="shared" ref="D26:M26" si="7">D22/D21</f>
        <v>0</v>
      </c>
      <c r="E26" s="12" t="e">
        <f t="shared" si="7"/>
        <v>#DIV/0!</v>
      </c>
      <c r="F26" s="12" t="e">
        <f t="shared" si="7"/>
        <v>#DIV/0!</v>
      </c>
      <c r="G26" s="12" t="e">
        <f t="shared" si="7"/>
        <v>#DIV/0!</v>
      </c>
      <c r="H26" s="12" t="e">
        <f t="shared" si="7"/>
        <v>#DIV/0!</v>
      </c>
      <c r="I26" s="12" t="e">
        <f t="shared" si="7"/>
        <v>#DIV/0!</v>
      </c>
      <c r="J26" s="12" t="e">
        <f t="shared" si="7"/>
        <v>#DIV/0!</v>
      </c>
      <c r="K26" s="12" t="e">
        <f t="shared" si="7"/>
        <v>#DIV/0!</v>
      </c>
      <c r="L26" s="12" t="e">
        <f t="shared" si="7"/>
        <v>#DIV/0!</v>
      </c>
      <c r="M26" s="12" t="e">
        <f t="shared" si="7"/>
        <v>#DIV/0!</v>
      </c>
    </row>
    <row r="27" spans="1:13" x14ac:dyDescent="0.25">
      <c r="C27" s="12">
        <f>C23/C21</f>
        <v>1</v>
      </c>
      <c r="D27" s="12">
        <f t="shared" ref="D27:M27" si="8">D23/D21</f>
        <v>1</v>
      </c>
      <c r="E27" s="12" t="e">
        <f t="shared" si="8"/>
        <v>#DIV/0!</v>
      </c>
      <c r="F27" s="12" t="e">
        <f t="shared" si="8"/>
        <v>#DIV/0!</v>
      </c>
      <c r="G27" s="12" t="e">
        <f t="shared" si="8"/>
        <v>#DIV/0!</v>
      </c>
      <c r="H27" s="12" t="e">
        <f t="shared" si="8"/>
        <v>#DIV/0!</v>
      </c>
      <c r="I27" s="12" t="e">
        <f t="shared" si="8"/>
        <v>#DIV/0!</v>
      </c>
      <c r="J27" s="12" t="e">
        <f t="shared" si="8"/>
        <v>#DIV/0!</v>
      </c>
      <c r="K27" s="12" t="e">
        <f t="shared" si="8"/>
        <v>#DIV/0!</v>
      </c>
      <c r="L27" s="12" t="e">
        <f t="shared" si="8"/>
        <v>#DIV/0!</v>
      </c>
      <c r="M27" s="12" t="e">
        <f t="shared" si="8"/>
        <v>#DIV/0!</v>
      </c>
    </row>
  </sheetData>
  <conditionalFormatting sqref="C2">
    <cfRule type="expression" dxfId="121" priority="134">
      <formula>$C$2="Normal"</formula>
    </cfRule>
  </conditionalFormatting>
  <conditionalFormatting sqref="C3">
    <cfRule type="expression" dxfId="120" priority="133">
      <formula>$C$3="Normal"</formula>
    </cfRule>
  </conditionalFormatting>
  <conditionalFormatting sqref="C4">
    <cfRule type="expression" dxfId="119" priority="119">
      <formula>$C$4="YES"</formula>
    </cfRule>
  </conditionalFormatting>
  <conditionalFormatting sqref="C5">
    <cfRule type="expression" dxfId="118" priority="125">
      <formula>$C$5="Vertical"</formula>
    </cfRule>
  </conditionalFormatting>
  <conditionalFormatting sqref="C6">
    <cfRule type="expression" dxfId="117" priority="117">
      <formula>$C$6="YES"</formula>
    </cfRule>
  </conditionalFormatting>
  <conditionalFormatting sqref="C7">
    <cfRule type="expression" dxfId="116" priority="132">
      <formula>$C$7="YES"</formula>
    </cfRule>
  </conditionalFormatting>
  <conditionalFormatting sqref="C8">
    <cfRule type="expression" dxfId="115" priority="129">
      <formula>$C$8="NO"</formula>
    </cfRule>
  </conditionalFormatting>
  <conditionalFormatting sqref="C9">
    <cfRule type="expression" dxfId="114" priority="128">
      <formula>$C$9="NO"</formula>
    </cfRule>
  </conditionalFormatting>
  <conditionalFormatting sqref="C10">
    <cfRule type="expression" dxfId="113" priority="113">
      <formula>$C$10="Normal"</formula>
    </cfRule>
  </conditionalFormatting>
  <conditionalFormatting sqref="C11">
    <cfRule type="expression" dxfId="112" priority="126">
      <formula>$C$11="YES"</formula>
    </cfRule>
  </conditionalFormatting>
  <conditionalFormatting sqref="C12">
    <cfRule type="expression" dxfId="111" priority="99">
      <formula>$C$12="NO"</formula>
    </cfRule>
  </conditionalFormatting>
  <conditionalFormatting sqref="C13">
    <cfRule type="expression" dxfId="110" priority="66">
      <formula>$C$13="YES"</formula>
    </cfRule>
  </conditionalFormatting>
  <conditionalFormatting sqref="C20">
    <cfRule type="colorScale" priority="112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D2">
    <cfRule type="expression" dxfId="109" priority="124">
      <formula>$D$2="Normal"</formula>
    </cfRule>
  </conditionalFormatting>
  <conditionalFormatting sqref="D4">
    <cfRule type="expression" dxfId="108" priority="109">
      <formula>$D$4="YES"</formula>
    </cfRule>
  </conditionalFormatting>
  <conditionalFormatting sqref="D5">
    <cfRule type="expression" dxfId="107" priority="108">
      <formula>$D$5="Vertical"</formula>
    </cfRule>
  </conditionalFormatting>
  <conditionalFormatting sqref="D6">
    <cfRule type="expression" dxfId="106" priority="130">
      <formula>$D$6="YES"</formula>
    </cfRule>
  </conditionalFormatting>
  <conditionalFormatting sqref="D7">
    <cfRule type="expression" dxfId="105" priority="116">
      <formula>$D$7="YES"</formula>
    </cfRule>
  </conditionalFormatting>
  <conditionalFormatting sqref="D8">
    <cfRule type="expression" dxfId="104" priority="115">
      <formula>$D$8="NO"</formula>
    </cfRule>
  </conditionalFormatting>
  <conditionalFormatting sqref="D9">
    <cfRule type="expression" dxfId="103" priority="114">
      <formula>$D$9="NO"</formula>
    </cfRule>
  </conditionalFormatting>
  <conditionalFormatting sqref="D10">
    <cfRule type="expression" dxfId="102" priority="127">
      <formula>$D$10="Normal"</formula>
    </cfRule>
  </conditionalFormatting>
  <conditionalFormatting sqref="D11">
    <cfRule type="expression" dxfId="101" priority="100">
      <formula>$D$11="YES"</formula>
    </cfRule>
  </conditionalFormatting>
  <conditionalFormatting sqref="D12">
    <cfRule type="expression" dxfId="100" priority="102">
      <formula>$D$12="NO"</formula>
    </cfRule>
  </conditionalFormatting>
  <conditionalFormatting sqref="D13">
    <cfRule type="expression" dxfId="99" priority="65">
      <formula>$D$13="YES"</formula>
    </cfRule>
  </conditionalFormatting>
  <conditionalFormatting sqref="D20:M20">
    <cfRule type="colorScale" priority="111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E2">
    <cfRule type="expression" dxfId="98" priority="121">
      <formula>$E$2="Normal"</formula>
    </cfRule>
  </conditionalFormatting>
  <conditionalFormatting sqref="E4">
    <cfRule type="expression" dxfId="97" priority="131">
      <formula>$E$4="YES"</formula>
    </cfRule>
  </conditionalFormatting>
  <conditionalFormatting sqref="E5">
    <cfRule type="expression" dxfId="96" priority="118">
      <formula>$E$5="Vertical"</formula>
    </cfRule>
  </conditionalFormatting>
  <conditionalFormatting sqref="E6">
    <cfRule type="expression" dxfId="95" priority="107">
      <formula>$E$6="YES"</formula>
    </cfRule>
  </conditionalFormatting>
  <conditionalFormatting sqref="E7">
    <cfRule type="expression" dxfId="94" priority="106">
      <formula>$E$7="YES"</formula>
    </cfRule>
  </conditionalFormatting>
  <conditionalFormatting sqref="E8">
    <cfRule type="expression" dxfId="93" priority="105">
      <formula>$E$8="NO"</formula>
    </cfRule>
  </conditionalFormatting>
  <conditionalFormatting sqref="E9">
    <cfRule type="expression" dxfId="92" priority="104">
      <formula>$E$9="NO"</formula>
    </cfRule>
  </conditionalFormatting>
  <conditionalFormatting sqref="E10">
    <cfRule type="expression" dxfId="91" priority="103">
      <formula>$E$10="Normal"</formula>
    </cfRule>
  </conditionalFormatting>
  <conditionalFormatting sqref="E11">
    <cfRule type="expression" dxfId="90" priority="101">
      <formula>$E$11="YES"</formula>
    </cfRule>
  </conditionalFormatting>
  <conditionalFormatting sqref="E12">
    <cfRule type="expression" dxfId="89" priority="98">
      <formula>$E$12="NO"</formula>
    </cfRule>
  </conditionalFormatting>
  <conditionalFormatting sqref="E13">
    <cfRule type="expression" dxfId="88" priority="64">
      <formula>$E$13="YES"</formula>
    </cfRule>
  </conditionalFormatting>
  <conditionalFormatting sqref="F2">
    <cfRule type="expression" dxfId="87" priority="122">
      <formula>$F$2="Normal"</formula>
    </cfRule>
  </conditionalFormatting>
  <conditionalFormatting sqref="F4">
    <cfRule type="expression" dxfId="86" priority="96">
      <formula>$F$4="YES"</formula>
    </cfRule>
  </conditionalFormatting>
  <conditionalFormatting sqref="F5">
    <cfRule type="expression" dxfId="85" priority="95">
      <formula>$F$5="Vertical"</formula>
    </cfRule>
  </conditionalFormatting>
  <conditionalFormatting sqref="F6">
    <cfRule type="expression" dxfId="84" priority="94">
      <formula>$F$6="YES"</formula>
    </cfRule>
  </conditionalFormatting>
  <conditionalFormatting sqref="F7">
    <cfRule type="expression" dxfId="83" priority="93">
      <formula>$F$7="YES"</formula>
    </cfRule>
  </conditionalFormatting>
  <conditionalFormatting sqref="F8">
    <cfRule type="expression" dxfId="82" priority="92">
      <formula>$F$8="NO"</formula>
    </cfRule>
  </conditionalFormatting>
  <conditionalFormatting sqref="F9">
    <cfRule type="expression" dxfId="81" priority="91">
      <formula>$F$9="NO"</formula>
    </cfRule>
  </conditionalFormatting>
  <conditionalFormatting sqref="F10">
    <cfRule type="expression" dxfId="80" priority="90">
      <formula>$F$10="Normal"</formula>
    </cfRule>
  </conditionalFormatting>
  <conditionalFormatting sqref="F11">
    <cfRule type="expression" dxfId="79" priority="89">
      <formula>$F$11="YES"</formula>
    </cfRule>
  </conditionalFormatting>
  <conditionalFormatting sqref="F12">
    <cfRule type="expression" dxfId="78" priority="88">
      <formula>$F$12="NO"</formula>
    </cfRule>
  </conditionalFormatting>
  <conditionalFormatting sqref="F13">
    <cfRule type="expression" dxfId="77" priority="63">
      <formula>$F$13="YES"</formula>
    </cfRule>
  </conditionalFormatting>
  <conditionalFormatting sqref="G2">
    <cfRule type="expression" dxfId="76" priority="123">
      <formula>$G$2="Normal"</formula>
    </cfRule>
  </conditionalFormatting>
  <conditionalFormatting sqref="G4">
    <cfRule type="expression" dxfId="75" priority="86">
      <formula>$G$4="YES"</formula>
    </cfRule>
  </conditionalFormatting>
  <conditionalFormatting sqref="G5">
    <cfRule type="expression" dxfId="74" priority="85">
      <formula>$G$5="Vertical"</formula>
    </cfRule>
  </conditionalFormatting>
  <conditionalFormatting sqref="G6">
    <cfRule type="expression" dxfId="73" priority="84">
      <formula>$G$6="YES"</formula>
    </cfRule>
  </conditionalFormatting>
  <conditionalFormatting sqref="G7">
    <cfRule type="expression" dxfId="72" priority="83">
      <formula>$G$7="YES"</formula>
    </cfRule>
  </conditionalFormatting>
  <conditionalFormatting sqref="G8">
    <cfRule type="expression" dxfId="71" priority="82">
      <formula>$G$8="NO"</formula>
    </cfRule>
  </conditionalFormatting>
  <conditionalFormatting sqref="G9">
    <cfRule type="expression" dxfId="70" priority="81">
      <formula>$G$9="NO"</formula>
    </cfRule>
  </conditionalFormatting>
  <conditionalFormatting sqref="G10">
    <cfRule type="expression" dxfId="69" priority="80">
      <formula>$G$10="Normal"</formula>
    </cfRule>
  </conditionalFormatting>
  <conditionalFormatting sqref="G11">
    <cfRule type="expression" dxfId="68" priority="79">
      <formula>$G$11="YES"</formula>
    </cfRule>
  </conditionalFormatting>
  <conditionalFormatting sqref="G12">
    <cfRule type="expression" dxfId="67" priority="78">
      <formula>$G$12="NO"</formula>
    </cfRule>
  </conditionalFormatting>
  <conditionalFormatting sqref="G13">
    <cfRule type="expression" dxfId="66" priority="62">
      <formula>$G$13="YES"</formula>
    </cfRule>
  </conditionalFormatting>
  <conditionalFormatting sqref="H2">
    <cfRule type="expression" dxfId="65" priority="77">
      <formula>$H$2="Normal"</formula>
    </cfRule>
  </conditionalFormatting>
  <conditionalFormatting sqref="H4">
    <cfRule type="expression" dxfId="64" priority="75">
      <formula>$H$4="YES"</formula>
    </cfRule>
  </conditionalFormatting>
  <conditionalFormatting sqref="H5">
    <cfRule type="expression" dxfId="63" priority="74">
      <formula>$H$5="Vertical"</formula>
    </cfRule>
  </conditionalFormatting>
  <conditionalFormatting sqref="H6">
    <cfRule type="expression" dxfId="62" priority="73">
      <formula>$H$6="YES"</formula>
    </cfRule>
  </conditionalFormatting>
  <conditionalFormatting sqref="H7">
    <cfRule type="expression" dxfId="61" priority="72">
      <formula>$H$7="YES"</formula>
    </cfRule>
  </conditionalFormatting>
  <conditionalFormatting sqref="H8">
    <cfRule type="expression" dxfId="60" priority="71">
      <formula>$H$8="NO"</formula>
    </cfRule>
  </conditionalFormatting>
  <conditionalFormatting sqref="H9">
    <cfRule type="expression" dxfId="59" priority="70">
      <formula>$H$9="NO"</formula>
    </cfRule>
  </conditionalFormatting>
  <conditionalFormatting sqref="H10">
    <cfRule type="expression" dxfId="58" priority="69">
      <formula>$H$10="Normal"</formula>
    </cfRule>
  </conditionalFormatting>
  <conditionalFormatting sqref="H11">
    <cfRule type="expression" dxfId="57" priority="68">
      <formula>$H$11="YES"</formula>
    </cfRule>
  </conditionalFormatting>
  <conditionalFormatting sqref="H12">
    <cfRule type="expression" dxfId="56" priority="67">
      <formula>$H$12="NO"</formula>
    </cfRule>
  </conditionalFormatting>
  <conditionalFormatting sqref="H13">
    <cfRule type="expression" dxfId="55" priority="61">
      <formula>$H$13="YES"</formula>
    </cfRule>
  </conditionalFormatting>
  <conditionalFormatting sqref="I2">
    <cfRule type="expression" dxfId="54" priority="60">
      <formula>$I$2="Normal"</formula>
    </cfRule>
  </conditionalFormatting>
  <conditionalFormatting sqref="I4">
    <cfRule type="expression" dxfId="53" priority="58">
      <formula>$I$4="YES"</formula>
    </cfRule>
  </conditionalFormatting>
  <conditionalFormatting sqref="I5">
    <cfRule type="expression" dxfId="52" priority="57">
      <formula>$I$5="Vertical"</formula>
    </cfRule>
  </conditionalFormatting>
  <conditionalFormatting sqref="I6">
    <cfRule type="expression" dxfId="51" priority="56">
      <formula>$I$6="YES"</formula>
    </cfRule>
  </conditionalFormatting>
  <conditionalFormatting sqref="I7">
    <cfRule type="expression" dxfId="50" priority="55">
      <formula>$I$7="YES"</formula>
    </cfRule>
  </conditionalFormatting>
  <conditionalFormatting sqref="I8">
    <cfRule type="expression" dxfId="49" priority="54">
      <formula>$I$8="NO"</formula>
    </cfRule>
  </conditionalFormatting>
  <conditionalFormatting sqref="I9">
    <cfRule type="expression" dxfId="48" priority="53">
      <formula>$I$9="NO"</formula>
    </cfRule>
  </conditionalFormatting>
  <conditionalFormatting sqref="I10">
    <cfRule type="expression" dxfId="47" priority="52">
      <formula>$I$10="Normal"</formula>
    </cfRule>
  </conditionalFormatting>
  <conditionalFormatting sqref="I11">
    <cfRule type="expression" dxfId="46" priority="51">
      <formula>$I$11="YES"</formula>
    </cfRule>
  </conditionalFormatting>
  <conditionalFormatting sqref="I12">
    <cfRule type="expression" dxfId="45" priority="50">
      <formula>$I$12="NO"</formula>
    </cfRule>
  </conditionalFormatting>
  <conditionalFormatting sqref="I13">
    <cfRule type="expression" dxfId="44" priority="49">
      <formula>$I$13="YES"</formula>
    </cfRule>
  </conditionalFormatting>
  <conditionalFormatting sqref="J2">
    <cfRule type="expression" dxfId="43" priority="36">
      <formula>$J$2="Normal"</formula>
    </cfRule>
  </conditionalFormatting>
  <conditionalFormatting sqref="J4">
    <cfRule type="expression" dxfId="42" priority="34">
      <formula>$J$4="YES"</formula>
    </cfRule>
  </conditionalFormatting>
  <conditionalFormatting sqref="J5">
    <cfRule type="expression" dxfId="41" priority="33">
      <formula>$J$5="Vertical"</formula>
    </cfRule>
  </conditionalFormatting>
  <conditionalFormatting sqref="J6">
    <cfRule type="expression" dxfId="40" priority="32">
      <formula>$J$6="YES"</formula>
    </cfRule>
  </conditionalFormatting>
  <conditionalFormatting sqref="J7">
    <cfRule type="expression" dxfId="39" priority="31">
      <formula>$J$7="YES"</formula>
    </cfRule>
  </conditionalFormatting>
  <conditionalFormatting sqref="J8">
    <cfRule type="expression" dxfId="38" priority="30">
      <formula>$J$8="NO"</formula>
    </cfRule>
  </conditionalFormatting>
  <conditionalFormatting sqref="J9">
    <cfRule type="expression" dxfId="37" priority="41">
      <formula>$J$9="NO"</formula>
    </cfRule>
  </conditionalFormatting>
  <conditionalFormatting sqref="J10">
    <cfRule type="expression" dxfId="36" priority="28">
      <formula>$J$10="Normal"</formula>
    </cfRule>
  </conditionalFormatting>
  <conditionalFormatting sqref="J11">
    <cfRule type="expression" dxfId="35" priority="27">
      <formula>$J$11="YES"</formula>
    </cfRule>
  </conditionalFormatting>
  <conditionalFormatting sqref="J12">
    <cfRule type="expression" dxfId="34" priority="26">
      <formula>$J$12="NO"</formula>
    </cfRule>
  </conditionalFormatting>
  <conditionalFormatting sqref="J13">
    <cfRule type="expression" dxfId="33" priority="37">
      <formula>$J$13="YES"</formula>
    </cfRule>
  </conditionalFormatting>
  <conditionalFormatting sqref="K2">
    <cfRule type="expression" dxfId="32" priority="24">
      <formula>$K$2="Normal"</formula>
    </cfRule>
  </conditionalFormatting>
  <conditionalFormatting sqref="K4">
    <cfRule type="expression" dxfId="31" priority="22">
      <formula>$K$4="YES"</formula>
    </cfRule>
  </conditionalFormatting>
  <conditionalFormatting sqref="K5">
    <cfRule type="expression" dxfId="30" priority="21">
      <formula>$K$5="Vertical"</formula>
    </cfRule>
  </conditionalFormatting>
  <conditionalFormatting sqref="K6">
    <cfRule type="expression" dxfId="29" priority="20">
      <formula>$K$6="YES"</formula>
    </cfRule>
  </conditionalFormatting>
  <conditionalFormatting sqref="K7">
    <cfRule type="expression" dxfId="28" priority="19">
      <formula>$K$7="YES"</formula>
    </cfRule>
  </conditionalFormatting>
  <conditionalFormatting sqref="K8">
    <cfRule type="expression" dxfId="27" priority="18">
      <formula>$K$8="NO"</formula>
    </cfRule>
  </conditionalFormatting>
  <conditionalFormatting sqref="K9">
    <cfRule type="expression" dxfId="26" priority="17">
      <formula>$K$9="NO"</formula>
    </cfRule>
  </conditionalFormatting>
  <conditionalFormatting sqref="K10">
    <cfRule type="expression" dxfId="25" priority="16">
      <formula>$K$10="Normal"</formula>
    </cfRule>
  </conditionalFormatting>
  <conditionalFormatting sqref="K11">
    <cfRule type="expression" dxfId="24" priority="15">
      <formula>$K$11="YES"</formula>
    </cfRule>
  </conditionalFormatting>
  <conditionalFormatting sqref="K12">
    <cfRule type="expression" dxfId="23" priority="14">
      <formula>$K$12="NO"</formula>
    </cfRule>
  </conditionalFormatting>
  <conditionalFormatting sqref="K13">
    <cfRule type="expression" dxfId="22" priority="13">
      <formula>$K$13="YES"</formula>
    </cfRule>
  </conditionalFormatting>
  <conditionalFormatting sqref="L2">
    <cfRule type="expression" dxfId="21" priority="12">
      <formula>$L$2="Normal"</formula>
    </cfRule>
  </conditionalFormatting>
  <conditionalFormatting sqref="L4">
    <cfRule type="expression" dxfId="20" priority="10">
      <formula>$L$4="YES"</formula>
    </cfRule>
  </conditionalFormatting>
  <conditionalFormatting sqref="L5">
    <cfRule type="expression" dxfId="19" priority="9">
      <formula>$L$5="Vertical"</formula>
    </cfRule>
  </conditionalFormatting>
  <conditionalFormatting sqref="L6">
    <cfRule type="expression" dxfId="18" priority="8">
      <formula>$L$6="YES"</formula>
    </cfRule>
  </conditionalFormatting>
  <conditionalFormatting sqref="L7">
    <cfRule type="expression" dxfId="17" priority="7">
      <formula>$L$7="YES"</formula>
    </cfRule>
  </conditionalFormatting>
  <conditionalFormatting sqref="L8">
    <cfRule type="expression" dxfId="16" priority="6">
      <formula>$L$8="NO"</formula>
    </cfRule>
  </conditionalFormatting>
  <conditionalFormatting sqref="L9">
    <cfRule type="expression" dxfId="15" priority="5">
      <formula>$L$9="NO"</formula>
    </cfRule>
  </conditionalFormatting>
  <conditionalFormatting sqref="L10">
    <cfRule type="expression" dxfId="14" priority="4">
      <formula>$L$10="Normal"</formula>
    </cfRule>
  </conditionalFormatting>
  <conditionalFormatting sqref="L11">
    <cfRule type="expression" dxfId="13" priority="3">
      <formula>$L$11="YES"</formula>
    </cfRule>
  </conditionalFormatting>
  <conditionalFormatting sqref="L12">
    <cfRule type="expression" dxfId="12" priority="2">
      <formula>$L$12="NO"</formula>
    </cfRule>
  </conditionalFormatting>
  <conditionalFormatting sqref="L13">
    <cfRule type="expression" dxfId="11" priority="1">
      <formula>$L$13="YES"</formula>
    </cfRule>
  </conditionalFormatting>
  <conditionalFormatting sqref="M2">
    <cfRule type="expression" dxfId="10" priority="48">
      <formula>$M$2="Normal"</formula>
    </cfRule>
  </conditionalFormatting>
  <conditionalFormatting sqref="M4">
    <cfRule type="expression" dxfId="9" priority="46">
      <formula>$M$4="YES"</formula>
    </cfRule>
  </conditionalFormatting>
  <conditionalFormatting sqref="M5">
    <cfRule type="expression" dxfId="8" priority="45">
      <formula>$M$5="Vertical"</formula>
    </cfRule>
  </conditionalFormatting>
  <conditionalFormatting sqref="M6">
    <cfRule type="expression" dxfId="7" priority="44">
      <formula>$M$6="YES"</formula>
    </cfRule>
  </conditionalFormatting>
  <conditionalFormatting sqref="M7">
    <cfRule type="expression" dxfId="6" priority="43">
      <formula>$M$7="YES"</formula>
    </cfRule>
  </conditionalFormatting>
  <conditionalFormatting sqref="M8">
    <cfRule type="expression" dxfId="5" priority="42">
      <formula>$M$8="NO"</formula>
    </cfRule>
  </conditionalFormatting>
  <conditionalFormatting sqref="M9">
    <cfRule type="expression" dxfId="4" priority="29">
      <formula>$M$9="NO"</formula>
    </cfRule>
  </conditionalFormatting>
  <conditionalFormatting sqref="M10">
    <cfRule type="expression" dxfId="3" priority="40">
      <formula>$M$10="Normal"</formula>
    </cfRule>
  </conditionalFormatting>
  <conditionalFormatting sqref="M11">
    <cfRule type="expression" dxfId="2" priority="39">
      <formula>$M$11="YES"</formula>
    </cfRule>
  </conditionalFormatting>
  <conditionalFormatting sqref="M12">
    <cfRule type="expression" dxfId="1" priority="38">
      <formula>$M$12="NO"</formula>
    </cfRule>
  </conditionalFormatting>
  <conditionalFormatting sqref="M13">
    <cfRule type="expression" dxfId="0" priority="25">
      <formula>$M$13="YES"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495B160-FE0C-47F8-8A47-0BE7AA2AE9DF}">
          <x14:formula1>
            <xm:f>Sheet4!$A$2:$A$4</xm:f>
          </x14:formula1>
          <xm:sqref>C2:P2</xm:sqref>
        </x14:dataValidation>
        <x14:dataValidation type="list" allowBlank="1" showInputMessage="1" showErrorMessage="1" xr:uid="{A138D92E-0BD1-47F9-8A98-8A6C14D6A9E6}">
          <x14:formula1>
            <xm:f>Sheet4!$I$2:$I$4</xm:f>
          </x14:formula1>
          <xm:sqref>C3:P3</xm:sqref>
        </x14:dataValidation>
        <x14:dataValidation type="list" allowBlank="1" showInputMessage="1" showErrorMessage="1" xr:uid="{664F7785-54F8-4A7E-8D8A-E68CF0028BBC}">
          <x14:formula1>
            <xm:f>Sheet4!$G$2:$G$5</xm:f>
          </x14:formula1>
          <xm:sqref>C5:P5</xm:sqref>
        </x14:dataValidation>
        <x14:dataValidation type="list" allowBlank="1" showInputMessage="1" showErrorMessage="1" xr:uid="{339604EB-4413-4F63-8242-8B6A28527B78}">
          <x14:formula1>
            <xm:f>Sheet4!$C$2:$C$3</xm:f>
          </x14:formula1>
          <xm:sqref>C11:P13 C6:P9 C4:P4</xm:sqref>
        </x14:dataValidation>
        <x14:dataValidation type="list" allowBlank="1" showInputMessage="1" showErrorMessage="1" xr:uid="{E32DB0DC-E19B-454E-A283-F3C6846A1CA6}">
          <x14:formula1>
            <xm:f>Sheet4!$E$2:$E$5</xm:f>
          </x14:formula1>
          <xm:sqref>C10:P10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0216-87B8-4583-96D9-FE842B98E79E}">
  <dimension ref="A1:I5"/>
  <sheetViews>
    <sheetView workbookViewId="0">
      <selection sqref="A1:XFD1048576"/>
    </sheetView>
  </sheetViews>
  <sheetFormatPr defaultRowHeight="15" x14ac:dyDescent="0.25"/>
  <cols>
    <col min="1" max="1" width="11" customWidth="1"/>
    <col min="3" max="3" width="11" customWidth="1"/>
    <col min="5" max="5" width="11" customWidth="1"/>
    <col min="7" max="7" width="11" customWidth="1"/>
    <col min="9" max="9" width="11" customWidth="1"/>
  </cols>
  <sheetData>
    <row r="1" spans="1:9" x14ac:dyDescent="0.25">
      <c r="A1" t="s">
        <v>160</v>
      </c>
      <c r="C1" t="s">
        <v>160</v>
      </c>
      <c r="E1" t="s">
        <v>160</v>
      </c>
      <c r="G1" t="s">
        <v>160</v>
      </c>
      <c r="I1" t="s">
        <v>160</v>
      </c>
    </row>
    <row r="2" spans="1:9" x14ac:dyDescent="0.25">
      <c r="A2" t="s">
        <v>127</v>
      </c>
      <c r="C2" t="s">
        <v>134</v>
      </c>
      <c r="E2" t="s">
        <v>127</v>
      </c>
      <c r="G2" t="s">
        <v>139</v>
      </c>
      <c r="I2" t="s">
        <v>127</v>
      </c>
    </row>
    <row r="3" spans="1:9" x14ac:dyDescent="0.25">
      <c r="A3" t="s">
        <v>128</v>
      </c>
      <c r="C3" t="s">
        <v>135</v>
      </c>
      <c r="E3" t="s">
        <v>149</v>
      </c>
      <c r="G3" t="s">
        <v>141</v>
      </c>
      <c r="I3" t="s">
        <v>39</v>
      </c>
    </row>
    <row r="4" spans="1:9" x14ac:dyDescent="0.25">
      <c r="A4" t="s">
        <v>129</v>
      </c>
      <c r="E4" t="s">
        <v>150</v>
      </c>
      <c r="G4" t="s">
        <v>140</v>
      </c>
      <c r="I4" t="s">
        <v>161</v>
      </c>
    </row>
    <row r="5" spans="1:9" x14ac:dyDescent="0.25">
      <c r="E5" t="s">
        <v>148</v>
      </c>
      <c r="G5" t="s">
        <v>138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BCE-79D3-42DD-823D-4AF8E756B6DE}">
  <dimension ref="A1:O123"/>
  <sheetViews>
    <sheetView topLeftCell="B4" workbookViewId="0">
      <selection activeCell="N21" sqref="N21"/>
    </sheetView>
  </sheetViews>
  <sheetFormatPr defaultRowHeight="15" x14ac:dyDescent="0.25"/>
  <cols>
    <col min="1" max="1" width="29.28515625" bestFit="1" customWidth="1"/>
    <col min="2" max="3" width="10.42578125" bestFit="1" customWidth="1"/>
    <col min="4" max="4" width="10.140625" bestFit="1" customWidth="1"/>
    <col min="5" max="5" width="22.85546875" bestFit="1" customWidth="1"/>
    <col min="8" max="8" width="18.140625" bestFit="1" customWidth="1"/>
    <col min="11" max="11" width="13.140625" bestFit="1" customWidth="1"/>
  </cols>
  <sheetData>
    <row r="1" spans="1:15" x14ac:dyDescent="0.25">
      <c r="A1" s="4" t="s">
        <v>43</v>
      </c>
      <c r="B1" s="4" t="s">
        <v>29</v>
      </c>
      <c r="C1" s="4" t="s">
        <v>30</v>
      </c>
      <c r="D1" s="4" t="s">
        <v>31</v>
      </c>
      <c r="E1" s="4" t="s">
        <v>44</v>
      </c>
      <c r="H1" t="s">
        <v>49</v>
      </c>
      <c r="K1" t="s">
        <v>59</v>
      </c>
      <c r="L1">
        <v>24000</v>
      </c>
    </row>
    <row r="2" spans="1:15" x14ac:dyDescent="0.25">
      <c r="A2" s="4" t="str">
        <f>B2&amp;C2&amp;D2</f>
        <v>CallCallCall</v>
      </c>
      <c r="B2" s="4" t="s">
        <v>40</v>
      </c>
      <c r="C2" s="4" t="s">
        <v>40</v>
      </c>
      <c r="D2" s="4" t="s">
        <v>40</v>
      </c>
      <c r="E2" s="4" t="s">
        <v>32</v>
      </c>
      <c r="H2" t="s">
        <v>50</v>
      </c>
      <c r="K2" t="s">
        <v>54</v>
      </c>
      <c r="L2">
        <v>5000</v>
      </c>
    </row>
    <row r="3" spans="1:15" x14ac:dyDescent="0.25">
      <c r="A3" s="4" t="str">
        <f t="shared" ref="A3:A26" si="0">B3&amp;C3&amp;D3</f>
        <v>CallCallWait</v>
      </c>
      <c r="B3" s="4" t="s">
        <v>40</v>
      </c>
      <c r="C3" s="4" t="s">
        <v>40</v>
      </c>
      <c r="D3" s="4" t="s">
        <v>41</v>
      </c>
      <c r="E3" s="4" t="s">
        <v>36</v>
      </c>
      <c r="H3" t="s">
        <v>51</v>
      </c>
      <c r="K3" t="s">
        <v>55</v>
      </c>
      <c r="L3">
        <f>L1-L2</f>
        <v>19000</v>
      </c>
    </row>
    <row r="4" spans="1:15" x14ac:dyDescent="0.25">
      <c r="A4" s="4" t="str">
        <f t="shared" si="0"/>
        <v>CallCallPut</v>
      </c>
      <c r="B4" s="4" t="s">
        <v>40</v>
      </c>
      <c r="C4" s="4" t="s">
        <v>40</v>
      </c>
      <c r="D4" s="4" t="s">
        <v>37</v>
      </c>
      <c r="E4" s="4" t="s">
        <v>41</v>
      </c>
      <c r="K4" t="s">
        <v>56</v>
      </c>
      <c r="L4">
        <f>205*75</f>
        <v>15375</v>
      </c>
      <c r="M4" s="12">
        <f>(L4/L3)</f>
        <v>0.80921052631578949</v>
      </c>
      <c r="N4" t="s">
        <v>47</v>
      </c>
      <c r="O4">
        <f>L3-L4</f>
        <v>3625</v>
      </c>
    </row>
    <row r="5" spans="1:15" x14ac:dyDescent="0.25">
      <c r="A5" s="4" t="str">
        <f t="shared" si="0"/>
        <v>CallCallStrong Call</v>
      </c>
      <c r="B5" s="4" t="s">
        <v>40</v>
      </c>
      <c r="C5" s="4" t="s">
        <v>40</v>
      </c>
      <c r="D5" s="4" t="s">
        <v>32</v>
      </c>
      <c r="E5" s="4" t="s">
        <v>32</v>
      </c>
      <c r="K5" t="s">
        <v>57</v>
      </c>
    </row>
    <row r="6" spans="1:15" x14ac:dyDescent="0.25">
      <c r="A6" s="4" t="str">
        <f t="shared" si="0"/>
        <v>CallCallStrong Put</v>
      </c>
      <c r="B6" s="4" t="s">
        <v>40</v>
      </c>
      <c r="C6" s="4" t="s">
        <v>40</v>
      </c>
      <c r="D6" s="4" t="s">
        <v>38</v>
      </c>
      <c r="E6" s="4" t="s">
        <v>34</v>
      </c>
      <c r="K6" t="s">
        <v>58</v>
      </c>
    </row>
    <row r="7" spans="1:15" x14ac:dyDescent="0.25">
      <c r="A7" s="4" t="str">
        <f t="shared" si="0"/>
        <v>CallWaitCall</v>
      </c>
      <c r="B7" s="4" t="s">
        <v>40</v>
      </c>
      <c r="C7" s="4" t="s">
        <v>41</v>
      </c>
      <c r="D7" s="4" t="s">
        <v>40</v>
      </c>
      <c r="E7" s="4" t="s">
        <v>40</v>
      </c>
    </row>
    <row r="8" spans="1:15" x14ac:dyDescent="0.25">
      <c r="A8" s="4" t="str">
        <f t="shared" si="0"/>
        <v>CallWaitWait</v>
      </c>
      <c r="B8" s="4" t="s">
        <v>40</v>
      </c>
      <c r="C8" s="4" t="s">
        <v>41</v>
      </c>
      <c r="D8" s="4" t="s">
        <v>41</v>
      </c>
      <c r="E8" s="4" t="s">
        <v>39</v>
      </c>
    </row>
    <row r="9" spans="1:15" x14ac:dyDescent="0.25">
      <c r="A9" s="4" t="str">
        <f t="shared" si="0"/>
        <v>CallWaitPut</v>
      </c>
      <c r="B9" s="4" t="s">
        <v>40</v>
      </c>
      <c r="C9" s="4" t="s">
        <v>41</v>
      </c>
      <c r="D9" s="4" t="s">
        <v>37</v>
      </c>
      <c r="E9" s="4" t="s">
        <v>39</v>
      </c>
    </row>
    <row r="10" spans="1:15" x14ac:dyDescent="0.25">
      <c r="A10" s="4" t="str">
        <f t="shared" si="0"/>
        <v>CallWaitStrong Put</v>
      </c>
      <c r="B10" s="4" t="s">
        <v>40</v>
      </c>
      <c r="C10" s="4" t="s">
        <v>41</v>
      </c>
      <c r="D10" s="4" t="s">
        <v>38</v>
      </c>
      <c r="E10" s="4" t="s">
        <v>41</v>
      </c>
      <c r="K10" s="4"/>
      <c r="L10" s="4"/>
      <c r="M10" s="4">
        <f>K10*L10</f>
        <v>0</v>
      </c>
    </row>
    <row r="11" spans="1:15" x14ac:dyDescent="0.25">
      <c r="A11" s="4" t="str">
        <f t="shared" si="0"/>
        <v>CallWaitStrong Call</v>
      </c>
      <c r="B11" s="4" t="s">
        <v>40</v>
      </c>
      <c r="C11" s="4" t="s">
        <v>41</v>
      </c>
      <c r="D11" s="4" t="s">
        <v>32</v>
      </c>
      <c r="E11" s="4" t="s">
        <v>40</v>
      </c>
      <c r="K11" s="4"/>
      <c r="L11" s="4"/>
      <c r="M11" s="4">
        <f t="shared" ref="M11:M15" si="1">K11*L11</f>
        <v>0</v>
      </c>
    </row>
    <row r="12" spans="1:15" x14ac:dyDescent="0.25">
      <c r="A12" s="4" t="str">
        <f t="shared" si="0"/>
        <v>CallPutCall</v>
      </c>
      <c r="B12" s="4" t="s">
        <v>40</v>
      </c>
      <c r="C12" s="4" t="s">
        <v>37</v>
      </c>
      <c r="D12" s="4" t="s">
        <v>40</v>
      </c>
      <c r="E12" s="4" t="s">
        <v>39</v>
      </c>
      <c r="K12" s="4"/>
      <c r="L12" s="4"/>
      <c r="M12" s="4">
        <f t="shared" si="1"/>
        <v>0</v>
      </c>
    </row>
    <row r="13" spans="1:15" x14ac:dyDescent="0.25">
      <c r="A13" s="4" t="str">
        <f t="shared" si="0"/>
        <v>CallPutWait</v>
      </c>
      <c r="B13" s="4" t="s">
        <v>40</v>
      </c>
      <c r="C13" s="4" t="s">
        <v>37</v>
      </c>
      <c r="D13" s="4" t="s">
        <v>41</v>
      </c>
      <c r="E13" s="4" t="s">
        <v>39</v>
      </c>
      <c r="K13" s="4"/>
      <c r="L13" s="4"/>
      <c r="M13" s="4">
        <f t="shared" si="1"/>
        <v>0</v>
      </c>
    </row>
    <row r="14" spans="1:15" x14ac:dyDescent="0.25">
      <c r="A14" s="4" t="str">
        <f t="shared" si="0"/>
        <v>CallPutPut</v>
      </c>
      <c r="B14" s="4" t="s">
        <v>40</v>
      </c>
      <c r="C14" s="4" t="s">
        <v>37</v>
      </c>
      <c r="D14" s="4" t="s">
        <v>37</v>
      </c>
      <c r="E14" s="4" t="s">
        <v>33</v>
      </c>
      <c r="K14" s="4"/>
      <c r="L14" s="4"/>
      <c r="M14" s="4">
        <f t="shared" si="1"/>
        <v>0</v>
      </c>
    </row>
    <row r="15" spans="1:15" x14ac:dyDescent="0.25">
      <c r="A15" s="4" t="str">
        <f t="shared" si="0"/>
        <v>CallPutStrong Put</v>
      </c>
      <c r="B15" s="4" t="s">
        <v>40</v>
      </c>
      <c r="C15" s="4" t="s">
        <v>37</v>
      </c>
      <c r="D15" s="4" t="s">
        <v>38</v>
      </c>
      <c r="E15" s="4" t="s">
        <v>38</v>
      </c>
      <c r="K15" s="4"/>
      <c r="L15" s="4"/>
      <c r="M15" s="4">
        <f t="shared" si="1"/>
        <v>0</v>
      </c>
    </row>
    <row r="16" spans="1:15" x14ac:dyDescent="0.25">
      <c r="A16" s="4" t="str">
        <f t="shared" si="0"/>
        <v>CallPutStrong Call</v>
      </c>
      <c r="B16" s="4" t="s">
        <v>40</v>
      </c>
      <c r="C16" s="4" t="s">
        <v>37</v>
      </c>
      <c r="D16" s="4" t="s">
        <v>32</v>
      </c>
      <c r="E16" s="4" t="s">
        <v>40</v>
      </c>
      <c r="K16" s="4">
        <f>SUM(K10:K15)</f>
        <v>0</v>
      </c>
      <c r="L16" s="4" t="e">
        <f>M16/K16</f>
        <v>#DIV/0!</v>
      </c>
      <c r="M16" s="4">
        <f>SUM(M10:M15)</f>
        <v>0</v>
      </c>
    </row>
    <row r="17" spans="1:15" x14ac:dyDescent="0.25">
      <c r="A17" s="4" t="str">
        <f t="shared" si="0"/>
        <v>CallStrong CallCall</v>
      </c>
      <c r="B17" s="4" t="s">
        <v>40</v>
      </c>
      <c r="C17" s="4" t="s">
        <v>32</v>
      </c>
      <c r="D17" s="4" t="s">
        <v>40</v>
      </c>
      <c r="E17" s="4" t="s">
        <v>32</v>
      </c>
    </row>
    <row r="18" spans="1:15" x14ac:dyDescent="0.25">
      <c r="A18" s="4" t="str">
        <f t="shared" si="0"/>
        <v>CallStrong CallWait</v>
      </c>
      <c r="B18" s="4" t="s">
        <v>40</v>
      </c>
      <c r="C18" s="4" t="s">
        <v>32</v>
      </c>
      <c r="D18" s="4" t="s">
        <v>41</v>
      </c>
      <c r="E18" s="4" t="s">
        <v>40</v>
      </c>
    </row>
    <row r="19" spans="1:15" x14ac:dyDescent="0.25">
      <c r="A19" s="4" t="str">
        <f t="shared" si="0"/>
        <v>CallStrong CallPut</v>
      </c>
      <c r="B19" s="4" t="s">
        <v>40</v>
      </c>
      <c r="C19" s="4" t="s">
        <v>32</v>
      </c>
      <c r="D19" s="4" t="s">
        <v>37</v>
      </c>
      <c r="E19" s="4" t="s">
        <v>40</v>
      </c>
    </row>
    <row r="20" spans="1:15" x14ac:dyDescent="0.25">
      <c r="A20" s="4" t="str">
        <f t="shared" si="0"/>
        <v>CallStrong CallStrong Call</v>
      </c>
      <c r="B20" s="4" t="s">
        <v>40</v>
      </c>
      <c r="C20" s="4" t="s">
        <v>32</v>
      </c>
      <c r="D20" s="4" t="s">
        <v>32</v>
      </c>
      <c r="E20" s="4" t="s">
        <v>32</v>
      </c>
      <c r="K20">
        <v>16.95</v>
      </c>
      <c r="L20">
        <v>9.36</v>
      </c>
      <c r="M20" s="3">
        <f>K20+K20*(L20/100)</f>
        <v>18.536519999999999</v>
      </c>
      <c r="N20">
        <v>5</v>
      </c>
      <c r="O20">
        <f>M20+M20*(N20/100)</f>
        <v>19.463345999999998</v>
      </c>
    </row>
    <row r="21" spans="1:15" x14ac:dyDescent="0.25">
      <c r="A21" s="4" t="str">
        <f t="shared" si="0"/>
        <v>CallStrong CallStrong Put</v>
      </c>
      <c r="B21" s="4" t="s">
        <v>40</v>
      </c>
      <c r="C21" s="4" t="s">
        <v>32</v>
      </c>
      <c r="D21" s="4" t="s">
        <v>38</v>
      </c>
      <c r="E21" s="4" t="s">
        <v>45</v>
      </c>
      <c r="K21">
        <v>16.7</v>
      </c>
      <c r="L21">
        <v>10.7</v>
      </c>
      <c r="M21" s="3">
        <f>K21+K21*(L21/100)</f>
        <v>18.486899999999999</v>
      </c>
      <c r="N21">
        <v>5</v>
      </c>
      <c r="O21">
        <f>M21+M21*(N21/100)</f>
        <v>19.411244999999997</v>
      </c>
    </row>
    <row r="22" spans="1:15" x14ac:dyDescent="0.25">
      <c r="A22" s="4" t="str">
        <f t="shared" si="0"/>
        <v>CallStrong PutCall</v>
      </c>
      <c r="B22" s="4" t="s">
        <v>40</v>
      </c>
      <c r="C22" s="4" t="s">
        <v>38</v>
      </c>
      <c r="D22" s="4" t="s">
        <v>40</v>
      </c>
      <c r="E22" s="4" t="s">
        <v>35</v>
      </c>
    </row>
    <row r="23" spans="1:15" x14ac:dyDescent="0.25">
      <c r="A23" s="4" t="str">
        <f t="shared" si="0"/>
        <v>CallStrong PutWait</v>
      </c>
      <c r="B23" s="4" t="s">
        <v>40</v>
      </c>
      <c r="C23" s="4" t="s">
        <v>38</v>
      </c>
      <c r="D23" s="4" t="s">
        <v>41</v>
      </c>
      <c r="E23" s="4" t="s">
        <v>35</v>
      </c>
    </row>
    <row r="24" spans="1:15" x14ac:dyDescent="0.25">
      <c r="A24" s="4" t="str">
        <f t="shared" si="0"/>
        <v>CallStrong PutPut</v>
      </c>
      <c r="B24" s="4" t="s">
        <v>40</v>
      </c>
      <c r="C24" s="4" t="s">
        <v>38</v>
      </c>
      <c r="D24" s="4" t="s">
        <v>37</v>
      </c>
      <c r="E24" s="4" t="s">
        <v>35</v>
      </c>
    </row>
    <row r="25" spans="1:15" x14ac:dyDescent="0.25">
      <c r="A25" s="4" t="str">
        <f t="shared" si="0"/>
        <v>CallStrong PutStrong Call</v>
      </c>
      <c r="B25" s="4" t="s">
        <v>40</v>
      </c>
      <c r="C25" s="4" t="s">
        <v>38</v>
      </c>
      <c r="D25" s="4" t="s">
        <v>32</v>
      </c>
      <c r="E25" s="4" t="s">
        <v>45</v>
      </c>
    </row>
    <row r="26" spans="1:15" x14ac:dyDescent="0.25">
      <c r="A26" s="4" t="str">
        <f t="shared" si="0"/>
        <v>CallStrong PutStrong Put</v>
      </c>
      <c r="B26" s="4" t="s">
        <v>40</v>
      </c>
      <c r="C26" s="4" t="s">
        <v>38</v>
      </c>
      <c r="D26" s="4" t="s">
        <v>38</v>
      </c>
      <c r="E26" s="4" t="s">
        <v>38</v>
      </c>
    </row>
    <row r="27" spans="1:15" x14ac:dyDescent="0.25">
      <c r="A27" s="8" t="str">
        <f t="shared" ref="A27:A102" si="2">B27&amp;C27&amp;D27</f>
        <v>WaitCallCall</v>
      </c>
      <c r="B27" s="8" t="s">
        <v>41</v>
      </c>
      <c r="C27" s="8" t="s">
        <v>40</v>
      </c>
      <c r="D27" s="8" t="s">
        <v>40</v>
      </c>
      <c r="E27" s="8" t="s">
        <v>36</v>
      </c>
    </row>
    <row r="28" spans="1:15" x14ac:dyDescent="0.25">
      <c r="A28" s="8" t="str">
        <f t="shared" si="2"/>
        <v>WaitCallWait</v>
      </c>
      <c r="B28" s="8" t="s">
        <v>41</v>
      </c>
      <c r="C28" s="8" t="s">
        <v>40</v>
      </c>
      <c r="D28" s="8" t="s">
        <v>41</v>
      </c>
      <c r="E28" s="8" t="s">
        <v>41</v>
      </c>
    </row>
    <row r="29" spans="1:15" x14ac:dyDescent="0.25">
      <c r="A29" s="8" t="str">
        <f t="shared" si="2"/>
        <v>WaitCallPut</v>
      </c>
      <c r="B29" s="8" t="s">
        <v>41</v>
      </c>
      <c r="C29" s="8" t="s">
        <v>40</v>
      </c>
      <c r="D29" s="8" t="s">
        <v>37</v>
      </c>
      <c r="E29" s="8" t="s">
        <v>39</v>
      </c>
    </row>
    <row r="30" spans="1:15" x14ac:dyDescent="0.25">
      <c r="A30" s="8" t="str">
        <f t="shared" si="2"/>
        <v>WaitCallStrong Call</v>
      </c>
      <c r="B30" s="8" t="s">
        <v>41</v>
      </c>
      <c r="C30" s="8" t="s">
        <v>40</v>
      </c>
      <c r="D30" s="8" t="s">
        <v>32</v>
      </c>
      <c r="E30" s="8" t="s">
        <v>32</v>
      </c>
    </row>
    <row r="31" spans="1:15" x14ac:dyDescent="0.25">
      <c r="A31" s="8" t="str">
        <f t="shared" si="2"/>
        <v>WaitCallStrong Put</v>
      </c>
      <c r="B31" s="8" t="s">
        <v>41</v>
      </c>
      <c r="C31" s="8" t="s">
        <v>40</v>
      </c>
      <c r="D31" s="8" t="s">
        <v>38</v>
      </c>
      <c r="E31" s="8" t="s">
        <v>39</v>
      </c>
    </row>
    <row r="32" spans="1:15" x14ac:dyDescent="0.25">
      <c r="A32" s="8" t="str">
        <f t="shared" si="2"/>
        <v>WaitWaitCall</v>
      </c>
      <c r="B32" s="8" t="s">
        <v>41</v>
      </c>
      <c r="C32" s="8" t="s">
        <v>41</v>
      </c>
      <c r="D32" s="8" t="s">
        <v>40</v>
      </c>
      <c r="E32" s="8" t="s">
        <v>39</v>
      </c>
    </row>
    <row r="33" spans="1:5" x14ac:dyDescent="0.25">
      <c r="A33" s="8" t="str">
        <f t="shared" si="2"/>
        <v>WaitWaitWait</v>
      </c>
      <c r="B33" s="8" t="s">
        <v>41</v>
      </c>
      <c r="C33" s="8" t="s">
        <v>41</v>
      </c>
      <c r="D33" s="8" t="s">
        <v>41</v>
      </c>
      <c r="E33" s="8" t="s">
        <v>39</v>
      </c>
    </row>
    <row r="34" spans="1:5" x14ac:dyDescent="0.25">
      <c r="A34" s="8" t="str">
        <f t="shared" si="2"/>
        <v>WaitWaitPut</v>
      </c>
      <c r="B34" s="8" t="s">
        <v>41</v>
      </c>
      <c r="C34" s="8" t="s">
        <v>41</v>
      </c>
      <c r="D34" s="8" t="s">
        <v>37</v>
      </c>
      <c r="E34" s="8" t="s">
        <v>39</v>
      </c>
    </row>
    <row r="35" spans="1:5" x14ac:dyDescent="0.25">
      <c r="A35" s="8" t="str">
        <f t="shared" si="2"/>
        <v>WaitWaitStrong Call</v>
      </c>
      <c r="B35" s="8" t="s">
        <v>41</v>
      </c>
      <c r="C35" s="8" t="s">
        <v>41</v>
      </c>
      <c r="D35" s="8" t="s">
        <v>32</v>
      </c>
      <c r="E35" s="8" t="s">
        <v>39</v>
      </c>
    </row>
    <row r="36" spans="1:5" x14ac:dyDescent="0.25">
      <c r="A36" s="8" t="str">
        <f t="shared" si="2"/>
        <v>WaitWaitStrong Put</v>
      </c>
      <c r="B36" s="8" t="s">
        <v>41</v>
      </c>
      <c r="C36" s="8" t="s">
        <v>41</v>
      </c>
      <c r="D36" s="8" t="s">
        <v>38</v>
      </c>
      <c r="E36" s="8" t="s">
        <v>39</v>
      </c>
    </row>
    <row r="37" spans="1:5" x14ac:dyDescent="0.25">
      <c r="A37" s="8" t="str">
        <f t="shared" si="2"/>
        <v>WaitPutCall</v>
      </c>
      <c r="B37" s="8" t="s">
        <v>41</v>
      </c>
      <c r="C37" s="8" t="s">
        <v>37</v>
      </c>
      <c r="D37" s="8" t="s">
        <v>40</v>
      </c>
      <c r="E37" s="8" t="s">
        <v>39</v>
      </c>
    </row>
    <row r="38" spans="1:5" x14ac:dyDescent="0.25">
      <c r="A38" s="8" t="str">
        <f t="shared" si="2"/>
        <v>WaitPutWait</v>
      </c>
      <c r="B38" s="8" t="s">
        <v>41</v>
      </c>
      <c r="C38" s="8" t="s">
        <v>37</v>
      </c>
      <c r="D38" s="8" t="s">
        <v>41</v>
      </c>
      <c r="E38" s="8" t="s">
        <v>41</v>
      </c>
    </row>
    <row r="39" spans="1:5" x14ac:dyDescent="0.25">
      <c r="A39" s="8" t="str">
        <f t="shared" si="2"/>
        <v>WaitPutPut</v>
      </c>
      <c r="B39" s="8" t="s">
        <v>41</v>
      </c>
      <c r="C39" s="8" t="s">
        <v>37</v>
      </c>
      <c r="D39" s="8" t="s">
        <v>37</v>
      </c>
      <c r="E39" s="8" t="s">
        <v>33</v>
      </c>
    </row>
    <row r="40" spans="1:5" x14ac:dyDescent="0.25">
      <c r="A40" s="8" t="str">
        <f t="shared" si="2"/>
        <v>WaitPutStrong Call</v>
      </c>
      <c r="B40" s="8" t="s">
        <v>41</v>
      </c>
      <c r="C40" s="8" t="s">
        <v>37</v>
      </c>
      <c r="D40" s="8" t="s">
        <v>32</v>
      </c>
      <c r="E40" s="8" t="s">
        <v>35</v>
      </c>
    </row>
    <row r="41" spans="1:5" x14ac:dyDescent="0.25">
      <c r="A41" s="8" t="str">
        <f t="shared" si="2"/>
        <v>WaitPutStrong Put</v>
      </c>
      <c r="B41" s="8" t="s">
        <v>41</v>
      </c>
      <c r="C41" s="8" t="s">
        <v>37</v>
      </c>
      <c r="D41" s="8" t="s">
        <v>38</v>
      </c>
      <c r="E41" s="8" t="s">
        <v>37</v>
      </c>
    </row>
    <row r="42" spans="1:5" x14ac:dyDescent="0.25">
      <c r="A42" s="8" t="str">
        <f t="shared" si="2"/>
        <v>WaitStrong CallCall</v>
      </c>
      <c r="B42" s="8" t="s">
        <v>41</v>
      </c>
      <c r="C42" s="8" t="s">
        <v>32</v>
      </c>
      <c r="D42" s="8" t="s">
        <v>40</v>
      </c>
      <c r="E42" s="8" t="s">
        <v>40</v>
      </c>
    </row>
    <row r="43" spans="1:5" x14ac:dyDescent="0.25">
      <c r="A43" s="8" t="str">
        <f t="shared" si="2"/>
        <v>WaitStrong CallWait</v>
      </c>
      <c r="B43" s="8" t="s">
        <v>41</v>
      </c>
      <c r="C43" s="8" t="s">
        <v>32</v>
      </c>
      <c r="D43" s="8" t="s">
        <v>41</v>
      </c>
      <c r="E43" s="8" t="s">
        <v>40</v>
      </c>
    </row>
    <row r="44" spans="1:5" x14ac:dyDescent="0.25">
      <c r="A44" s="8" t="str">
        <f t="shared" si="2"/>
        <v>WaitStrong CallPut</v>
      </c>
      <c r="B44" s="8" t="s">
        <v>41</v>
      </c>
      <c r="C44" s="8" t="s">
        <v>32</v>
      </c>
      <c r="D44" s="8" t="s">
        <v>37</v>
      </c>
      <c r="E44" s="8" t="s">
        <v>40</v>
      </c>
    </row>
    <row r="45" spans="1:5" x14ac:dyDescent="0.25">
      <c r="A45" s="8" t="str">
        <f t="shared" si="2"/>
        <v>WaitStrong CallStrong Call</v>
      </c>
      <c r="B45" s="8" t="s">
        <v>41</v>
      </c>
      <c r="C45" s="8" t="s">
        <v>32</v>
      </c>
      <c r="D45" s="8" t="s">
        <v>32</v>
      </c>
      <c r="E45" s="8" t="s">
        <v>32</v>
      </c>
    </row>
    <row r="46" spans="1:5" x14ac:dyDescent="0.25">
      <c r="A46" s="8" t="str">
        <f t="shared" si="2"/>
        <v>WaitStrong CallStrong Put</v>
      </c>
      <c r="B46" s="8" t="s">
        <v>41</v>
      </c>
      <c r="C46" s="8" t="s">
        <v>32</v>
      </c>
      <c r="D46" s="8" t="s">
        <v>38</v>
      </c>
      <c r="E46" s="8" t="s">
        <v>45</v>
      </c>
    </row>
    <row r="47" spans="1:5" x14ac:dyDescent="0.25">
      <c r="A47" s="8" t="str">
        <f t="shared" si="2"/>
        <v>WaitStrong PutCall</v>
      </c>
      <c r="B47" s="8" t="s">
        <v>41</v>
      </c>
      <c r="C47" s="8" t="s">
        <v>38</v>
      </c>
      <c r="D47" s="8" t="s">
        <v>40</v>
      </c>
      <c r="E47" s="8" t="s">
        <v>37</v>
      </c>
    </row>
    <row r="48" spans="1:5" x14ac:dyDescent="0.25">
      <c r="A48" s="8" t="str">
        <f t="shared" si="2"/>
        <v>WaitStrong PutWait</v>
      </c>
      <c r="B48" s="8" t="s">
        <v>41</v>
      </c>
      <c r="C48" s="8" t="s">
        <v>38</v>
      </c>
      <c r="D48" s="8" t="s">
        <v>41</v>
      </c>
      <c r="E48" s="8" t="s">
        <v>37</v>
      </c>
    </row>
    <row r="49" spans="1:5" x14ac:dyDescent="0.25">
      <c r="A49" s="8" t="str">
        <f t="shared" si="2"/>
        <v>WaitStrong PutPut</v>
      </c>
      <c r="B49" s="8" t="s">
        <v>41</v>
      </c>
      <c r="C49" s="8" t="s">
        <v>38</v>
      </c>
      <c r="D49" s="8" t="s">
        <v>37</v>
      </c>
      <c r="E49" s="8" t="s">
        <v>37</v>
      </c>
    </row>
    <row r="50" spans="1:5" x14ac:dyDescent="0.25">
      <c r="A50" s="8" t="str">
        <f t="shared" si="2"/>
        <v>WaitStrong PutStrong Call</v>
      </c>
      <c r="B50" s="8" t="s">
        <v>41</v>
      </c>
      <c r="C50" s="8" t="s">
        <v>38</v>
      </c>
      <c r="D50" s="8" t="s">
        <v>32</v>
      </c>
      <c r="E50" s="8" t="s">
        <v>45</v>
      </c>
    </row>
    <row r="51" spans="1:5" x14ac:dyDescent="0.25">
      <c r="A51" s="8" t="str">
        <f t="shared" si="2"/>
        <v>WaitStrong PutStrong Put</v>
      </c>
      <c r="B51" s="8" t="s">
        <v>41</v>
      </c>
      <c r="C51" s="8" t="s">
        <v>38</v>
      </c>
      <c r="D51" s="8" t="s">
        <v>38</v>
      </c>
      <c r="E51" s="8" t="s">
        <v>38</v>
      </c>
    </row>
    <row r="52" spans="1:5" x14ac:dyDescent="0.25">
      <c r="A52" s="4" t="str">
        <f t="shared" si="2"/>
        <v>PutCallCall</v>
      </c>
      <c r="B52" s="4" t="s">
        <v>37</v>
      </c>
      <c r="C52" s="4" t="s">
        <v>40</v>
      </c>
      <c r="D52" s="4" t="s">
        <v>40</v>
      </c>
      <c r="E52" s="4" t="s">
        <v>41</v>
      </c>
    </row>
    <row r="53" spans="1:5" x14ac:dyDescent="0.25">
      <c r="A53" s="4" t="str">
        <f t="shared" si="2"/>
        <v>PutCallWait</v>
      </c>
      <c r="B53" s="4" t="s">
        <v>37</v>
      </c>
      <c r="C53" s="4" t="s">
        <v>40</v>
      </c>
      <c r="D53" s="4" t="s">
        <v>41</v>
      </c>
      <c r="E53" s="4" t="s">
        <v>41</v>
      </c>
    </row>
    <row r="54" spans="1:5" x14ac:dyDescent="0.25">
      <c r="A54" s="4" t="str">
        <f t="shared" si="2"/>
        <v>PutCallPut</v>
      </c>
      <c r="B54" s="4" t="s">
        <v>37</v>
      </c>
      <c r="C54" s="4" t="s">
        <v>40</v>
      </c>
      <c r="D54" s="4" t="s">
        <v>37</v>
      </c>
      <c r="E54" s="4" t="s">
        <v>39</v>
      </c>
    </row>
    <row r="55" spans="1:5" x14ac:dyDescent="0.25">
      <c r="A55" s="4" t="str">
        <f t="shared" si="2"/>
        <v>PutCallStrong Call</v>
      </c>
      <c r="B55" s="4" t="s">
        <v>37</v>
      </c>
      <c r="C55" s="4" t="s">
        <v>40</v>
      </c>
      <c r="D55" s="4" t="s">
        <v>32</v>
      </c>
      <c r="E55" s="4" t="s">
        <v>40</v>
      </c>
    </row>
    <row r="56" spans="1:5" x14ac:dyDescent="0.25">
      <c r="A56" s="4" t="str">
        <f t="shared" si="2"/>
        <v>PutCallStrong Put</v>
      </c>
      <c r="B56" s="4" t="s">
        <v>37</v>
      </c>
      <c r="C56" s="4" t="s">
        <v>40</v>
      </c>
      <c r="D56" s="4" t="s">
        <v>38</v>
      </c>
      <c r="E56" s="4" t="s">
        <v>37</v>
      </c>
    </row>
    <row r="57" spans="1:5" x14ac:dyDescent="0.25">
      <c r="A57" s="4" t="str">
        <f t="shared" si="2"/>
        <v>PutWaitCall</v>
      </c>
      <c r="B57" s="4" t="s">
        <v>37</v>
      </c>
      <c r="C57" s="4" t="s">
        <v>41</v>
      </c>
      <c r="D57" s="4" t="s">
        <v>40</v>
      </c>
      <c r="E57" s="4" t="s">
        <v>39</v>
      </c>
    </row>
    <row r="58" spans="1:5" x14ac:dyDescent="0.25">
      <c r="A58" s="4" t="str">
        <f t="shared" si="2"/>
        <v>PutWaitWait</v>
      </c>
      <c r="B58" s="4" t="s">
        <v>37</v>
      </c>
      <c r="C58" s="4" t="s">
        <v>41</v>
      </c>
      <c r="D58" s="4" t="s">
        <v>41</v>
      </c>
      <c r="E58" s="4" t="s">
        <v>41</v>
      </c>
    </row>
    <row r="59" spans="1:5" x14ac:dyDescent="0.25">
      <c r="A59" s="4" t="str">
        <f t="shared" si="2"/>
        <v>PutWaitPut</v>
      </c>
      <c r="B59" s="4" t="s">
        <v>37</v>
      </c>
      <c r="C59" s="4" t="s">
        <v>41</v>
      </c>
      <c r="D59" s="4" t="s">
        <v>37</v>
      </c>
      <c r="E59" s="4" t="s">
        <v>37</v>
      </c>
    </row>
    <row r="60" spans="1:5" x14ac:dyDescent="0.25">
      <c r="A60" s="4" t="str">
        <f t="shared" si="2"/>
        <v>PutWaitStrong Call</v>
      </c>
      <c r="B60" s="4" t="s">
        <v>37</v>
      </c>
      <c r="C60" s="4" t="s">
        <v>41</v>
      </c>
      <c r="D60" s="4" t="s">
        <v>32</v>
      </c>
      <c r="E60" s="4" t="s">
        <v>45</v>
      </c>
    </row>
    <row r="61" spans="1:5" x14ac:dyDescent="0.25">
      <c r="A61" s="4" t="str">
        <f t="shared" si="2"/>
        <v>PutWaitStrong Put</v>
      </c>
      <c r="B61" s="4" t="s">
        <v>37</v>
      </c>
      <c r="C61" s="4" t="s">
        <v>41</v>
      </c>
      <c r="D61" s="4" t="s">
        <v>38</v>
      </c>
      <c r="E61" s="4" t="s">
        <v>38</v>
      </c>
    </row>
    <row r="62" spans="1:5" x14ac:dyDescent="0.25">
      <c r="A62" s="4" t="str">
        <f t="shared" si="2"/>
        <v>PutPutCall</v>
      </c>
      <c r="B62" s="4" t="s">
        <v>37</v>
      </c>
      <c r="C62" s="4" t="s">
        <v>37</v>
      </c>
      <c r="D62" s="4" t="s">
        <v>40</v>
      </c>
      <c r="E62" s="4" t="s">
        <v>39</v>
      </c>
    </row>
    <row r="63" spans="1:5" x14ac:dyDescent="0.25">
      <c r="A63" s="4" t="str">
        <f t="shared" si="2"/>
        <v>PutPutWait</v>
      </c>
      <c r="B63" s="4" t="s">
        <v>37</v>
      </c>
      <c r="C63" s="4" t="s">
        <v>37</v>
      </c>
      <c r="D63" s="4" t="s">
        <v>41</v>
      </c>
      <c r="E63" s="4" t="s">
        <v>37</v>
      </c>
    </row>
    <row r="64" spans="1:5" x14ac:dyDescent="0.25">
      <c r="A64" s="4" t="str">
        <f t="shared" si="2"/>
        <v>PutPutPut</v>
      </c>
      <c r="B64" s="4" t="s">
        <v>37</v>
      </c>
      <c r="C64" s="4" t="s">
        <v>37</v>
      </c>
      <c r="D64" s="4" t="s">
        <v>37</v>
      </c>
      <c r="E64" s="4" t="s">
        <v>38</v>
      </c>
    </row>
    <row r="65" spans="1:5" x14ac:dyDescent="0.25">
      <c r="A65" s="4" t="str">
        <f t="shared" si="2"/>
        <v>PutPutStrong Call</v>
      </c>
      <c r="B65" s="4" t="s">
        <v>37</v>
      </c>
      <c r="C65" s="4" t="s">
        <v>37</v>
      </c>
      <c r="D65" s="4" t="s">
        <v>32</v>
      </c>
      <c r="E65" s="4" t="s">
        <v>39</v>
      </c>
    </row>
    <row r="66" spans="1:5" x14ac:dyDescent="0.25">
      <c r="A66" s="4" t="str">
        <f t="shared" si="2"/>
        <v>PutPutStrong Put</v>
      </c>
      <c r="B66" s="4" t="s">
        <v>37</v>
      </c>
      <c r="C66" s="4" t="s">
        <v>37</v>
      </c>
      <c r="D66" s="4" t="s">
        <v>38</v>
      </c>
      <c r="E66" s="4" t="s">
        <v>38</v>
      </c>
    </row>
    <row r="67" spans="1:5" x14ac:dyDescent="0.25">
      <c r="A67" s="4" t="str">
        <f t="shared" si="2"/>
        <v>PutStrong CallCall</v>
      </c>
      <c r="B67" s="4" t="s">
        <v>37</v>
      </c>
      <c r="C67" s="4" t="s">
        <v>32</v>
      </c>
      <c r="D67" s="4" t="s">
        <v>40</v>
      </c>
      <c r="E67" s="4" t="s">
        <v>32</v>
      </c>
    </row>
    <row r="68" spans="1:5" x14ac:dyDescent="0.25">
      <c r="A68" s="4" t="str">
        <f t="shared" si="2"/>
        <v>PutStrong CallWait</v>
      </c>
      <c r="B68" s="4" t="s">
        <v>37</v>
      </c>
      <c r="C68" s="4" t="s">
        <v>32</v>
      </c>
      <c r="D68" s="4" t="s">
        <v>41</v>
      </c>
      <c r="E68" s="4" t="s">
        <v>32</v>
      </c>
    </row>
    <row r="69" spans="1:5" x14ac:dyDescent="0.25">
      <c r="A69" s="4" t="str">
        <f t="shared" si="2"/>
        <v>PutStrong CallPut</v>
      </c>
      <c r="B69" s="4" t="s">
        <v>37</v>
      </c>
      <c r="C69" s="4" t="s">
        <v>32</v>
      </c>
      <c r="D69" s="4" t="s">
        <v>37</v>
      </c>
      <c r="E69" s="4" t="s">
        <v>32</v>
      </c>
    </row>
    <row r="70" spans="1:5" x14ac:dyDescent="0.25">
      <c r="A70" s="4" t="str">
        <f t="shared" si="2"/>
        <v>PutStrong CallStrong Call</v>
      </c>
      <c r="B70" s="4" t="s">
        <v>37</v>
      </c>
      <c r="C70" s="4" t="s">
        <v>32</v>
      </c>
      <c r="D70" s="4" t="s">
        <v>32</v>
      </c>
      <c r="E70" s="4" t="s">
        <v>32</v>
      </c>
    </row>
    <row r="71" spans="1:5" x14ac:dyDescent="0.25">
      <c r="A71" s="4" t="str">
        <f t="shared" si="2"/>
        <v>PutStrong CallStrong Put</v>
      </c>
      <c r="B71" s="4" t="s">
        <v>37</v>
      </c>
      <c r="C71" s="4" t="s">
        <v>32</v>
      </c>
      <c r="D71" s="4" t="s">
        <v>38</v>
      </c>
      <c r="E71" s="4" t="s">
        <v>45</v>
      </c>
    </row>
    <row r="72" spans="1:5" x14ac:dyDescent="0.25">
      <c r="A72" s="4" t="str">
        <f t="shared" si="2"/>
        <v>PutStrong PutCall</v>
      </c>
      <c r="B72" s="4" t="s">
        <v>37</v>
      </c>
      <c r="C72" s="4" t="s">
        <v>38</v>
      </c>
      <c r="D72" s="4" t="s">
        <v>40</v>
      </c>
      <c r="E72" s="4" t="s">
        <v>38</v>
      </c>
    </row>
    <row r="73" spans="1:5" x14ac:dyDescent="0.25">
      <c r="A73" s="4" t="str">
        <f t="shared" si="2"/>
        <v>PutStrong PutWait</v>
      </c>
      <c r="B73" s="4" t="s">
        <v>37</v>
      </c>
      <c r="C73" s="4" t="s">
        <v>38</v>
      </c>
      <c r="D73" s="4" t="s">
        <v>41</v>
      </c>
      <c r="E73" s="4" t="s">
        <v>38</v>
      </c>
    </row>
    <row r="74" spans="1:5" x14ac:dyDescent="0.25">
      <c r="A74" s="4" t="str">
        <f t="shared" si="2"/>
        <v>PutStrong PutPut</v>
      </c>
      <c r="B74" s="4" t="s">
        <v>37</v>
      </c>
      <c r="C74" s="4" t="s">
        <v>38</v>
      </c>
      <c r="D74" s="4" t="s">
        <v>37</v>
      </c>
      <c r="E74" s="4" t="s">
        <v>38</v>
      </c>
    </row>
    <row r="75" spans="1:5" x14ac:dyDescent="0.25">
      <c r="A75" s="4" t="str">
        <f t="shared" si="2"/>
        <v>PutStrong PutStrong Call</v>
      </c>
      <c r="B75" s="4" t="s">
        <v>37</v>
      </c>
      <c r="C75" s="4" t="s">
        <v>38</v>
      </c>
      <c r="D75" s="4" t="s">
        <v>32</v>
      </c>
      <c r="E75" s="4" t="s">
        <v>45</v>
      </c>
    </row>
    <row r="76" spans="1:5" x14ac:dyDescent="0.25">
      <c r="A76" s="4" t="str">
        <f t="shared" si="2"/>
        <v>PutStrong PutStrong Put</v>
      </c>
      <c r="B76" s="4" t="s">
        <v>37</v>
      </c>
      <c r="C76" s="4" t="s">
        <v>38</v>
      </c>
      <c r="D76" s="4" t="s">
        <v>38</v>
      </c>
      <c r="E76" s="4" t="s">
        <v>38</v>
      </c>
    </row>
    <row r="77" spans="1:5" x14ac:dyDescent="0.25">
      <c r="A77" s="8" t="str">
        <f t="shared" si="2"/>
        <v>Strong CallCallCall</v>
      </c>
      <c r="B77" s="8" t="s">
        <v>32</v>
      </c>
      <c r="C77" s="8" t="s">
        <v>40</v>
      </c>
      <c r="D77" s="8" t="s">
        <v>40</v>
      </c>
      <c r="E77" s="8" t="s">
        <v>32</v>
      </c>
    </row>
    <row r="78" spans="1:5" x14ac:dyDescent="0.25">
      <c r="A78" s="8" t="str">
        <f t="shared" si="2"/>
        <v>Strong CallCallWait</v>
      </c>
      <c r="B78" s="8" t="s">
        <v>32</v>
      </c>
      <c r="C78" s="8" t="s">
        <v>40</v>
      </c>
      <c r="D78" s="8" t="s">
        <v>41</v>
      </c>
      <c r="E78" s="8" t="s">
        <v>32</v>
      </c>
    </row>
    <row r="79" spans="1:5" x14ac:dyDescent="0.25">
      <c r="A79" s="8" t="str">
        <f t="shared" si="2"/>
        <v>Strong CallCallPut</v>
      </c>
      <c r="B79" s="8" t="s">
        <v>32</v>
      </c>
      <c r="C79" s="8" t="s">
        <v>40</v>
      </c>
      <c r="D79" s="8" t="s">
        <v>37</v>
      </c>
      <c r="E79" s="8" t="s">
        <v>41</v>
      </c>
    </row>
    <row r="80" spans="1:5" x14ac:dyDescent="0.25">
      <c r="A80" s="8" t="str">
        <f t="shared" si="2"/>
        <v>Strong CallCallStrong Call</v>
      </c>
      <c r="B80" s="8" t="s">
        <v>32</v>
      </c>
      <c r="C80" s="8" t="s">
        <v>40</v>
      </c>
      <c r="D80" s="8" t="s">
        <v>32</v>
      </c>
      <c r="E80" s="8" t="s">
        <v>32</v>
      </c>
    </row>
    <row r="81" spans="1:5" x14ac:dyDescent="0.25">
      <c r="A81" s="8" t="str">
        <f t="shared" si="2"/>
        <v>Strong CallCallStrong Put</v>
      </c>
      <c r="B81" s="8" t="s">
        <v>32</v>
      </c>
      <c r="C81" s="8" t="s">
        <v>40</v>
      </c>
      <c r="D81" s="8" t="s">
        <v>38</v>
      </c>
      <c r="E81" s="8" t="s">
        <v>39</v>
      </c>
    </row>
    <row r="82" spans="1:5" x14ac:dyDescent="0.25">
      <c r="A82" s="8" t="str">
        <f t="shared" si="2"/>
        <v>Strong CallWaitCall</v>
      </c>
      <c r="B82" s="8" t="s">
        <v>32</v>
      </c>
      <c r="C82" s="8" t="s">
        <v>41</v>
      </c>
      <c r="D82" s="8" t="s">
        <v>40</v>
      </c>
      <c r="E82" s="8" t="s">
        <v>32</v>
      </c>
    </row>
    <row r="83" spans="1:5" x14ac:dyDescent="0.25">
      <c r="A83" s="8" t="str">
        <f t="shared" si="2"/>
        <v>Strong CallWaitWait</v>
      </c>
      <c r="B83" s="8" t="s">
        <v>32</v>
      </c>
      <c r="C83" s="8" t="s">
        <v>41</v>
      </c>
      <c r="D83" s="8" t="s">
        <v>41</v>
      </c>
      <c r="E83" s="8" t="s">
        <v>40</v>
      </c>
    </row>
    <row r="84" spans="1:5" x14ac:dyDescent="0.25">
      <c r="A84" s="8" t="str">
        <f t="shared" si="2"/>
        <v>Strong CallWaitPut</v>
      </c>
      <c r="B84" s="8" t="s">
        <v>32</v>
      </c>
      <c r="C84" s="8" t="s">
        <v>41</v>
      </c>
      <c r="D84" s="8" t="s">
        <v>37</v>
      </c>
      <c r="E84" s="8" t="s">
        <v>42</v>
      </c>
    </row>
    <row r="85" spans="1:5" x14ac:dyDescent="0.25">
      <c r="A85" s="8" t="str">
        <f t="shared" si="2"/>
        <v>Strong CallWaitStrong Call</v>
      </c>
      <c r="B85" s="8" t="s">
        <v>32</v>
      </c>
      <c r="C85" s="8" t="s">
        <v>41</v>
      </c>
      <c r="D85" s="8" t="s">
        <v>32</v>
      </c>
      <c r="E85" s="8" t="s">
        <v>32</v>
      </c>
    </row>
    <row r="86" spans="1:5" x14ac:dyDescent="0.25">
      <c r="A86" s="8" t="str">
        <f t="shared" si="2"/>
        <v>Strong CallWaitStrong Put</v>
      </c>
      <c r="B86" s="8" t="s">
        <v>32</v>
      </c>
      <c r="C86" s="8" t="s">
        <v>41</v>
      </c>
      <c r="D86" s="8" t="s">
        <v>38</v>
      </c>
      <c r="E86" s="8" t="s">
        <v>39</v>
      </c>
    </row>
    <row r="87" spans="1:5" x14ac:dyDescent="0.25">
      <c r="A87" s="8" t="str">
        <f t="shared" si="2"/>
        <v>Strong CallPutCall</v>
      </c>
      <c r="B87" s="8" t="s">
        <v>32</v>
      </c>
      <c r="C87" s="8" t="s">
        <v>37</v>
      </c>
      <c r="D87" s="8" t="s">
        <v>40</v>
      </c>
      <c r="E87" s="8" t="s">
        <v>40</v>
      </c>
    </row>
    <row r="88" spans="1:5" x14ac:dyDescent="0.25">
      <c r="A88" s="8" t="str">
        <f t="shared" si="2"/>
        <v>Strong CallPutWait</v>
      </c>
      <c r="B88" s="8" t="s">
        <v>32</v>
      </c>
      <c r="C88" s="8" t="s">
        <v>37</v>
      </c>
      <c r="D88" s="8" t="s">
        <v>41</v>
      </c>
      <c r="E88" s="8" t="s">
        <v>40</v>
      </c>
    </row>
    <row r="89" spans="1:5" x14ac:dyDescent="0.25">
      <c r="A89" s="8" t="str">
        <f t="shared" si="2"/>
        <v>Strong CallPutPut</v>
      </c>
      <c r="B89" s="8" t="s">
        <v>32</v>
      </c>
      <c r="C89" s="8" t="s">
        <v>37</v>
      </c>
      <c r="D89" s="8" t="s">
        <v>37</v>
      </c>
      <c r="E89" s="8" t="s">
        <v>41</v>
      </c>
    </row>
    <row r="90" spans="1:5" x14ac:dyDescent="0.25">
      <c r="A90" s="8" t="str">
        <f t="shared" si="2"/>
        <v>Strong CallPutStrong Call</v>
      </c>
      <c r="B90" s="8" t="s">
        <v>32</v>
      </c>
      <c r="C90" s="8" t="s">
        <v>37</v>
      </c>
      <c r="D90" s="8" t="s">
        <v>32</v>
      </c>
      <c r="E90" s="8" t="s">
        <v>40</v>
      </c>
    </row>
    <row r="91" spans="1:5" x14ac:dyDescent="0.25">
      <c r="A91" s="8" t="str">
        <f t="shared" si="2"/>
        <v>Strong CallPutStrong Put</v>
      </c>
      <c r="B91" s="8" t="s">
        <v>32</v>
      </c>
      <c r="C91" s="8" t="s">
        <v>37</v>
      </c>
      <c r="D91" s="8" t="s">
        <v>38</v>
      </c>
      <c r="E91" s="8" t="s">
        <v>39</v>
      </c>
    </row>
    <row r="92" spans="1:5" x14ac:dyDescent="0.25">
      <c r="A92" s="8" t="str">
        <f t="shared" si="2"/>
        <v>Strong CallStrong CallCall</v>
      </c>
      <c r="B92" s="8" t="s">
        <v>32</v>
      </c>
      <c r="C92" s="8" t="s">
        <v>32</v>
      </c>
      <c r="D92" s="8" t="s">
        <v>40</v>
      </c>
      <c r="E92" s="8" t="s">
        <v>32</v>
      </c>
    </row>
    <row r="93" spans="1:5" x14ac:dyDescent="0.25">
      <c r="A93" s="8" t="str">
        <f t="shared" si="2"/>
        <v>Strong CallStrong CallWait</v>
      </c>
      <c r="B93" s="8" t="s">
        <v>32</v>
      </c>
      <c r="C93" s="8" t="s">
        <v>32</v>
      </c>
      <c r="D93" s="8" t="s">
        <v>41</v>
      </c>
      <c r="E93" s="8" t="s">
        <v>32</v>
      </c>
    </row>
    <row r="94" spans="1:5" x14ac:dyDescent="0.25">
      <c r="A94" s="8" t="str">
        <f t="shared" si="2"/>
        <v>Strong CallStrong CallPut</v>
      </c>
      <c r="B94" s="8" t="s">
        <v>32</v>
      </c>
      <c r="C94" s="8" t="s">
        <v>32</v>
      </c>
      <c r="D94" s="8" t="s">
        <v>37</v>
      </c>
      <c r="E94" s="8" t="s">
        <v>32</v>
      </c>
    </row>
    <row r="95" spans="1:5" x14ac:dyDescent="0.25">
      <c r="A95" s="8" t="str">
        <f t="shared" si="2"/>
        <v>Strong CallStrong CallStrong Call</v>
      </c>
      <c r="B95" s="8" t="s">
        <v>32</v>
      </c>
      <c r="C95" s="8" t="s">
        <v>32</v>
      </c>
      <c r="D95" s="8" t="s">
        <v>32</v>
      </c>
      <c r="E95" s="8" t="s">
        <v>32</v>
      </c>
    </row>
    <row r="96" spans="1:5" x14ac:dyDescent="0.25">
      <c r="A96" s="8" t="str">
        <f t="shared" si="2"/>
        <v>Strong CallStrong CallStrong Put</v>
      </c>
      <c r="B96" s="8" t="s">
        <v>32</v>
      </c>
      <c r="C96" s="8" t="s">
        <v>32</v>
      </c>
      <c r="D96" s="8" t="s">
        <v>38</v>
      </c>
      <c r="E96" s="8" t="s">
        <v>42</v>
      </c>
    </row>
    <row r="97" spans="1:5" x14ac:dyDescent="0.25">
      <c r="A97" s="8" t="str">
        <f t="shared" si="2"/>
        <v>Strong CallStrong PutCall</v>
      </c>
      <c r="B97" s="8" t="s">
        <v>32</v>
      </c>
      <c r="C97" s="8" t="s">
        <v>38</v>
      </c>
      <c r="D97" s="8" t="s">
        <v>40</v>
      </c>
      <c r="E97" s="8" t="s">
        <v>42</v>
      </c>
    </row>
    <row r="98" spans="1:5" x14ac:dyDescent="0.25">
      <c r="A98" s="8" t="str">
        <f t="shared" si="2"/>
        <v>Strong CallStrong PutWait</v>
      </c>
      <c r="B98" s="8" t="s">
        <v>32</v>
      </c>
      <c r="C98" s="8" t="s">
        <v>38</v>
      </c>
      <c r="D98" s="8" t="s">
        <v>41</v>
      </c>
      <c r="E98" s="8" t="s">
        <v>42</v>
      </c>
    </row>
    <row r="99" spans="1:5" x14ac:dyDescent="0.25">
      <c r="A99" s="8" t="str">
        <f t="shared" si="2"/>
        <v>Strong CallStrong PutPut</v>
      </c>
      <c r="B99" s="8" t="s">
        <v>32</v>
      </c>
      <c r="C99" s="8" t="s">
        <v>38</v>
      </c>
      <c r="D99" s="8" t="s">
        <v>37</v>
      </c>
      <c r="E99" s="8" t="s">
        <v>42</v>
      </c>
    </row>
    <row r="100" spans="1:5" x14ac:dyDescent="0.25">
      <c r="A100" s="8" t="str">
        <f t="shared" si="2"/>
        <v>Strong CallStrong PutStrong Call</v>
      </c>
      <c r="B100" s="8" t="s">
        <v>32</v>
      </c>
      <c r="C100" s="8" t="s">
        <v>38</v>
      </c>
      <c r="D100" s="8" t="s">
        <v>32</v>
      </c>
      <c r="E100" s="8" t="s">
        <v>42</v>
      </c>
    </row>
    <row r="101" spans="1:5" x14ac:dyDescent="0.25">
      <c r="A101" s="8" t="str">
        <f t="shared" si="2"/>
        <v>Strong CallStrong PutStrong Put</v>
      </c>
      <c r="B101" s="8" t="s">
        <v>32</v>
      </c>
      <c r="C101" s="8" t="s">
        <v>38</v>
      </c>
      <c r="D101" s="8" t="s">
        <v>38</v>
      </c>
      <c r="E101" s="8" t="s">
        <v>42</v>
      </c>
    </row>
    <row r="102" spans="1:5" x14ac:dyDescent="0.25">
      <c r="A102" s="4" t="str">
        <f t="shared" si="2"/>
        <v>Strong PutCallCall</v>
      </c>
      <c r="B102" s="4" t="s">
        <v>38</v>
      </c>
      <c r="C102" s="4" t="s">
        <v>40</v>
      </c>
      <c r="D102" s="4" t="s">
        <v>40</v>
      </c>
      <c r="E102" s="4" t="s">
        <v>35</v>
      </c>
    </row>
    <row r="103" spans="1:5" x14ac:dyDescent="0.25">
      <c r="A103" s="4" t="str">
        <f t="shared" ref="A103:A123" si="3">B103&amp;C103&amp;D103</f>
        <v>Strong PutCallWait</v>
      </c>
      <c r="B103" s="4" t="s">
        <v>38</v>
      </c>
      <c r="C103" s="4" t="s">
        <v>40</v>
      </c>
      <c r="D103" s="4" t="s">
        <v>41</v>
      </c>
      <c r="E103" s="4" t="s">
        <v>35</v>
      </c>
    </row>
    <row r="104" spans="1:5" x14ac:dyDescent="0.25">
      <c r="A104" s="4" t="str">
        <f t="shared" si="3"/>
        <v>Strong PutCallPut</v>
      </c>
      <c r="B104" s="4" t="s">
        <v>38</v>
      </c>
      <c r="C104" s="4" t="s">
        <v>40</v>
      </c>
      <c r="D104" s="4" t="s">
        <v>37</v>
      </c>
      <c r="E104" s="4" t="s">
        <v>35</v>
      </c>
    </row>
    <row r="105" spans="1:5" x14ac:dyDescent="0.25">
      <c r="A105" s="4" t="str">
        <f t="shared" si="3"/>
        <v/>
      </c>
      <c r="B105" s="4"/>
      <c r="C105" s="4"/>
      <c r="D105" s="4"/>
      <c r="E105" s="4"/>
    </row>
    <row r="106" spans="1:5" x14ac:dyDescent="0.25">
      <c r="A106" s="4" t="str">
        <f t="shared" si="3"/>
        <v>Strong PutCallStrong Put</v>
      </c>
      <c r="B106" s="4" t="s">
        <v>38</v>
      </c>
      <c r="C106" s="4" t="s">
        <v>40</v>
      </c>
      <c r="D106" s="4" t="s">
        <v>38</v>
      </c>
      <c r="E106" s="4" t="s">
        <v>38</v>
      </c>
    </row>
    <row r="107" spans="1:5" x14ac:dyDescent="0.25">
      <c r="A107" s="4" t="str">
        <f t="shared" si="3"/>
        <v>Strong PutWaitCall</v>
      </c>
      <c r="B107" s="4" t="s">
        <v>38</v>
      </c>
      <c r="C107" s="4" t="s">
        <v>41</v>
      </c>
      <c r="D107" s="4" t="s">
        <v>40</v>
      </c>
      <c r="E107" s="4" t="s">
        <v>35</v>
      </c>
    </row>
    <row r="108" spans="1:5" x14ac:dyDescent="0.25">
      <c r="A108" s="4" t="str">
        <f t="shared" si="3"/>
        <v>Strong PutWaitWait</v>
      </c>
      <c r="B108" s="4" t="s">
        <v>38</v>
      </c>
      <c r="C108" s="4" t="s">
        <v>41</v>
      </c>
      <c r="D108" s="4" t="s">
        <v>41</v>
      </c>
      <c r="E108" s="4" t="s">
        <v>35</v>
      </c>
    </row>
    <row r="109" spans="1:5" x14ac:dyDescent="0.25">
      <c r="A109" s="4" t="str">
        <f t="shared" si="3"/>
        <v>Strong PutWaitPut</v>
      </c>
      <c r="B109" s="4" t="s">
        <v>38</v>
      </c>
      <c r="C109" s="4" t="s">
        <v>41</v>
      </c>
      <c r="D109" s="4" t="s">
        <v>37</v>
      </c>
      <c r="E109" s="4" t="s">
        <v>37</v>
      </c>
    </row>
    <row r="110" spans="1:5" x14ac:dyDescent="0.25">
      <c r="A110" s="4" t="str">
        <f t="shared" si="3"/>
        <v/>
      </c>
      <c r="B110" s="4"/>
      <c r="C110" s="4"/>
      <c r="D110" s="4"/>
      <c r="E110" s="4"/>
    </row>
    <row r="111" spans="1:5" x14ac:dyDescent="0.25">
      <c r="A111" s="4" t="str">
        <f t="shared" si="3"/>
        <v>Strong PutWaitStrong Put</v>
      </c>
      <c r="B111" s="4" t="s">
        <v>38</v>
      </c>
      <c r="C111" s="4" t="s">
        <v>41</v>
      </c>
      <c r="D111" s="4" t="s">
        <v>38</v>
      </c>
      <c r="E111" s="4" t="s">
        <v>38</v>
      </c>
    </row>
    <row r="112" spans="1:5" x14ac:dyDescent="0.25">
      <c r="A112" s="4" t="str">
        <f t="shared" si="3"/>
        <v>Strong PutPutCall</v>
      </c>
      <c r="B112" s="4" t="s">
        <v>38</v>
      </c>
      <c r="C112" s="4" t="s">
        <v>37</v>
      </c>
      <c r="D112" s="4" t="s">
        <v>40</v>
      </c>
      <c r="E112" s="4" t="s">
        <v>38</v>
      </c>
    </row>
    <row r="113" spans="1:5" x14ac:dyDescent="0.25">
      <c r="A113" s="4" t="str">
        <f t="shared" si="3"/>
        <v>Strong PutPutWait</v>
      </c>
      <c r="B113" s="4" t="s">
        <v>38</v>
      </c>
      <c r="C113" s="4" t="s">
        <v>37</v>
      </c>
      <c r="D113" s="4" t="s">
        <v>41</v>
      </c>
      <c r="E113" s="4" t="s">
        <v>38</v>
      </c>
    </row>
    <row r="114" spans="1:5" x14ac:dyDescent="0.25">
      <c r="A114" s="4" t="str">
        <f t="shared" si="3"/>
        <v>Strong PutPutPut</v>
      </c>
      <c r="B114" s="4" t="s">
        <v>38</v>
      </c>
      <c r="C114" s="4" t="s">
        <v>37</v>
      </c>
      <c r="D114" s="4" t="s">
        <v>37</v>
      </c>
      <c r="E114" s="4" t="s">
        <v>38</v>
      </c>
    </row>
    <row r="115" spans="1:5" x14ac:dyDescent="0.25">
      <c r="A115" s="4" t="str">
        <f t="shared" si="3"/>
        <v/>
      </c>
      <c r="B115" s="4"/>
      <c r="C115" s="4"/>
      <c r="D115" s="4"/>
      <c r="E115" s="4"/>
    </row>
    <row r="116" spans="1:5" x14ac:dyDescent="0.25">
      <c r="A116" s="4" t="str">
        <f t="shared" si="3"/>
        <v>Strong PutPutStrong Put</v>
      </c>
      <c r="B116" s="4" t="s">
        <v>38</v>
      </c>
      <c r="C116" s="4" t="s">
        <v>37</v>
      </c>
      <c r="D116" s="4" t="s">
        <v>38</v>
      </c>
      <c r="E116" s="4" t="s">
        <v>38</v>
      </c>
    </row>
    <row r="117" spans="1:5" x14ac:dyDescent="0.25">
      <c r="A117" s="4" t="str">
        <f t="shared" si="3"/>
        <v>Strong PutStrong PutCall</v>
      </c>
      <c r="B117" s="4" t="s">
        <v>38</v>
      </c>
      <c r="C117" s="4" t="s">
        <v>38</v>
      </c>
      <c r="D117" s="4" t="s">
        <v>40</v>
      </c>
      <c r="E117" s="4" t="s">
        <v>38</v>
      </c>
    </row>
    <row r="118" spans="1:5" x14ac:dyDescent="0.25">
      <c r="A118" s="4" t="str">
        <f t="shared" si="3"/>
        <v>Strong PutStrong PutWait</v>
      </c>
      <c r="B118" s="4" t="s">
        <v>38</v>
      </c>
      <c r="C118" s="4" t="s">
        <v>38</v>
      </c>
      <c r="D118" s="4" t="s">
        <v>41</v>
      </c>
      <c r="E118" s="4" t="s">
        <v>38</v>
      </c>
    </row>
    <row r="119" spans="1:5" x14ac:dyDescent="0.25">
      <c r="A119" s="4" t="str">
        <f t="shared" si="3"/>
        <v>Strong PutStrong PutPut</v>
      </c>
      <c r="B119" s="4" t="s">
        <v>38</v>
      </c>
      <c r="C119" s="4" t="s">
        <v>38</v>
      </c>
      <c r="D119" s="4" t="s">
        <v>37</v>
      </c>
      <c r="E119" s="4" t="s">
        <v>38</v>
      </c>
    </row>
    <row r="120" spans="1:5" x14ac:dyDescent="0.25">
      <c r="A120" s="4" t="str">
        <f t="shared" si="3"/>
        <v/>
      </c>
      <c r="B120" s="4"/>
      <c r="C120" s="4"/>
      <c r="D120" s="4"/>
      <c r="E120" s="4"/>
    </row>
    <row r="121" spans="1:5" x14ac:dyDescent="0.25">
      <c r="A121" s="4" t="str">
        <f t="shared" si="3"/>
        <v>Strong PutStrong PutStrong Put</v>
      </c>
      <c r="B121" s="4" t="s">
        <v>38</v>
      </c>
      <c r="C121" s="4" t="s">
        <v>38</v>
      </c>
      <c r="D121" s="4" t="s">
        <v>38</v>
      </c>
      <c r="E121" s="4" t="s">
        <v>38</v>
      </c>
    </row>
    <row r="122" spans="1:5" x14ac:dyDescent="0.25">
      <c r="A122" s="4" t="str">
        <f t="shared" si="3"/>
        <v/>
      </c>
    </row>
    <row r="123" spans="1:5" x14ac:dyDescent="0.25">
      <c r="A123" s="4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Details</vt:lpstr>
      <vt:lpstr>OI Trend</vt:lpstr>
      <vt:lpstr>Sheet1</vt:lpstr>
      <vt:lpstr>Sheet4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2026-03-18T10:00:02Z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2025-01-20T06:25:47Z</vt:lpwstr>
  </property>
  <property fmtid="{D5CDD505-2E9C-101B-9397-08002B2CF9AE}" pid="4" name="MSIP_Label_1b5d643d-5daa-4182-b4ec-05c4e602cf56_Method">
    <vt:lpwstr>Privileged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42e3523c-823d-428e-af66-f5daba127c70</vt:lpwstr>
  </property>
  <property fmtid="{D5CDD505-2E9C-101B-9397-08002B2CF9AE}" pid="8" name="MSIP_Label_1b5d643d-5daa-4182-b4ec-05c4e602cf56_ContentBits">
    <vt:lpwstr>0</vt:lpwstr>
  </property>
</Properties>
</file>